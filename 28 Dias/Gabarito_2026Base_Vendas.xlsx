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f22d133d2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336970c619df4acb"/>
    <x:sheet xmlns:r="http://schemas.openxmlformats.org/officeDocument/2006/relationships" name="Base_Vendas" sheetId="2" r:id="Rc43d0d6277204675"/>
    <x:sheet xmlns:r="http://schemas.openxmlformats.org/officeDocument/2006/relationships" name="Gabarito" sheetId="3" r:id="R1f6190043eb4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R$ #,##0.00"/>
    <x:numFmt numFmtId="203" formatCode="0.0%"/>
    <x:numFmt numFmtId="204" formatCode="R$ #,##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6"/>
      <x:color rgb="FF17324D"/>
      <x:name val="Carlito"/>
    </x:font>
    <x:font>
      <x:b/>
      <x:sz val="14"/>
      <x:color rgb="FF17212B"/>
      <x:name val="Carlito"/>
    </x:font>
    <x:font>
      <x:sz val="11"/>
      <x:color rgb="FF17212B"/>
      <x:name val="Carlito"/>
    </x:font>
    <x:font>
      <x:b/>
      <x:sz val="12"/>
      <x:color rgb="FFFFFFFF"/>
      <x:name val="Carlito"/>
    </x:font>
    <x:font>
      <x:i/>
      <x:sz val="10"/>
      <x:color rgb="FF44546A"/>
      <x:name val="Carlito"/>
    </x:font>
    <x:font>
      <x:sz val="9"/>
      <x:color rgb="FF2F5597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2"/>
      <x:color rgb="FF7A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F1F"/>
      </x:patternFill>
    </x:fill>
    <x:fill>
      <x:patternFill patternType="solid">
        <x:fgColor rgb="FFE5A91B"/>
      </x:patternFill>
    </x:fill>
    <x:fill>
      <x:patternFill patternType="solid">
        <x:fgColor rgb="FF17324D"/>
      </x:patternFill>
    </x:fill>
    <x:fill>
      <x:patternFill patternType="solid">
        <x:fgColor rgb="FFFFF7E1"/>
      </x:patternFill>
    </x:fill>
    <x:fill>
      <x:patternFill patternType="solid">
        <x:fgColor rgb="FFEAF0F6"/>
      </x:patternFill>
    </x:fill>
  </x:fills>
  <x:borders count="18">
    <x:border/>
    <x:border>
      <x:right style="thin">
        <x:color rgb="FFD6DCE4"/>
      </x:right>
      <x:bottom style="thin">
        <x:color rgb="FFD6DCE4"/>
      </x:bottom>
    </x:border>
    <x:border>
      <x:left style="thin">
        <x:color rgb="FFD6DCE4"/>
      </x:left>
      <x:bottom style="thin">
        <x:color rgb="FFD6DCE4"/>
      </x:bottom>
    </x:border>
    <x:border>
      <x:right style="thin">
        <x:color rgb="FFD6DCE4"/>
      </x:right>
      <x:top style="thin">
        <x:color rgb="FFD6DCE4"/>
      </x:top>
      <x:bottom style="thin">
        <x:color rgb="FFD6DCE4"/>
      </x:bottom>
    </x:border>
    <x:border>
      <x:left style="thin">
        <x:color rgb="FFD6DCE4"/>
      </x:left>
      <x:top style="thin">
        <x:color rgb="FFD6DCE4"/>
      </x:top>
      <x:bottom style="thin">
        <x:color rgb="FFD6DCE4"/>
      </x:bottom>
    </x:border>
    <x:border>
      <x:right style="thin">
        <x:color rgb="FFD6DCE4"/>
      </x:right>
      <x:top style="thin">
        <x:color rgb="FFD6DCE4"/>
      </x:top>
    </x:border>
    <x:border>
      <x:left style="thin">
        <x:color rgb="FFD6DCE4"/>
      </x:left>
      <x:top style="thin">
        <x:color rgb="FFD6DCE4"/>
      </x:top>
    </x:border>
    <x:border>
      <x:left style="medium">
        <x:color rgb="FFE5A91B"/>
      </x:left>
      <x:top style="medium">
        <x:color rgb="FFE5A91B"/>
      </x:top>
    </x:border>
    <x:border>
      <x:top style="medium">
        <x:color rgb="FFE5A91B"/>
      </x:top>
    </x:border>
    <x:border>
      <x:right style="medium">
        <x:color rgb="FFE5A91B"/>
      </x:right>
      <x:top style="medium">
        <x:color rgb="FFE5A91B"/>
      </x:top>
    </x:border>
    <x:border>
      <x:left style="medium">
        <x:color rgb="FFE5A91B"/>
      </x:left>
    </x:border>
    <x:border>
      <x:right style="medium">
        <x:color rgb="FFE5A91B"/>
      </x:right>
    </x:border>
    <x:border>
      <x:left style="medium">
        <x:color rgb="FFE5A91B"/>
      </x:left>
      <x:bottom style="medium">
        <x:color rgb="FFE5A91B"/>
      </x:bottom>
    </x:border>
    <x:border>
      <x:bottom style="medium">
        <x:color rgb="FFE5A91B"/>
      </x:bottom>
    </x:border>
    <x:border>
      <x:right style="medium">
        <x:color rgb="FFE5A91B"/>
      </x:right>
      <x:bottom style="medium">
        <x:color rgb="FFE5A91B"/>
      </x:bottom>
    </x:border>
    <x:border>
      <x:left style="thin">
        <x:color rgb="FFD6DCE4"/>
      </x:left>
      <x:right style="thin">
        <x:color rgb="FFD6DCE4"/>
      </x:right>
      <x:bottom style="thin">
        <x:color rgb="FFD6DCE4"/>
      </x:bottom>
    </x:border>
    <x:border>
      <x:left style="thin">
        <x:color rgb="FFD6DCE4"/>
      </x:left>
      <x:right style="thin">
        <x:color rgb="FFD6DCE4"/>
      </x:right>
      <x:top style="thin">
        <x:color rgb="FFD6DCE4"/>
      </x:top>
      <x:bottom style="thin">
        <x:color rgb="FFD6DCE4"/>
      </x:bottom>
    </x:border>
    <x:border>
      <x:left style="thin">
        <x:color rgb="FFD6DCE4"/>
      </x:left>
      <x:right style="thin">
        <x:color rgb="FFD6DCE4"/>
      </x:right>
      <x:top style="thin">
        <x:color rgb="FFD6DCE4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10" fillId="6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5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6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7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e86f31f094205" /><Relationship Type="http://schemas.openxmlformats.org/officeDocument/2006/relationships/theme" Target="/xl/theme/theme1.xml" Id="Re9cb625d8eae4337" /><Relationship Type="http://schemas.openxmlformats.org/officeDocument/2006/relationships/sharedStrings" Target="/xl/sharedStrings.xml" Id="Rc8d946bbc35d45b7" /><Relationship Type="http://schemas.openxmlformats.org/officeDocument/2006/relationships/worksheet" Target="/xl/worksheets/sheet1.xml" Id="R336970c619df4acb" /><Relationship Type="http://schemas.openxmlformats.org/officeDocument/2006/relationships/worksheet" Target="/xl/worksheets/sheet2.xml" Id="Rc43d0d6277204675" /><Relationship Type="http://schemas.openxmlformats.org/officeDocument/2006/relationships/worksheet" Target="/xl/worksheets/sheet3.xml" Id="R1f6190043eb447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530a64631e4b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 e margem por região (R$)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Receita líquida</c:v>
          </c:tx>
          <c:cat>
            <c:strRef>
              <c:f>'Gabarito'!$A$14:$A$18</c:f>
              <c:strCache>
                <c:ptCount val="0"/>
              </c:strCache>
            </c:strRef>
          </c:cat>
          <c:val>
            <c:numRef>
              <c:f>'Gabarito'!$B$14:$B$18</c:f>
              <c:numCache>
                <c:formatCode>R$ #,##0</c:formatCode>
                <c:ptCount val="0"/>
              </c:numCache>
            </c:numRef>
          </c:val>
        </c:ser>
        <c:ser>
          <c:idx val="1"/>
          <c:order val="1"/>
          <c:tx>
            <c:v>Margem R$</c:v>
          </c:tx>
          <c:cat>
            <c:strRef>
              <c:f>'Gabarito'!$A$14:$A$18</c:f>
              <c:strCache>
                <c:ptCount val="0"/>
              </c:strCache>
            </c:strRef>
          </c:cat>
          <c:val>
            <c:numRef>
              <c:f>'Gabarito'!$C$14:$C$18</c:f>
              <c:numCache>
                <c:formatCode>R$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530a64631e4b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Vendas" displayName="TabelaVendas" ref="A1:V3001" headerRowCount="1" totalsRowCount="0" totalsRowShown="0">
  <x:autoFilter ref="A1:V3001"/>
  <x:tableColumns count="22">
    <x:tableColumn id="1" name="Data_Pedido"/>
    <x:tableColumn id="2" name="Pedido_ID"/>
    <x:tableColumn id="3" name="Cliente"/>
    <x:tableColumn id="4" name="Estado"/>
    <x:tableColumn id="5" name="Região"/>
    <x:tableColumn id="6" name="Canal"/>
    <x:tableColumn id="7" name="Categoria"/>
    <x:tableColumn id="8" name="Produto"/>
    <x:tableColumn id="9" name="Vendedor"/>
    <x:tableColumn id="10" name="Quantidade"/>
    <x:tableColumn id="11" name="Preço_Unitário"/>
    <x:tableColumn id="12" name="Custo_Unitário"/>
    <x:tableColumn id="13" name="Desconto_%"/>
    <x:tableColumn id="14" name="Receita_Bruta"/>
    <x:tableColumn id="15" name="Receita_Líquida"/>
    <x:tableColumn id="16" name="Custo_Total"/>
    <x:tableColumn id="17" name="Margem_R$"/>
    <x:tableColumn id="18" name="Margem_%"/>
    <x:tableColumn id="19" name="Dias_Entrega"/>
    <x:tableColumn id="20" name="Status"/>
    <x:tableColumn id="21" name="Avaliação"/>
    <x:tableColumn id="22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b824888ce249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29fc5799d7d42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DESAFIO 28 | POST 1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5" t="str">
        <x:v>Como começar uma análise sem caçar fórmula, aba por aba</x:v>
      </x:c>
      <x:c r="B4" s="5"/>
      <x:c r="C4" s="5"/>
      <x:c r="D4" s="5"/>
      <x:c r="E4" s="5"/>
      <x:c r="F4" s="5"/>
      <x:c r="G4" s="5"/>
      <x:c r="H4" s="5"/>
    </x:row>
    <x:row r="6">
      <x:c r="A6" s="11" t="str">
        <x:v>1</x:v>
      </x:c>
      <x:c r="B6" s="12" t="str">
        <x:v>Abra a aba Base_Vendas apenas para entender o tema. Não tente analisar linha por linha.</x:v>
      </x:c>
    </x:row>
    <x:row r="7">
      <x:c r="A7" s="13" t="str">
        <x:v>2</x:v>
      </x:c>
      <x:c r="B7" s="14" t="str">
        <x:v>Envie o arquivo para ChatGPT, Claude, Copilot ou Julius AI.</x:v>
      </x:c>
    </x:row>
    <x:row r="8">
      <x:c r="A8" s="13" t="str">
        <x:v>3</x:v>
      </x:c>
      <x:c r="B8" s="14" t="str">
        <x:v>Use o prompt abaixo e peça primeiro um mapa da planilha.</x:v>
      </x:c>
    </x:row>
    <x:row r="9">
      <x:c r="A9" s="13" t="str">
        <x:v>4</x:v>
      </x:c>
      <x:c r="B9" s="14" t="str">
        <x:v>Confira se a IA identificou corretamente abas, colunas, fórmulas e volume de dados.</x:v>
      </x:c>
    </x:row>
    <x:row r="10">
      <x:c r="A10" s="13" t="str">
        <x:v>5</x:v>
      </x:c>
      <x:c r="B10" s="14" t="str">
        <x:v>Só depois escolha quais alertas merecem uma análise mais profunda.</x:v>
      </x:c>
    </x:row>
    <x:row r="11">
      <x:c r="A11" s="15" t="str">
        <x:v>6</x:v>
      </x:c>
      <x:c r="B11" s="16" t="str">
        <x:v>Abra o Gabarito no final e compare com o que a ferramenta encontrou.</x:v>
      </x:c>
    </x:row>
    <x:row r="13">
      <x:c r="A13" s="18" t="str">
        <x:v>PROMPT PARA COPIAR</x:v>
      </x:c>
      <x:c r="B13" s="18"/>
      <x:c r="C13" s="18"/>
      <x:c r="D13" s="18"/>
      <x:c r="E13" s="18"/>
      <x:c r="F13" s="18"/>
      <x:c r="G13" s="18"/>
      <x:c r="H13" s="18"/>
    </x:row>
    <x:row r="14" ht="24" customHeight="1">
      <x:c r="A14" s="38" t="str">
        <x:v>Analise esta planilha como um analista de negócios. Não altere os dados. Antes de buscar conclusões, faça um mapa do arquivo: liste as abas, informe quantas linhas e colunas existem, explique o que representa cada campo, identifique colunas calculadas e fórmulas, procure valores vazios, duplicidades, descontos fora do padrão, margens negativas, atrasos e outros outliers. Depois entregue: (1) um resumo executivo em até 10 linhas; (2) cinco alertas que merecem investigação; (3) cinco perguntas de negócio que esta base permite responder. Para cada alerta, cite a coluna e mostre exemplos de linhas. Se algo não puder ser confirmado, diga claramente.</x:v>
      </x:c>
      <x:c r="B14" s="39"/>
      <x:c r="C14" s="39"/>
      <x:c r="D14" s="39"/>
      <x:c r="E14" s="39"/>
      <x:c r="F14" s="39"/>
      <x:c r="G14" s="39"/>
      <x:c r="H14" s="40"/>
    </x:row>
    <x:row r="15" ht="24" customHeight="1">
      <x:c r="A15" s="41"/>
      <x:c r="B15" s="42"/>
      <x:c r="C15" s="42"/>
      <x:c r="D15" s="42"/>
      <x:c r="E15" s="42"/>
      <x:c r="F15" s="42"/>
      <x:c r="G15" s="42"/>
      <x:c r="H15" s="43"/>
    </x:row>
    <x:row r="16" ht="24" customHeight="1">
      <x:c r="A16" s="41"/>
      <x:c r="B16" s="42"/>
      <x:c r="C16" s="42"/>
      <x:c r="D16" s="42"/>
      <x:c r="E16" s="42"/>
      <x:c r="F16" s="42"/>
      <x:c r="G16" s="42"/>
      <x:c r="H16" s="43"/>
    </x:row>
    <x:row r="17" ht="24" customHeight="1">
      <x:c r="A17" s="41"/>
      <x:c r="B17" s="42"/>
      <x:c r="C17" s="42"/>
      <x:c r="D17" s="42"/>
      <x:c r="E17" s="42"/>
      <x:c r="F17" s="42"/>
      <x:c r="G17" s="42"/>
      <x:c r="H17" s="43"/>
    </x:row>
    <x:row r="18" ht="24" customHeight="1">
      <x:c r="A18" s="41"/>
      <x:c r="B18" s="42"/>
      <x:c r="C18" s="42"/>
      <x:c r="D18" s="42"/>
      <x:c r="E18" s="42"/>
      <x:c r="F18" s="42"/>
      <x:c r="G18" s="42"/>
      <x:c r="H18" s="43"/>
    </x:row>
    <x:row r="19" ht="24" customHeight="1">
      <x:c r="A19" s="41"/>
      <x:c r="B19" s="42"/>
      <x:c r="C19" s="42"/>
      <x:c r="D19" s="42"/>
      <x:c r="E19" s="42"/>
      <x:c r="F19" s="42"/>
      <x:c r="G19" s="42"/>
      <x:c r="H19" s="43"/>
    </x:row>
    <x:row r="20" ht="24" customHeight="1">
      <x:c r="A20" s="41"/>
      <x:c r="B20" s="42"/>
      <x:c r="C20" s="42"/>
      <x:c r="D20" s="42"/>
      <x:c r="E20" s="42"/>
      <x:c r="F20" s="42"/>
      <x:c r="G20" s="42"/>
      <x:c r="H20" s="43"/>
    </x:row>
    <x:row r="21" ht="24" customHeight="1">
      <x:c r="A21" s="44"/>
      <x:c r="B21" s="45"/>
      <x:c r="C21" s="45"/>
      <x:c r="D21" s="45"/>
      <x:c r="E21" s="45"/>
      <x:c r="F21" s="45"/>
      <x:c r="G21" s="45"/>
      <x:c r="H21" s="46"/>
    </x:row>
    <x:row r="23">
      <x:c r="A23" s="49" t="str">
        <x:v>Base 100% fictícia, criada para fins educacionais. Nenhum cliente, valor ou pedido representa uma empresa real.</x:v>
      </x:c>
      <x:c r="B23" s="49"/>
      <x:c r="C23" s="49"/>
      <x:c r="D23" s="49"/>
      <x:c r="E23" s="49"/>
      <x:c r="F23" s="49"/>
      <x:c r="G23" s="49"/>
      <x:c r="H23" s="49"/>
    </x:row>
    <x:row r="24">
      <x:c r="A24" s="49"/>
      <x:c r="B24" s="49"/>
      <x:c r="C24" s="49"/>
      <x:c r="D24" s="49"/>
      <x:c r="E24" s="49"/>
      <x:c r="F24" s="49"/>
      <x:c r="G24" s="49"/>
      <x:c r="H24" s="49"/>
    </x:row>
    <x:row r="26">
      <x:c r="A26" s="51" t="str">
        <x:v>Referência sobre análise com Copilot no Excel: https://support.microsoft.com/en-us/excel/copilot/data-insights-with-copilot-in-excel</x:v>
      </x:c>
      <x:c r="B26" s="51"/>
      <x:c r="C26" s="51"/>
      <x:c r="D26" s="51"/>
      <x:c r="E26" s="51"/>
      <x:c r="F26" s="51"/>
      <x:c r="G26" s="51"/>
      <x:c r="H26" s="51"/>
    </x:row>
    <x:row r="27">
      <x:c r="A27" s="51"/>
      <x:c r="B27" s="51"/>
      <x:c r="C27" s="51"/>
      <x:c r="D27" s="51"/>
      <x:c r="E27" s="51"/>
      <x:c r="F27" s="51"/>
      <x:c r="G27" s="51"/>
      <x:c r="H27" s="51"/>
    </x:row>
  </x:sheetData>
  <x:mergeCells>
    <x:mergeCell ref="A1:H2"/>
    <x:mergeCell ref="A4:H4"/>
    <x:mergeCell ref="A13:H13"/>
    <x:mergeCell ref="A14:H21"/>
    <x:mergeCell ref="A23:H24"/>
    <x:mergeCell ref="A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9" hidden="0" customWidth="1"/>
    <x:col min="5" max="5" width="15" hidden="0" customWidth="1"/>
    <x:col min="6" max="6" width="14" hidden="0" customWidth="1"/>
    <x:col min="7" max="7" width="14" hidden="0" customWidth="1"/>
    <x:col min="8" max="8" width="22" hidden="0" customWidth="1"/>
    <x:col min="9" max="9" width="13" hidden="0" customWidth="1"/>
    <x:col min="10" max="10" width="11" hidden="0" customWidth="1"/>
    <x:col min="11" max="11" width="15" hidden="0" customWidth="1"/>
    <x:col min="12" max="12" width="15" hidden="0" customWidth="1"/>
    <x:col min="13" max="13" width="12" hidden="0" customWidth="1"/>
    <x:col min="14" max="14" width="16" hidden="0" customWidth="1"/>
    <x:col min="15" max="15" width="16" hidden="0" customWidth="1"/>
    <x:col min="16" max="16" width="15" hidden="0" customWidth="1"/>
    <x:col min="17" max="17" width="15" hidden="0" customWidth="1"/>
    <x:col min="18" max="18" width="12" hidden="0" customWidth="1"/>
    <x:col min="19" max="19" width="13" hidden="0" customWidth="1"/>
    <x:col min="20" max="20" width="20" hidden="0" customWidth="1"/>
    <x:col min="21" max="21" width="11" hidden="0" customWidth="1"/>
    <x:col min="22" max="22" width="35" hidden="0" customWidth="1"/>
  </x:cols>
  <x:sheetData>
    <x:row r="1">
      <x:c r="A1" t="str">
        <x:v>Data_Pedido</x:v>
      </x:c>
      <x:c r="B1" t="str">
        <x:v>Pedido_ID</x:v>
      </x:c>
      <x:c r="C1" t="str">
        <x:v>Cliente</x:v>
      </x:c>
      <x:c r="D1" t="str">
        <x:v>Estado</x:v>
      </x:c>
      <x:c r="E1" t="str">
        <x:v>Região</x:v>
      </x:c>
      <x:c r="F1" t="str">
        <x:v>Canal</x:v>
      </x:c>
      <x:c r="G1" t="str">
        <x:v>Categoria</x:v>
      </x:c>
      <x:c r="H1" t="str">
        <x:v>Produto</x:v>
      </x:c>
      <x:c r="I1" t="str">
        <x:v>Vendedor</x:v>
      </x:c>
      <x:c r="J1" t="str">
        <x:v>Quantidade</x:v>
      </x:c>
      <x:c r="K1" t="str">
        <x:v>Preço_Unitário</x:v>
      </x:c>
      <x:c r="L1" t="str">
        <x:v>Custo_Unitário</x:v>
      </x:c>
      <x:c r="M1" t="str">
        <x:v>Desconto_%</x:v>
      </x:c>
      <x:c r="N1" t="str">
        <x:v>Receita_Bruta</x:v>
      </x:c>
      <x:c r="O1" t="str">
        <x:v>Receita_Líquida</x:v>
      </x:c>
      <x:c r="P1" t="str">
        <x:v>Custo_Total</x:v>
      </x:c>
      <x:c r="Q1" t="str">
        <x:v>Margem_R$</x:v>
      </x:c>
      <x:c r="R1" t="str">
        <x:v>Margem_%</x:v>
      </x:c>
      <x:c r="S1" t="str">
        <x:v>Dias_Entrega</x:v>
      </x:c>
      <x:c r="T1" t="str">
        <x:v>Status</x:v>
      </x:c>
      <x:c r="U1" t="str">
        <x:v>Avaliação</x:v>
      </x:c>
      <x:c r="V1" t="str">
        <x:v>Observação</x:v>
      </x:c>
    </x:row>
    <x:row r="2">
      <x:c r="A2" s="52" t="n">
        <x:v>46038</x:v>
      </x:c>
      <x:c r="B2" t="str">
        <x:v>PED-100001</x:v>
      </x:c>
      <x:c r="C2" t="str">
        <x:v>Cliente 050</x:v>
      </x:c>
      <x:c r="D2" t="str">
        <x:v>PA</x:v>
      </x:c>
      <x:c r="E2" t="str">
        <x:v>Norte</x:v>
      </x:c>
      <x:c r="F2" t="str">
        <x:v>E-commerce</x:v>
      </x:c>
      <x:c r="G2" t="str">
        <x:v>Casa</x:v>
      </x:c>
      <x:c r="H2" t="str">
        <x:v>Cafeteira Smart</x:v>
      </x:c>
      <x:c r="I2" t="str">
        <x:v>Ana</x:v>
      </x:c>
      <x:c r="J2" s="53" t="n">
        <x:v>5</x:v>
      </x:c>
      <x:c r="K2" s="54" t="n">
        <x:v>805.36</x:v>
      </x:c>
      <x:c r="L2" s="54" t="n">
        <x:v>907.43</x:v>
      </x:c>
      <x:c r="M2" s="55" t="n">
        <x:v>0.4328</x:v>
      </x:c>
      <x:c r="N2" s="54" t="n">
        <x:f>ROUND(J2*K2,2)</x:f>
        <x:v>4026.8</x:v>
      </x:c>
      <x:c r="O2" s="54" t="n">
        <x:f>ROUND(N2*(1-M2),2)</x:f>
        <x:v>2284</x:v>
      </x:c>
      <x:c r="P2" s="54" t="n">
        <x:f>ROUND(J2*L2,2)</x:f>
        <x:v>4537.15</x:v>
      </x:c>
      <x:c r="Q2" s="54" t="n">
        <x:f>ROUND(O2-P2,2)</x:f>
        <x:v>-2253.15</x:v>
      </x:c>
      <x:c r="R2" s="55" t="n">
        <x:f>IF(O2=0,0,ROUND(Q2/O2,4))</x:f>
        <x:v>-0.9865</x:v>
      </x:c>
      <x:c r="S2" s="53" t="n">
        <x:v>25</x:v>
      </x:c>
      <x:c r="T2" t="str">
        <x:v>Entregue com atraso</x:v>
      </x:c>
      <x:c r="U2" t="n">
        <x:v>1</x:v>
      </x:c>
      <x:c r="V2" t="str">
        <x:v>Desconto autorizado fora da campanha</x:v>
      </x:c>
    </x:row>
    <x:row r="3">
      <x:c r="A3" s="52" t="n">
        <x:v>46167</x:v>
      </x:c>
      <x:c r="B3" t="str">
        <x:v>PED-100002</x:v>
      </x:c>
      <x:c r="C3" t="str">
        <x:v>Cliente 010</x:v>
      </x:c>
      <x:c r="D3" t="str">
        <x:v>ES</x:v>
      </x:c>
      <x:c r="E3" t="str">
        <x:v>Sudeste</x:v>
      </x:c>
      <x:c r="F3" t="str">
        <x:v>Televendas</x:v>
      </x:c>
      <x:c r="G3" t="str">
        <x:v>Acessórios</x:v>
      </x:c>
      <x:c r="H3" t="str">
        <x:v>Mochila Executiva</x:v>
      </x:c>
      <x:c r="I3" t="str">
        <x:v>João</x:v>
      </x:c>
      <x:c r="J3" s="53" t="n">
        <x:v>2</x:v>
      </x:c>
      <x:c r="K3" s="54" t="n">
        <x:v>410.07</x:v>
      </x:c>
      <x:c r="L3" s="54" t="n">
        <x:v>185.77</x:v>
      </x:c>
      <x:c r="M3" s="55" t="n">
        <x:v>0.1277</x:v>
      </x:c>
      <x:c r="N3" s="54" t="n">
        <x:f>ROUND(J3*K3,2)</x:f>
        <x:v>820.14</x:v>
      </x:c>
      <x:c r="O3" s="54" t="n">
        <x:f>ROUND(N3*(1-M3),2)</x:f>
        <x:v>715.41</x:v>
      </x:c>
      <x:c r="P3" s="54" t="n">
        <x:f>ROUND(J3*L3,2)</x:f>
        <x:v>371.54</x:v>
      </x:c>
      <x:c r="Q3" s="54" t="n">
        <x:f>ROUND(O3-P3,2)</x:f>
        <x:v>343.87</x:v>
      </x:c>
      <x:c r="R3" s="55" t="n">
        <x:f>IF(O3=0,0,ROUND(Q3/O3,4))</x:f>
        <x:v>0.4807</x:v>
      </x:c>
      <x:c r="S3" s="53" t="n">
        <x:v>10</x:v>
      </x:c>
      <x:c r="T3" t="str">
        <x:v>Cancelado</x:v>
      </x:c>
      <x:c r="U3"/>
      <x:c r="V3" t="str"/>
    </x:row>
    <x:row r="4">
      <x:c r="A4" s="52" t="n">
        <x:v>46152</x:v>
      </x:c>
      <x:c r="B4" t="str">
        <x:v>PED-100003</x:v>
      </x:c>
      <x:c r="C4" t="str">
        <x:v>Cliente 049</x:v>
      </x:c>
      <x:c r="D4" t="str">
        <x:v>AM</x:v>
      </x:c>
      <x:c r="E4" t="str">
        <x:v>Norte</x:v>
      </x:c>
      <x:c r="F4" t="str">
        <x:v>E-commerce</x:v>
      </x:c>
      <x:c r="G4" t="str">
        <x:v>Tecnologia</x:v>
      </x:c>
      <x:c r="H4" t="str">
        <x:v>Headset Office</x:v>
      </x:c>
      <x:c r="I4" t="str">
        <x:v>João</x:v>
      </x:c>
      <x:c r="J4" s="53" t="n">
        <x:v>4</x:v>
      </x:c>
      <x:c r="K4" s="54" t="n">
        <x:v>392.41</x:v>
      </x:c>
      <x:c r="L4" s="54" t="n">
        <x:v>223.04</x:v>
      </x:c>
      <x:c r="M4" s="55" t="n">
        <x:v>0.106</x:v>
      </x:c>
      <x:c r="N4" s="54" t="n">
        <x:f>ROUND(J4*K4,2)</x:f>
        <x:v>1569.64</x:v>
      </x:c>
      <x:c r="O4" s="54" t="n">
        <x:f>ROUND(N4*(1-M4),2)</x:f>
        <x:v>1403.26</x:v>
      </x:c>
      <x:c r="P4" s="54" t="n">
        <x:f>ROUND(J4*L4,2)</x:f>
        <x:v>892.16</x:v>
      </x:c>
      <x:c r="Q4" s="54" t="n">
        <x:f>ROUND(O4-P4,2)</x:f>
        <x:v>511.1</x:v>
      </x:c>
      <x:c r="R4" s="55" t="n">
        <x:f>IF(O4=0,0,ROUND(Q4/O4,4))</x:f>
        <x:v>0.3642</x:v>
      </x:c>
      <x:c r="S4" s="53" t="n">
        <x:v>6</x:v>
      </x:c>
      <x:c r="T4" t="str">
        <x:v>Entregue</x:v>
      </x:c>
      <x:c r="U4" t="n">
        <x:v>4</x:v>
      </x:c>
      <x:c r="V4" t="str"/>
    </x:row>
    <x:row r="5">
      <x:c r="A5" s="52" t="n">
        <x:v>46106</x:v>
      </x:c>
      <x:c r="B5" t="str">
        <x:v>PED-100004</x:v>
      </x:c>
      <x:c r="C5" t="str">
        <x:v>Cliente 066</x:v>
      </x:c>
      <x:c r="D5" t="str">
        <x:v>GO</x:v>
      </x:c>
      <x:c r="E5" t="str">
        <x:v>Centro-Oeste</x:v>
      </x:c>
      <x:c r="F5" t="str">
        <x:v>E-commerce</x:v>
      </x:c>
      <x:c r="G5" t="str">
        <x:v>Escritório</x:v>
      </x:c>
      <x:c r="H5" t="str">
        <x:v>Luminária LED</x:v>
      </x:c>
      <x:c r="I5" t="str">
        <x:v>Bruno</x:v>
      </x:c>
      <x:c r="J5" s="53" t="n">
        <x:v>1</x:v>
      </x:c>
      <x:c r="K5" s="54" t="n">
        <x:v>245.96</x:v>
      </x:c>
      <x:c r="L5" s="54" t="n">
        <x:v>120.9</x:v>
      </x:c>
      <x:c r="M5" s="55" t="n">
        <x:v>0.1118</x:v>
      </x:c>
      <x:c r="N5" s="54" t="n">
        <x:f>ROUND(J5*K5,2)</x:f>
        <x:v>245.96</x:v>
      </x:c>
      <x:c r="O5" s="54" t="n">
        <x:f>ROUND(N5*(1-M5),2)</x:f>
        <x:v>218.46</x:v>
      </x:c>
      <x:c r="P5" s="54" t="n">
        <x:f>ROUND(J5*L5,2)</x:f>
        <x:v>120.9</x:v>
      </x:c>
      <x:c r="Q5" s="54" t="n">
        <x:f>ROUND(O5-P5,2)</x:f>
        <x:v>97.56</x:v>
      </x:c>
      <x:c r="R5" s="55" t="n">
        <x:f>IF(O5=0,0,ROUND(Q5/O5,4))</x:f>
        <x:v>0.4466</x:v>
      </x:c>
      <x:c r="S5" s="53" t="n">
        <x:v>9</x:v>
      </x:c>
      <x:c r="T5" t="str">
        <x:v>Entregue</x:v>
      </x:c>
      <x:c r="U5" t="n">
        <x:v>3</x:v>
      </x:c>
      <x:c r="V5" t="str"/>
    </x:row>
    <x:row r="6">
      <x:c r="A6" s="52" t="n">
        <x:v>46063</x:v>
      </x:c>
      <x:c r="B6" t="str">
        <x:v>PED-100005</x:v>
      </x:c>
      <x:c r="C6" t="str">
        <x:v>Cliente 055</x:v>
      </x:c>
      <x:c r="D6" t="str">
        <x:v>PR</x:v>
      </x:c>
      <x:c r="E6" t="str">
        <x:v>Sul</x:v>
      </x:c>
      <x:c r="F6" t="str">
        <x:v>Marketplace</x:v>
      </x:c>
      <x:c r="G6" t="str">
        <x:v>Escritório</x:v>
      </x:c>
      <x:c r="H6" t="str">
        <x:v>Cadeira Ergonômica</x:v>
      </x:c>
      <x:c r="I6" t="str">
        <x:v>Henrique</x:v>
      </x:c>
      <x:c r="J6" s="53" t="n">
        <x:v>8</x:v>
      </x:c>
      <x:c r="K6" s="54" t="n">
        <x:v>2159.41</x:v>
      </x:c>
      <x:c r="L6" s="54" t="n">
        <x:v>1354.36</x:v>
      </x:c>
      <x:c r="M6" s="55" t="n">
        <x:v>0.035</x:v>
      </x:c>
      <x:c r="N6" s="54" t="n">
        <x:f>ROUND(J6*K6,2)</x:f>
        <x:v>17275.28</x:v>
      </x:c>
      <x:c r="O6" s="54" t="n">
        <x:f>ROUND(N6*(1-M6),2)</x:f>
        <x:v>16670.65</x:v>
      </x:c>
      <x:c r="P6" s="54" t="n">
        <x:f>ROUND(J6*L6,2)</x:f>
        <x:v>10834.88</x:v>
      </x:c>
      <x:c r="Q6" s="54" t="n">
        <x:f>ROUND(O6-P6,2)</x:f>
        <x:v>5835.77</x:v>
      </x:c>
      <x:c r="R6" s="55" t="n">
        <x:f>IF(O6=0,0,ROUND(Q6/O6,4))</x:f>
        <x:v>0.3501</x:v>
      </x:c>
      <x:c r="S6" s="53" t="n">
        <x:v>4</x:v>
      </x:c>
      <x:c r="T6" t="str">
        <x:v>Entregue</x:v>
      </x:c>
      <x:c r="U6" t="n">
        <x:v>5</x:v>
      </x:c>
      <x:c r="V6" t="str"/>
    </x:row>
    <x:row r="7">
      <x:c r="A7" s="52" t="n">
        <x:v>46218</x:v>
      </x:c>
      <x:c r="B7" t="str">
        <x:v>PED-100006</x:v>
      </x:c>
      <x:c r="C7" t="str">
        <x:v>Cliente 087</x:v>
      </x:c>
      <x:c r="D7" t="str">
        <x:v>MG</x:v>
      </x:c>
      <x:c r="E7" t="str">
        <x:v>Sudeste</x:v>
      </x:c>
      <x:c r="F7" t="str">
        <x:v>Loja</x:v>
      </x:c>
      <x:c r="G7" t="str">
        <x:v>Escritório</x:v>
      </x:c>
      <x:c r="H7" t="str">
        <x:v>Cadeira Ergonômica</x:v>
      </x:c>
      <x:c r="I7" t="str">
        <x:v>Carla</x:v>
      </x:c>
      <x:c r="J7" s="53" t="n">
        <x:v>2</x:v>
      </x:c>
      <x:c r="K7" s="54" t="n">
        <x:v>2119.9</x:v>
      </x:c>
      <x:c r="L7" s="54" t="n">
        <x:v>1430.17</x:v>
      </x:c>
      <x:c r="M7" s="55" t="n">
        <x:v>0.0686</x:v>
      </x:c>
      <x:c r="N7" s="54" t="n">
        <x:f>ROUND(J7*K7,2)</x:f>
        <x:v>4239.8</x:v>
      </x:c>
      <x:c r="O7" s="54" t="n">
        <x:f>ROUND(N7*(1-M7),2)</x:f>
        <x:v>3948.95</x:v>
      </x:c>
      <x:c r="P7" s="54" t="n">
        <x:f>ROUND(J7*L7,2)</x:f>
        <x:v>2860.34</x:v>
      </x:c>
      <x:c r="Q7" s="54" t="n">
        <x:f>ROUND(O7-P7,2)</x:f>
        <x:v>1088.61</x:v>
      </x:c>
      <x:c r="R7" s="55" t="n">
        <x:f>IF(O7=0,0,ROUND(Q7/O7,4))</x:f>
        <x:v>0.2757</x:v>
      </x:c>
      <x:c r="S7" s="53" t="n">
        <x:v>7</x:v>
      </x:c>
      <x:c r="T7" t="str">
        <x:v>Entregue</x:v>
      </x:c>
      <x:c r="U7" t="n">
        <x:v>3</x:v>
      </x:c>
      <x:c r="V7" t="str"/>
    </x:row>
    <x:row r="8">
      <x:c r="A8" s="52" t="n">
        <x:v>46026</x:v>
      </x:c>
      <x:c r="B8" t="str">
        <x:v>PED-100007</x:v>
      </x:c>
      <x:c r="C8" t="str">
        <x:v>Cliente 027</x:v>
      </x:c>
      <x:c r="D8" t="str">
        <x:v>ES</x:v>
      </x:c>
      <x:c r="E8" t="str">
        <x:v>Sudeste</x:v>
      </x:c>
      <x:c r="F8" t="str">
        <x:v>Marketplace</x:v>
      </x:c>
      <x:c r="G8" t="str">
        <x:v>Casa</x:v>
      </x:c>
      <x:c r="H8" t="str">
        <x:v>Purificador</x:v>
      </x:c>
      <x:c r="I8" t="str">
        <x:v>Ana</x:v>
      </x:c>
      <x:c r="J8" s="53" t="n">
        <x:v>8</x:v>
      </x:c>
      <x:c r="K8" s="54" t="n">
        <x:v>1293.88</x:v>
      </x:c>
      <x:c r="L8" s="54" t="n">
        <x:v>807.3</x:v>
      </x:c>
      <x:c r="M8" s="55" t="n">
        <x:v>0.1212</x:v>
      </x:c>
      <x:c r="N8" s="54" t="n">
        <x:f>ROUND(J8*K8,2)</x:f>
        <x:v>10351.04</x:v>
      </x:c>
      <x:c r="O8" s="54" t="n">
        <x:f>ROUND(N8*(1-M8),2)</x:f>
        <x:v>9096.49</x:v>
      </x:c>
      <x:c r="P8" s="54" t="n">
        <x:f>ROUND(J8*L8,2)</x:f>
        <x:v>6458.4</x:v>
      </x:c>
      <x:c r="Q8" s="54" t="n">
        <x:f>ROUND(O8-P8,2)</x:f>
        <x:v>2638.09</x:v>
      </x:c>
      <x:c r="R8" s="55" t="n">
        <x:f>IF(O8=0,0,ROUND(Q8/O8,4))</x:f>
        <x:v>0.29</x:v>
      </x:c>
      <x:c r="S8" s="53" t="n">
        <x:v>14</x:v>
      </x:c>
      <x:c r="T8" t="str">
        <x:v>Entregue com atraso</x:v>
      </x:c>
      <x:c r="U8" t="n">
        <x:v>2</x:v>
      </x:c>
      <x:c r="V8" t="str"/>
    </x:row>
    <x:row r="9">
      <x:c r="A9" s="52" t="n">
        <x:v>46233</x:v>
      </x:c>
      <x:c r="B9" t="str">
        <x:v>PED-100008</x:v>
      </x:c>
      <x:c r="C9" t="str">
        <x:v>Cliente 101</x:v>
      </x:c>
      <x:c r="D9" t="str">
        <x:v>BA</x:v>
      </x:c>
      <x:c r="E9" t="str">
        <x:v>Nordeste</x:v>
      </x:c>
      <x:c r="F9" t="str">
        <x:v>E-commerce</x:v>
      </x:c>
      <x:c r="G9" t="str">
        <x:v>Tecnologia</x:v>
      </x:c>
      <x:c r="H9" t="str">
        <x:v>Monitor 27</x:v>
      </x:c>
      <x:c r="I9" t="str">
        <x:v>Felipe</x:v>
      </x:c>
      <x:c r="J9" s="53" t="n">
        <x:v>2</x:v>
      </x:c>
      <x:c r="K9" s="54" t="n">
        <x:v>1647.31</x:v>
      </x:c>
      <x:c r="L9" s="54" t="n">
        <x:v>1101.15</x:v>
      </x:c>
      <x:c r="M9" s="55" t="n">
        <x:v>0.0131</x:v>
      </x:c>
      <x:c r="N9" s="54" t="n">
        <x:f>ROUND(J9*K9,2)</x:f>
        <x:v>3294.62</x:v>
      </x:c>
      <x:c r="O9" s="54" t="n">
        <x:f>ROUND(N9*(1-M9),2)</x:f>
        <x:v>3251.46</x:v>
      </x:c>
      <x:c r="P9" s="54" t="n">
        <x:f>ROUND(J9*L9,2)</x:f>
        <x:v>2202.3</x:v>
      </x:c>
      <x:c r="Q9" s="54" t="n">
        <x:f>ROUND(O9-P9,2)</x:f>
        <x:v>1049.16</x:v>
      </x:c>
      <x:c r="R9" s="55" t="n">
        <x:f>IF(O9=0,0,ROUND(Q9/O9,4))</x:f>
        <x:v>0.3227</x:v>
      </x:c>
      <x:c r="S9" s="53" t="n">
        <x:v>7</x:v>
      </x:c>
      <x:c r="T9" t="str">
        <x:v>Entregue</x:v>
      </x:c>
      <x:c r="U9" t="n">
        <x:v>2</x:v>
      </x:c>
      <x:c r="V9" t="str"/>
    </x:row>
    <x:row r="10">
      <x:c r="A10" s="52" t="n">
        <x:v>46075</x:v>
      </x:c>
      <x:c r="B10" t="str">
        <x:v>PED-100009</x:v>
      </x:c>
      <x:c r="C10" t="str">
        <x:v>Cliente 119</x:v>
      </x:c>
      <x:c r="D10" t="str">
        <x:v>MG</x:v>
      </x:c>
      <x:c r="E10" t="str">
        <x:v>Sudeste</x:v>
      </x:c>
      <x:c r="F10" t="str">
        <x:v>E-commerce</x:v>
      </x:c>
      <x:c r="G10" t="str">
        <x:v>Tecnologia</x:v>
      </x:c>
      <x:c r="H10" t="str">
        <x:v>Headset Office</x:v>
      </x:c>
      <x:c r="I10" t="str">
        <x:v>Elaine</x:v>
      </x:c>
      <x:c r="J10" s="53" t="n">
        <x:v>2</x:v>
      </x:c>
      <x:c r="K10" s="54" t="n">
        <x:v>395.63</x:v>
      </x:c>
      <x:c r="L10" s="54" t="n">
        <x:v>216.99</x:v>
      </x:c>
      <x:c r="M10" s="55" t="n">
        <x:v>0.0907</x:v>
      </x:c>
      <x:c r="N10" s="54" t="n">
        <x:f>ROUND(J10*K10,2)</x:f>
        <x:v>791.26</x:v>
      </x:c>
      <x:c r="O10" s="54" t="n">
        <x:f>ROUND(N10*(1-M10),2)</x:f>
        <x:v>719.49</x:v>
      </x:c>
      <x:c r="P10" s="54" t="n">
        <x:f>ROUND(J10*L10,2)</x:f>
        <x:v>433.98</x:v>
      </x:c>
      <x:c r="Q10" s="54" t="n">
        <x:f>ROUND(O10-P10,2)</x:f>
        <x:v>285.51</x:v>
      </x:c>
      <x:c r="R10" s="55" t="n">
        <x:f>IF(O10=0,0,ROUND(Q10/O10,4))</x:f>
        <x:v>0.3968</x:v>
      </x:c>
      <x:c r="S10" s="53" t="n">
        <x:v>3</x:v>
      </x:c>
      <x:c r="T10" t="str">
        <x:v>Entregue</x:v>
      </x:c>
      <x:c r="U10" t="n">
        <x:v>4</x:v>
      </x:c>
      <x:c r="V10" t="str"/>
    </x:row>
    <x:row r="11">
      <x:c r="A11" s="52" t="n">
        <x:v>46039</x:v>
      </x:c>
      <x:c r="B11" t="str">
        <x:v>PED-100010</x:v>
      </x:c>
      <x:c r="C11" t="str">
        <x:v>Cliente 025</x:v>
      </x:c>
      <x:c r="D11" t="str">
        <x:v>PA</x:v>
      </x:c>
      <x:c r="E11" t="str">
        <x:v>Norte</x:v>
      </x:c>
      <x:c r="F11" t="str">
        <x:v>Televendas</x:v>
      </x:c>
      <x:c r="G11" t="str">
        <x:v>Tecnologia</x:v>
      </x:c>
      <x:c r="H11" t="str">
        <x:v>Monitor 27</x:v>
      </x:c>
      <x:c r="I11" t="str">
        <x:v>Elaine</x:v>
      </x:c>
      <x:c r="J11" s="53" t="n">
        <x:v>7</x:v>
      </x:c>
      <x:c r="K11" s="54" t="n">
        <x:v>1674.48</x:v>
      </x:c>
      <x:c r="L11" s="54" t="n">
        <x:v>1133.47</x:v>
      </x:c>
      <x:c r="M11" s="55" t="n">
        <x:v>0.1248</x:v>
      </x:c>
      <x:c r="N11" s="54" t="n">
        <x:f>ROUND(J11*K11,2)</x:f>
        <x:v>11721.36</x:v>
      </x:c>
      <x:c r="O11" s="54" t="n">
        <x:f>ROUND(N11*(1-M11),2)</x:f>
        <x:v>10258.53</x:v>
      </x:c>
      <x:c r="P11" s="54" t="n">
        <x:f>ROUND(J11*L11,2)</x:f>
        <x:v>7934.29</x:v>
      </x:c>
      <x:c r="Q11" s="54" t="n">
        <x:f>ROUND(O11-P11,2)</x:f>
        <x:v>2324.24</x:v>
      </x:c>
      <x:c r="R11" s="55" t="n">
        <x:f>IF(O11=0,0,ROUND(Q11/O11,4))</x:f>
        <x:v>0.2266</x:v>
      </x:c>
      <x:c r="S11" s="53" t="n">
        <x:v>10</x:v>
      </x:c>
      <x:c r="T11" t="str">
        <x:v>Entregue</x:v>
      </x:c>
      <x:c r="U11" t="n">
        <x:v>2</x:v>
      </x:c>
      <x:c r="V11" t="str"/>
    </x:row>
    <x:row r="12">
      <x:c r="A12" s="52" t="n">
        <x:v>46093</x:v>
      </x:c>
      <x:c r="B12" t="str">
        <x:v>PED-100011</x:v>
      </x:c>
      <x:c r="C12" t="str">
        <x:v>Cliente 025</x:v>
      </x:c>
      <x:c r="D12" t="str">
        <x:v>BA</x:v>
      </x:c>
      <x:c r="E12" t="str">
        <x:v>Nordeste</x:v>
      </x:c>
      <x:c r="F12" t="str">
        <x:v>E-commerce</x:v>
      </x:c>
      <x:c r="G12" t="str">
        <x:v>Casa</x:v>
      </x:c>
      <x:c r="H12" t="str">
        <x:v>Cafeteira Smart</x:v>
      </x:c>
      <x:c r="I12" t="str">
        <x:v>Henrique</x:v>
      </x:c>
      <x:c r="J12" s="53" t="n">
        <x:v>2</x:v>
      </x:c>
      <x:c r="K12" s="54" t="n">
        <x:v>747.2</x:v>
      </x:c>
      <x:c r="L12" s="54" t="n">
        <x:v>487.93</x:v>
      </x:c>
      <x:c r="M12" s="55" t="n">
        <x:v>0.0286</x:v>
      </x:c>
      <x:c r="N12" s="54" t="n">
        <x:f>ROUND(J12*K12,2)</x:f>
        <x:v>1494.4</x:v>
      </x:c>
      <x:c r="O12" s="54" t="n">
        <x:f>ROUND(N12*(1-M12),2)</x:f>
        <x:v>1451.66</x:v>
      </x:c>
      <x:c r="P12" s="54" t="n">
        <x:f>ROUND(J12*L12,2)</x:f>
        <x:v>975.86</x:v>
      </x:c>
      <x:c r="Q12" s="54" t="n">
        <x:f>ROUND(O12-P12,2)</x:f>
        <x:v>475.8</x:v>
      </x:c>
      <x:c r="R12" s="55" t="n">
        <x:f>IF(O12=0,0,ROUND(Q12/O12,4))</x:f>
        <x:v>0.3278</x:v>
      </x:c>
      <x:c r="S12" s="53" t="n">
        <x:v>8</x:v>
      </x:c>
      <x:c r="T12" t="str">
        <x:v>Entregue</x:v>
      </x:c>
      <x:c r="U12" t="n">
        <x:v>5</x:v>
      </x:c>
      <x:c r="V12" t="str"/>
    </x:row>
    <x:row r="13">
      <x:c r="A13" s="52" t="n">
        <x:v>46028</x:v>
      </x:c>
      <x:c r="B13" t="str">
        <x:v>PED-100012</x:v>
      </x:c>
      <x:c r="C13" t="str">
        <x:v>Cliente 091</x:v>
      </x:c>
      <x:c r="D13" t="str">
        <x:v>ES</x:v>
      </x:c>
      <x:c r="E13" t="str">
        <x:v>Sudeste</x:v>
      </x:c>
      <x:c r="F13" t="str">
        <x:v>Televendas</x:v>
      </x:c>
      <x:c r="G13" t="str">
        <x:v>Escritório</x:v>
      </x:c>
      <x:c r="H13" t="str">
        <x:v>Cadeira Ergonômica</x:v>
      </x:c>
      <x:c r="I13" t="str">
        <x:v>Felipe</x:v>
      </x:c>
      <x:c r="J13" s="53" t="n">
        <x:v>4</x:v>
      </x:c>
      <x:c r="K13" s="54" t="n">
        <x:v>2102.51</x:v>
      </x:c>
      <x:c r="L13" s="54" t="n">
        <x:v>1400.96</x:v>
      </x:c>
      <x:c r="M13" s="55" t="n">
        <x:v>0.1072</x:v>
      </x:c>
      <x:c r="N13" s="54" t="n">
        <x:f>ROUND(J13*K13,2)</x:f>
        <x:v>8410.04</x:v>
      </x:c>
      <x:c r="O13" s="54" t="n">
        <x:f>ROUND(N13*(1-M13),2)</x:f>
        <x:v>7508.48</x:v>
      </x:c>
      <x:c r="P13" s="54" t="n">
        <x:f>ROUND(J13*L13,2)</x:f>
        <x:v>5603.84</x:v>
      </x:c>
      <x:c r="Q13" s="54" t="n">
        <x:f>ROUND(O13-P13,2)</x:f>
        <x:v>1904.64</x:v>
      </x:c>
      <x:c r="R13" s="55" t="n">
        <x:f>IF(O13=0,0,ROUND(Q13/O13,4))</x:f>
        <x:v>0.2537</x:v>
      </x:c>
      <x:c r="S13" s="53" t="n">
        <x:v>10</x:v>
      </x:c>
      <x:c r="T13" t="str">
        <x:v>Entregue</x:v>
      </x:c>
      <x:c r="U13" t="n">
        <x:v>5</x:v>
      </x:c>
      <x:c r="V13" t="str"/>
    </x:row>
    <x:row r="14">
      <x:c r="A14" s="52" t="n">
        <x:v>46168</x:v>
      </x:c>
      <x:c r="B14" t="str">
        <x:v>PED-100013</x:v>
      </x:c>
      <x:c r="C14" t="str">
        <x:v>Cliente 006</x:v>
      </x:c>
      <x:c r="D14" t="str">
        <x:v>MT</x:v>
      </x:c>
      <x:c r="E14" t="str">
        <x:v>Centro-Oeste</x:v>
      </x:c>
      <x:c r="F14" t="str">
        <x:v>E-commerce</x:v>
      </x:c>
      <x:c r="G14" t="str">
        <x:v>Casa</x:v>
      </x:c>
      <x:c r="H14" t="str">
        <x:v>Aspirador Robô</x:v>
      </x:c>
      <x:c r="I14" t="str">
        <x:v>Isabela</x:v>
      </x:c>
      <x:c r="J14" s="53" t="n">
        <x:v>6</x:v>
      </x:c>
      <x:c r="K14" s="54" t="n">
        <x:v>1958.49</x:v>
      </x:c>
      <x:c r="L14" s="54" t="n">
        <x:v>1150.76</x:v>
      </x:c>
      <x:c r="M14" s="55" t="n">
        <x:v>0.1217</x:v>
      </x:c>
      <x:c r="N14" s="54" t="n">
        <x:f>ROUND(J14*K14,2)</x:f>
        <x:v>11750.94</x:v>
      </x:c>
      <x:c r="O14" s="54" t="n">
        <x:f>ROUND(N14*(1-M14),2)</x:f>
        <x:v>10320.85</x:v>
      </x:c>
      <x:c r="P14" s="54" t="n">
        <x:f>ROUND(J14*L14,2)</x:f>
        <x:v>6904.56</x:v>
      </x:c>
      <x:c r="Q14" s="54" t="n">
        <x:f>ROUND(O14-P14,2)</x:f>
        <x:v>3416.29</x:v>
      </x:c>
      <x:c r="R14" s="55" t="n">
        <x:f>IF(O14=0,0,ROUND(Q14/O14,4))</x:f>
        <x:v>0.331</x:v>
      </x:c>
      <x:c r="S14" s="53" t="n">
        <x:v>3</x:v>
      </x:c>
      <x:c r="T14" t="str">
        <x:v>Entregue</x:v>
      </x:c>
      <x:c r="U14" t="n">
        <x:v>5</x:v>
      </x:c>
      <x:c r="V14" t="str"/>
    </x:row>
    <x:row r="15">
      <x:c r="A15" s="52" t="n">
        <x:v>46108</x:v>
      </x:c>
      <x:c r="B15" t="str">
        <x:v>PED-100014</x:v>
      </x:c>
      <x:c r="C15" t="str">
        <x:v>Cliente 097</x:v>
      </x:c>
      <x:c r="D15" t="str">
        <x:v>BA</x:v>
      </x:c>
      <x:c r="E15" t="str">
        <x:v>Nordeste</x:v>
      </x:c>
      <x:c r="F15" t="str">
        <x:v>Televendas</x:v>
      </x:c>
      <x:c r="G15" t="str">
        <x:v>Casa</x:v>
      </x:c>
      <x:c r="H15" t="str">
        <x:v>Aspirador Robô</x:v>
      </x:c>
      <x:c r="I15" t="str">
        <x:v>Bruno</x:v>
      </x:c>
      <x:c r="J15" s="53" t="n">
        <x:v>4</x:v>
      </x:c>
      <x:c r="K15" s="54" t="n">
        <x:v>1869.32</x:v>
      </x:c>
      <x:c r="L15" s="54" t="n">
        <x:v>1286.05</x:v>
      </x:c>
      <x:c r="M15" s="55" t="n">
        <x:v>0</x:v>
      </x:c>
      <x:c r="N15" s="54" t="n">
        <x:f>ROUND(J15*K15,2)</x:f>
        <x:v>7477.28</x:v>
      </x:c>
      <x:c r="O15" s="54" t="n">
        <x:f>ROUND(N15*(1-M15),2)</x:f>
        <x:v>7477.28</x:v>
      </x:c>
      <x:c r="P15" s="54" t="n">
        <x:f>ROUND(J15*L15,2)</x:f>
        <x:v>5144.2</x:v>
      </x:c>
      <x:c r="Q15" s="54" t="n">
        <x:f>ROUND(O15-P15,2)</x:f>
        <x:v>2333.08</x:v>
      </x:c>
      <x:c r="R15" s="55" t="n">
        <x:f>IF(O15=0,0,ROUND(Q15/O15,4))</x:f>
        <x:v>0.312</x:v>
      </x:c>
      <x:c r="S15" s="53" t="n">
        <x:v>8</x:v>
      </x:c>
      <x:c r="T15" t="str">
        <x:v>Entregue</x:v>
      </x:c>
      <x:c r="U15" t="n">
        <x:v>5</x:v>
      </x:c>
      <x:c r="V15" t="str"/>
    </x:row>
    <x:row r="16">
      <x:c r="A16" s="52" t="n">
        <x:v>46027</x:v>
      </x:c>
      <x:c r="B16" t="str">
        <x:v>PED-100015</x:v>
      </x:c>
      <x:c r="C16" t="str">
        <x:v>Cliente 020</x:v>
      </x:c>
      <x:c r="D16" t="str">
        <x:v>BA</x:v>
      </x:c>
      <x:c r="E16" t="str">
        <x:v>Nordeste</x:v>
      </x:c>
      <x:c r="F16" t="str">
        <x:v>Televendas</x:v>
      </x:c>
      <x:c r="G16" t="str">
        <x:v>Escritório</x:v>
      </x:c>
      <x:c r="H16" t="str">
        <x:v>Luminária LED</x:v>
      </x:c>
      <x:c r="I16" t="str">
        <x:v>Diego</x:v>
      </x:c>
      <x:c r="J16" s="53" t="n">
        <x:v>5</x:v>
      </x:c>
      <x:c r="K16" s="54" t="n">
        <x:v>244.81</x:v>
      </x:c>
      <x:c r="L16" s="54" t="n">
        <x:v>124.08</x:v>
      </x:c>
      <x:c r="M16" s="55" t="n">
        <x:v>0.0536</x:v>
      </x:c>
      <x:c r="N16" s="54" t="n">
        <x:f>ROUND(J16*K16,2)</x:f>
        <x:v>1224.05</x:v>
      </x:c>
      <x:c r="O16" s="54" t="n">
        <x:f>ROUND(N16*(1-M16),2)</x:f>
        <x:v>1158.44</x:v>
      </x:c>
      <x:c r="P16" s="54" t="n">
        <x:f>ROUND(J16*L16,2)</x:f>
        <x:v>620.4</x:v>
      </x:c>
      <x:c r="Q16" s="54" t="n">
        <x:f>ROUND(O16-P16,2)</x:f>
        <x:v>538.04</x:v>
      </x:c>
      <x:c r="R16" s="55" t="n">
        <x:f>IF(O16=0,0,ROUND(Q16/O16,4))</x:f>
        <x:v>0.4645</x:v>
      </x:c>
      <x:c r="S16" s="53" t="n">
        <x:v>2</x:v>
      </x:c>
      <x:c r="T16" t="str">
        <x:v>Entregue</x:v>
      </x:c>
      <x:c r="U16" t="n">
        <x:v>5</x:v>
      </x:c>
      <x:c r="V16" t="str"/>
    </x:row>
    <x:row r="17">
      <x:c r="A17" s="52" t="n">
        <x:v>46072</x:v>
      </x:c>
      <x:c r="B17" t="str">
        <x:v>PED-100016</x:v>
      </x:c>
      <x:c r="C17" t="str">
        <x:v>Cliente 006</x:v>
      </x:c>
      <x:c r="D17" t="str">
        <x:v>PA</x:v>
      </x:c>
      <x:c r="E17" t="str">
        <x:v>Norte</x:v>
      </x:c>
      <x:c r="F17" t="str">
        <x:v>Loja</x:v>
      </x:c>
      <x:c r="G17" t="str">
        <x:v>Tecnologia</x:v>
      </x:c>
      <x:c r="H17" t="str">
        <x:v>Monitor 27</x:v>
      </x:c>
      <x:c r="I17" t="str">
        <x:v>Gabriela</x:v>
      </x:c>
      <x:c r="J17" s="53" t="n">
        <x:v>5</x:v>
      </x:c>
      <x:c r="K17" s="54" t="n">
        <x:v>1755.87</x:v>
      </x:c>
      <x:c r="L17" s="54" t="n">
        <x:v>1128.38</x:v>
      </x:c>
      <x:c r="M17" s="55" t="n">
        <x:v>0.0103</x:v>
      </x:c>
      <x:c r="N17" s="54" t="n">
        <x:f>ROUND(J17*K17,2)</x:f>
        <x:v>8779.35</x:v>
      </x:c>
      <x:c r="O17" s="54" t="n">
        <x:f>ROUND(N17*(1-M17),2)</x:f>
        <x:v>8688.92</x:v>
      </x:c>
      <x:c r="P17" s="54" t="n">
        <x:f>ROUND(J17*L17,2)</x:f>
        <x:v>5641.9</x:v>
      </x:c>
      <x:c r="Q17" s="54" t="n">
        <x:f>ROUND(O17-P17,2)</x:f>
        <x:v>3047.02</x:v>
      </x:c>
      <x:c r="R17" s="55" t="n">
        <x:f>IF(O17=0,0,ROUND(Q17/O17,4))</x:f>
        <x:v>0.3507</x:v>
      </x:c>
      <x:c r="S17" s="53" t="n">
        <x:v>13</x:v>
      </x:c>
      <x:c r="T17" t="str">
        <x:v>Entregue com atraso</x:v>
      </x:c>
      <x:c r="U17" t="n">
        <x:v>2</x:v>
      </x:c>
      <x:c r="V17" t="str"/>
    </x:row>
    <x:row r="18">
      <x:c r="A18" s="52" t="n">
        <x:v>46187</x:v>
      </x:c>
      <x:c r="B18" t="str">
        <x:v>PED-100017</x:v>
      </x:c>
      <x:c r="C18" t="str">
        <x:v>Cliente 013</x:v>
      </x:c>
      <x:c r="D18" t="str">
        <x:v>SC</x:v>
      </x:c>
      <x:c r="E18" t="str">
        <x:v>Sul</x:v>
      </x:c>
      <x:c r="F18" t="str">
        <x:v>Loja</x:v>
      </x:c>
      <x:c r="G18" t="str">
        <x:v>Escritório</x:v>
      </x:c>
      <x:c r="H18" t="str">
        <x:v>Cadeira Ergonômica</x:v>
      </x:c>
      <x:c r="I18" t="str">
        <x:v>Bruno</x:v>
      </x:c>
      <x:c r="J18" s="53" t="n">
        <x:v>5</x:v>
      </x:c>
      <x:c r="K18" s="54" t="n">
        <x:v>2173.04</x:v>
      </x:c>
      <x:c r="L18" s="54" t="n">
        <x:v>1466.59</x:v>
      </x:c>
      <x:c r="M18" s="55" t="n">
        <x:v>0</x:v>
      </x:c>
      <x:c r="N18" s="54" t="n">
        <x:f>ROUND(J18*K18,2)</x:f>
        <x:v>10865.2</x:v>
      </x:c>
      <x:c r="O18" s="54" t="n">
        <x:f>ROUND(N18*(1-M18),2)</x:f>
        <x:v>10865.2</x:v>
      </x:c>
      <x:c r="P18" s="54" t="n">
        <x:f>ROUND(J18*L18,2)</x:f>
        <x:v>7332.95</x:v>
      </x:c>
      <x:c r="Q18" s="54" t="n">
        <x:f>ROUND(O18-P18,2)</x:f>
        <x:v>3532.25</x:v>
      </x:c>
      <x:c r="R18" s="55" t="n">
        <x:f>IF(O18=0,0,ROUND(Q18/O18,4))</x:f>
        <x:v>0.3251</x:v>
      </x:c>
      <x:c r="S18" s="53" t="n">
        <x:v>11</x:v>
      </x:c>
      <x:c r="T18" t="str">
        <x:v>Entregue com atraso</x:v>
      </x:c>
      <x:c r="U18" t="n">
        <x:v>5</x:v>
      </x:c>
      <x:c r="V18" t="str"/>
    </x:row>
    <x:row r="19">
      <x:c r="A19" s="52" t="n">
        <x:v>46202</x:v>
      </x:c>
      <x:c r="B19" t="str">
        <x:v>PED-100018</x:v>
      </x:c>
      <x:c r="C19" t="str">
        <x:v>Cliente 091</x:v>
      </x:c>
      <x:c r="D19" t="str">
        <x:v>PR</x:v>
      </x:c>
      <x:c r="E19" t="str">
        <x:v>Sul</x:v>
      </x:c>
      <x:c r="F19" t="str">
        <x:v>Loja</x:v>
      </x:c>
      <x:c r="G19" t="str">
        <x:v>Casa</x:v>
      </x:c>
      <x:c r="H19" t="str">
        <x:v>Purificador</x:v>
      </x:c>
      <x:c r="I19" t="str">
        <x:v>Ana</x:v>
      </x:c>
      <x:c r="J19" s="53" t="n">
        <x:v>2</x:v>
      </x:c>
      <x:c r="K19" s="54" t="n">
        <x:v>1271.84</x:v>
      </x:c>
      <x:c r="L19" s="54" t="n">
        <x:v>797.55</x:v>
      </x:c>
      <x:c r="M19" s="55" t="n">
        <x:v>0.0023</x:v>
      </x:c>
      <x:c r="N19" s="54" t="n">
        <x:f>ROUND(J19*K19,2)</x:f>
        <x:v>2543.68</x:v>
      </x:c>
      <x:c r="O19" s="54" t="n">
        <x:f>ROUND(N19*(1-M19),2)</x:f>
        <x:v>2537.83</x:v>
      </x:c>
      <x:c r="P19" s="54" t="n">
        <x:f>ROUND(J19*L19,2)</x:f>
        <x:v>1595.1</x:v>
      </x:c>
      <x:c r="Q19" s="54" t="n">
        <x:f>ROUND(O19-P19,2)</x:f>
        <x:v>942.73</x:v>
      </x:c>
      <x:c r="R19" s="55" t="n">
        <x:f>IF(O19=0,0,ROUND(Q19/O19,4))</x:f>
        <x:v>0.3715</x:v>
      </x:c>
      <x:c r="S19" s="53" t="n">
        <x:v>6</x:v>
      </x:c>
      <x:c r="T19" t="str">
        <x:v>Entregue</x:v>
      </x:c>
      <x:c r="U19" t="n">
        <x:v>2</x:v>
      </x:c>
      <x:c r="V19" t="str"/>
    </x:row>
    <x:row r="20">
      <x:c r="A20" s="52" t="n">
        <x:v>46228</x:v>
      </x:c>
      <x:c r="B20" t="str">
        <x:v>PED-100019</x:v>
      </x:c>
      <x:c r="C20" t="str">
        <x:v>Cliente 080</x:v>
      </x:c>
      <x:c r="D20" t="str">
        <x:v>RJ</x:v>
      </x:c>
      <x:c r="E20" t="str">
        <x:v>Sudeste</x:v>
      </x:c>
      <x:c r="F20" t="str">
        <x:v>Loja</x:v>
      </x:c>
      <x:c r="G20" t="str">
        <x:v>Escritório</x:v>
      </x:c>
      <x:c r="H20" t="str">
        <x:v>Luminária LED</x:v>
      </x:c>
      <x:c r="I20" t="str">
        <x:v>Diego</x:v>
      </x:c>
      <x:c r="J20" s="53" t="n">
        <x:v>4</x:v>
      </x:c>
      <x:c r="K20" s="54" t="n">
        <x:v>272.03</x:v>
      </x:c>
      <x:c r="L20" s="54" t="n">
        <x:v>123.35</x:v>
      </x:c>
      <x:c r="M20" s="55" t="n">
        <x:v>0</x:v>
      </x:c>
      <x:c r="N20" s="54" t="n">
        <x:f>ROUND(J20*K20,2)</x:f>
        <x:v>1088.12</x:v>
      </x:c>
      <x:c r="O20" s="54" t="n">
        <x:f>ROUND(N20*(1-M20),2)</x:f>
        <x:v>1088.12</x:v>
      </x:c>
      <x:c r="P20" s="54" t="n">
        <x:f>ROUND(J20*L20,2)</x:f>
        <x:v>493.4</x:v>
      </x:c>
      <x:c r="Q20" s="54" t="n">
        <x:f>ROUND(O20-P20,2)</x:f>
        <x:v>594.72</x:v>
      </x:c>
      <x:c r="R20" s="55" t="n">
        <x:f>IF(O20=0,0,ROUND(Q20/O20,4))</x:f>
        <x:v>0.5466</x:v>
      </x:c>
      <x:c r="S20" s="53" t="n">
        <x:v>12</x:v>
      </x:c>
      <x:c r="T20" t="str">
        <x:v>Entregue com atraso</x:v>
      </x:c>
      <x:c r="U20" t="n">
        <x:v>5</x:v>
      </x:c>
      <x:c r="V20" t="str"/>
    </x:row>
    <x:row r="21">
      <x:c r="A21" s="52" t="n">
        <x:v>46205</x:v>
      </x:c>
      <x:c r="B21" t="str">
        <x:v>PED-100020</x:v>
      </x:c>
      <x:c r="C21" t="str">
        <x:v>Cliente 008</x:v>
      </x:c>
      <x:c r="D21" t="str">
        <x:v>PA</x:v>
      </x:c>
      <x:c r="E21" t="str">
        <x:v>Norte</x:v>
      </x:c>
      <x:c r="F21" t="str">
        <x:v>Loja</x:v>
      </x:c>
      <x:c r="G21" t="str">
        <x:v>Acessórios</x:v>
      </x:c>
      <x:c r="H21" t="str">
        <x:v>Hub USB-C</x:v>
      </x:c>
      <x:c r="I21" t="str">
        <x:v>Ana</x:v>
      </x:c>
      <x:c r="J21" s="53" t="n">
        <x:v>5</x:v>
      </x:c>
      <x:c r="K21" s="54" t="n">
        <x:v>309.8</x:v>
      </x:c>
      <x:c r="L21" s="54" t="n">
        <x:v>137.66</x:v>
      </x:c>
      <x:c r="M21" s="55" t="n">
        <x:v>0</x:v>
      </x:c>
      <x:c r="N21" s="54" t="n">
        <x:f>ROUND(J21*K21,2)</x:f>
        <x:v>1549</x:v>
      </x:c>
      <x:c r="O21" s="54" t="n">
        <x:f>ROUND(N21*(1-M21),2)</x:f>
        <x:v>1549</x:v>
      </x:c>
      <x:c r="P21" s="54" t="n">
        <x:f>ROUND(J21*L21,2)</x:f>
        <x:v>688.3</x:v>
      </x:c>
      <x:c r="Q21" s="54" t="n">
        <x:f>ROUND(O21-P21,2)</x:f>
        <x:v>860.7</x:v>
      </x:c>
      <x:c r="R21" s="55" t="n">
        <x:f>IF(O21=0,0,ROUND(Q21/O21,4))</x:f>
        <x:v>0.5556</x:v>
      </x:c>
      <x:c r="S21" s="53" t="n">
        <x:v>3</x:v>
      </x:c>
      <x:c r="T21" t="str">
        <x:v>Entregue</x:v>
      </x:c>
      <x:c r="U21" t="n">
        <x:v>5</x:v>
      </x:c>
      <x:c r="V21" t="str"/>
    </x:row>
    <x:row r="22">
      <x:c r="A22" s="52" t="n">
        <x:v>46034</x:v>
      </x:c>
      <x:c r="B22" t="str">
        <x:v>PED-100021</x:v>
      </x:c>
      <x:c r="C22" t="str">
        <x:v>Cliente 058</x:v>
      </x:c>
      <x:c r="D22" t="str">
        <x:v>RJ</x:v>
      </x:c>
      <x:c r="E22" t="str">
        <x:v>Sudeste</x:v>
      </x:c>
      <x:c r="F22" t="str">
        <x:v>Televendas</x:v>
      </x:c>
      <x:c r="G22" t="str">
        <x:v>Tecnologia</x:v>
      </x:c>
      <x:c r="H22" t="str">
        <x:v>Monitor 27</x:v>
      </x:c>
      <x:c r="I22" t="str">
        <x:v>Carla</x:v>
      </x:c>
      <x:c r="J22" s="53" t="n">
        <x:v>4</x:v>
      </x:c>
      <x:c r="K22" s="54" t="n">
        <x:v>1676.04</x:v>
      </x:c>
      <x:c r="L22" s="54" t="n">
        <x:v>1111.77</x:v>
      </x:c>
      <x:c r="M22" s="55" t="n">
        <x:v>0.0902</x:v>
      </x:c>
      <x:c r="N22" s="54" t="n">
        <x:f>ROUND(J22*K22,2)</x:f>
        <x:v>6704.16</x:v>
      </x:c>
      <x:c r="O22" s="54" t="n">
        <x:f>ROUND(N22*(1-M22),2)</x:f>
        <x:v>6099.44</x:v>
      </x:c>
      <x:c r="P22" s="54" t="n">
        <x:f>ROUND(J22*L22,2)</x:f>
        <x:v>4447.08</x:v>
      </x:c>
      <x:c r="Q22" s="54" t="n">
        <x:f>ROUND(O22-P22,2)</x:f>
        <x:v>1652.36</x:v>
      </x:c>
      <x:c r="R22" s="55" t="n">
        <x:f>IF(O22=0,0,ROUND(Q22/O22,4))</x:f>
        <x:v>0.2709</x:v>
      </x:c>
      <x:c r="S22" s="53" t="n">
        <x:v>3</x:v>
      </x:c>
      <x:c r="T22" t="str">
        <x:v>Entregue</x:v>
      </x:c>
      <x:c r="U22" t="n">
        <x:v>3</x:v>
      </x:c>
      <x:c r="V22" t="str"/>
    </x:row>
    <x:row r="23">
      <x:c r="A23" s="52" t="n">
        <x:v>46053</x:v>
      </x:c>
      <x:c r="B23" t="str">
        <x:v>PED-100022</x:v>
      </x:c>
      <x:c r="C23" t="str">
        <x:v>Cliente 074</x:v>
      </x:c>
      <x:c r="D23" t="str">
        <x:v>AM</x:v>
      </x:c>
      <x:c r="E23" t="str">
        <x:v>Norte</x:v>
      </x:c>
      <x:c r="F23" t="str">
        <x:v>Marketplace</x:v>
      </x:c>
      <x:c r="G23" t="str">
        <x:v>Escritório</x:v>
      </x:c>
      <x:c r="H23" t="str">
        <x:v>Cadeira Ergonômica</x:v>
      </x:c>
      <x:c r="I23" t="str">
        <x:v>Elaine</x:v>
      </x:c>
      <x:c r="J23" s="53" t="n">
        <x:v>7</x:v>
      </x:c>
      <x:c r="K23" s="54" t="n">
        <x:v>2093.09</x:v>
      </x:c>
      <x:c r="L23" s="54" t="n">
        <x:v>1496.33</x:v>
      </x:c>
      <x:c r="M23" s="55" t="n">
        <x:v>0.035</x:v>
      </x:c>
      <x:c r="N23" s="54" t="n">
        <x:f>ROUND(J23*K23,2)</x:f>
        <x:v>14651.63</x:v>
      </x:c>
      <x:c r="O23" s="54" t="n">
        <x:f>ROUND(N23*(1-M23),2)</x:f>
        <x:v>14138.82</x:v>
      </x:c>
      <x:c r="P23" s="54" t="n">
        <x:f>ROUND(J23*L23,2)</x:f>
        <x:v>10474.31</x:v>
      </x:c>
      <x:c r="Q23" s="54" t="n">
        <x:f>ROUND(O23-P23,2)</x:f>
        <x:v>3664.51</x:v>
      </x:c>
      <x:c r="R23" s="55" t="n">
        <x:f>IF(O23=0,0,ROUND(Q23/O23,4))</x:f>
        <x:v>0.2592</x:v>
      </x:c>
      <x:c r="S23" s="53" t="n">
        <x:v>13</x:v>
      </x:c>
      <x:c r="T23" t="str">
        <x:v>Entregue com atraso</x:v>
      </x:c>
      <x:c r="U23" t="n">
        <x:v>4</x:v>
      </x:c>
      <x:c r="V23" t="str"/>
    </x:row>
    <x:row r="24">
      <x:c r="A24" s="52" t="n">
        <x:v>46218</x:v>
      </x:c>
      <x:c r="B24" t="str">
        <x:v>PED-100023</x:v>
      </x:c>
      <x:c r="C24" t="str">
        <x:v>Cliente 095</x:v>
      </x:c>
      <x:c r="D24" t="str">
        <x:v>AM</x:v>
      </x:c>
      <x:c r="E24" t="str">
        <x:v>Norte</x:v>
      </x:c>
      <x:c r="F24" t="str">
        <x:v>Loja</x:v>
      </x:c>
      <x:c r="G24" t="str">
        <x:v>Escritório</x:v>
      </x:c>
      <x:c r="H24" t="str">
        <x:v>Luminária LED</x:v>
      </x:c>
      <x:c r="I24" t="str">
        <x:v>Elaine</x:v>
      </x:c>
      <x:c r="J24" s="53" t="n">
        <x:v>1</x:v>
      </x:c>
      <x:c r="K24" s="54" t="n">
        <x:v>269.93</x:v>
      </x:c>
      <x:c r="L24" s="54" t="n">
        <x:v>121.43</x:v>
      </x:c>
      <x:c r="M24" s="55" t="n">
        <x:v>0</x:v>
      </x:c>
      <x:c r="N24" s="54" t="n">
        <x:f>ROUND(J24*K24,2)</x:f>
        <x:v>269.93</x:v>
      </x:c>
      <x:c r="O24" s="54" t="n">
        <x:f>ROUND(N24*(1-M24),2)</x:f>
        <x:v>269.93</x:v>
      </x:c>
      <x:c r="P24" s="54" t="n">
        <x:f>ROUND(J24*L24,2)</x:f>
        <x:v>121.43</x:v>
      </x:c>
      <x:c r="Q24" s="54" t="n">
        <x:f>ROUND(O24-P24,2)</x:f>
        <x:v>148.5</x:v>
      </x:c>
      <x:c r="R24" s="55" t="n">
        <x:f>IF(O24=0,0,ROUND(Q24/O24,4))</x:f>
        <x:v>0.5501</x:v>
      </x:c>
      <x:c r="S24" s="53" t="n">
        <x:v>12</x:v>
      </x:c>
      <x:c r="T24" t="str">
        <x:v>Entregue com atraso</x:v>
      </x:c>
      <x:c r="U24" t="n">
        <x:v>5</x:v>
      </x:c>
      <x:c r="V24" t="str"/>
    </x:row>
    <x:row r="25">
      <x:c r="A25" s="52" t="n">
        <x:v>46089</x:v>
      </x:c>
      <x:c r="B25" t="str">
        <x:v>PED-100024</x:v>
      </x:c>
      <x:c r="C25" t="str">
        <x:v>Cliente 046</x:v>
      </x:c>
      <x:c r="D25" t="str">
        <x:v>DF</x:v>
      </x:c>
      <x:c r="E25" t="str">
        <x:v>Centro-Oeste</x:v>
      </x:c>
      <x:c r="F25" t="str">
        <x:v>Marketplace</x:v>
      </x:c>
      <x:c r="G25" t="str">
        <x:v>Casa</x:v>
      </x:c>
      <x:c r="H25" t="str">
        <x:v>Cafeteira Smart</x:v>
      </x:c>
      <x:c r="I25" t="str">
        <x:v>Henrique</x:v>
      </x:c>
      <x:c r="J25" s="53" t="n">
        <x:v>6</x:v>
      </x:c>
      <x:c r="K25" s="54" t="n">
        <x:v>784.06</x:v>
      </x:c>
      <x:c r="L25" s="54" t="n">
        <x:v>443.75</x:v>
      </x:c>
      <x:c r="M25" s="55" t="n">
        <x:v>0.035</x:v>
      </x:c>
      <x:c r="N25" s="54" t="n">
        <x:f>ROUND(J25*K25,2)</x:f>
        <x:v>4704.36</x:v>
      </x:c>
      <x:c r="O25" s="54" t="n">
        <x:f>ROUND(N25*(1-M25),2)</x:f>
        <x:v>4539.71</x:v>
      </x:c>
      <x:c r="P25" s="54" t="n">
        <x:f>ROUND(J25*L25,2)</x:f>
        <x:v>2662.5</x:v>
      </x:c>
      <x:c r="Q25" s="54" t="n">
        <x:f>ROUND(O25-P25,2)</x:f>
        <x:v>1877.21</x:v>
      </x:c>
      <x:c r="R25" s="55" t="n">
        <x:f>IF(O25=0,0,ROUND(Q25/O25,4))</x:f>
        <x:v>0.4135</x:v>
      </x:c>
      <x:c r="S25" s="53" t="n">
        <x:v>8</x:v>
      </x:c>
      <x:c r="T25" t="str">
        <x:v>Entregue</x:v>
      </x:c>
      <x:c r="U25" t="n">
        <x:v>3</x:v>
      </x:c>
      <x:c r="V25" t="str"/>
    </x:row>
    <x:row r="26">
      <x:c r="A26" s="52" t="n">
        <x:v>46033</x:v>
      </x:c>
      <x:c r="B26" t="str">
        <x:v>PED-100025</x:v>
      </x:c>
      <x:c r="C26" t="str">
        <x:v>Cliente 036</x:v>
      </x:c>
      <x:c r="D26" t="str">
        <x:v>MT</x:v>
      </x:c>
      <x:c r="E26" t="str">
        <x:v>Centro-Oeste</x:v>
      </x:c>
      <x:c r="F26" t="str">
        <x:v>Loja</x:v>
      </x:c>
      <x:c r="G26" t="str">
        <x:v>Escritório</x:v>
      </x:c>
      <x:c r="H26" t="str">
        <x:v>Mesa Ajustável</x:v>
      </x:c>
      <x:c r="I26" t="str">
        <x:v>Henrique</x:v>
      </x:c>
      <x:c r="J26" s="53" t="n">
        <x:v>7</x:v>
      </x:c>
      <x:c r="K26" s="54" t="n">
        <x:v>2855.47</x:v>
      </x:c>
      <x:c r="L26" s="54" t="n">
        <x:v>1872.74</x:v>
      </x:c>
      <x:c r="M26" s="55" t="n">
        <x:v>0.056</x:v>
      </x:c>
      <x:c r="N26" s="54" t="n">
        <x:f>ROUND(J26*K26,2)</x:f>
        <x:v>19988.29</x:v>
      </x:c>
      <x:c r="O26" s="54" t="n">
        <x:f>ROUND(N26*(1-M26),2)</x:f>
        <x:v>18868.95</x:v>
      </x:c>
      <x:c r="P26" s="54" t="n">
        <x:f>ROUND(J26*L26,2)</x:f>
        <x:v>13109.18</x:v>
      </x:c>
      <x:c r="Q26" s="54" t="n">
        <x:f>ROUND(O26-P26,2)</x:f>
        <x:v>5759.77</x:v>
      </x:c>
      <x:c r="R26" s="55" t="n">
        <x:f>IF(O26=0,0,ROUND(Q26/O26,4))</x:f>
        <x:v>0.3053</x:v>
      </x:c>
      <x:c r="S26" s="53" t="n">
        <x:v>10</x:v>
      </x:c>
      <x:c r="T26" t="str">
        <x:v>Entregue</x:v>
      </x:c>
      <x:c r="U26" t="n">
        <x:v>4</x:v>
      </x:c>
      <x:c r="V26" t="str"/>
    </x:row>
    <x:row r="27">
      <x:c r="A27" s="52" t="n">
        <x:v>46120</x:v>
      </x:c>
      <x:c r="B27" t="str">
        <x:v>PED-100026</x:v>
      </x:c>
      <x:c r="C27" t="str">
        <x:v>Cliente 115</x:v>
      </x:c>
      <x:c r="D27" t="str">
        <x:v>DF</x:v>
      </x:c>
      <x:c r="E27" t="str">
        <x:v>Centro-Oeste</x:v>
      </x:c>
      <x:c r="F27" t="str">
        <x:v>E-commerce</x:v>
      </x:c>
      <x:c r="G27" t="str">
        <x:v>Escritório</x:v>
      </x:c>
      <x:c r="H27" t="str">
        <x:v>Mesa Ajustável</x:v>
      </x:c>
      <x:c r="I27" t="str">
        <x:v>Elaine</x:v>
      </x:c>
      <x:c r="J27" s="53" t="n">
        <x:v>5</x:v>
      </x:c>
      <x:c r="K27" s="54" t="n">
        <x:v>2809.28</x:v>
      </x:c>
      <x:c r="L27" s="54" t="n">
        <x:v>1743.58</x:v>
      </x:c>
      <x:c r="M27" s="55" t="n">
        <x:v>0.0377</x:v>
      </x:c>
      <x:c r="N27" s="54" t="n">
        <x:f>ROUND(J27*K27,2)</x:f>
        <x:v>14046.4</x:v>
      </x:c>
      <x:c r="O27" s="54" t="n">
        <x:f>ROUND(N27*(1-M27),2)</x:f>
        <x:v>13516.85</x:v>
      </x:c>
      <x:c r="P27" s="54" t="n">
        <x:f>ROUND(J27*L27,2)</x:f>
        <x:v>8717.9</x:v>
      </x:c>
      <x:c r="Q27" s="54" t="n">
        <x:f>ROUND(O27-P27,2)</x:f>
        <x:v>4798.95</x:v>
      </x:c>
      <x:c r="R27" s="55" t="n">
        <x:f>IF(O27=0,0,ROUND(Q27/O27,4))</x:f>
        <x:v>0.355</x:v>
      </x:c>
      <x:c r="S27" s="53" t="n">
        <x:v>12</x:v>
      </x:c>
      <x:c r="T27" t="str">
        <x:v>Entregue com atraso</x:v>
      </x:c>
      <x:c r="U27" t="n">
        <x:v>4</x:v>
      </x:c>
      <x:c r="V27" t="str"/>
    </x:row>
    <x:row r="28">
      <x:c r="A28" s="52" t="n">
        <x:v>46106</x:v>
      </x:c>
      <x:c r="B28" t="str">
        <x:v>PED-100027</x:v>
      </x:c>
      <x:c r="C28" t="str">
        <x:v>Cliente 021</x:v>
      </x:c>
      <x:c r="D28" t="str">
        <x:v>CE</x:v>
      </x:c>
      <x:c r="E28" t="str">
        <x:v>Nordeste</x:v>
      </x:c>
      <x:c r="F28" t="str">
        <x:v>E-commerce</x:v>
      </x:c>
      <x:c r="G28" t="str">
        <x:v>Escritório</x:v>
      </x:c>
      <x:c r="H28" t="str">
        <x:v>Mesa Ajustável</x:v>
      </x:c>
      <x:c r="I28" t="str">
        <x:v>Carla</x:v>
      </x:c>
      <x:c r="J28" s="53" t="n">
        <x:v>8</x:v>
      </x:c>
      <x:c r="K28" s="54" t="n">
        <x:v>2664.28</x:v>
      </x:c>
      <x:c r="L28" s="54" t="n">
        <x:v>1827.79</x:v>
      </x:c>
      <x:c r="M28" s="55" t="n">
        <x:v>0.0958</x:v>
      </x:c>
      <x:c r="N28" s="54" t="n">
        <x:f>ROUND(J28*K28,2)</x:f>
        <x:v>21314.24</x:v>
      </x:c>
      <x:c r="O28" s="54" t="n">
        <x:f>ROUND(N28*(1-M28),2)</x:f>
        <x:v>19272.34</x:v>
      </x:c>
      <x:c r="P28" s="54" t="n">
        <x:f>ROUND(J28*L28,2)</x:f>
        <x:v>14622.32</x:v>
      </x:c>
      <x:c r="Q28" s="54" t="n">
        <x:f>ROUND(O28-P28,2)</x:f>
        <x:v>4650.02</x:v>
      </x:c>
      <x:c r="R28" s="55" t="n">
        <x:f>IF(O28=0,0,ROUND(Q28/O28,4))</x:f>
        <x:v>0.2413</x:v>
      </x:c>
      <x:c r="S28" s="53" t="n">
        <x:v>3</x:v>
      </x:c>
      <x:c r="T28" t="str">
        <x:v>Entregue</x:v>
      </x:c>
      <x:c r="U28" t="n">
        <x:v>3</x:v>
      </x:c>
      <x:c r="V28" t="str"/>
    </x:row>
    <x:row r="29">
      <x:c r="A29" s="52" t="n">
        <x:v>46045</x:v>
      </x:c>
      <x:c r="B29" t="str">
        <x:v>PED-100028</x:v>
      </x:c>
      <x:c r="C29" t="str">
        <x:v>Cliente 104</x:v>
      </x:c>
      <x:c r="D29" t="str">
        <x:v>MT</x:v>
      </x:c>
      <x:c r="E29" t="str">
        <x:v>Centro-Oeste</x:v>
      </x:c>
      <x:c r="F29" t="str">
        <x:v>Televendas</x:v>
      </x:c>
      <x:c r="G29" t="str">
        <x:v>Tecnologia</x:v>
      </x:c>
      <x:c r="H29" t="str">
        <x:v>Notebook Pro</x:v>
      </x:c>
      <x:c r="I29" t="str">
        <x:v>Elaine</x:v>
      </x:c>
      <x:c r="J29" s="53" t="n">
        <x:v>6</x:v>
      </x:c>
      <x:c r="K29" s="54" t="n">
        <x:v>6202.35</x:v>
      </x:c>
      <x:c r="L29" s="54" t="n">
        <x:v>4194.5</x:v>
      </x:c>
      <x:c r="M29" s="55" t="n">
        <x:v>0.0979</x:v>
      </x:c>
      <x:c r="N29" s="54" t="n">
        <x:f>ROUND(J29*K29,2)</x:f>
        <x:v>37214.1</x:v>
      </x:c>
      <x:c r="O29" s="54" t="n">
        <x:f>ROUND(N29*(1-M29),2)</x:f>
        <x:v>33570.84</x:v>
      </x:c>
      <x:c r="P29" s="54" t="n">
        <x:f>ROUND(J29*L29,2)</x:f>
        <x:v>25167</x:v>
      </x:c>
      <x:c r="Q29" s="54" t="n">
        <x:f>ROUND(O29-P29,2)</x:f>
        <x:v>8403.84</x:v>
      </x:c>
      <x:c r="R29" s="55" t="n">
        <x:f>IF(O29=0,0,ROUND(Q29/O29,4))</x:f>
        <x:v>0.2503</x:v>
      </x:c>
      <x:c r="S29" s="53" t="n">
        <x:v>6</x:v>
      </x:c>
      <x:c r="T29" t="str">
        <x:v>Entregue</x:v>
      </x:c>
      <x:c r="U29" t="n">
        <x:v>2</x:v>
      </x:c>
      <x:c r="V29" t="str"/>
    </x:row>
    <x:row r="30">
      <x:c r="A30" s="52" t="n">
        <x:v>46058</x:v>
      </x:c>
      <x:c r="B30" t="str">
        <x:v>PED-100029</x:v>
      </x:c>
      <x:c r="C30" t="str">
        <x:v>Cliente 087</x:v>
      </x:c>
      <x:c r="D30" t="str">
        <x:v>RS</x:v>
      </x:c>
      <x:c r="E30" t="str">
        <x:v>Sul</x:v>
      </x:c>
      <x:c r="F30" t="str">
        <x:v>Televendas</x:v>
      </x:c>
      <x:c r="G30" t="str">
        <x:v>Tecnologia</x:v>
      </x:c>
      <x:c r="H30" t="str">
        <x:v>Notebook Pro</x:v>
      </x:c>
      <x:c r="I30" t="str">
        <x:v>Diego</x:v>
      </x:c>
      <x:c r="J30" s="53" t="n">
        <x:v>3</x:v>
      </x:c>
      <x:c r="K30" s="54" t="n">
        <x:v>5714.58</x:v>
      </x:c>
      <x:c r="L30" s="54" t="n">
        <x:v>4504.05</x:v>
      </x:c>
      <x:c r="M30" s="55" t="n">
        <x:v>0.0396</x:v>
      </x:c>
      <x:c r="N30" s="54" t="n">
        <x:f>ROUND(J30*K30,2)</x:f>
        <x:v>17143.74</x:v>
      </x:c>
      <x:c r="O30" s="54" t="n">
        <x:f>ROUND(N30*(1-M30),2)</x:f>
        <x:v>16464.85</x:v>
      </x:c>
      <x:c r="P30" s="54" t="n">
        <x:f>ROUND(J30*L30,2)</x:f>
        <x:v>13512.15</x:v>
      </x:c>
      <x:c r="Q30" s="54" t="n">
        <x:f>ROUND(O30-P30,2)</x:f>
        <x:v>2952.7</x:v>
      </x:c>
      <x:c r="R30" s="55" t="n">
        <x:f>IF(O30=0,0,ROUND(Q30/O30,4))</x:f>
        <x:v>0.1793</x:v>
      </x:c>
      <x:c r="S30" s="53" t="n">
        <x:v>12</x:v>
      </x:c>
      <x:c r="T30" t="str">
        <x:v>Entregue com atraso</x:v>
      </x:c>
      <x:c r="U30" t="n">
        <x:v>5</x:v>
      </x:c>
      <x:c r="V30" t="str"/>
    </x:row>
    <x:row r="31">
      <x:c r="A31" s="52" t="n">
        <x:v>46198</x:v>
      </x:c>
      <x:c r="B31" t="str">
        <x:v>PED-100030</x:v>
      </x:c>
      <x:c r="C31" t="str">
        <x:v>Cliente 058</x:v>
      </x:c>
      <x:c r="D31" t="str">
        <x:v>CE</x:v>
      </x:c>
      <x:c r="E31" t="str">
        <x:v>Nordeste</x:v>
      </x:c>
      <x:c r="F31" t="str">
        <x:v>E-commerce</x:v>
      </x:c>
      <x:c r="G31" t="str">
        <x:v>Casa</x:v>
      </x:c>
      <x:c r="H31" t="str">
        <x:v>Cafeteira Smart</x:v>
      </x:c>
      <x:c r="I31" t="str">
        <x:v>Felipe</x:v>
      </x:c>
      <x:c r="J31" s="53" t="n">
        <x:v>4</x:v>
      </x:c>
      <x:c r="K31" s="54" t="n">
        <x:v>832.23</x:v>
      </x:c>
      <x:c r="L31" s="54" t="n">
        <x:v>473.5</x:v>
      </x:c>
      <x:c r="M31" s="55" t="n">
        <x:v>0.0722</x:v>
      </x:c>
      <x:c r="N31" s="54" t="n">
        <x:f>ROUND(J31*K31,2)</x:f>
        <x:v>3328.92</x:v>
      </x:c>
      <x:c r="O31" s="54" t="n">
        <x:f>ROUND(N31*(1-M31),2)</x:f>
        <x:v>3088.57</x:v>
      </x:c>
      <x:c r="P31" s="54" t="n">
        <x:f>ROUND(J31*L31,2)</x:f>
        <x:v>1894</x:v>
      </x:c>
      <x:c r="Q31" s="54" t="n">
        <x:f>ROUND(O31-P31,2)</x:f>
        <x:v>1194.57</x:v>
      </x:c>
      <x:c r="R31" s="55" t="n">
        <x:f>IF(O31=0,0,ROUND(Q31/O31,4))</x:f>
        <x:v>0.3868</x:v>
      </x:c>
      <x:c r="S31" s="53" t="n">
        <x:v>10</x:v>
      </x:c>
      <x:c r="T31" t="str">
        <x:v>Entregue</x:v>
      </x:c>
      <x:c r="U31" t="n">
        <x:v>2</x:v>
      </x:c>
      <x:c r="V31" t="str"/>
    </x:row>
    <x:row r="32">
      <x:c r="A32" s="52" t="n">
        <x:v>46176</x:v>
      </x:c>
      <x:c r="B32" t="str">
        <x:v>PED-100031</x:v>
      </x:c>
      <x:c r="C32" t="str">
        <x:v>Cliente 012</x:v>
      </x:c>
      <x:c r="D32" t="str">
        <x:v>PE</x:v>
      </x:c>
      <x:c r="E32" t="str">
        <x:v>Nordeste</x:v>
      </x:c>
      <x:c r="F32" t="str">
        <x:v>E-commerce</x:v>
      </x:c>
      <x:c r="G32" t="str">
        <x:v>Casa</x:v>
      </x:c>
      <x:c r="H32" t="str">
        <x:v>Cafeteira Smart</x:v>
      </x:c>
      <x:c r="I32" t="str">
        <x:v>Diego</x:v>
      </x:c>
      <x:c r="J32" s="53" t="n">
        <x:v>6</x:v>
      </x:c>
      <x:c r="K32" s="54" t="n">
        <x:v>764.35</x:v>
      </x:c>
      <x:c r="L32" s="54" t="n">
        <x:v>473.22</x:v>
      </x:c>
      <x:c r="M32" s="55" t="n">
        <x:v>0</x:v>
      </x:c>
      <x:c r="N32" s="54" t="n">
        <x:f>ROUND(J32*K32,2)</x:f>
        <x:v>4586.1</x:v>
      </x:c>
      <x:c r="O32" s="54" t="n">
        <x:f>ROUND(N32*(1-M32),2)</x:f>
        <x:v>4586.1</x:v>
      </x:c>
      <x:c r="P32" s="54" t="n">
        <x:f>ROUND(J32*L32,2)</x:f>
        <x:v>2839.32</x:v>
      </x:c>
      <x:c r="Q32" s="54" t="n">
        <x:f>ROUND(O32-P32,2)</x:f>
        <x:v>1746.78</x:v>
      </x:c>
      <x:c r="R32" s="55" t="n">
        <x:f>IF(O32=0,0,ROUND(Q32/O32,4))</x:f>
        <x:v>0.3809</x:v>
      </x:c>
      <x:c r="S32" s="53" t="n">
        <x:v>9</x:v>
      </x:c>
      <x:c r="T32" t="str">
        <x:v>Entregue</x:v>
      </x:c>
      <x:c r="U32" t="n">
        <x:v>2</x:v>
      </x:c>
      <x:c r="V32" t="str"/>
    </x:row>
    <x:row r="33">
      <x:c r="A33" s="52" t="n">
        <x:v>46098</x:v>
      </x:c>
      <x:c r="B33" t="str">
        <x:v>PED-100032</x:v>
      </x:c>
      <x:c r="C33" t="str">
        <x:v>Cliente 047</x:v>
      </x:c>
      <x:c r="D33" t="str">
        <x:v>PR</x:v>
      </x:c>
      <x:c r="E33" t="str">
        <x:v>Sul</x:v>
      </x:c>
      <x:c r="F33" t="str">
        <x:v>Televendas</x:v>
      </x:c>
      <x:c r="G33" t="str">
        <x:v>Tecnologia</x:v>
      </x:c>
      <x:c r="H33" t="str">
        <x:v>Monitor 27</x:v>
      </x:c>
      <x:c r="I33" t="str">
        <x:v>Bruno</x:v>
      </x:c>
      <x:c r="J33" s="53" t="n">
        <x:v>2</x:v>
      </x:c>
      <x:c r="K33" s="54" t="n">
        <x:v>1781.2</x:v>
      </x:c>
      <x:c r="L33" s="54" t="n">
        <x:v>1075.03</x:v>
      </x:c>
      <x:c r="M33" s="55" t="n">
        <x:v>0.007</x:v>
      </x:c>
      <x:c r="N33" s="54" t="n">
        <x:f>ROUND(J33*K33,2)</x:f>
        <x:v>3562.4</x:v>
      </x:c>
      <x:c r="O33" s="54" t="n">
        <x:f>ROUND(N33*(1-M33),2)</x:f>
        <x:v>3537.46</x:v>
      </x:c>
      <x:c r="P33" s="54" t="n">
        <x:f>ROUND(J33*L33,2)</x:f>
        <x:v>2150.06</x:v>
      </x:c>
      <x:c r="Q33" s="54" t="n">
        <x:f>ROUND(O33-P33,2)</x:f>
        <x:v>1387.4</x:v>
      </x:c>
      <x:c r="R33" s="55" t="n">
        <x:f>IF(O33=0,0,ROUND(Q33/O33,4))</x:f>
        <x:v>0.3922</x:v>
      </x:c>
      <x:c r="S33" s="53" t="n">
        <x:v>6</x:v>
      </x:c>
      <x:c r="T33" t="str">
        <x:v>Entregue</x:v>
      </x:c>
      <x:c r="U33" t="n">
        <x:v>4</x:v>
      </x:c>
      <x:c r="V33" t="str"/>
    </x:row>
    <x:row r="34">
      <x:c r="A34" s="52" t="n">
        <x:v>46127</x:v>
      </x:c>
      <x:c r="B34" t="str">
        <x:v>PED-100033</x:v>
      </x:c>
      <x:c r="C34" t="str">
        <x:v>Cliente 109</x:v>
      </x:c>
      <x:c r="D34" t="str">
        <x:v>RJ</x:v>
      </x:c>
      <x:c r="E34" t="str">
        <x:v>Sudeste</x:v>
      </x:c>
      <x:c r="F34" t="str">
        <x:v>Marketplace</x:v>
      </x:c>
      <x:c r="G34" t="str">
        <x:v>Casa</x:v>
      </x:c>
      <x:c r="H34" t="str">
        <x:v>Cafeteira Smart</x:v>
      </x:c>
      <x:c r="I34" t="str">
        <x:v>Elaine</x:v>
      </x:c>
      <x:c r="J34" s="53" t="n">
        <x:v>6</x:v>
      </x:c>
      <x:c r="K34" s="54" t="n">
        <x:v>803.74</x:v>
      </x:c>
      <x:c r="L34" s="54" t="n">
        <x:v>462.46</x:v>
      </x:c>
      <x:c r="M34" s="55" t="n">
        <x:v>0.1322</x:v>
      </x:c>
      <x:c r="N34" s="54" t="n">
        <x:f>ROUND(J34*K34,2)</x:f>
        <x:v>4822.44</x:v>
      </x:c>
      <x:c r="O34" s="54" t="n">
        <x:f>ROUND(N34*(1-M34),2)</x:f>
        <x:v>4184.91</x:v>
      </x:c>
      <x:c r="P34" s="54" t="n">
        <x:f>ROUND(J34*L34,2)</x:f>
        <x:v>2774.76</x:v>
      </x:c>
      <x:c r="Q34" s="54" t="n">
        <x:f>ROUND(O34-P34,2)</x:f>
        <x:v>1410.15</x:v>
      </x:c>
      <x:c r="R34" s="55" t="n">
        <x:f>IF(O34=0,0,ROUND(Q34/O34,4))</x:f>
        <x:v>0.337</x:v>
      </x:c>
      <x:c r="S34" s="53" t="n">
        <x:v>5</x:v>
      </x:c>
      <x:c r="T34" t="str">
        <x:v>Entregue</x:v>
      </x:c>
      <x:c r="U34" t="n">
        <x:v>2</x:v>
      </x:c>
      <x:c r="V34" t="str"/>
    </x:row>
    <x:row r="35">
      <x:c r="A35" s="52" t="n">
        <x:v>46049</x:v>
      </x:c>
      <x:c r="B35" t="str">
        <x:v>PED-100034</x:v>
      </x:c>
      <x:c r="C35" t="str">
        <x:v>Cliente 029</x:v>
      </x:c>
      <x:c r="D35" t="str">
        <x:v>RS</x:v>
      </x:c>
      <x:c r="E35" t="str">
        <x:v>Sul</x:v>
      </x:c>
      <x:c r="F35" t="str">
        <x:v>Marketplace</x:v>
      </x:c>
      <x:c r="G35" t="str">
        <x:v>Escritório</x:v>
      </x:c>
      <x:c r="H35" t="str">
        <x:v>Cadeira Ergonômica</x:v>
      </x:c>
      <x:c r="I35" t="str">
        <x:v>Ana</x:v>
      </x:c>
      <x:c r="J35" s="53" t="n">
        <x:v>5</x:v>
      </x:c>
      <x:c r="K35" s="54" t="n">
        <x:v>2149.55</x:v>
      </x:c>
      <x:c r="L35" s="54" t="n">
        <x:v>1471.74</x:v>
      </x:c>
      <x:c r="M35" s="55" t="n">
        <x:v>0.035</x:v>
      </x:c>
      <x:c r="N35" s="54" t="n">
        <x:f>ROUND(J35*K35,2)</x:f>
        <x:v>10747.75</x:v>
      </x:c>
      <x:c r="O35" s="54" t="n">
        <x:f>ROUND(N35*(1-M35),2)</x:f>
        <x:v>10371.58</x:v>
      </x:c>
      <x:c r="P35" s="54" t="n">
        <x:f>ROUND(J35*L35,2)</x:f>
        <x:v>7358.7</x:v>
      </x:c>
      <x:c r="Q35" s="54" t="n">
        <x:f>ROUND(O35-P35,2)</x:f>
        <x:v>3012.88</x:v>
      </x:c>
      <x:c r="R35" s="55" t="n">
        <x:f>IF(O35=0,0,ROUND(Q35/O35,4))</x:f>
        <x:v>0.2905</x:v>
      </x:c>
      <x:c r="S35" s="53" t="n">
        <x:v>3</x:v>
      </x:c>
      <x:c r="T35" t="str">
        <x:v>Entregue</x:v>
      </x:c>
      <x:c r="U35" t="n">
        <x:v>4</x:v>
      </x:c>
      <x:c r="V35" t="str"/>
    </x:row>
    <x:row r="36">
      <x:c r="A36" s="52" t="n">
        <x:v>46141</x:v>
      </x:c>
      <x:c r="B36" t="str">
        <x:v>PED-100035</x:v>
      </x:c>
      <x:c r="C36" t="str">
        <x:v>Cliente 117</x:v>
      </x:c>
      <x:c r="D36" t="str">
        <x:v>MA</x:v>
      </x:c>
      <x:c r="E36" t="str">
        <x:v>Nordeste</x:v>
      </x:c>
      <x:c r="F36" t="str">
        <x:v>E-commerce</x:v>
      </x:c>
      <x:c r="G36" t="str">
        <x:v>Tecnologia</x:v>
      </x:c>
      <x:c r="H36" t="str">
        <x:v>Monitor 27</x:v>
      </x:c>
      <x:c r="I36" t="str">
        <x:v>Henrique</x:v>
      </x:c>
      <x:c r="J36" s="53" t="n">
        <x:v>2</x:v>
      </x:c>
      <x:c r="K36" s="54" t="n">
        <x:v>1785.54</x:v>
      </x:c>
      <x:c r="L36" s="54" t="n">
        <x:v>1075.16</x:v>
      </x:c>
      <x:c r="M36" s="55" t="n">
        <x:v>0</x:v>
      </x:c>
      <x:c r="N36" s="54" t="n">
        <x:f>ROUND(J36*K36,2)</x:f>
        <x:v>3571.08</x:v>
      </x:c>
      <x:c r="O36" s="54" t="n">
        <x:f>ROUND(N36*(1-M36),2)</x:f>
        <x:v>3571.08</x:v>
      </x:c>
      <x:c r="P36" s="54" t="n">
        <x:f>ROUND(J36*L36,2)</x:f>
        <x:v>2150.32</x:v>
      </x:c>
      <x:c r="Q36" s="54" t="n">
        <x:f>ROUND(O36-P36,2)</x:f>
        <x:v>1420.76</x:v>
      </x:c>
      <x:c r="R36" s="55" t="n">
        <x:f>IF(O36=0,0,ROUND(Q36/O36,4))</x:f>
        <x:v>0.3979</x:v>
      </x:c>
      <x:c r="S36" s="53" t="n">
        <x:v>6</x:v>
      </x:c>
      <x:c r="T36" t="str">
        <x:v>Entregue</x:v>
      </x:c>
      <x:c r="U36" t="n">
        <x:v>3</x:v>
      </x:c>
      <x:c r="V36" t="str"/>
    </x:row>
    <x:row r="37">
      <x:c r="A37" s="52" t="n">
        <x:v>46206</x:v>
      </x:c>
      <x:c r="B37" t="str">
        <x:v>PED-100036</x:v>
      </x:c>
      <x:c r="C37" t="str">
        <x:v>Cliente 095</x:v>
      </x:c>
      <x:c r="D37" t="str">
        <x:v>MG</x:v>
      </x:c>
      <x:c r="E37" t="str">
        <x:v>Sudeste</x:v>
      </x:c>
      <x:c r="F37" t="str">
        <x:v>Marketplace</x:v>
      </x:c>
      <x:c r="G37" t="str">
        <x:v>Acessórios</x:v>
      </x:c>
      <x:c r="H37" t="str">
        <x:v>Mochila Executiva</x:v>
      </x:c>
      <x:c r="I37" t="str">
        <x:v>Felipe</x:v>
      </x:c>
      <x:c r="J37" s="53" t="n">
        <x:v>8</x:v>
      </x:c>
      <x:c r="K37" s="54" t="n">
        <x:v>422.89</x:v>
      </x:c>
      <x:c r="L37" s="54" t="n">
        <x:v>194.35</x:v>
      </x:c>
      <x:c r="M37" s="55" t="n">
        <x:v>0.035</x:v>
      </x:c>
      <x:c r="N37" s="54" t="n">
        <x:f>ROUND(J37*K37,2)</x:f>
        <x:v>3383.12</x:v>
      </x:c>
      <x:c r="O37" s="54" t="n">
        <x:f>ROUND(N37*(1-M37),2)</x:f>
        <x:v>3264.71</x:v>
      </x:c>
      <x:c r="P37" s="54" t="n">
        <x:f>ROUND(J37*L37,2)</x:f>
        <x:v>1554.8</x:v>
      </x:c>
      <x:c r="Q37" s="54" t="n">
        <x:f>ROUND(O37-P37,2)</x:f>
        <x:v>1709.91</x:v>
      </x:c>
      <x:c r="R37" s="55" t="n">
        <x:f>IF(O37=0,0,ROUND(Q37/O37,4))</x:f>
        <x:v>0.5238</x:v>
      </x:c>
      <x:c r="S37" s="53" t="n">
        <x:v>9</x:v>
      </x:c>
      <x:c r="T37" t="str">
        <x:v>Entregue</x:v>
      </x:c>
      <x:c r="U37" t="n">
        <x:v>3</x:v>
      </x:c>
      <x:c r="V37" t="str"/>
    </x:row>
    <x:row r="38">
      <x:c r="A38" s="52" t="n">
        <x:v>46069</x:v>
      </x:c>
      <x:c r="B38" t="str">
        <x:v>PED-100037</x:v>
      </x:c>
      <x:c r="C38" t="str">
        <x:v>Cliente 092</x:v>
      </x:c>
      <x:c r="D38" t="str">
        <x:v>PE</x:v>
      </x:c>
      <x:c r="E38" t="str">
        <x:v>Nordeste</x:v>
      </x:c>
      <x:c r="F38" t="str">
        <x:v>Marketplace</x:v>
      </x:c>
      <x:c r="G38" t="str">
        <x:v>Casa</x:v>
      </x:c>
      <x:c r="H38" t="str">
        <x:v>Cafeteira Smart</x:v>
      </x:c>
      <x:c r="I38" t="str">
        <x:v>Diego</x:v>
      </x:c>
      <x:c r="J38" s="53" t="n">
        <x:v>4</x:v>
      </x:c>
      <x:c r="K38" s="54" t="n">
        <x:v>824.84</x:v>
      </x:c>
      <x:c r="L38" s="54" t="n">
        <x:v>472.38</x:v>
      </x:c>
      <x:c r="M38" s="55" t="n">
        <x:v>0.0539</x:v>
      </x:c>
      <x:c r="N38" s="54" t="n">
        <x:f>ROUND(J38*K38,2)</x:f>
        <x:v>3299.36</x:v>
      </x:c>
      <x:c r="O38" s="54" t="n">
        <x:f>ROUND(N38*(1-M38),2)</x:f>
        <x:v>3121.52</x:v>
      </x:c>
      <x:c r="P38" s="54" t="n">
        <x:f>ROUND(J38*L38,2)</x:f>
        <x:v>1889.52</x:v>
      </x:c>
      <x:c r="Q38" s="54" t="n">
        <x:f>ROUND(O38-P38,2)</x:f>
        <x:v>1232</x:v>
      </x:c>
      <x:c r="R38" s="55" t="n">
        <x:f>IF(O38=0,0,ROUND(Q38/O38,4))</x:f>
        <x:v>0.3947</x:v>
      </x:c>
      <x:c r="S38" s="53" t="n">
        <x:v>7</x:v>
      </x:c>
      <x:c r="T38" t="str">
        <x:v>Entregue</x:v>
      </x:c>
      <x:c r="U38" t="n">
        <x:v>5</x:v>
      </x:c>
      <x:c r="V38" t="str"/>
    </x:row>
    <x:row r="39">
      <x:c r="A39" s="52" t="n">
        <x:v>46098</x:v>
      </x:c>
      <x:c r="B39" t="str">
        <x:v>PED-100038</x:v>
      </x:c>
      <x:c r="C39" t="str">
        <x:v>Cliente 081</x:v>
      </x:c>
      <x:c r="D39" t="str">
        <x:v>CE</x:v>
      </x:c>
      <x:c r="E39" t="str">
        <x:v>Nordeste</x:v>
      </x:c>
      <x:c r="F39" t="str">
        <x:v>Televendas</x:v>
      </x:c>
      <x:c r="G39" t="str">
        <x:v>Escritório</x:v>
      </x:c>
      <x:c r="H39" t="str">
        <x:v>Luminária LED</x:v>
      </x:c>
      <x:c r="I39" t="str">
        <x:v>Ana</x:v>
      </x:c>
      <x:c r="J39" s="53" t="n">
        <x:v>6</x:v>
      </x:c>
      <x:c r="K39" s="54" t="n">
        <x:v>270.29</x:v>
      </x:c>
      <x:c r="L39" s="54" t="n">
        <x:v>117.98</x:v>
      </x:c>
      <x:c r="M39" s="55" t="n">
        <x:v>0.0894</x:v>
      </x:c>
      <x:c r="N39" s="54" t="n">
        <x:f>ROUND(J39*K39,2)</x:f>
        <x:v>1621.74</x:v>
      </x:c>
      <x:c r="O39" s="54" t="n">
        <x:f>ROUND(N39*(1-M39),2)</x:f>
        <x:v>1476.76</x:v>
      </x:c>
      <x:c r="P39" s="54" t="n">
        <x:f>ROUND(J39*L39,2)</x:f>
        <x:v>707.88</x:v>
      </x:c>
      <x:c r="Q39" s="54" t="n">
        <x:f>ROUND(O39-P39,2)</x:f>
        <x:v>768.88</x:v>
      </x:c>
      <x:c r="R39" s="55" t="n">
        <x:f>IF(O39=0,0,ROUND(Q39/O39,4))</x:f>
        <x:v>0.5207</x:v>
      </x:c>
      <x:c r="S39" s="53" t="n">
        <x:v>14</x:v>
      </x:c>
      <x:c r="T39" t="str">
        <x:v>Entregue com atraso</x:v>
      </x:c>
      <x:c r="U39" t="n">
        <x:v>2</x:v>
      </x:c>
      <x:c r="V39" t="str"/>
    </x:row>
    <x:row r="40">
      <x:c r="A40" s="52" t="n">
        <x:v>46156</x:v>
      </x:c>
      <x:c r="B40" t="str">
        <x:v>PED-100039</x:v>
      </x:c>
      <x:c r="C40" t="str">
        <x:v>Cliente 114</x:v>
      </x:c>
      <x:c r="D40" t="str">
        <x:v>MG</x:v>
      </x:c>
      <x:c r="E40" t="str">
        <x:v>Sudeste</x:v>
      </x:c>
      <x:c r="F40" t="str">
        <x:v>Marketplace</x:v>
      </x:c>
      <x:c r="G40" t="str">
        <x:v>Escritório</x:v>
      </x:c>
      <x:c r="H40" t="str">
        <x:v>Cadeira Ergonômica</x:v>
      </x:c>
      <x:c r="I40" t="str">
        <x:v>Carla</x:v>
      </x:c>
      <x:c r="J40" s="53" t="n">
        <x:v>3</x:v>
      </x:c>
      <x:c r="K40" s="54" t="n">
        <x:v>2215.65</x:v>
      </x:c>
      <x:c r="L40" s="54" t="n">
        <x:v>1363.08</x:v>
      </x:c>
      <x:c r="M40" s="55" t="n">
        <x:v>0.1617</x:v>
      </x:c>
      <x:c r="N40" s="54" t="n">
        <x:f>ROUND(J40*K40,2)</x:f>
        <x:v>6646.95</x:v>
      </x:c>
      <x:c r="O40" s="54" t="n">
        <x:f>ROUND(N40*(1-M40),2)</x:f>
        <x:v>5572.14</x:v>
      </x:c>
      <x:c r="P40" s="54" t="n">
        <x:f>ROUND(J40*L40,2)</x:f>
        <x:v>4089.24</x:v>
      </x:c>
      <x:c r="Q40" s="54" t="n">
        <x:f>ROUND(O40-P40,2)</x:f>
        <x:v>1482.9</x:v>
      </x:c>
      <x:c r="R40" s="55" t="n">
        <x:f>IF(O40=0,0,ROUND(Q40/O40,4))</x:f>
        <x:v>0.2661</x:v>
      </x:c>
      <x:c r="S40" s="53" t="n">
        <x:v>9</x:v>
      </x:c>
      <x:c r="T40" t="str">
        <x:v>Entregue</x:v>
      </x:c>
      <x:c r="U40" t="n">
        <x:v>2</x:v>
      </x:c>
      <x:c r="V40" t="str"/>
    </x:row>
    <x:row r="41">
      <x:c r="A41" s="52" t="n">
        <x:v>46193</x:v>
      </x:c>
      <x:c r="B41" t="str">
        <x:v>PED-100040</x:v>
      </x:c>
      <x:c r="C41" t="str">
        <x:v>Cliente 078</x:v>
      </x:c>
      <x:c r="D41" t="str">
        <x:v>PR</x:v>
      </x:c>
      <x:c r="E41" t="str">
        <x:v>Sul</x:v>
      </x:c>
      <x:c r="F41" t="str">
        <x:v>Televendas</x:v>
      </x:c>
      <x:c r="G41" t="str">
        <x:v>Escritório</x:v>
      </x:c>
      <x:c r="H41" t="str">
        <x:v>Luminária LED</x:v>
      </x:c>
      <x:c r="I41" t="str">
        <x:v>Bruno</x:v>
      </x:c>
      <x:c r="J41" s="53" t="n">
        <x:v>8</x:v>
      </x:c>
      <x:c r="K41" s="54" t="n">
        <x:v>248.37</x:v>
      </x:c>
      <x:c r="L41" s="54" t="n">
        <x:v>121.43</x:v>
      </x:c>
      <x:c r="M41" s="55" t="n">
        <x:v>0.0647</x:v>
      </x:c>
      <x:c r="N41" s="54" t="n">
        <x:f>ROUND(J41*K41,2)</x:f>
        <x:v>1986.96</x:v>
      </x:c>
      <x:c r="O41" s="54" t="n">
        <x:f>ROUND(N41*(1-M41),2)</x:f>
        <x:v>1858.4</x:v>
      </x:c>
      <x:c r="P41" s="54" t="n">
        <x:f>ROUND(J41*L41,2)</x:f>
        <x:v>971.44</x:v>
      </x:c>
      <x:c r="Q41" s="54" t="n">
        <x:f>ROUND(O41-P41,2)</x:f>
        <x:v>886.96</x:v>
      </x:c>
      <x:c r="R41" s="55" t="n">
        <x:f>IF(O41=0,0,ROUND(Q41/O41,4))</x:f>
        <x:v>0.4773</x:v>
      </x:c>
      <x:c r="S41" s="53" t="n">
        <x:v>4</x:v>
      </x:c>
      <x:c r="T41" t="str">
        <x:v>Entregue</x:v>
      </x:c>
      <x:c r="U41" t="n">
        <x:v>2</x:v>
      </x:c>
      <x:c r="V41" t="str"/>
    </x:row>
    <x:row r="42">
      <x:c r="A42" s="52" t="n">
        <x:v>46024</x:v>
      </x:c>
      <x:c r="B42" t="str">
        <x:v>PED-100041</x:v>
      </x:c>
      <x:c r="C42" t="str">
        <x:v>Cliente 009</x:v>
      </x:c>
      <x:c r="D42" t="str">
        <x:v>CE</x:v>
      </x:c>
      <x:c r="E42" t="str">
        <x:v>Nordeste</x:v>
      </x:c>
      <x:c r="F42" t="str">
        <x:v>Televendas</x:v>
      </x:c>
      <x:c r="G42" t="str">
        <x:v>Tecnologia</x:v>
      </x:c>
      <x:c r="H42" t="str">
        <x:v>Headset Office</x:v>
      </x:c>
      <x:c r="I42" t="str">
        <x:v>Diego</x:v>
      </x:c>
      <x:c r="J42" s="53" t="n">
        <x:v>8</x:v>
      </x:c>
      <x:c r="K42" s="54" t="n">
        <x:v>371.98</x:v>
      </x:c>
      <x:c r="L42" s="54" t="n">
        <x:v>226.54</x:v>
      </x:c>
      <x:c r="M42" s="55" t="n">
        <x:v>0</x:v>
      </x:c>
      <x:c r="N42" s="54" t="n">
        <x:f>ROUND(J42*K42,2)</x:f>
        <x:v>2975.84</x:v>
      </x:c>
      <x:c r="O42" s="54" t="n">
        <x:f>ROUND(N42*(1-M42),2)</x:f>
        <x:v>2975.84</x:v>
      </x:c>
      <x:c r="P42" s="54" t="n">
        <x:f>ROUND(J42*L42,2)</x:f>
        <x:v>1812.32</x:v>
      </x:c>
      <x:c r="Q42" s="54" t="n">
        <x:f>ROUND(O42-P42,2)</x:f>
        <x:v>1163.52</x:v>
      </x:c>
      <x:c r="R42" s="55" t="n">
        <x:f>IF(O42=0,0,ROUND(Q42/O42,4))</x:f>
        <x:v>0.391</x:v>
      </x:c>
      <x:c r="S42" s="53" t="n">
        <x:v>10</x:v>
      </x:c>
      <x:c r="T42" t="str">
        <x:v>Entregue</x:v>
      </x:c>
      <x:c r="U42" t="n">
        <x:v>5</x:v>
      </x:c>
      <x:c r="V42" t="str"/>
    </x:row>
    <x:row r="43">
      <x:c r="A43" s="52" t="n">
        <x:v>46145</x:v>
      </x:c>
      <x:c r="B43" t="str">
        <x:v>PED-100042</x:v>
      </x:c>
      <x:c r="C43" t="str">
        <x:v>Cliente 012</x:v>
      </x:c>
      <x:c r="D43" t="str">
        <x:v>MG</x:v>
      </x:c>
      <x:c r="E43" t="str">
        <x:v>Sudeste</x:v>
      </x:c>
      <x:c r="F43" t="str">
        <x:v>Marketplace</x:v>
      </x:c>
      <x:c r="G43" t="str">
        <x:v>Tecnologia</x:v>
      </x:c>
      <x:c r="H43" t="str">
        <x:v>Notebook Pro</x:v>
      </x:c>
      <x:c r="I43" t="str">
        <x:v>Diego</x:v>
      </x:c>
      <x:c r="J43" s="53" t="n">
        <x:v>4</x:v>
      </x:c>
      <x:c r="K43" s="54" t="n">
        <x:v>5713.67</x:v>
      </x:c>
      <x:c r="L43" s="54" t="n">
        <x:v>4525.22</x:v>
      </x:c>
      <x:c r="M43" s="55" t="n">
        <x:v>0.0986</x:v>
      </x:c>
      <x:c r="N43" s="54" t="n">
        <x:f>ROUND(J43*K43,2)</x:f>
        <x:v>22854.68</x:v>
      </x:c>
      <x:c r="O43" s="54" t="n">
        <x:f>ROUND(N43*(1-M43),2)</x:f>
        <x:v>20601.21</x:v>
      </x:c>
      <x:c r="P43" s="54" t="n">
        <x:f>ROUND(J43*L43,2)</x:f>
        <x:v>18100.88</x:v>
      </x:c>
      <x:c r="Q43" s="54" t="n">
        <x:f>ROUND(O43-P43,2)</x:f>
        <x:v>2500.33</x:v>
      </x:c>
      <x:c r="R43" s="55" t="n">
        <x:f>IF(O43=0,0,ROUND(Q43/O43,4))</x:f>
        <x:v>0.1214</x:v>
      </x:c>
      <x:c r="S43" s="53" t="n">
        <x:v>7</x:v>
      </x:c>
      <x:c r="T43" t="str">
        <x:v>Entregue</x:v>
      </x:c>
      <x:c r="U43" t="n">
        <x:v>5</x:v>
      </x:c>
      <x:c r="V43" t="str"/>
    </x:row>
    <x:row r="44">
      <x:c r="A44" s="52" t="n">
        <x:v>46075</x:v>
      </x:c>
      <x:c r="B44" t="str">
        <x:v>PED-100043</x:v>
      </x:c>
      <x:c r="C44" t="str">
        <x:v>Cliente 056</x:v>
      </x:c>
      <x:c r="D44" t="str">
        <x:v>PE</x:v>
      </x:c>
      <x:c r="E44" t="str">
        <x:v>Nordeste</x:v>
      </x:c>
      <x:c r="F44" t="str">
        <x:v>Loja</x:v>
      </x:c>
      <x:c r="G44" t="str">
        <x:v>Acessórios</x:v>
      </x:c>
      <x:c r="H44" t="str">
        <x:v>Hub USB-C</x:v>
      </x:c>
      <x:c r="I44" t="str">
        <x:v>Carla</x:v>
      </x:c>
      <x:c r="J44" s="53" t="n">
        <x:v>6</x:v>
      </x:c>
      <x:c r="K44" s="54" t="n">
        <x:v>311.93</x:v>
      </x:c>
      <x:c r="L44" s="54" t="n">
        <x:v>142.34</x:v>
      </x:c>
      <x:c r="M44" s="55" t="n">
        <x:v>0.0714</x:v>
      </x:c>
      <x:c r="N44" s="54" t="n">
        <x:f>ROUND(J44*K44,2)</x:f>
        <x:v>1871.58</x:v>
      </x:c>
      <x:c r="O44" s="54" t="n">
        <x:f>ROUND(N44*(1-M44),2)</x:f>
        <x:v>1737.95</x:v>
      </x:c>
      <x:c r="P44" s="54" t="n">
        <x:f>ROUND(J44*L44,2)</x:f>
        <x:v>854.04</x:v>
      </x:c>
      <x:c r="Q44" s="54" t="n">
        <x:f>ROUND(O44-P44,2)</x:f>
        <x:v>883.91</x:v>
      </x:c>
      <x:c r="R44" s="55" t="n">
        <x:f>IF(O44=0,0,ROUND(Q44/O44,4))</x:f>
        <x:v>0.5086</x:v>
      </x:c>
      <x:c r="S44" s="53" t="n">
        <x:v>4</x:v>
      </x:c>
      <x:c r="T44" t="str">
        <x:v>Entregue</x:v>
      </x:c>
      <x:c r="U44" t="n">
        <x:v>5</x:v>
      </x:c>
      <x:c r="V44" t="str"/>
    </x:row>
    <x:row r="45">
      <x:c r="A45" s="52" t="n">
        <x:v>46117</x:v>
      </x:c>
      <x:c r="B45" t="str">
        <x:v>PED-100044</x:v>
      </x:c>
      <x:c r="C45" t="str">
        <x:v>Cliente 030</x:v>
      </x:c>
      <x:c r="D45" t="str">
        <x:v>MG</x:v>
      </x:c>
      <x:c r="E45" t="str">
        <x:v>Sudeste</x:v>
      </x:c>
      <x:c r="F45" t="str">
        <x:v>Loja</x:v>
      </x:c>
      <x:c r="G45" t="str">
        <x:v>Escritório</x:v>
      </x:c>
      <x:c r="H45" t="str">
        <x:v>Mesa Ajustável</x:v>
      </x:c>
      <x:c r="I45" t="str">
        <x:v>Henrique</x:v>
      </x:c>
      <x:c r="J45" s="53" t="n">
        <x:v>8</x:v>
      </x:c>
      <x:c r="K45" s="54" t="n">
        <x:v>2830.4</x:v>
      </x:c>
      <x:c r="L45" s="54" t="n">
        <x:v>1764.89</x:v>
      </x:c>
      <x:c r="M45" s="55" t="n">
        <x:v>0.097</x:v>
      </x:c>
      <x:c r="N45" s="54" t="n">
        <x:f>ROUND(J45*K45,2)</x:f>
        <x:v>22643.2</x:v>
      </x:c>
      <x:c r="O45" s="54" t="n">
        <x:f>ROUND(N45*(1-M45),2)</x:f>
        <x:v>20446.81</x:v>
      </x:c>
      <x:c r="P45" s="54" t="n">
        <x:f>ROUND(J45*L45,2)</x:f>
        <x:v>14119.12</x:v>
      </x:c>
      <x:c r="Q45" s="54" t="n">
        <x:f>ROUND(O45-P45,2)</x:f>
        <x:v>6327.69</x:v>
      </x:c>
      <x:c r="R45" s="55" t="n">
        <x:f>IF(O45=0,0,ROUND(Q45/O45,4))</x:f>
        <x:v>0.3095</x:v>
      </x:c>
      <x:c r="S45" s="53" t="n">
        <x:v>4</x:v>
      </x:c>
      <x:c r="T45" t="str">
        <x:v>Entregue</x:v>
      </x:c>
      <x:c r="U45" t="n">
        <x:v>3</x:v>
      </x:c>
      <x:c r="V45" t="str"/>
    </x:row>
    <x:row r="46">
      <x:c r="A46" s="52" t="n">
        <x:v>46061</x:v>
      </x:c>
      <x:c r="B46" t="str">
        <x:v>PED-100045</x:v>
      </x:c>
      <x:c r="C46" t="str">
        <x:v>Cliente 003</x:v>
      </x:c>
      <x:c r="D46" t="str">
        <x:v>AM</x:v>
      </x:c>
      <x:c r="E46" t="str">
        <x:v>Norte</x:v>
      </x:c>
      <x:c r="F46" t="str">
        <x:v>Marketplace</x:v>
      </x:c>
      <x:c r="G46" t="str">
        <x:v>Acessórios</x:v>
      </x:c>
      <x:c r="H46" t="str">
        <x:v>Mochila Executiva</x:v>
      </x:c>
      <x:c r="I46" t="str">
        <x:v>Isabela</x:v>
      </x:c>
      <x:c r="J46" s="53" t="n">
        <x:v>2</x:v>
      </x:c>
      <x:c r="K46" s="54" t="n">
        <x:v>407.64</x:v>
      </x:c>
      <x:c r="L46" s="54" t="n">
        <x:v>204.74</x:v>
      </x:c>
      <x:c r="M46" s="55" t="n">
        <x:v>0.1152</x:v>
      </x:c>
      <x:c r="N46" s="54" t="n">
        <x:f>ROUND(J46*K46,2)</x:f>
        <x:v>815.28</x:v>
      </x:c>
      <x:c r="O46" s="54" t="n">
        <x:f>ROUND(N46*(1-M46),2)</x:f>
        <x:v>721.36</x:v>
      </x:c>
      <x:c r="P46" s="54" t="n">
        <x:f>ROUND(J46*L46,2)</x:f>
        <x:v>409.48</x:v>
      </x:c>
      <x:c r="Q46" s="54" t="n">
        <x:f>ROUND(O46-P46,2)</x:f>
        <x:v>311.88</x:v>
      </x:c>
      <x:c r="R46" s="55" t="n">
        <x:f>IF(O46=0,0,ROUND(Q46/O46,4))</x:f>
        <x:v>0.4324</x:v>
      </x:c>
      <x:c r="S46" s="53" t="n">
        <x:v>5</x:v>
      </x:c>
      <x:c r="T46" t="str">
        <x:v>Entregue</x:v>
      </x:c>
      <x:c r="U46" t="n">
        <x:v>3</x:v>
      </x:c>
      <x:c r="V46" t="str"/>
    </x:row>
    <x:row r="47">
      <x:c r="A47" s="52" t="n">
        <x:v>46042</x:v>
      </x:c>
      <x:c r="B47" t="str">
        <x:v>PED-100046</x:v>
      </x:c>
      <x:c r="C47" t="str">
        <x:v>Cliente 054</x:v>
      </x:c>
      <x:c r="D47" t="str">
        <x:v>GO</x:v>
      </x:c>
      <x:c r="E47" t="str">
        <x:v>Centro-Oeste</x:v>
      </x:c>
      <x:c r="F47" t="str">
        <x:v>Marketplace</x:v>
      </x:c>
      <x:c r="G47" t="str">
        <x:v>Acessórios</x:v>
      </x:c>
      <x:c r="H47" t="str">
        <x:v>Hub USB-C</x:v>
      </x:c>
      <x:c r="I47" t="str">
        <x:v>Ana</x:v>
      </x:c>
      <x:c r="J47" s="53" t="n">
        <x:v>2</x:v>
      </x:c>
      <x:c r="K47" s="54" t="n">
        <x:v>323.86</x:v>
      </x:c>
      <x:c r="L47" s="54" t="n">
        <x:v>140.25</x:v>
      </x:c>
      <x:c r="M47" s="55" t="n">
        <x:v>0.141</x:v>
      </x:c>
      <x:c r="N47" s="54" t="n">
        <x:f>ROUND(J47*K47,2)</x:f>
        <x:v>647.72</x:v>
      </x:c>
      <x:c r="O47" s="54" t="n">
        <x:f>ROUND(N47*(1-M47),2)</x:f>
        <x:v>556.39</x:v>
      </x:c>
      <x:c r="P47" s="54" t="n">
        <x:f>ROUND(J47*L47,2)</x:f>
        <x:v>280.5</x:v>
      </x:c>
      <x:c r="Q47" s="54" t="n">
        <x:f>ROUND(O47-P47,2)</x:f>
        <x:v>275.89</x:v>
      </x:c>
      <x:c r="R47" s="55" t="n">
        <x:f>IF(O47=0,0,ROUND(Q47/O47,4))</x:f>
        <x:v>0.4959</x:v>
      </x:c>
      <x:c r="S47" s="53" t="n">
        <x:v>13</x:v>
      </x:c>
      <x:c r="T47" t="str">
        <x:v>Cancelado</x:v>
      </x:c>
      <x:c r="U47"/>
      <x:c r="V47" t="str"/>
    </x:row>
    <x:row r="48">
      <x:c r="A48" s="52" t="n">
        <x:v>46075</x:v>
      </x:c>
      <x:c r="B48" t="str">
        <x:v>PED-100047</x:v>
      </x:c>
      <x:c r="C48" t="str">
        <x:v>Cliente 030</x:v>
      </x:c>
      <x:c r="D48" t="str">
        <x:v>DF</x:v>
      </x:c>
      <x:c r="E48" t="str">
        <x:v>Centro-Oeste</x:v>
      </x:c>
      <x:c r="F48" t="str">
        <x:v>Loja</x:v>
      </x:c>
      <x:c r="G48" t="str">
        <x:v>Acessórios</x:v>
      </x:c>
      <x:c r="H48" t="str">
        <x:v>Mochila Executiva</x:v>
      </x:c>
      <x:c r="I48" t="str">
        <x:v>Henrique</x:v>
      </x:c>
      <x:c r="J48" s="53" t="n">
        <x:v>6</x:v>
      </x:c>
      <x:c r="K48" s="54" t="n">
        <x:v>449.19</x:v>
      </x:c>
      <x:c r="L48" s="54" t="n">
        <x:v>197.73</x:v>
      </x:c>
      <x:c r="M48" s="55" t="n">
        <x:v>0.0922</x:v>
      </x:c>
      <x:c r="N48" s="54" t="n">
        <x:f>ROUND(J48*K48,2)</x:f>
        <x:v>2695.14</x:v>
      </x:c>
      <x:c r="O48" s="54" t="n">
        <x:f>ROUND(N48*(1-M48),2)</x:f>
        <x:v>2446.65</x:v>
      </x:c>
      <x:c r="P48" s="54" t="n">
        <x:f>ROUND(J48*L48,2)</x:f>
        <x:v>1186.38</x:v>
      </x:c>
      <x:c r="Q48" s="54" t="n">
        <x:f>ROUND(O48-P48,2)</x:f>
        <x:v>1260.27</x:v>
      </x:c>
      <x:c r="R48" s="55" t="n">
        <x:f>IF(O48=0,0,ROUND(Q48/O48,4))</x:f>
        <x:v>0.5151</x:v>
      </x:c>
      <x:c r="S48" s="53" t="n">
        <x:v>5</x:v>
      </x:c>
      <x:c r="T48" t="str">
        <x:v>Entregue</x:v>
      </x:c>
      <x:c r="U48" t="n">
        <x:v>4</x:v>
      </x:c>
      <x:c r="V48" t="str"/>
    </x:row>
    <x:row r="49">
      <x:c r="A49" s="52" t="n">
        <x:v>46187</x:v>
      </x:c>
      <x:c r="B49" t="str">
        <x:v>PED-100048</x:v>
      </x:c>
      <x:c r="C49" t="str">
        <x:v>Cliente 011</x:v>
      </x:c>
      <x:c r="D49" t="str">
        <x:v>RJ</x:v>
      </x:c>
      <x:c r="E49" t="str">
        <x:v>Sudeste</x:v>
      </x:c>
      <x:c r="F49" t="str">
        <x:v>Loja</x:v>
      </x:c>
      <x:c r="G49" t="str">
        <x:v>Acessórios</x:v>
      </x:c>
      <x:c r="H49" t="str">
        <x:v>Hub USB-C</x:v>
      </x:c>
      <x:c r="I49" t="str">
        <x:v>João</x:v>
      </x:c>
      <x:c r="J49" s="53" t="n">
        <x:v>7</x:v>
      </x:c>
      <x:c r="K49" s="54" t="n">
        <x:v>331.71</x:v>
      </x:c>
      <x:c r="L49" s="54" t="n">
        <x:v>140.86</x:v>
      </x:c>
      <x:c r="M49" s="55" t="n">
        <x:v>0</x:v>
      </x:c>
      <x:c r="N49" s="54" t="n">
        <x:f>ROUND(J49*K49,2)</x:f>
        <x:v>2321.97</x:v>
      </x:c>
      <x:c r="O49" s="54" t="n">
        <x:f>ROUND(N49*(1-M49),2)</x:f>
        <x:v>2321.97</x:v>
      </x:c>
      <x:c r="P49" s="54" t="n">
        <x:f>ROUND(J49*L49,2)</x:f>
        <x:v>986.02</x:v>
      </x:c>
      <x:c r="Q49" s="54" t="n">
        <x:f>ROUND(O49-P49,2)</x:f>
        <x:v>1335.95</x:v>
      </x:c>
      <x:c r="R49" s="55" t="n">
        <x:f>IF(O49=0,0,ROUND(Q49/O49,4))</x:f>
        <x:v>0.5754</x:v>
      </x:c>
      <x:c r="S49" s="53" t="n">
        <x:v>11</x:v>
      </x:c>
      <x:c r="T49" t="str">
        <x:v>Entregue com atraso</x:v>
      </x:c>
      <x:c r="U49" t="n">
        <x:v>5</x:v>
      </x:c>
      <x:c r="V49" t="str"/>
    </x:row>
    <x:row r="50">
      <x:c r="A50" s="52" t="n">
        <x:v>46198</x:v>
      </x:c>
      <x:c r="B50" t="str">
        <x:v>PED-100049</x:v>
      </x:c>
      <x:c r="C50" t="str">
        <x:v>Cliente 086</x:v>
      </x:c>
      <x:c r="D50" t="str">
        <x:v>PE</x:v>
      </x:c>
      <x:c r="E50" t="str">
        <x:v>Nordeste</x:v>
      </x:c>
      <x:c r="F50" t="str">
        <x:v>Marketplace</x:v>
      </x:c>
      <x:c r="G50" t="str">
        <x:v>Tecnologia</x:v>
      </x:c>
      <x:c r="H50" t="str">
        <x:v>Monitor 27</x:v>
      </x:c>
      <x:c r="I50" t="str">
        <x:v>Diego</x:v>
      </x:c>
      <x:c r="J50" s="53" t="n">
        <x:v>4</x:v>
      </x:c>
      <x:c r="K50" s="54" t="n">
        <x:v>1747.68</x:v>
      </x:c>
      <x:c r="L50" s="54" t="n">
        <x:v>1093.55</x:v>
      </x:c>
      <x:c r="M50" s="55" t="n">
        <x:v>0.1452</x:v>
      </x:c>
      <x:c r="N50" s="54" t="n">
        <x:f>ROUND(J50*K50,2)</x:f>
        <x:v>6990.72</x:v>
      </x:c>
      <x:c r="O50" s="54" t="n">
        <x:f>ROUND(N50*(1-M50),2)</x:f>
        <x:v>5975.67</x:v>
      </x:c>
      <x:c r="P50" s="54" t="n">
        <x:f>ROUND(J50*L50,2)</x:f>
        <x:v>4374.2</x:v>
      </x:c>
      <x:c r="Q50" s="54" t="n">
        <x:f>ROUND(O50-P50,2)</x:f>
        <x:v>1601.47</x:v>
      </x:c>
      <x:c r="R50" s="55" t="n">
        <x:f>IF(O50=0,0,ROUND(Q50/O50,4))</x:f>
        <x:v>0.268</x:v>
      </x:c>
      <x:c r="S50" s="53" t="n">
        <x:v>8</x:v>
      </x:c>
      <x:c r="T50" t="str">
        <x:v>Entregue</x:v>
      </x:c>
      <x:c r="U50" t="n">
        <x:v>4</x:v>
      </x:c>
      <x:c r="V50" t="str"/>
    </x:row>
    <x:row r="51">
      <x:c r="A51" s="52" t="n">
        <x:v>46027</x:v>
      </x:c>
      <x:c r="B51" t="str">
        <x:v>PED-100050</x:v>
      </x:c>
      <x:c r="C51" t="str">
        <x:v>Cliente 108</x:v>
      </x:c>
      <x:c r="D51" t="str">
        <x:v>SC</x:v>
      </x:c>
      <x:c r="E51" t="str">
        <x:v>Sul</x:v>
      </x:c>
      <x:c r="F51" t="str">
        <x:v>Marketplace</x:v>
      </x:c>
      <x:c r="G51" t="str">
        <x:v>Escritório</x:v>
      </x:c>
      <x:c r="H51" t="str">
        <x:v>Mesa Ajustável</x:v>
      </x:c>
      <x:c r="I51" t="str">
        <x:v>Carla</x:v>
      </x:c>
      <x:c r="J51" s="53" t="n">
        <x:v>3</x:v>
      </x:c>
      <x:c r="K51" s="54" t="n">
        <x:v>2756.83</x:v>
      </x:c>
      <x:c r="L51" s="54" t="n">
        <x:v>1764.84</x:v>
      </x:c>
      <x:c r="M51" s="55" t="n">
        <x:v>0.0356</x:v>
      </x:c>
      <x:c r="N51" s="54" t="n">
        <x:f>ROUND(J51*K51,2)</x:f>
        <x:v>8270.49</x:v>
      </x:c>
      <x:c r="O51" s="54" t="n">
        <x:f>ROUND(N51*(1-M51),2)</x:f>
        <x:v>7976.06</x:v>
      </x:c>
      <x:c r="P51" s="54" t="n">
        <x:f>ROUND(J51*L51,2)</x:f>
        <x:v>5294.52</x:v>
      </x:c>
      <x:c r="Q51" s="54" t="n">
        <x:f>ROUND(O51-P51,2)</x:f>
        <x:v>2681.54</x:v>
      </x:c>
      <x:c r="R51" s="55" t="n">
        <x:f>IF(O51=0,0,ROUND(Q51/O51,4))</x:f>
        <x:v>0.3362</x:v>
      </x:c>
      <x:c r="S51" s="53" t="n">
        <x:v>6</x:v>
      </x:c>
      <x:c r="T51" t="str">
        <x:v>Entregue</x:v>
      </x:c>
      <x:c r="U51" t="n">
        <x:v>4</x:v>
      </x:c>
      <x:c r="V51" t="str"/>
    </x:row>
    <x:row r="52">
      <x:c r="A52" s="52" t="n">
        <x:v>46211</x:v>
      </x:c>
      <x:c r="B52" t="str">
        <x:v>PED-100051</x:v>
      </x:c>
      <x:c r="C52" t="str">
        <x:v>Cliente 043</x:v>
      </x:c>
      <x:c r="D52" t="str">
        <x:v>DF</x:v>
      </x:c>
      <x:c r="E52" t="str">
        <x:v>Centro-Oeste</x:v>
      </x:c>
      <x:c r="F52" t="str">
        <x:v>Loja</x:v>
      </x:c>
      <x:c r="G52" t="str">
        <x:v>Escritório</x:v>
      </x:c>
      <x:c r="H52" t="str">
        <x:v>Cadeira Ergonômica</x:v>
      </x:c>
      <x:c r="I52" t="str">
        <x:v>Carla</x:v>
      </x:c>
      <x:c r="J52" s="53" t="n">
        <x:v>3</x:v>
      </x:c>
      <x:c r="K52" s="54" t="n">
        <x:v>2232.98</x:v>
      </x:c>
      <x:c r="L52" s="54" t="n">
        <x:v>1427.37</x:v>
      </x:c>
      <x:c r="M52" s="55" t="n">
        <x:v>0.0835</x:v>
      </x:c>
      <x:c r="N52" s="54" t="n">
        <x:f>ROUND(J52*K52,2)</x:f>
        <x:v>6698.94</x:v>
      </x:c>
      <x:c r="O52" s="54" t="n">
        <x:f>ROUND(N52*(1-M52),2)</x:f>
        <x:v>6139.58</x:v>
      </x:c>
      <x:c r="P52" s="54" t="n">
        <x:f>ROUND(J52*L52,2)</x:f>
        <x:v>4282.11</x:v>
      </x:c>
      <x:c r="Q52" s="54" t="n">
        <x:f>ROUND(O52-P52,2)</x:f>
        <x:v>1857.47</x:v>
      </x:c>
      <x:c r="R52" s="55" t="n">
        <x:f>IF(O52=0,0,ROUND(Q52/O52,4))</x:f>
        <x:v>0.3025</x:v>
      </x:c>
      <x:c r="S52" s="53" t="n">
        <x:v>10</x:v>
      </x:c>
      <x:c r="T52" t="str">
        <x:v>Entregue</x:v>
      </x:c>
      <x:c r="U52" t="n">
        <x:v>2</x:v>
      </x:c>
      <x:c r="V52" t="str"/>
    </x:row>
    <x:row r="53">
      <x:c r="A53" s="52" t="n">
        <x:v>46207</x:v>
      </x:c>
      <x:c r="B53" t="str">
        <x:v>PED-100052</x:v>
      </x:c>
      <x:c r="C53" t="str">
        <x:v>Cliente 038</x:v>
      </x:c>
      <x:c r="D53" t="str">
        <x:v>GO</x:v>
      </x:c>
      <x:c r="E53" t="str">
        <x:v>Centro-Oeste</x:v>
      </x:c>
      <x:c r="F53" t="str">
        <x:v>Televendas</x:v>
      </x:c>
      <x:c r="G53" t="str">
        <x:v>Escritório</x:v>
      </x:c>
      <x:c r="H53" t="str">
        <x:v>Mesa Ajustável</x:v>
      </x:c>
      <x:c r="I53" t="str">
        <x:v>Elaine</x:v>
      </x:c>
      <x:c r="J53" s="53" t="n">
        <x:v>3</x:v>
      </x:c>
      <x:c r="K53" s="54" t="n">
        <x:v>2882.92</x:v>
      </x:c>
      <x:c r="L53" s="54" t="n">
        <x:v>1831.12</x:v>
      </x:c>
      <x:c r="M53" s="55" t="n">
        <x:v>0</x:v>
      </x:c>
      <x:c r="N53" s="54" t="n">
        <x:f>ROUND(J53*K53,2)</x:f>
        <x:v>8648.76</x:v>
      </x:c>
      <x:c r="O53" s="54" t="n">
        <x:f>ROUND(N53*(1-M53),2)</x:f>
        <x:v>8648.76</x:v>
      </x:c>
      <x:c r="P53" s="54" t="n">
        <x:f>ROUND(J53*L53,2)</x:f>
        <x:v>5493.36</x:v>
      </x:c>
      <x:c r="Q53" s="54" t="n">
        <x:f>ROUND(O53-P53,2)</x:f>
        <x:v>3155.4</x:v>
      </x:c>
      <x:c r="R53" s="55" t="n">
        <x:f>IF(O53=0,0,ROUND(Q53/O53,4))</x:f>
        <x:v>0.3648</x:v>
      </x:c>
      <x:c r="S53" s="53" t="n">
        <x:v>10</x:v>
      </x:c>
      <x:c r="T53" t="str">
        <x:v>Entregue</x:v>
      </x:c>
      <x:c r="U53" t="n">
        <x:v>3</x:v>
      </x:c>
      <x:c r="V53" t="str"/>
    </x:row>
    <x:row r="54">
      <x:c r="A54" s="52" t="n">
        <x:v>46197</x:v>
      </x:c>
      <x:c r="B54" t="str">
        <x:v>PED-100053</x:v>
      </x:c>
      <x:c r="C54" t="str">
        <x:v>Cliente 048</x:v>
      </x:c>
      <x:c r="D54" t="str">
        <x:v>CE</x:v>
      </x:c>
      <x:c r="E54" t="str">
        <x:v>Nordeste</x:v>
      </x:c>
      <x:c r="F54" t="str">
        <x:v>E-commerce</x:v>
      </x:c>
      <x:c r="G54" t="str">
        <x:v>Acessórios</x:v>
      </x:c>
      <x:c r="H54" t="str">
        <x:v>Hub USB-C</x:v>
      </x:c>
      <x:c r="I54" t="str">
        <x:v>Diego</x:v>
      </x:c>
      <x:c r="J54" s="53" t="n">
        <x:v>6</x:v>
      </x:c>
      <x:c r="K54" s="54" t="n">
        <x:v>315.51</x:v>
      </x:c>
      <x:c r="L54" s="54" t="n">
        <x:v>143.28</x:v>
      </x:c>
      <x:c r="M54" s="55" t="n">
        <x:v>0</x:v>
      </x:c>
      <x:c r="N54" s="54" t="n">
        <x:f>ROUND(J54*K54,2)</x:f>
        <x:v>1893.06</x:v>
      </x:c>
      <x:c r="O54" s="54" t="n">
        <x:f>ROUND(N54*(1-M54),2)</x:f>
        <x:v>1893.06</x:v>
      </x:c>
      <x:c r="P54" s="54" t="n">
        <x:f>ROUND(J54*L54,2)</x:f>
        <x:v>859.68</x:v>
      </x:c>
      <x:c r="Q54" s="54" t="n">
        <x:f>ROUND(O54-P54,2)</x:f>
        <x:v>1033.38</x:v>
      </x:c>
      <x:c r="R54" s="55" t="n">
        <x:f>IF(O54=0,0,ROUND(Q54/O54,4))</x:f>
        <x:v>0.5459</x:v>
      </x:c>
      <x:c r="S54" s="53" t="n">
        <x:v>14</x:v>
      </x:c>
      <x:c r="T54" t="str">
        <x:v>Entregue com atraso</x:v>
      </x:c>
      <x:c r="U54" t="n">
        <x:v>3</x:v>
      </x:c>
      <x:c r="V54" t="str"/>
    </x:row>
    <x:row r="55">
      <x:c r="A55" s="52" t="n">
        <x:v>46091</x:v>
      </x:c>
      <x:c r="B55" t="str">
        <x:v>PED-100054</x:v>
      </x:c>
      <x:c r="C55" t="str">
        <x:v>Cliente 076</x:v>
      </x:c>
      <x:c r="D55" t="str">
        <x:v>PE</x:v>
      </x:c>
      <x:c r="E55" t="str">
        <x:v>Nordeste</x:v>
      </x:c>
      <x:c r="F55" t="str">
        <x:v>Loja</x:v>
      </x:c>
      <x:c r="G55" t="str">
        <x:v>Tecnologia</x:v>
      </x:c>
      <x:c r="H55" t="str">
        <x:v>Monitor 27</x:v>
      </x:c>
      <x:c r="I55" t="str">
        <x:v>Felipe</x:v>
      </x:c>
      <x:c r="J55" s="53" t="n">
        <x:v>5</x:v>
      </x:c>
      <x:c r="K55" s="54" t="n">
        <x:v>1720.18</x:v>
      </x:c>
      <x:c r="L55" s="54" t="n">
        <x:v>1138</x:v>
      </x:c>
      <x:c r="M55" s="55" t="n">
        <x:v>0</x:v>
      </x:c>
      <x:c r="N55" s="54" t="n">
        <x:f>ROUND(J55*K55,2)</x:f>
        <x:v>8600.9</x:v>
      </x:c>
      <x:c r="O55" s="54" t="n">
        <x:f>ROUND(N55*(1-M55),2)</x:f>
        <x:v>8600.9</x:v>
      </x:c>
      <x:c r="P55" s="54" t="n">
        <x:f>ROUND(J55*L55,2)</x:f>
        <x:v>5690</x:v>
      </x:c>
      <x:c r="Q55" s="54" t="n">
        <x:f>ROUND(O55-P55,2)</x:f>
        <x:v>2910.9</x:v>
      </x:c>
      <x:c r="R55" s="55" t="n">
        <x:f>IF(O55=0,0,ROUND(Q55/O55,4))</x:f>
        <x:v>0.3384</x:v>
      </x:c>
      <x:c r="S55" s="53" t="n">
        <x:v>5</x:v>
      </x:c>
      <x:c r="T55" t="str">
        <x:v>Entregue</x:v>
      </x:c>
      <x:c r="U55" t="n">
        <x:v>5</x:v>
      </x:c>
      <x:c r="V55" t="str"/>
    </x:row>
    <x:row r="56">
      <x:c r="A56" s="52" t="n">
        <x:v>46192</x:v>
      </x:c>
      <x:c r="B56" t="str">
        <x:v>PED-100055</x:v>
      </x:c>
      <x:c r="C56" t="str">
        <x:v>Cliente 099</x:v>
      </x:c>
      <x:c r="D56" t="str">
        <x:v>SC</x:v>
      </x:c>
      <x:c r="E56" t="str">
        <x:v>Sul</x:v>
      </x:c>
      <x:c r="F56" t="str">
        <x:v>E-commerce</x:v>
      </x:c>
      <x:c r="G56" t="str">
        <x:v>Casa</x:v>
      </x:c>
      <x:c r="H56" t="str">
        <x:v>Aspirador Robô</x:v>
      </x:c>
      <x:c r="I56" t="str">
        <x:v>Isabela</x:v>
      </x:c>
      <x:c r="J56" s="53" t="n">
        <x:v>7</x:v>
      </x:c>
      <x:c r="K56" s="54" t="n">
        <x:v>1844.26</x:v>
      </x:c>
      <x:c r="L56" s="54" t="n">
        <x:v>1186.5</x:v>
      </x:c>
      <x:c r="M56" s="55" t="n">
        <x:v>0.0879</x:v>
      </x:c>
      <x:c r="N56" s="54" t="n">
        <x:f>ROUND(J56*K56,2)</x:f>
        <x:v>12909.82</x:v>
      </x:c>
      <x:c r="O56" s="54" t="n">
        <x:f>ROUND(N56*(1-M56),2)</x:f>
        <x:v>11775.05</x:v>
      </x:c>
      <x:c r="P56" s="54" t="n">
        <x:f>ROUND(J56*L56,2)</x:f>
        <x:v>8305.5</x:v>
      </x:c>
      <x:c r="Q56" s="54" t="n">
        <x:f>ROUND(O56-P56,2)</x:f>
        <x:v>3469.55</x:v>
      </x:c>
      <x:c r="R56" s="55" t="n">
        <x:f>IF(O56=0,0,ROUND(Q56/O56,4))</x:f>
        <x:v>0.2947</x:v>
      </x:c>
      <x:c r="S56" s="53" t="n">
        <x:v>11</x:v>
      </x:c>
      <x:c r="T56" t="str">
        <x:v>Entregue com atraso</x:v>
      </x:c>
      <x:c r="U56" t="n">
        <x:v>2</x:v>
      </x:c>
      <x:c r="V56" t="str"/>
    </x:row>
    <x:row r="57">
      <x:c r="A57" s="52" t="n">
        <x:v>46201</x:v>
      </x:c>
      <x:c r="B57" t="str">
        <x:v>PED-100056</x:v>
      </x:c>
      <x:c r="C57" t="str">
        <x:v>Cliente 074</x:v>
      </x:c>
      <x:c r="D57" t="str">
        <x:v>BA</x:v>
      </x:c>
      <x:c r="E57" t="str">
        <x:v>Nordeste</x:v>
      </x:c>
      <x:c r="F57" t="str">
        <x:v>Televendas</x:v>
      </x:c>
      <x:c r="G57" t="str">
        <x:v>Acessórios</x:v>
      </x:c>
      <x:c r="H57" t="str">
        <x:v>Webcam HD</x:v>
      </x:c>
      <x:c r="I57" t="str">
        <x:v>Ana</x:v>
      </x:c>
      <x:c r="J57" s="53" t="n">
        <x:v>5</x:v>
      </x:c>
      <x:c r="K57" s="54" t="n">
        <x:v>519.97</x:v>
      </x:c>
      <x:c r="L57" s="54" t="n">
        <x:v>258.96</x:v>
      </x:c>
      <x:c r="M57" s="55" t="n">
        <x:v>0</x:v>
      </x:c>
      <x:c r="N57" s="54" t="n">
        <x:f>ROUND(J57*K57,2)</x:f>
        <x:v>2599.85</x:v>
      </x:c>
      <x:c r="O57" s="54" t="n">
        <x:f>ROUND(N57*(1-M57),2)</x:f>
        <x:v>2599.85</x:v>
      </x:c>
      <x:c r="P57" s="54" t="n">
        <x:f>ROUND(J57*L57,2)</x:f>
        <x:v>1294.8</x:v>
      </x:c>
      <x:c r="Q57" s="54" t="n">
        <x:f>ROUND(O57-P57,2)</x:f>
        <x:v>1305.05</x:v>
      </x:c>
      <x:c r="R57" s="55" t="n">
        <x:f>IF(O57=0,0,ROUND(Q57/O57,4))</x:f>
        <x:v>0.502</x:v>
      </x:c>
      <x:c r="S57" s="53" t="n">
        <x:v>9</x:v>
      </x:c>
      <x:c r="T57" t="str">
        <x:v>Entregue</x:v>
      </x:c>
      <x:c r="U57" t="n">
        <x:v>4</x:v>
      </x:c>
      <x:c r="V57" t="str"/>
    </x:row>
    <x:row r="58">
      <x:c r="A58" s="52" t="n">
        <x:v>46212</x:v>
      </x:c>
      <x:c r="B58" t="str">
        <x:v>PED-100057</x:v>
      </x:c>
      <x:c r="C58" t="str">
        <x:v>Cliente 035</x:v>
      </x:c>
      <x:c r="D58" t="str">
        <x:v>BA</x:v>
      </x:c>
      <x:c r="E58" t="str">
        <x:v>Nordeste</x:v>
      </x:c>
      <x:c r="F58" t="str">
        <x:v>Televendas</x:v>
      </x:c>
      <x:c r="G58" t="str">
        <x:v>Tecnologia</x:v>
      </x:c>
      <x:c r="H58" t="str">
        <x:v>Headset Office</x:v>
      </x:c>
      <x:c r="I58" t="str">
        <x:v>Gabriela</x:v>
      </x:c>
      <x:c r="J58" s="53" t="n">
        <x:v>5</x:v>
      </x:c>
      <x:c r="K58" s="54" t="n">
        <x:v>375.18</x:v>
      </x:c>
      <x:c r="L58" s="54" t="n">
        <x:v>226.18</x:v>
      </x:c>
      <x:c r="M58" s="55" t="n">
        <x:v>0.1045</x:v>
      </x:c>
      <x:c r="N58" s="54" t="n">
        <x:f>ROUND(J58*K58,2)</x:f>
        <x:v>1875.9</x:v>
      </x:c>
      <x:c r="O58" s="54" t="n">
        <x:f>ROUND(N58*(1-M58),2)</x:f>
        <x:v>1679.87</x:v>
      </x:c>
      <x:c r="P58" s="54" t="n">
        <x:f>ROUND(J58*L58,2)</x:f>
        <x:v>1130.9</x:v>
      </x:c>
      <x:c r="Q58" s="54" t="n">
        <x:f>ROUND(O58-P58,2)</x:f>
        <x:v>548.97</x:v>
      </x:c>
      <x:c r="R58" s="55" t="n">
        <x:f>IF(O58=0,0,ROUND(Q58/O58,4))</x:f>
        <x:v>0.3268</x:v>
      </x:c>
      <x:c r="S58" s="53" t="n">
        <x:v>7</x:v>
      </x:c>
      <x:c r="T58" t="str">
        <x:v>Entregue</x:v>
      </x:c>
      <x:c r="U58" t="n">
        <x:v>3</x:v>
      </x:c>
      <x:c r="V58" t="str"/>
    </x:row>
    <x:row r="59">
      <x:c r="A59" s="52" t="n">
        <x:v>46119</x:v>
      </x:c>
      <x:c r="B59" t="str">
        <x:v>PED-100058</x:v>
      </x:c>
      <x:c r="C59" t="str">
        <x:v>Cliente 094</x:v>
      </x:c>
      <x:c r="D59" t="str">
        <x:v>MT</x:v>
      </x:c>
      <x:c r="E59" t="str">
        <x:v>Centro-Oeste</x:v>
      </x:c>
      <x:c r="F59" t="str">
        <x:v>Televendas</x:v>
      </x:c>
      <x:c r="G59" t="str">
        <x:v>Casa</x:v>
      </x:c>
      <x:c r="H59" t="str">
        <x:v>Cafeteira Smart</x:v>
      </x:c>
      <x:c r="I59" t="str">
        <x:v>Elaine</x:v>
      </x:c>
      <x:c r="J59" s="53" t="n">
        <x:v>1</x:v>
      </x:c>
      <x:c r="K59" s="54" t="n">
        <x:v>786.98</x:v>
      </x:c>
      <x:c r="L59" s="54" t="n">
        <x:v>449.25</x:v>
      </x:c>
      <x:c r="M59" s="55" t="n">
        <x:v>0.0238</x:v>
      </x:c>
      <x:c r="N59" s="54" t="n">
        <x:f>ROUND(J59*K59,2)</x:f>
        <x:v>786.98</x:v>
      </x:c>
      <x:c r="O59" s="54" t="n">
        <x:f>ROUND(N59*(1-M59),2)</x:f>
        <x:v>768.25</x:v>
      </x:c>
      <x:c r="P59" s="54" t="n">
        <x:f>ROUND(J59*L59,2)</x:f>
        <x:v>449.25</x:v>
      </x:c>
      <x:c r="Q59" s="54" t="n">
        <x:f>ROUND(O59-P59,2)</x:f>
        <x:v>319</x:v>
      </x:c>
      <x:c r="R59" s="55" t="n">
        <x:f>IF(O59=0,0,ROUND(Q59/O59,4))</x:f>
        <x:v>0.4152</x:v>
      </x:c>
      <x:c r="S59" s="53" t="n">
        <x:v>2</x:v>
      </x:c>
      <x:c r="T59" t="str">
        <x:v>Entregue</x:v>
      </x:c>
      <x:c r="U59" t="n">
        <x:v>5</x:v>
      </x:c>
      <x:c r="V59" t="str"/>
    </x:row>
    <x:row r="60">
      <x:c r="A60" s="52" t="n">
        <x:v>46122</x:v>
      </x:c>
      <x:c r="B60" t="str">
        <x:v>PED-100059</x:v>
      </x:c>
      <x:c r="C60" t="str">
        <x:v>Cliente 062</x:v>
      </x:c>
      <x:c r="D60" t="str">
        <x:v>GO</x:v>
      </x:c>
      <x:c r="E60" t="str">
        <x:v>Centro-Oeste</x:v>
      </x:c>
      <x:c r="F60" t="str">
        <x:v>E-commerce</x:v>
      </x:c>
      <x:c r="G60" t="str">
        <x:v>Casa</x:v>
      </x:c>
      <x:c r="H60" t="str">
        <x:v>Aspirador Robô</x:v>
      </x:c>
      <x:c r="I60" t="str">
        <x:v>Gabriela</x:v>
      </x:c>
      <x:c r="J60" s="53" t="n">
        <x:v>7</x:v>
      </x:c>
      <x:c r="K60" s="54" t="n">
        <x:v>1836.73</x:v>
      </x:c>
      <x:c r="L60" s="54" t="n">
        <x:v>1148.49</x:v>
      </x:c>
      <x:c r="M60" s="55" t="n">
        <x:v>0</x:v>
      </x:c>
      <x:c r="N60" s="54" t="n">
        <x:f>ROUND(J60*K60,2)</x:f>
        <x:v>12857.11</x:v>
      </x:c>
      <x:c r="O60" s="54" t="n">
        <x:f>ROUND(N60*(1-M60),2)</x:f>
        <x:v>12857.11</x:v>
      </x:c>
      <x:c r="P60" s="54" t="n">
        <x:f>ROUND(J60*L60,2)</x:f>
        <x:v>8039.43</x:v>
      </x:c>
      <x:c r="Q60" s="54" t="n">
        <x:f>ROUND(O60-P60,2)</x:f>
        <x:v>4817.68</x:v>
      </x:c>
      <x:c r="R60" s="55" t="n">
        <x:f>IF(O60=0,0,ROUND(Q60/O60,4))</x:f>
        <x:v>0.3747</x:v>
      </x:c>
      <x:c r="S60" s="53" t="n">
        <x:v>11</x:v>
      </x:c>
      <x:c r="T60" t="str">
        <x:v>Entregue com atraso</x:v>
      </x:c>
      <x:c r="U60" t="n">
        <x:v>4</x:v>
      </x:c>
      <x:c r="V60" t="str"/>
    </x:row>
    <x:row r="61">
      <x:c r="A61" s="52" t="n">
        <x:v>46167</x:v>
      </x:c>
      <x:c r="B61" t="str">
        <x:v>PED-100060</x:v>
      </x:c>
      <x:c r="C61" t="str">
        <x:v>Cliente 115</x:v>
      </x:c>
      <x:c r="D61" t="str">
        <x:v>AM</x:v>
      </x:c>
      <x:c r="E61" t="str">
        <x:v>Norte</x:v>
      </x:c>
      <x:c r="F61" t="str">
        <x:v>Loja</x:v>
      </x:c>
      <x:c r="G61" t="str">
        <x:v>Casa</x:v>
      </x:c>
      <x:c r="H61" t="str">
        <x:v>Aspirador Robô</x:v>
      </x:c>
      <x:c r="I61" t="str">
        <x:v>Carla</x:v>
      </x:c>
      <x:c r="J61" s="53" t="n">
        <x:v>1</x:v>
      </x:c>
      <x:c r="K61" s="54" t="n">
        <x:v>1999.48</x:v>
      </x:c>
      <x:c r="L61" s="54" t="n">
        <x:v>1200.36</x:v>
      </x:c>
      <x:c r="M61" s="55" t="n">
        <x:v>0.0716</x:v>
      </x:c>
      <x:c r="N61" s="54" t="n">
        <x:f>ROUND(J61*K61,2)</x:f>
        <x:v>1999.48</x:v>
      </x:c>
      <x:c r="O61" s="54" t="n">
        <x:f>ROUND(N61*(1-M61),2)</x:f>
        <x:v>1856.32</x:v>
      </x:c>
      <x:c r="P61" s="54" t="n">
        <x:f>ROUND(J61*L61,2)</x:f>
        <x:v>1200.36</x:v>
      </x:c>
      <x:c r="Q61" s="54" t="n">
        <x:f>ROUND(O61-P61,2)</x:f>
        <x:v>655.96</x:v>
      </x:c>
      <x:c r="R61" s="55" t="n">
        <x:f>IF(O61=0,0,ROUND(Q61/O61,4))</x:f>
        <x:v>0.3534</x:v>
      </x:c>
      <x:c r="S61" s="53" t="n">
        <x:v>8</x:v>
      </x:c>
      <x:c r="T61" t="str">
        <x:v>Entregue</x:v>
      </x:c>
      <x:c r="U61" t="n">
        <x:v>4</x:v>
      </x:c>
      <x:c r="V61" t="str"/>
    </x:row>
    <x:row r="62">
      <x:c r="A62" s="52" t="n">
        <x:v>46234</x:v>
      </x:c>
      <x:c r="B62" t="str">
        <x:v>PED-100061</x:v>
      </x:c>
      <x:c r="C62" t="str">
        <x:v>Cliente 028</x:v>
      </x:c>
      <x:c r="D62" t="str">
        <x:v>GO</x:v>
      </x:c>
      <x:c r="E62" t="str">
        <x:v>Centro-Oeste</x:v>
      </x:c>
      <x:c r="F62" t="str">
        <x:v>Televendas</x:v>
      </x:c>
      <x:c r="G62" t="str">
        <x:v>Acessórios</x:v>
      </x:c>
      <x:c r="H62" t="str">
        <x:v>Mochila Executiva</x:v>
      </x:c>
      <x:c r="I62" t="str">
        <x:v>Ana</x:v>
      </x:c>
      <x:c r="J62" s="53" t="n">
        <x:v>7</x:v>
      </x:c>
      <x:c r="K62" s="54" t="n">
        <x:v>442.41</x:v>
      </x:c>
      <x:c r="L62" s="54" t="n">
        <x:v>193.96</x:v>
      </x:c>
      <x:c r="M62" s="55" t="n">
        <x:v>0</x:v>
      </x:c>
      <x:c r="N62" s="54" t="n">
        <x:f>ROUND(J62*K62,2)</x:f>
        <x:v>3096.87</x:v>
      </x:c>
      <x:c r="O62" s="54" t="n">
        <x:f>ROUND(N62*(1-M62),2)</x:f>
        <x:v>3096.87</x:v>
      </x:c>
      <x:c r="P62" s="54" t="n">
        <x:f>ROUND(J62*L62,2)</x:f>
        <x:v>1357.72</x:v>
      </x:c>
      <x:c r="Q62" s="54" t="n">
        <x:f>ROUND(O62-P62,2)</x:f>
        <x:v>1739.15</x:v>
      </x:c>
      <x:c r="R62" s="55" t="n">
        <x:f>IF(O62=0,0,ROUND(Q62/O62,4))</x:f>
        <x:v>0.5616</x:v>
      </x:c>
      <x:c r="S62" s="53" t="n">
        <x:v>8</x:v>
      </x:c>
      <x:c r="T62" t="str">
        <x:v>Entregue</x:v>
      </x:c>
      <x:c r="U62" t="n">
        <x:v>3</x:v>
      </x:c>
      <x:c r="V62" t="str"/>
    </x:row>
    <x:row r="63">
      <x:c r="A63" s="52" t="n">
        <x:v>46191</x:v>
      </x:c>
      <x:c r="B63" t="str">
        <x:v>PED-100062</x:v>
      </x:c>
      <x:c r="C63" t="str">
        <x:v>Cliente 114</x:v>
      </x:c>
      <x:c r="D63" t="str">
        <x:v>PE</x:v>
      </x:c>
      <x:c r="E63" t="str">
        <x:v>Nordeste</x:v>
      </x:c>
      <x:c r="F63" t="str">
        <x:v>Loja</x:v>
      </x:c>
      <x:c r="G63" t="str">
        <x:v>Acessórios</x:v>
      </x:c>
      <x:c r="H63" t="str">
        <x:v>Webcam HD</x:v>
      </x:c>
      <x:c r="I63" t="str">
        <x:v>Ana</x:v>
      </x:c>
      <x:c r="J63" s="53" t="n">
        <x:v>7</x:v>
      </x:c>
      <x:c r="K63" s="54" t="n">
        <x:v>516.08</x:v>
      </x:c>
      <x:c r="L63" s="54" t="n">
        <x:v>238.46</x:v>
      </x:c>
      <x:c r="M63" s="55" t="n">
        <x:v>0.0511</x:v>
      </x:c>
      <x:c r="N63" s="54" t="n">
        <x:f>ROUND(J63*K63,2)</x:f>
        <x:v>3612.56</x:v>
      </x:c>
      <x:c r="O63" s="54" t="n">
        <x:f>ROUND(N63*(1-M63),2)</x:f>
        <x:v>3427.96</x:v>
      </x:c>
      <x:c r="P63" s="54" t="n">
        <x:f>ROUND(J63*L63,2)</x:f>
        <x:v>1669.22</x:v>
      </x:c>
      <x:c r="Q63" s="54" t="n">
        <x:f>ROUND(O63-P63,2)</x:f>
        <x:v>1758.74</x:v>
      </x:c>
      <x:c r="R63" s="55" t="n">
        <x:f>IF(O63=0,0,ROUND(Q63/O63,4))</x:f>
        <x:v>0.5131</x:v>
      </x:c>
      <x:c r="S63" s="53" t="n">
        <x:v>3</x:v>
      </x:c>
      <x:c r="T63" t="str">
        <x:v>Entregue</x:v>
      </x:c>
      <x:c r="U63" t="n">
        <x:v>5</x:v>
      </x:c>
      <x:c r="V63" t="str"/>
    </x:row>
    <x:row r="64">
      <x:c r="A64" s="52" t="n">
        <x:v>46038</x:v>
      </x:c>
      <x:c r="B64" t="str">
        <x:v>PED-100063</x:v>
      </x:c>
      <x:c r="C64" t="str">
        <x:v>Cliente 042</x:v>
      </x:c>
      <x:c r="D64" t="str">
        <x:v>CE</x:v>
      </x:c>
      <x:c r="E64" t="str">
        <x:v>Nordeste</x:v>
      </x:c>
      <x:c r="F64" t="str">
        <x:v>Marketplace</x:v>
      </x:c>
      <x:c r="G64" t="str">
        <x:v>Casa</x:v>
      </x:c>
      <x:c r="H64" t="str">
        <x:v>Cafeteira Smart</x:v>
      </x:c>
      <x:c r="I64" t="str">
        <x:v>Felipe</x:v>
      </x:c>
      <x:c r="J64" s="53" t="n">
        <x:v>8</x:v>
      </x:c>
      <x:c r="K64" s="54" t="n">
        <x:v>810.94</x:v>
      </x:c>
      <x:c r="L64" s="54" t="n">
        <x:v>467.37</x:v>
      </x:c>
      <x:c r="M64" s="55" t="n">
        <x:v>0.0726</x:v>
      </x:c>
      <x:c r="N64" s="54" t="n">
        <x:f>ROUND(J64*K64,2)</x:f>
        <x:v>6487.52</x:v>
      </x:c>
      <x:c r="O64" s="54" t="n">
        <x:f>ROUND(N64*(1-M64),2)</x:f>
        <x:v>6016.53</x:v>
      </x:c>
      <x:c r="P64" s="54" t="n">
        <x:f>ROUND(J64*L64,2)</x:f>
        <x:v>3738.96</x:v>
      </x:c>
      <x:c r="Q64" s="54" t="n">
        <x:f>ROUND(O64-P64,2)</x:f>
        <x:v>2277.57</x:v>
      </x:c>
      <x:c r="R64" s="55" t="n">
        <x:f>IF(O64=0,0,ROUND(Q64/O64,4))</x:f>
        <x:v>0.3786</x:v>
      </x:c>
      <x:c r="S64" s="53" t="n">
        <x:v>9</x:v>
      </x:c>
      <x:c r="T64" t="str">
        <x:v>Entregue</x:v>
      </x:c>
      <x:c r="U64" t="n">
        <x:v>4</x:v>
      </x:c>
      <x:c r="V64" t="str"/>
    </x:row>
    <x:row r="65">
      <x:c r="A65" s="52" t="n">
        <x:v>46070</x:v>
      </x:c>
      <x:c r="B65" t="str">
        <x:v>PED-100064</x:v>
      </x:c>
      <x:c r="C65" t="str">
        <x:v>Cliente 095</x:v>
      </x:c>
      <x:c r="D65" t="str">
        <x:v>SC</x:v>
      </x:c>
      <x:c r="E65" t="str">
        <x:v>Sul</x:v>
      </x:c>
      <x:c r="F65" t="str">
        <x:v>Loja</x:v>
      </x:c>
      <x:c r="G65" t="str">
        <x:v>Escritório</x:v>
      </x:c>
      <x:c r="H65" t="str">
        <x:v>Cadeira Ergonômica</x:v>
      </x:c>
      <x:c r="I65" t="str">
        <x:v>Gabriela</x:v>
      </x:c>
      <x:c r="J65" s="53" t="n">
        <x:v>1</x:v>
      </x:c>
      <x:c r="K65" s="54" t="n">
        <x:v>2264.85</x:v>
      </x:c>
      <x:c r="L65" s="54" t="n">
        <x:v>1446.07</x:v>
      </x:c>
      <x:c r="M65" s="55" t="n">
        <x:v>0</x:v>
      </x:c>
      <x:c r="N65" s="54" t="n">
        <x:f>ROUND(J65*K65,2)</x:f>
        <x:v>2264.85</x:v>
      </x:c>
      <x:c r="O65" s="54" t="n">
        <x:f>ROUND(N65*(1-M65),2)</x:f>
        <x:v>2264.85</x:v>
      </x:c>
      <x:c r="P65" s="54" t="n">
        <x:f>ROUND(J65*L65,2)</x:f>
        <x:v>1446.07</x:v>
      </x:c>
      <x:c r="Q65" s="54" t="n">
        <x:f>ROUND(O65-P65,2)</x:f>
        <x:v>818.78</x:v>
      </x:c>
      <x:c r="R65" s="55" t="n">
        <x:f>IF(O65=0,0,ROUND(Q65/O65,4))</x:f>
        <x:v>0.3615</x:v>
      </x:c>
      <x:c r="S65" s="53" t="n">
        <x:v>8</x:v>
      </x:c>
      <x:c r="T65" t="str">
        <x:v>Entregue</x:v>
      </x:c>
      <x:c r="U65" t="n">
        <x:v>5</x:v>
      </x:c>
      <x:c r="V65" t="str"/>
    </x:row>
    <x:row r="66">
      <x:c r="A66" s="52" t="n">
        <x:v>46087</x:v>
      </x:c>
      <x:c r="B66" t="str">
        <x:v>PED-100065</x:v>
      </x:c>
      <x:c r="C66" t="str">
        <x:v>Cliente 109</x:v>
      </x:c>
      <x:c r="D66" t="str">
        <x:v>BA</x:v>
      </x:c>
      <x:c r="E66" t="str">
        <x:v>Nordeste</x:v>
      </x:c>
      <x:c r="F66" t="str">
        <x:v>Loja</x:v>
      </x:c>
      <x:c r="G66" t="str">
        <x:v>Casa</x:v>
      </x:c>
      <x:c r="H66" t="str">
        <x:v>Purificador</x:v>
      </x:c>
      <x:c r="I66" t="str">
        <x:v>Bruno</x:v>
      </x:c>
      <x:c r="J66" s="53" t="n">
        <x:v>4</x:v>
      </x:c>
      <x:c r="K66" s="54" t="n">
        <x:v>1225.35</x:v>
      </x:c>
      <x:c r="L66" s="54" t="n">
        <x:v>798.81</x:v>
      </x:c>
      <x:c r="M66" s="55" t="n">
        <x:v>0</x:v>
      </x:c>
      <x:c r="N66" s="54" t="n">
        <x:f>ROUND(J66*K66,2)</x:f>
        <x:v>4901.4</x:v>
      </x:c>
      <x:c r="O66" s="54" t="n">
        <x:f>ROUND(N66*(1-M66),2)</x:f>
        <x:v>4901.4</x:v>
      </x:c>
      <x:c r="P66" s="54" t="n">
        <x:f>ROUND(J66*L66,2)</x:f>
        <x:v>3195.24</x:v>
      </x:c>
      <x:c r="Q66" s="54" t="n">
        <x:f>ROUND(O66-P66,2)</x:f>
        <x:v>1706.16</x:v>
      </x:c>
      <x:c r="R66" s="55" t="n">
        <x:f>IF(O66=0,0,ROUND(Q66/O66,4))</x:f>
        <x:v>0.3481</x:v>
      </x:c>
      <x:c r="S66" s="53" t="n">
        <x:v>8</x:v>
      </x:c>
      <x:c r="T66" t="str">
        <x:v>Entregue</x:v>
      </x:c>
      <x:c r="U66" t="n">
        <x:v>5</x:v>
      </x:c>
      <x:c r="V66" t="str"/>
    </x:row>
    <x:row r="67">
      <x:c r="A67" s="52" t="n">
        <x:v>46185</x:v>
      </x:c>
      <x:c r="B67" t="str">
        <x:v>PED-100066</x:v>
      </x:c>
      <x:c r="C67" t="str">
        <x:v>Cliente 066</x:v>
      </x:c>
      <x:c r="D67" t="str">
        <x:v>SC</x:v>
      </x:c>
      <x:c r="E67" t="str">
        <x:v>Sul</x:v>
      </x:c>
      <x:c r="F67" t="str">
        <x:v>Loja</x:v>
      </x:c>
      <x:c r="G67" t="str">
        <x:v>Escritório</x:v>
      </x:c>
      <x:c r="H67" t="str">
        <x:v>Mesa Ajustável</x:v>
      </x:c>
      <x:c r="I67" t="str">
        <x:v>Gabriela</x:v>
      </x:c>
      <x:c r="J67" s="53" t="n">
        <x:v>4</x:v>
      </x:c>
      <x:c r="K67" s="54" t="n">
        <x:v>2672.59</x:v>
      </x:c>
      <x:c r="L67" s="54" t="n">
        <x:v>1754.93</x:v>
      </x:c>
      <x:c r="M67" s="55" t="n">
        <x:v>0.0018</x:v>
      </x:c>
      <x:c r="N67" s="54" t="n">
        <x:f>ROUND(J67*K67,2)</x:f>
        <x:v>10690.36</x:v>
      </x:c>
      <x:c r="O67" s="54" t="n">
        <x:f>ROUND(N67*(1-M67),2)</x:f>
        <x:v>10671.12</x:v>
      </x:c>
      <x:c r="P67" s="54" t="n">
        <x:f>ROUND(J67*L67,2)</x:f>
        <x:v>7019.72</x:v>
      </x:c>
      <x:c r="Q67" s="54" t="n">
        <x:f>ROUND(O67-P67,2)</x:f>
        <x:v>3651.4</x:v>
      </x:c>
      <x:c r="R67" s="55" t="n">
        <x:f>IF(O67=0,0,ROUND(Q67/O67,4))</x:f>
        <x:v>0.3422</x:v>
      </x:c>
      <x:c r="S67" s="53" t="n">
        <x:v>11</x:v>
      </x:c>
      <x:c r="T67" t="str">
        <x:v>Entregue com atraso</x:v>
      </x:c>
      <x:c r="U67" t="n">
        <x:v>3</x:v>
      </x:c>
      <x:c r="V67" t="str"/>
    </x:row>
    <x:row r="68">
      <x:c r="A68" s="52" t="n">
        <x:v>46137</x:v>
      </x:c>
      <x:c r="B68" t="str">
        <x:v>PED-100067</x:v>
      </x:c>
      <x:c r="C68" t="str">
        <x:v>Cliente 065</x:v>
      </x:c>
      <x:c r="D68" t="str">
        <x:v>GO</x:v>
      </x:c>
      <x:c r="E68" t="str">
        <x:v>Centro-Oeste</x:v>
      </x:c>
      <x:c r="F68" t="str">
        <x:v>Marketplace</x:v>
      </x:c>
      <x:c r="G68" t="str">
        <x:v>Tecnologia</x:v>
      </x:c>
      <x:c r="H68" t="str">
        <x:v>Notebook Pro</x:v>
      </x:c>
      <x:c r="I68" t="str">
        <x:v>Gabriela</x:v>
      </x:c>
      <x:c r="J68" s="53" t="n">
        <x:v>7</x:v>
      </x:c>
      <x:c r="K68" s="54" t="n">
        <x:v>5919.07</x:v>
      </x:c>
      <x:c r="L68" s="54" t="n">
        <x:v>4200.27</x:v>
      </x:c>
      <x:c r="M68" s="55" t="n">
        <x:v>0.035</x:v>
      </x:c>
      <x:c r="N68" s="54" t="n">
        <x:f>ROUND(J68*K68,2)</x:f>
        <x:v>41433.49</x:v>
      </x:c>
      <x:c r="O68" s="54" t="n">
        <x:f>ROUND(N68*(1-M68),2)</x:f>
        <x:v>39983.32</x:v>
      </x:c>
      <x:c r="P68" s="54" t="n">
        <x:f>ROUND(J68*L68,2)</x:f>
        <x:v>29401.89</x:v>
      </x:c>
      <x:c r="Q68" s="54" t="n">
        <x:f>ROUND(O68-P68,2)</x:f>
        <x:v>10581.43</x:v>
      </x:c>
      <x:c r="R68" s="55" t="n">
        <x:f>IF(O68=0,0,ROUND(Q68/O68,4))</x:f>
        <x:v>0.2646</x:v>
      </x:c>
      <x:c r="S68" s="53" t="n">
        <x:v>4</x:v>
      </x:c>
      <x:c r="T68" t="str">
        <x:v>Entregue</x:v>
      </x:c>
      <x:c r="U68" t="n">
        <x:v>2</x:v>
      </x:c>
      <x:c r="V68" t="str"/>
    </x:row>
    <x:row r="69">
      <x:c r="A69" s="52" t="n">
        <x:v>46225</x:v>
      </x:c>
      <x:c r="B69" t="str">
        <x:v>PED-100068</x:v>
      </x:c>
      <x:c r="C69" t="str">
        <x:v>Cliente 080</x:v>
      </x:c>
      <x:c r="D69" t="str">
        <x:v>RJ</x:v>
      </x:c>
      <x:c r="E69" t="str">
        <x:v>Sudeste</x:v>
      </x:c>
      <x:c r="F69" t="str">
        <x:v>Marketplace</x:v>
      </x:c>
      <x:c r="G69" t="str">
        <x:v>Casa</x:v>
      </x:c>
      <x:c r="H69" t="str">
        <x:v>Purificador</x:v>
      </x:c>
      <x:c r="I69" t="str">
        <x:v>Gabriela</x:v>
      </x:c>
      <x:c r="J69" s="53" t="n">
        <x:v>5</x:v>
      </x:c>
      <x:c r="K69" s="54" t="n">
        <x:v>1265.4</x:v>
      </x:c>
      <x:c r="L69" s="54" t="n">
        <x:v>751.36</x:v>
      </x:c>
      <x:c r="M69" s="55" t="n">
        <x:v>0.1248</x:v>
      </x:c>
      <x:c r="N69" s="54" t="n">
        <x:f>ROUND(J69*K69,2)</x:f>
        <x:v>6327</x:v>
      </x:c>
      <x:c r="O69" s="54" t="n">
        <x:f>ROUND(N69*(1-M69),2)</x:f>
        <x:v>5537.39</x:v>
      </x:c>
      <x:c r="P69" s="54" t="n">
        <x:f>ROUND(J69*L69,2)</x:f>
        <x:v>3756.8</x:v>
      </x:c>
      <x:c r="Q69" s="54" t="n">
        <x:f>ROUND(O69-P69,2)</x:f>
        <x:v>1780.59</x:v>
      </x:c>
      <x:c r="R69" s="55" t="n">
        <x:f>IF(O69=0,0,ROUND(Q69/O69,4))</x:f>
        <x:v>0.3216</x:v>
      </x:c>
      <x:c r="S69" s="53" t="n">
        <x:v>6</x:v>
      </x:c>
      <x:c r="T69" t="str">
        <x:v>Entregue</x:v>
      </x:c>
      <x:c r="U69" t="n">
        <x:v>4</x:v>
      </x:c>
      <x:c r="V69" t="str"/>
    </x:row>
    <x:row r="70">
      <x:c r="A70" s="52" t="n">
        <x:v>46051</x:v>
      </x:c>
      <x:c r="B70" t="str">
        <x:v>PED-100069</x:v>
      </x:c>
      <x:c r="C70" t="str">
        <x:v>Cliente 100</x:v>
      </x:c>
      <x:c r="D70" t="str">
        <x:v>RJ</x:v>
      </x:c>
      <x:c r="E70" t="str">
        <x:v>Sudeste</x:v>
      </x:c>
      <x:c r="F70" t="str">
        <x:v>Loja</x:v>
      </x:c>
      <x:c r="G70" t="str">
        <x:v>Tecnologia</x:v>
      </x:c>
      <x:c r="H70" t="str">
        <x:v>Headset Office</x:v>
      </x:c>
      <x:c r="I70" t="str">
        <x:v>Bruno</x:v>
      </x:c>
      <x:c r="J70" s="53" t="n">
        <x:v>5</x:v>
      </x:c>
      <x:c r="K70" s="54" t="n">
        <x:v>404.18</x:v>
      </x:c>
      <x:c r="L70" s="54" t="n">
        <x:v>204.69</x:v>
      </x:c>
      <x:c r="M70" s="55" t="n">
        <x:v>0.1266</x:v>
      </x:c>
      <x:c r="N70" s="54" t="n">
        <x:f>ROUND(J70*K70,2)</x:f>
        <x:v>2020.9</x:v>
      </x:c>
      <x:c r="O70" s="54" t="n">
        <x:f>ROUND(N70*(1-M70),2)</x:f>
        <x:v>1765.05</x:v>
      </x:c>
      <x:c r="P70" s="54" t="n">
        <x:f>ROUND(J70*L70,2)</x:f>
        <x:v>1023.45</x:v>
      </x:c>
      <x:c r="Q70" s="54" t="n">
        <x:f>ROUND(O70-P70,2)</x:f>
        <x:v>741.6</x:v>
      </x:c>
      <x:c r="R70" s="55" t="n">
        <x:f>IF(O70=0,0,ROUND(Q70/O70,4))</x:f>
        <x:v>0.4202</x:v>
      </x:c>
      <x:c r="S70" s="53" t="n">
        <x:v>8</x:v>
      </x:c>
      <x:c r="T70" t="str">
        <x:v>Entregue</x:v>
      </x:c>
      <x:c r="U70" t="n">
        <x:v>5</x:v>
      </x:c>
      <x:c r="V70" t="str"/>
    </x:row>
    <x:row r="71">
      <x:c r="A71" s="52" t="n">
        <x:v>46210</x:v>
      </x:c>
      <x:c r="B71" t="str">
        <x:v>PED-100070</x:v>
      </x:c>
      <x:c r="C71" t="str">
        <x:v>Cliente 100</x:v>
      </x:c>
      <x:c r="D71" t="str">
        <x:v>SC</x:v>
      </x:c>
      <x:c r="E71" t="str">
        <x:v>Sul</x:v>
      </x:c>
      <x:c r="F71" t="str">
        <x:v>Loja</x:v>
      </x:c>
      <x:c r="G71" t="str">
        <x:v>Acessórios</x:v>
      </x:c>
      <x:c r="H71" t="str">
        <x:v>Webcam HD</x:v>
      </x:c>
      <x:c r="I71" t="str">
        <x:v>Gabriela</x:v>
      </x:c>
      <x:c r="J71" s="53" t="n">
        <x:v>8</x:v>
      </x:c>
      <x:c r="K71" s="54" t="n">
        <x:v>525.01</x:v>
      </x:c>
      <x:c r="L71" s="54" t="n">
        <x:v>240.57</x:v>
      </x:c>
      <x:c r="M71" s="55" t="n">
        <x:v>0.0241</x:v>
      </x:c>
      <x:c r="N71" s="54" t="n">
        <x:f>ROUND(J71*K71,2)</x:f>
        <x:v>4200.08</x:v>
      </x:c>
      <x:c r="O71" s="54" t="n">
        <x:f>ROUND(N71*(1-M71),2)</x:f>
        <x:v>4098.86</x:v>
      </x:c>
      <x:c r="P71" s="54" t="n">
        <x:f>ROUND(J71*L71,2)</x:f>
        <x:v>1924.56</x:v>
      </x:c>
      <x:c r="Q71" s="54" t="n">
        <x:f>ROUND(O71-P71,2)</x:f>
        <x:v>2174.3</x:v>
      </x:c>
      <x:c r="R71" s="55" t="n">
        <x:f>IF(O71=0,0,ROUND(Q71/O71,4))</x:f>
        <x:v>0.5305</x:v>
      </x:c>
      <x:c r="S71" s="53" t="n">
        <x:v>14</x:v>
      </x:c>
      <x:c r="T71" t="str">
        <x:v>Entregue com atraso</x:v>
      </x:c>
      <x:c r="U71" t="n">
        <x:v>2</x:v>
      </x:c>
      <x:c r="V71" t="str"/>
    </x:row>
    <x:row r="72">
      <x:c r="A72" s="52" t="n">
        <x:v>46141</x:v>
      </x:c>
      <x:c r="B72" t="str">
        <x:v>PED-100071</x:v>
      </x:c>
      <x:c r="C72" t="str">
        <x:v>Cliente 051</x:v>
      </x:c>
      <x:c r="D72" t="str">
        <x:v>SC</x:v>
      </x:c>
      <x:c r="E72" t="str">
        <x:v>Sul</x:v>
      </x:c>
      <x:c r="F72" t="str">
        <x:v>Loja</x:v>
      </x:c>
      <x:c r="G72" t="str">
        <x:v>Escritório</x:v>
      </x:c>
      <x:c r="H72" t="str">
        <x:v>Cadeira Ergonômica</x:v>
      </x:c>
      <x:c r="I72" t="str">
        <x:v>Carla</x:v>
      </x:c>
      <x:c r="J72" s="53" t="n">
        <x:v>5</x:v>
      </x:c>
      <x:c r="K72" s="54" t="n">
        <x:v>2085.6</x:v>
      </x:c>
      <x:c r="L72" s="54" t="n">
        <x:v>1439.78</x:v>
      </x:c>
      <x:c r="M72" s="55" t="n">
        <x:v>0</x:v>
      </x:c>
      <x:c r="N72" s="54" t="n">
        <x:f>ROUND(J72*K72,2)</x:f>
        <x:v>10428</x:v>
      </x:c>
      <x:c r="O72" s="54" t="n">
        <x:f>ROUND(N72*(1-M72),2)</x:f>
        <x:v>10428</x:v>
      </x:c>
      <x:c r="P72" s="54" t="n">
        <x:f>ROUND(J72*L72,2)</x:f>
        <x:v>7198.9</x:v>
      </x:c>
      <x:c r="Q72" s="54" t="n">
        <x:f>ROUND(O72-P72,2)</x:f>
        <x:v>3229.1</x:v>
      </x:c>
      <x:c r="R72" s="55" t="n">
        <x:f>IF(O72=0,0,ROUND(Q72/O72,4))</x:f>
        <x:v>0.3097</x:v>
      </x:c>
      <x:c r="S72" s="53" t="n">
        <x:v>14</x:v>
      </x:c>
      <x:c r="T72" t="str">
        <x:v>Entregue com atraso</x:v>
      </x:c>
      <x:c r="U72" t="n">
        <x:v>4</x:v>
      </x:c>
      <x:c r="V72" t="str"/>
    </x:row>
    <x:row r="73">
      <x:c r="A73" s="52" t="n">
        <x:v>46203</x:v>
      </x:c>
      <x:c r="B73" t="str">
        <x:v>PED-100072</x:v>
      </x:c>
      <x:c r="C73" t="str">
        <x:v>Cliente 119</x:v>
      </x:c>
      <x:c r="D73" t="str">
        <x:v>CE</x:v>
      </x:c>
      <x:c r="E73" t="str">
        <x:v>Nordeste</x:v>
      </x:c>
      <x:c r="F73" t="str">
        <x:v>E-commerce</x:v>
      </x:c>
      <x:c r="G73" t="str">
        <x:v>Tecnologia</x:v>
      </x:c>
      <x:c r="H73" t="str">
        <x:v>Headset Office</x:v>
      </x:c>
      <x:c r="I73" t="str">
        <x:v>Isabela</x:v>
      </x:c>
      <x:c r="J73" s="53" t="n">
        <x:v>7</x:v>
      </x:c>
      <x:c r="K73" s="54" t="n">
        <x:v>369.8</x:v>
      </x:c>
      <x:c r="L73" s="54" t="n">
        <x:v>217.11</x:v>
      </x:c>
      <x:c r="M73" s="55" t="n">
        <x:v>0.0096</x:v>
      </x:c>
      <x:c r="N73" s="54" t="n">
        <x:f>ROUND(J73*K73,2)</x:f>
        <x:v>2588.6</x:v>
      </x:c>
      <x:c r="O73" s="54" t="n">
        <x:f>ROUND(N73*(1-M73),2)</x:f>
        <x:v>2563.75</x:v>
      </x:c>
      <x:c r="P73" s="54" t="n">
        <x:f>ROUND(J73*L73,2)</x:f>
        <x:v>1519.77</x:v>
      </x:c>
      <x:c r="Q73" s="54" t="n">
        <x:f>ROUND(O73-P73,2)</x:f>
        <x:v>1043.98</x:v>
      </x:c>
      <x:c r="R73" s="55" t="n">
        <x:f>IF(O73=0,0,ROUND(Q73/O73,4))</x:f>
        <x:v>0.4072</x:v>
      </x:c>
      <x:c r="S73" s="53" t="n">
        <x:v>2</x:v>
      </x:c>
      <x:c r="T73" t="str">
        <x:v>Entregue</x:v>
      </x:c>
      <x:c r="U73" t="n">
        <x:v>3</x:v>
      </x:c>
      <x:c r="V73" t="str"/>
    </x:row>
    <x:row r="74">
      <x:c r="A74" s="52" t="n">
        <x:v>46098</x:v>
      </x:c>
      <x:c r="B74" t="str">
        <x:v>PED-100073</x:v>
      </x:c>
      <x:c r="C74" t="str">
        <x:v>Cliente 089</x:v>
      </x:c>
      <x:c r="D74" t="str">
        <x:v>PA</x:v>
      </x:c>
      <x:c r="E74" t="str">
        <x:v>Norte</x:v>
      </x:c>
      <x:c r="F74" t="str">
        <x:v>Loja</x:v>
      </x:c>
      <x:c r="G74" t="str">
        <x:v>Acessórios</x:v>
      </x:c>
      <x:c r="H74" t="str">
        <x:v>Webcam HD</x:v>
      </x:c>
      <x:c r="I74" t="str">
        <x:v>Carla</x:v>
      </x:c>
      <x:c r="J74" s="53" t="n">
        <x:v>6</x:v>
      </x:c>
      <x:c r="K74" s="54" t="n">
        <x:v>487.97</x:v>
      </x:c>
      <x:c r="L74" s="54" t="n">
        <x:v>251.66</x:v>
      </x:c>
      <x:c r="M74" s="55" t="n">
        <x:v>0.0929</x:v>
      </x:c>
      <x:c r="N74" s="54" t="n">
        <x:f>ROUND(J74*K74,2)</x:f>
        <x:v>2927.82</x:v>
      </x:c>
      <x:c r="O74" s="54" t="n">
        <x:f>ROUND(N74*(1-M74),2)</x:f>
        <x:v>2655.83</x:v>
      </x:c>
      <x:c r="P74" s="54" t="n">
        <x:f>ROUND(J74*L74,2)</x:f>
        <x:v>1509.96</x:v>
      </x:c>
      <x:c r="Q74" s="54" t="n">
        <x:f>ROUND(O74-P74,2)</x:f>
        <x:v>1145.87</x:v>
      </x:c>
      <x:c r="R74" s="55" t="n">
        <x:f>IF(O74=0,0,ROUND(Q74/O74,4))</x:f>
        <x:v>0.4315</x:v>
      </x:c>
      <x:c r="S74" s="53" t="n">
        <x:v>10</x:v>
      </x:c>
      <x:c r="T74" t="str">
        <x:v>Entregue</x:v>
      </x:c>
      <x:c r="U74" t="n">
        <x:v>5</x:v>
      </x:c>
      <x:c r="V74" t="str"/>
    </x:row>
    <x:row r="75">
      <x:c r="A75" s="52" t="n">
        <x:v>46039</x:v>
      </x:c>
      <x:c r="B75" t="str">
        <x:v>PED-100074</x:v>
      </x:c>
      <x:c r="C75" t="str">
        <x:v>Cliente 075</x:v>
      </x:c>
      <x:c r="D75" t="str">
        <x:v>SP</x:v>
      </x:c>
      <x:c r="E75" t="str">
        <x:v>Sudeste</x:v>
      </x:c>
      <x:c r="F75" t="str">
        <x:v>E-commerce</x:v>
      </x:c>
      <x:c r="G75" t="str">
        <x:v>Casa</x:v>
      </x:c>
      <x:c r="H75" t="str">
        <x:v>Aspirador Robô</x:v>
      </x:c>
      <x:c r="I75" t="str">
        <x:v>Diego</x:v>
      </x:c>
      <x:c r="J75" s="53" t="n">
        <x:v>2</x:v>
      </x:c>
      <x:c r="K75" s="54" t="n">
        <x:v>1934.42</x:v>
      </x:c>
      <x:c r="L75" s="54" t="n">
        <x:v>1223.21</x:v>
      </x:c>
      <x:c r="M75" s="55" t="n">
        <x:v>0</x:v>
      </x:c>
      <x:c r="N75" s="54" t="n">
        <x:f>ROUND(J75*K75,2)</x:f>
        <x:v>3868.84</x:v>
      </x:c>
      <x:c r="O75" s="54" t="n">
        <x:f>ROUND(N75*(1-M75),2)</x:f>
        <x:v>3868.84</x:v>
      </x:c>
      <x:c r="P75" s="54" t="n">
        <x:f>ROUND(J75*L75,2)</x:f>
        <x:v>2446.42</x:v>
      </x:c>
      <x:c r="Q75" s="54" t="n">
        <x:f>ROUND(O75-P75,2)</x:f>
        <x:v>1422.42</x:v>
      </x:c>
      <x:c r="R75" s="55" t="n">
        <x:f>IF(O75=0,0,ROUND(Q75/O75,4))</x:f>
        <x:v>0.3677</x:v>
      </x:c>
      <x:c r="S75" s="53" t="n">
        <x:v>20</x:v>
      </x:c>
      <x:c r="T75" t="str">
        <x:v>Entregue com atraso</x:v>
      </x:c>
      <x:c r="U75" t="n">
        <x:v>1</x:v>
      </x:c>
      <x:c r="V75" t="str">
        <x:v>Ocorrência logística</x:v>
      </x:c>
    </x:row>
    <x:row r="76">
      <x:c r="A76" s="52" t="n">
        <x:v>46142</x:v>
      </x:c>
      <x:c r="B76" t="str">
        <x:v>PED-100075</x:v>
      </x:c>
      <x:c r="C76" t="str">
        <x:v>Cliente 092</x:v>
      </x:c>
      <x:c r="D76" t="str">
        <x:v>RJ</x:v>
      </x:c>
      <x:c r="E76" t="str">
        <x:v>Sudeste</x:v>
      </x:c>
      <x:c r="F76" t="str">
        <x:v>Marketplace</x:v>
      </x:c>
      <x:c r="G76" t="str">
        <x:v>Acessórios</x:v>
      </x:c>
      <x:c r="H76" t="str">
        <x:v>Mochila Executiva</x:v>
      </x:c>
      <x:c r="I76" t="str">
        <x:v>Diego</x:v>
      </x:c>
      <x:c r="J76" s="53" t="n">
        <x:v>1</x:v>
      </x:c>
      <x:c r="K76" s="54" t="n">
        <x:v>413.48</x:v>
      </x:c>
      <x:c r="L76" s="54" t="n">
        <x:v>198.17</x:v>
      </x:c>
      <x:c r="M76" s="55" t="n">
        <x:v>0.035</x:v>
      </x:c>
      <x:c r="N76" s="54" t="n">
        <x:f>ROUND(J76*K76,2)</x:f>
        <x:v>413.48</x:v>
      </x:c>
      <x:c r="O76" s="54" t="n">
        <x:f>ROUND(N76*(1-M76),2)</x:f>
        <x:v>399.01</x:v>
      </x:c>
      <x:c r="P76" s="54" t="n">
        <x:f>ROUND(J76*L76,2)</x:f>
        <x:v>198.17</x:v>
      </x:c>
      <x:c r="Q76" s="54" t="n">
        <x:f>ROUND(O76-P76,2)</x:f>
        <x:v>200.84</x:v>
      </x:c>
      <x:c r="R76" s="55" t="n">
        <x:f>IF(O76=0,0,ROUND(Q76/O76,4))</x:f>
        <x:v>0.5033</x:v>
      </x:c>
      <x:c r="S76" s="53" t="n">
        <x:v>11</x:v>
      </x:c>
      <x:c r="T76" t="str">
        <x:v>Entregue com atraso</x:v>
      </x:c>
      <x:c r="U76" t="n">
        <x:v>5</x:v>
      </x:c>
      <x:c r="V76" t="str"/>
    </x:row>
    <x:row r="77">
      <x:c r="A77" s="52" t="n">
        <x:v>46087</x:v>
      </x:c>
      <x:c r="B77" t="str">
        <x:v>PED-100076</x:v>
      </x:c>
      <x:c r="C77" t="str">
        <x:v>Cliente 112</x:v>
      </x:c>
      <x:c r="D77" t="str">
        <x:v>SC</x:v>
      </x:c>
      <x:c r="E77" t="str">
        <x:v>Sul</x:v>
      </x:c>
      <x:c r="F77" t="str">
        <x:v>Marketplace</x:v>
      </x:c>
      <x:c r="G77" t="str">
        <x:v>Casa</x:v>
      </x:c>
      <x:c r="H77" t="str">
        <x:v>Purificador</x:v>
      </x:c>
      <x:c r="I77" t="str">
        <x:v>Bruno</x:v>
      </x:c>
      <x:c r="J77" s="53" t="n">
        <x:v>4</x:v>
      </x:c>
      <x:c r="K77" s="54" t="n">
        <x:v>1350.08</x:v>
      </x:c>
      <x:c r="L77" s="54" t="n">
        <x:v>783.46</x:v>
      </x:c>
      <x:c r="M77" s="55" t="n">
        <x:v>0.0568</x:v>
      </x:c>
      <x:c r="N77" s="54" t="n">
        <x:f>ROUND(J77*K77,2)</x:f>
        <x:v>5400.32</x:v>
      </x:c>
      <x:c r="O77" s="54" t="n">
        <x:f>ROUND(N77*(1-M77),2)</x:f>
        <x:v>5093.58</x:v>
      </x:c>
      <x:c r="P77" s="54" t="n">
        <x:f>ROUND(J77*L77,2)</x:f>
        <x:v>3133.84</x:v>
      </x:c>
      <x:c r="Q77" s="54" t="n">
        <x:f>ROUND(O77-P77,2)</x:f>
        <x:v>1959.74</x:v>
      </x:c>
      <x:c r="R77" s="55" t="n">
        <x:f>IF(O77=0,0,ROUND(Q77/O77,4))</x:f>
        <x:v>0.3847</x:v>
      </x:c>
      <x:c r="S77" s="53" t="n">
        <x:v>11</x:v>
      </x:c>
      <x:c r="T77" t="str">
        <x:v>Entregue com atraso</x:v>
      </x:c>
      <x:c r="U77" t="n">
        <x:v>5</x:v>
      </x:c>
      <x:c r="V77" t="str"/>
    </x:row>
    <x:row r="78">
      <x:c r="A78" s="52" t="n">
        <x:v>46040</x:v>
      </x:c>
      <x:c r="B78" t="str">
        <x:v>PED-100077</x:v>
      </x:c>
      <x:c r="C78" t="str">
        <x:v>Cliente 008</x:v>
      </x:c>
      <x:c r="D78" t="str">
        <x:v>DF</x:v>
      </x:c>
      <x:c r="E78" t="str">
        <x:v>Centro-Oeste</x:v>
      </x:c>
      <x:c r="F78" t="str">
        <x:v>Loja</x:v>
      </x:c>
      <x:c r="G78" t="str">
        <x:v>Escritório</x:v>
      </x:c>
      <x:c r="H78" t="str">
        <x:v>Luminária LED</x:v>
      </x:c>
      <x:c r="I78" t="str">
        <x:v>Gabriela</x:v>
      </x:c>
      <x:c r="J78" s="53" t="n">
        <x:v>2</x:v>
      </x:c>
      <x:c r="K78" s="54" t="n">
        <x:v>251.94</x:v>
      </x:c>
      <x:c r="L78" s="54" t="n">
        <x:v>115.55</x:v>
      </x:c>
      <x:c r="M78" s="55" t="n">
        <x:v>0.0261</x:v>
      </x:c>
      <x:c r="N78" s="54" t="n">
        <x:f>ROUND(J78*K78,2)</x:f>
        <x:v>503.88</x:v>
      </x:c>
      <x:c r="O78" s="54" t="n">
        <x:f>ROUND(N78*(1-M78),2)</x:f>
        <x:v>490.73</x:v>
      </x:c>
      <x:c r="P78" s="54" t="n">
        <x:f>ROUND(J78*L78,2)</x:f>
        <x:v>231.1</x:v>
      </x:c>
      <x:c r="Q78" s="54" t="n">
        <x:f>ROUND(O78-P78,2)</x:f>
        <x:v>259.63</x:v>
      </x:c>
      <x:c r="R78" s="55" t="n">
        <x:f>IF(O78=0,0,ROUND(Q78/O78,4))</x:f>
        <x:v>0.5291</x:v>
      </x:c>
      <x:c r="S78" s="53" t="n">
        <x:v>6</x:v>
      </x:c>
      <x:c r="T78" t="str">
        <x:v>Entregue</x:v>
      </x:c>
      <x:c r="U78" t="n">
        <x:v>5</x:v>
      </x:c>
      <x:c r="V78" t="str"/>
    </x:row>
    <x:row r="79">
      <x:c r="A79" s="52" t="n">
        <x:v>46040</x:v>
      </x:c>
      <x:c r="B79" t="str">
        <x:v>PED-100078</x:v>
      </x:c>
      <x:c r="C79" t="str">
        <x:v>Cliente 001</x:v>
      </x:c>
      <x:c r="D79" t="str">
        <x:v>SP</x:v>
      </x:c>
      <x:c r="E79" t="str">
        <x:v>Sudeste</x:v>
      </x:c>
      <x:c r="F79" t="str">
        <x:v>Marketplace</x:v>
      </x:c>
      <x:c r="G79" t="str">
        <x:v>Escritório</x:v>
      </x:c>
      <x:c r="H79" t="str">
        <x:v>Cadeira Ergonômica</x:v>
      </x:c>
      <x:c r="I79" t="str">
        <x:v>Elaine</x:v>
      </x:c>
      <x:c r="J79" s="53" t="n">
        <x:v>8</x:v>
      </x:c>
      <x:c r="K79" s="54" t="n">
        <x:v>2070.83</x:v>
      </x:c>
      <x:c r="L79" s="54" t="n">
        <x:v>1390.14</x:v>
      </x:c>
      <x:c r="M79" s="55" t="n">
        <x:v>0.1367</x:v>
      </x:c>
      <x:c r="N79" s="54" t="n">
        <x:f>ROUND(J79*K79,2)</x:f>
        <x:v>16566.64</x:v>
      </x:c>
      <x:c r="O79" s="54" t="n">
        <x:f>ROUND(N79*(1-M79),2)</x:f>
        <x:v>14301.98</x:v>
      </x:c>
      <x:c r="P79" s="54" t="n">
        <x:f>ROUND(J79*L79,2)</x:f>
        <x:v>11121.12</x:v>
      </x:c>
      <x:c r="Q79" s="54" t="n">
        <x:f>ROUND(O79-P79,2)</x:f>
        <x:v>3180.86</x:v>
      </x:c>
      <x:c r="R79" s="55" t="n">
        <x:f>IF(O79=0,0,ROUND(Q79/O79,4))</x:f>
        <x:v>0.2224</x:v>
      </x:c>
      <x:c r="S79" s="53" t="n">
        <x:v>2</x:v>
      </x:c>
      <x:c r="T79" t="str">
        <x:v>Entregue</x:v>
      </x:c>
      <x:c r="U79" t="n">
        <x:v>2</x:v>
      </x:c>
      <x:c r="V79" t="str"/>
    </x:row>
    <x:row r="80">
      <x:c r="A80" s="52" t="n">
        <x:v>46228</x:v>
      </x:c>
      <x:c r="B80" t="str">
        <x:v>PED-100079</x:v>
      </x:c>
      <x:c r="C80" t="str">
        <x:v>Cliente 044</x:v>
      </x:c>
      <x:c r="D80" t="str">
        <x:v>SC</x:v>
      </x:c>
      <x:c r="E80" t="str">
        <x:v>Sul</x:v>
      </x:c>
      <x:c r="F80" t="str">
        <x:v>Televendas</x:v>
      </x:c>
      <x:c r="G80" t="str">
        <x:v>Tecnologia</x:v>
      </x:c>
      <x:c r="H80" t="str">
        <x:v>Monitor 27</x:v>
      </x:c>
      <x:c r="I80" t="str">
        <x:v>Ana</x:v>
      </x:c>
      <x:c r="J80" s="53" t="n">
        <x:v>5</x:v>
      </x:c>
      <x:c r="K80" s="54" t="n">
        <x:v>1752.9</x:v>
      </x:c>
      <x:c r="L80" s="54" t="n">
        <x:v>1064.15</x:v>
      </x:c>
      <x:c r="M80" s="55" t="n">
        <x:v>0</x:v>
      </x:c>
      <x:c r="N80" s="54" t="n">
        <x:f>ROUND(J80*K80,2)</x:f>
        <x:v>8764.5</x:v>
      </x:c>
      <x:c r="O80" s="54" t="n">
        <x:f>ROUND(N80*(1-M80),2)</x:f>
        <x:v>8764.5</x:v>
      </x:c>
      <x:c r="P80" s="54" t="n">
        <x:f>ROUND(J80*L80,2)</x:f>
        <x:v>5320.75</x:v>
      </x:c>
      <x:c r="Q80" s="54" t="n">
        <x:f>ROUND(O80-P80,2)</x:f>
        <x:v>3443.75</x:v>
      </x:c>
      <x:c r="R80" s="55" t="n">
        <x:f>IF(O80=0,0,ROUND(Q80/O80,4))</x:f>
        <x:v>0.3929</x:v>
      </x:c>
      <x:c r="S80" s="53" t="n">
        <x:v>9</x:v>
      </x:c>
      <x:c r="T80" t="str">
        <x:v>Entregue</x:v>
      </x:c>
      <x:c r="U80" t="n">
        <x:v>3</x:v>
      </x:c>
      <x:c r="V80" t="str"/>
    </x:row>
    <x:row r="81">
      <x:c r="A81" s="52" t="n">
        <x:v>46217</x:v>
      </x:c>
      <x:c r="B81" t="str">
        <x:v>PED-100080</x:v>
      </x:c>
      <x:c r="C81" t="str">
        <x:v>Cliente 061</x:v>
      </x:c>
      <x:c r="D81" t="str">
        <x:v>GO</x:v>
      </x:c>
      <x:c r="E81" t="str">
        <x:v>Centro-Oeste</x:v>
      </x:c>
      <x:c r="F81" t="str">
        <x:v>Loja</x:v>
      </x:c>
      <x:c r="G81" t="str">
        <x:v>Casa</x:v>
      </x:c>
      <x:c r="H81" t="str">
        <x:v>Aspirador Robô</x:v>
      </x:c>
      <x:c r="I81" t="str">
        <x:v>João</x:v>
      </x:c>
      <x:c r="J81" s="53" t="n">
        <x:v>4</x:v>
      </x:c>
      <x:c r="K81" s="54" t="n">
        <x:v>1804.95</x:v>
      </x:c>
      <x:c r="L81" s="54" t="n">
        <x:v>1242.71</x:v>
      </x:c>
      <x:c r="M81" s="55" t="n">
        <x:v>0</x:v>
      </x:c>
      <x:c r="N81" s="54" t="n">
        <x:f>ROUND(J81*K81,2)</x:f>
        <x:v>7219.8</x:v>
      </x:c>
      <x:c r="O81" s="54" t="n">
        <x:f>ROUND(N81*(1-M81),2)</x:f>
        <x:v>7219.8</x:v>
      </x:c>
      <x:c r="P81" s="54" t="n">
        <x:f>ROUND(J81*L81,2)</x:f>
        <x:v>4970.84</x:v>
      </x:c>
      <x:c r="Q81" s="54" t="n">
        <x:f>ROUND(O81-P81,2)</x:f>
        <x:v>2248.96</x:v>
      </x:c>
      <x:c r="R81" s="55" t="n">
        <x:f>IF(O81=0,0,ROUND(Q81/O81,4))</x:f>
        <x:v>0.3115</x:v>
      </x:c>
      <x:c r="S81" s="53" t="n">
        <x:v>12</x:v>
      </x:c>
      <x:c r="T81" t="str">
        <x:v>Entregue com atraso</x:v>
      </x:c>
      <x:c r="U81" t="n">
        <x:v>4</x:v>
      </x:c>
      <x:c r="V81" t="str"/>
    </x:row>
    <x:row r="82">
      <x:c r="A82" s="52" t="n">
        <x:v>46226</x:v>
      </x:c>
      <x:c r="B82" t="str">
        <x:v>PED-100081</x:v>
      </x:c>
      <x:c r="C82" t="str">
        <x:v>Cliente 060</x:v>
      </x:c>
      <x:c r="D82" t="str">
        <x:v>RJ</x:v>
      </x:c>
      <x:c r="E82" t="str">
        <x:v>Sudeste</x:v>
      </x:c>
      <x:c r="F82" t="str">
        <x:v>Televendas</x:v>
      </x:c>
      <x:c r="G82" t="str">
        <x:v>Casa</x:v>
      </x:c>
      <x:c r="H82" t="str">
        <x:v>Aspirador Robô</x:v>
      </x:c>
      <x:c r="I82" t="str">
        <x:v>Carla</x:v>
      </x:c>
      <x:c r="J82" s="53" t="n">
        <x:v>8</x:v>
      </x:c>
      <x:c r="K82" s="54" t="n">
        <x:v>1935.16</x:v>
      </x:c>
      <x:c r="L82" s="54" t="n">
        <x:v>1231.72</x:v>
      </x:c>
      <x:c r="M82" s="55" t="n">
        <x:v>0</x:v>
      </x:c>
      <x:c r="N82" s="54" t="n">
        <x:f>ROUND(J82*K82,2)</x:f>
        <x:v>15481.28</x:v>
      </x:c>
      <x:c r="O82" s="54" t="n">
        <x:f>ROUND(N82*(1-M82),2)</x:f>
        <x:v>15481.28</x:v>
      </x:c>
      <x:c r="P82" s="54" t="n">
        <x:f>ROUND(J82*L82,2)</x:f>
        <x:v>9853.76</x:v>
      </x:c>
      <x:c r="Q82" s="54" t="n">
        <x:f>ROUND(O82-P82,2)</x:f>
        <x:v>5627.52</x:v>
      </x:c>
      <x:c r="R82" s="55" t="n">
        <x:f>IF(O82=0,0,ROUND(Q82/O82,4))</x:f>
        <x:v>0.3635</x:v>
      </x:c>
      <x:c r="S82" s="53" t="n">
        <x:v>9</x:v>
      </x:c>
      <x:c r="T82" t="str">
        <x:v>Entregue</x:v>
      </x:c>
      <x:c r="U82" t="n">
        <x:v>5</x:v>
      </x:c>
      <x:c r="V82" t="str"/>
    </x:row>
    <x:row r="83">
      <x:c r="A83" s="52" t="n">
        <x:v>46168</x:v>
      </x:c>
      <x:c r="B83" t="str">
        <x:v>PED-100082</x:v>
      </x:c>
      <x:c r="C83" t="str">
        <x:v>Cliente 097</x:v>
      </x:c>
      <x:c r="D83" t="str">
        <x:v>DF</x:v>
      </x:c>
      <x:c r="E83" t="str">
        <x:v>Centro-Oeste</x:v>
      </x:c>
      <x:c r="F83" t="str">
        <x:v>Marketplace</x:v>
      </x:c>
      <x:c r="G83" t="str">
        <x:v>Casa</x:v>
      </x:c>
      <x:c r="H83" t="str">
        <x:v>Purificador</x:v>
      </x:c>
      <x:c r="I83" t="str">
        <x:v>Ana</x:v>
      </x:c>
      <x:c r="J83" s="53" t="n">
        <x:v>6</x:v>
      </x:c>
      <x:c r="K83" s="54" t="n">
        <x:v>1337.9</x:v>
      </x:c>
      <x:c r="L83" s="54" t="n">
        <x:v>759.64</x:v>
      </x:c>
      <x:c r="M83" s="55" t="n">
        <x:v>0.0998</x:v>
      </x:c>
      <x:c r="N83" s="54" t="n">
        <x:f>ROUND(J83*K83,2)</x:f>
        <x:v>8027.4</x:v>
      </x:c>
      <x:c r="O83" s="54" t="n">
        <x:f>ROUND(N83*(1-M83),2)</x:f>
        <x:v>7226.27</x:v>
      </x:c>
      <x:c r="P83" s="54" t="n">
        <x:f>ROUND(J83*L83,2)</x:f>
        <x:v>4557.84</x:v>
      </x:c>
      <x:c r="Q83" s="54" t="n">
        <x:f>ROUND(O83-P83,2)</x:f>
        <x:v>2668.43</x:v>
      </x:c>
      <x:c r="R83" s="55" t="n">
        <x:f>IF(O83=0,0,ROUND(Q83/O83,4))</x:f>
        <x:v>0.3693</x:v>
      </x:c>
      <x:c r="S83" s="53" t="n">
        <x:v>9</x:v>
      </x:c>
      <x:c r="T83" t="str">
        <x:v>Entregue</x:v>
      </x:c>
      <x:c r="U83" t="n">
        <x:v>2</x:v>
      </x:c>
      <x:c r="V83" t="str"/>
    </x:row>
    <x:row r="84">
      <x:c r="A84" s="52" t="n">
        <x:v>46141</x:v>
      </x:c>
      <x:c r="B84" t="str">
        <x:v>PED-100083</x:v>
      </x:c>
      <x:c r="C84" t="str">
        <x:v>Cliente 020</x:v>
      </x:c>
      <x:c r="D84" t="str">
        <x:v>PA</x:v>
      </x:c>
      <x:c r="E84" t="str">
        <x:v>Norte</x:v>
      </x:c>
      <x:c r="F84" t="str">
        <x:v>Loja</x:v>
      </x:c>
      <x:c r="G84" t="str">
        <x:v>Casa</x:v>
      </x:c>
      <x:c r="H84" t="str">
        <x:v>Aspirador Robô</x:v>
      </x:c>
      <x:c r="I84" t="str">
        <x:v>Isabela</x:v>
      </x:c>
      <x:c r="J84" s="53" t="n">
        <x:v>4</x:v>
      </x:c>
      <x:c r="K84" s="54" t="n">
        <x:v>1905.87</x:v>
      </x:c>
      <x:c r="L84" s="54" t="n">
        <x:v>1241.44</x:v>
      </x:c>
      <x:c r="M84" s="55" t="n">
        <x:v>0.1156</x:v>
      </x:c>
      <x:c r="N84" s="54" t="n">
        <x:f>ROUND(J84*K84,2)</x:f>
        <x:v>7623.48</x:v>
      </x:c>
      <x:c r="O84" s="54" t="n">
        <x:f>ROUND(N84*(1-M84),2)</x:f>
        <x:v>6742.21</x:v>
      </x:c>
      <x:c r="P84" s="54" t="n">
        <x:f>ROUND(J84*L84,2)</x:f>
        <x:v>4965.76</x:v>
      </x:c>
      <x:c r="Q84" s="54" t="n">
        <x:f>ROUND(O84-P84,2)</x:f>
        <x:v>1776.45</x:v>
      </x:c>
      <x:c r="R84" s="55" t="n">
        <x:f>IF(O84=0,0,ROUND(Q84/O84,4))</x:f>
        <x:v>0.2635</x:v>
      </x:c>
      <x:c r="S84" s="53" t="n">
        <x:v>11</x:v>
      </x:c>
      <x:c r="T84" t="str">
        <x:v>Entregue com atraso</x:v>
      </x:c>
      <x:c r="U84" t="n">
        <x:v>5</x:v>
      </x:c>
      <x:c r="V84" t="str"/>
    </x:row>
    <x:row r="85">
      <x:c r="A85" s="52" t="n">
        <x:v>46218</x:v>
      </x:c>
      <x:c r="B85" t="str">
        <x:v>PED-100084</x:v>
      </x:c>
      <x:c r="C85" t="str">
        <x:v>Cliente 070</x:v>
      </x:c>
      <x:c r="D85" t="str">
        <x:v>MA</x:v>
      </x:c>
      <x:c r="E85" t="str">
        <x:v>Nordeste</x:v>
      </x:c>
      <x:c r="F85" t="str">
        <x:v>E-commerce</x:v>
      </x:c>
      <x:c r="G85" t="str">
        <x:v>Acessórios</x:v>
      </x:c>
      <x:c r="H85" t="str">
        <x:v>Hub USB-C</x:v>
      </x:c>
      <x:c r="I85" t="str">
        <x:v>Elaine</x:v>
      </x:c>
      <x:c r="J85" s="53" t="n">
        <x:v>4</x:v>
      </x:c>
      <x:c r="K85" s="54" t="n">
        <x:v>338.17</x:v>
      </x:c>
      <x:c r="L85" s="54" t="n">
        <x:v>135.85</x:v>
      </x:c>
      <x:c r="M85" s="55" t="n">
        <x:v>0</x:v>
      </x:c>
      <x:c r="N85" s="54" t="n">
        <x:f>ROUND(J85*K85,2)</x:f>
        <x:v>1352.68</x:v>
      </x:c>
      <x:c r="O85" s="54" t="n">
        <x:f>ROUND(N85*(1-M85),2)</x:f>
        <x:v>1352.68</x:v>
      </x:c>
      <x:c r="P85" s="54" t="n">
        <x:f>ROUND(J85*L85,2)</x:f>
        <x:v>543.4</x:v>
      </x:c>
      <x:c r="Q85" s="54" t="n">
        <x:f>ROUND(O85-P85,2)</x:f>
        <x:v>809.28</x:v>
      </x:c>
      <x:c r="R85" s="55" t="n">
        <x:f>IF(O85=0,0,ROUND(Q85/O85,4))</x:f>
        <x:v>0.5983</x:v>
      </x:c>
      <x:c r="S85" s="53" t="n">
        <x:v>10</x:v>
      </x:c>
      <x:c r="T85" t="str">
        <x:v>Entregue</x:v>
      </x:c>
      <x:c r="U85" t="n">
        <x:v>5</x:v>
      </x:c>
      <x:c r="V85" t="str"/>
    </x:row>
    <x:row r="86">
      <x:c r="A86" s="52" t="n">
        <x:v>46038</x:v>
      </x:c>
      <x:c r="B86" t="str">
        <x:v>PED-100085</x:v>
      </x:c>
      <x:c r="C86" t="str">
        <x:v>Cliente 063</x:v>
      </x:c>
      <x:c r="D86" t="str">
        <x:v>PE</x:v>
      </x:c>
      <x:c r="E86" t="str">
        <x:v>Nordeste</x:v>
      </x:c>
      <x:c r="F86" t="str">
        <x:v>Marketplace</x:v>
      </x:c>
      <x:c r="G86" t="str">
        <x:v>Acessórios</x:v>
      </x:c>
      <x:c r="H86" t="str">
        <x:v>Mochila Executiva</x:v>
      </x:c>
      <x:c r="I86" t="str">
        <x:v>Isabela</x:v>
      </x:c>
      <x:c r="J86" s="53" t="n">
        <x:v>7</x:v>
      </x:c>
      <x:c r="K86" s="54" t="n">
        <x:v>420.86</x:v>
      </x:c>
      <x:c r="L86" s="54" t="n">
        <x:v>204.03</x:v>
      </x:c>
      <x:c r="M86" s="55" t="n">
        <x:v>0.038</x:v>
      </x:c>
      <x:c r="N86" s="54" t="n">
        <x:f>ROUND(J86*K86,2)</x:f>
        <x:v>2946.02</x:v>
      </x:c>
      <x:c r="O86" s="54" t="n">
        <x:f>ROUND(N86*(1-M86),2)</x:f>
        <x:v>2834.07</x:v>
      </x:c>
      <x:c r="P86" s="54" t="n">
        <x:f>ROUND(J86*L86,2)</x:f>
        <x:v>1428.21</x:v>
      </x:c>
      <x:c r="Q86" s="54" t="n">
        <x:f>ROUND(O86-P86,2)</x:f>
        <x:v>1405.86</x:v>
      </x:c>
      <x:c r="R86" s="55" t="n">
        <x:f>IF(O86=0,0,ROUND(Q86/O86,4))</x:f>
        <x:v>0.4961</x:v>
      </x:c>
      <x:c r="S86" s="53" t="n">
        <x:v>7</x:v>
      </x:c>
      <x:c r="T86" t="str">
        <x:v>Entregue</x:v>
      </x:c>
      <x:c r="U86" t="n">
        <x:v>2</x:v>
      </x:c>
      <x:c r="V86" t="str"/>
    </x:row>
    <x:row r="87">
      <x:c r="A87" s="52" t="n">
        <x:v>46109</x:v>
      </x:c>
      <x:c r="B87" t="str">
        <x:v>PED-100086</x:v>
      </x:c>
      <x:c r="C87" t="str">
        <x:v>Cliente 001</x:v>
      </x:c>
      <x:c r="D87" t="str">
        <x:v>ES</x:v>
      </x:c>
      <x:c r="E87" t="str">
        <x:v>Sudeste</x:v>
      </x:c>
      <x:c r="F87" t="str">
        <x:v>Televendas</x:v>
      </x:c>
      <x:c r="G87" t="str">
        <x:v>Acessórios</x:v>
      </x:c>
      <x:c r="H87" t="str">
        <x:v>Mochila Executiva</x:v>
      </x:c>
      <x:c r="I87" t="str">
        <x:v>Felipe</x:v>
      </x:c>
      <x:c r="J87" s="53" t="n">
        <x:v>2</x:v>
      </x:c>
      <x:c r="K87" s="54" t="n">
        <x:v>423.49</x:v>
      </x:c>
      <x:c r="L87" s="54" t="n">
        <x:v>187.3</x:v>
      </x:c>
      <x:c r="M87" s="55" t="n">
        <x:v>0</x:v>
      </x:c>
      <x:c r="N87" s="54" t="n">
        <x:f>ROUND(J87*K87,2)</x:f>
        <x:v>846.98</x:v>
      </x:c>
      <x:c r="O87" s="54" t="n">
        <x:f>ROUND(N87*(1-M87),2)</x:f>
        <x:v>846.98</x:v>
      </x:c>
      <x:c r="P87" s="54" t="n">
        <x:f>ROUND(J87*L87,2)</x:f>
        <x:v>374.6</x:v>
      </x:c>
      <x:c r="Q87" s="54" t="n">
        <x:f>ROUND(O87-P87,2)</x:f>
        <x:v>472.38</x:v>
      </x:c>
      <x:c r="R87" s="55" t="n">
        <x:f>IF(O87=0,0,ROUND(Q87/O87,4))</x:f>
        <x:v>0.5577</x:v>
      </x:c>
      <x:c r="S87" s="53" t="n">
        <x:v>2</x:v>
      </x:c>
      <x:c r="T87" t="str">
        <x:v>Entregue</x:v>
      </x:c>
      <x:c r="U87" t="n">
        <x:v>2</x:v>
      </x:c>
      <x:c r="V87" t="str"/>
    </x:row>
    <x:row r="88">
      <x:c r="A88" s="52" t="n">
        <x:v>46143</x:v>
      </x:c>
      <x:c r="B88" t="str">
        <x:v>PED-100087</x:v>
      </x:c>
      <x:c r="C88" t="str">
        <x:v>Cliente 051</x:v>
      </x:c>
      <x:c r="D88" t="str">
        <x:v>SP</x:v>
      </x:c>
      <x:c r="E88" t="str">
        <x:v>Sudeste</x:v>
      </x:c>
      <x:c r="F88" t="str">
        <x:v>Marketplace</x:v>
      </x:c>
      <x:c r="G88" t="str">
        <x:v>Tecnologia</x:v>
      </x:c>
      <x:c r="H88" t="str">
        <x:v>Monitor 27</x:v>
      </x:c>
      <x:c r="I88" t="str">
        <x:v>Carla</x:v>
      </x:c>
      <x:c r="J88" s="53" t="n">
        <x:v>7</x:v>
      </x:c>
      <x:c r="K88" s="54" t="n">
        <x:v>1635.28</x:v>
      </x:c>
      <x:c r="L88" s="54" t="n">
        <x:v>1108.44</x:v>
      </x:c>
      <x:c r="M88" s="55" t="n">
        <x:v>0.1611</x:v>
      </x:c>
      <x:c r="N88" s="54" t="n">
        <x:f>ROUND(J88*K88,2)</x:f>
        <x:v>11446.96</x:v>
      </x:c>
      <x:c r="O88" s="54" t="n">
        <x:f>ROUND(N88*(1-M88),2)</x:f>
        <x:v>9602.85</x:v>
      </x:c>
      <x:c r="P88" s="54" t="n">
        <x:f>ROUND(J88*L88,2)</x:f>
        <x:v>7759.08</x:v>
      </x:c>
      <x:c r="Q88" s="54" t="n">
        <x:f>ROUND(O88-P88,2)</x:f>
        <x:v>1843.77</x:v>
      </x:c>
      <x:c r="R88" s="55" t="n">
        <x:f>IF(O88=0,0,ROUND(Q88/O88,4))</x:f>
        <x:v>0.192</x:v>
      </x:c>
      <x:c r="S88" s="53" t="n">
        <x:v>12</x:v>
      </x:c>
      <x:c r="T88" t="str">
        <x:v>Entregue com atraso</x:v>
      </x:c>
      <x:c r="U88" t="n">
        <x:v>2</x:v>
      </x:c>
      <x:c r="V88" t="str"/>
    </x:row>
    <x:row r="89">
      <x:c r="A89" s="52" t="n">
        <x:v>46136</x:v>
      </x:c>
      <x:c r="B89" t="str">
        <x:v>PED-100088</x:v>
      </x:c>
      <x:c r="C89" t="str">
        <x:v>Cliente 062</x:v>
      </x:c>
      <x:c r="D89" t="str">
        <x:v>SC</x:v>
      </x:c>
      <x:c r="E89" t="str">
        <x:v>Sul</x:v>
      </x:c>
      <x:c r="F89" t="str">
        <x:v>E-commerce</x:v>
      </x:c>
      <x:c r="G89" t="str">
        <x:v>Acessórios</x:v>
      </x:c>
      <x:c r="H89" t="str">
        <x:v>Mochila Executiva</x:v>
      </x:c>
      <x:c r="I89" t="str">
        <x:v>Gabriela</x:v>
      </x:c>
      <x:c r="J89" s="53" t="n">
        <x:v>2</x:v>
      </x:c>
      <x:c r="K89" s="54" t="n">
        <x:v>434.64</x:v>
      </x:c>
      <x:c r="L89" s="54" t="n">
        <x:v>184.13</x:v>
      </x:c>
      <x:c r="M89" s="55" t="n">
        <x:v>0.0319</x:v>
      </x:c>
      <x:c r="N89" s="54" t="n">
        <x:f>ROUND(J89*K89,2)</x:f>
        <x:v>869.28</x:v>
      </x:c>
      <x:c r="O89" s="54" t="n">
        <x:f>ROUND(N89*(1-M89),2)</x:f>
        <x:v>841.55</x:v>
      </x:c>
      <x:c r="P89" s="54" t="n">
        <x:f>ROUND(J89*L89,2)</x:f>
        <x:v>368.26</x:v>
      </x:c>
      <x:c r="Q89" s="54" t="n">
        <x:f>ROUND(O89-P89,2)</x:f>
        <x:v>473.29</x:v>
      </x:c>
      <x:c r="R89" s="55" t="n">
        <x:f>IF(O89=0,0,ROUND(Q89/O89,4))</x:f>
        <x:v>0.5624</x:v>
      </x:c>
      <x:c r="S89" s="53" t="n">
        <x:v>8</x:v>
      </x:c>
      <x:c r="T89" t="str">
        <x:v>Entregue</x:v>
      </x:c>
      <x:c r="U89" t="n">
        <x:v>3</x:v>
      </x:c>
      <x:c r="V89" t="str"/>
    </x:row>
    <x:row r="90">
      <x:c r="A90" s="52" t="n">
        <x:v>46199</x:v>
      </x:c>
      <x:c r="B90" t="str">
        <x:v>PED-100089</x:v>
      </x:c>
      <x:c r="C90" t="str">
        <x:v>Cliente 111</x:v>
      </x:c>
      <x:c r="D90" t="str">
        <x:v>RS</x:v>
      </x:c>
      <x:c r="E90" t="str">
        <x:v>Sul</x:v>
      </x:c>
      <x:c r="F90" t="str">
        <x:v>Loja</x:v>
      </x:c>
      <x:c r="G90" t="str">
        <x:v>Tecnologia</x:v>
      </x:c>
      <x:c r="H90" t="str">
        <x:v>Notebook Pro</x:v>
      </x:c>
      <x:c r="I90" t="str">
        <x:v>Isabela</x:v>
      </x:c>
      <x:c r="J90" s="53" t="n">
        <x:v>5</x:v>
      </x:c>
      <x:c r="K90" s="54" t="n">
        <x:v>5948.09</x:v>
      </x:c>
      <x:c r="L90" s="54" t="n">
        <x:v>4159</x:v>
      </x:c>
      <x:c r="M90" s="55" t="n">
        <x:v>0</x:v>
      </x:c>
      <x:c r="N90" s="54" t="n">
        <x:f>ROUND(J90*K90,2)</x:f>
        <x:v>29740.45</x:v>
      </x:c>
      <x:c r="O90" s="54" t="n">
        <x:f>ROUND(N90*(1-M90),2)</x:f>
        <x:v>29740.45</x:v>
      </x:c>
      <x:c r="P90" s="54" t="n">
        <x:f>ROUND(J90*L90,2)</x:f>
        <x:v>20795</x:v>
      </x:c>
      <x:c r="Q90" s="54" t="n">
        <x:f>ROUND(O90-P90,2)</x:f>
        <x:v>8945.45</x:v>
      </x:c>
      <x:c r="R90" s="55" t="n">
        <x:f>IF(O90=0,0,ROUND(Q90/O90,4))</x:f>
        <x:v>0.3008</x:v>
      </x:c>
      <x:c r="S90" s="53" t="n">
        <x:v>10</x:v>
      </x:c>
      <x:c r="T90" t="str">
        <x:v>Entregue</x:v>
      </x:c>
      <x:c r="U90" t="n">
        <x:v>4</x:v>
      </x:c>
      <x:c r="V90" t="str"/>
    </x:row>
    <x:row r="91">
      <x:c r="A91" s="52" t="n">
        <x:v>46156</x:v>
      </x:c>
      <x:c r="B91" t="str">
        <x:v>PED-100090</x:v>
      </x:c>
      <x:c r="C91" t="str">
        <x:v>Cliente 034</x:v>
      </x:c>
      <x:c r="D91" t="str">
        <x:v>MA</x:v>
      </x:c>
      <x:c r="E91" t="str">
        <x:v>Nordeste</x:v>
      </x:c>
      <x:c r="F91" t="str">
        <x:v>Marketplace</x:v>
      </x:c>
      <x:c r="G91" t="str">
        <x:v>Escritório</x:v>
      </x:c>
      <x:c r="H91" t="str">
        <x:v>Luminária LED</x:v>
      </x:c>
      <x:c r="I91" t="str">
        <x:v>Carla</x:v>
      </x:c>
      <x:c r="J91" s="53" t="n">
        <x:v>8</x:v>
      </x:c>
      <x:c r="K91" s="54" t="n">
        <x:v>272.05</x:v>
      </x:c>
      <x:c r="L91" s="54" t="n">
        <x:v>121.46</x:v>
      </x:c>
      <x:c r="M91" s="55" t="n">
        <x:v>0.0584</x:v>
      </x:c>
      <x:c r="N91" s="54" t="n">
        <x:f>ROUND(J91*K91,2)</x:f>
        <x:v>2176.4</x:v>
      </x:c>
      <x:c r="O91" s="54" t="n">
        <x:f>ROUND(N91*(1-M91),2)</x:f>
        <x:v>2049.3</x:v>
      </x:c>
      <x:c r="P91" s="54" t="n">
        <x:f>ROUND(J91*L91,2)</x:f>
        <x:v>971.68</x:v>
      </x:c>
      <x:c r="Q91" s="54" t="n">
        <x:f>ROUND(O91-P91,2)</x:f>
        <x:v>1077.62</x:v>
      </x:c>
      <x:c r="R91" s="55" t="n">
        <x:f>IF(O91=0,0,ROUND(Q91/O91,4))</x:f>
        <x:v>0.5258</x:v>
      </x:c>
      <x:c r="S91" s="53" t="n">
        <x:v>10</x:v>
      </x:c>
      <x:c r="T91" t="str">
        <x:v>Entregue</x:v>
      </x:c>
      <x:c r="U91" t="n">
        <x:v>5</x:v>
      </x:c>
      <x:c r="V91" t="str"/>
    </x:row>
    <x:row r="92">
      <x:c r="A92" s="52" t="n">
        <x:v>46150</x:v>
      </x:c>
      <x:c r="B92" t="str">
        <x:v>PED-100091</x:v>
      </x:c>
      <x:c r="C92" t="str">
        <x:v>Cliente 018</x:v>
      </x:c>
      <x:c r="D92" t="str">
        <x:v>PE</x:v>
      </x:c>
      <x:c r="E92" t="str">
        <x:v>Nordeste</x:v>
      </x:c>
      <x:c r="F92" t="str">
        <x:v>Loja</x:v>
      </x:c>
      <x:c r="G92" t="str">
        <x:v>Tecnologia</x:v>
      </x:c>
      <x:c r="H92" t="str">
        <x:v>Monitor 27</x:v>
      </x:c>
      <x:c r="I92" t="str">
        <x:v>Felipe</x:v>
      </x:c>
      <x:c r="J92" s="53" t="n">
        <x:v>8</x:v>
      </x:c>
      <x:c r="K92" s="54" t="n">
        <x:v>1724.14</x:v>
      </x:c>
      <x:c r="L92" s="54" t="n">
        <x:v>1077.09</x:v>
      </x:c>
      <x:c r="M92" s="55" t="n">
        <x:v>0</x:v>
      </x:c>
      <x:c r="N92" s="54" t="n">
        <x:f>ROUND(J92*K92,2)</x:f>
        <x:v>13793.12</x:v>
      </x:c>
      <x:c r="O92" s="54" t="n">
        <x:f>ROUND(N92*(1-M92),2)</x:f>
        <x:v>13793.12</x:v>
      </x:c>
      <x:c r="P92" s="54" t="n">
        <x:f>ROUND(J92*L92,2)</x:f>
        <x:v>8616.72</x:v>
      </x:c>
      <x:c r="Q92" s="54" t="n">
        <x:f>ROUND(O92-P92,2)</x:f>
        <x:v>5176.4</x:v>
      </x:c>
      <x:c r="R92" s="55" t="n">
        <x:f>IF(O92=0,0,ROUND(Q92/O92,4))</x:f>
        <x:v>0.3753</x:v>
      </x:c>
      <x:c r="S92" s="53" t="n">
        <x:v>14</x:v>
      </x:c>
      <x:c r="T92" t="str">
        <x:v>Entregue com atraso</x:v>
      </x:c>
      <x:c r="U92" t="n">
        <x:v>2</x:v>
      </x:c>
      <x:c r="V92" t="str"/>
    </x:row>
    <x:row r="93">
      <x:c r="A93" s="52" t="n">
        <x:v>46203</x:v>
      </x:c>
      <x:c r="B93" t="str">
        <x:v>PED-100092</x:v>
      </x:c>
      <x:c r="C93" t="str">
        <x:v>Cliente 006</x:v>
      </x:c>
      <x:c r="D93" t="str">
        <x:v>PA</x:v>
      </x:c>
      <x:c r="E93" t="str">
        <x:v>Norte</x:v>
      </x:c>
      <x:c r="F93" t="str">
        <x:v>Televendas</x:v>
      </x:c>
      <x:c r="G93" t="str">
        <x:v>Tecnologia</x:v>
      </x:c>
      <x:c r="H93" t="str">
        <x:v>Headset Office</x:v>
      </x:c>
      <x:c r="I93" t="str">
        <x:v>Isabela</x:v>
      </x:c>
      <x:c r="J93" s="53" t="n">
        <x:v>3</x:v>
      </x:c>
      <x:c r="K93" s="54" t="n">
        <x:v>378.05</x:v>
      </x:c>
      <x:c r="L93" s="54" t="n">
        <x:v>227.08</x:v>
      </x:c>
      <x:c r="M93" s="55" t="n">
        <x:v>0.0723</x:v>
      </x:c>
      <x:c r="N93" s="54" t="n">
        <x:f>ROUND(J93*K93,2)</x:f>
        <x:v>1134.15</x:v>
      </x:c>
      <x:c r="O93" s="54" t="n">
        <x:f>ROUND(N93*(1-M93),2)</x:f>
        <x:v>1052.15</x:v>
      </x:c>
      <x:c r="P93" s="54" t="n">
        <x:f>ROUND(J93*L93,2)</x:f>
        <x:v>681.24</x:v>
      </x:c>
      <x:c r="Q93" s="54" t="n">
        <x:f>ROUND(O93-P93,2)</x:f>
        <x:v>370.91</x:v>
      </x:c>
      <x:c r="R93" s="55" t="n">
        <x:f>IF(O93=0,0,ROUND(Q93/O93,4))</x:f>
        <x:v>0.3525</x:v>
      </x:c>
      <x:c r="S93" s="53" t="n">
        <x:v>4</x:v>
      </x:c>
      <x:c r="T93" t="str">
        <x:v>Entregue</x:v>
      </x:c>
      <x:c r="U93" t="n">
        <x:v>3</x:v>
      </x:c>
      <x:c r="V93" t="str"/>
    </x:row>
    <x:row r="94">
      <x:c r="A94" s="52" t="n">
        <x:v>46193</x:v>
      </x:c>
      <x:c r="B94" t="str">
        <x:v>PED-100093</x:v>
      </x:c>
      <x:c r="C94" t="str">
        <x:v>Cliente 012</x:v>
      </x:c>
      <x:c r="D94" t="str">
        <x:v>SC</x:v>
      </x:c>
      <x:c r="E94" t="str">
        <x:v>Sul</x:v>
      </x:c>
      <x:c r="F94" t="str">
        <x:v>E-commerce</x:v>
      </x:c>
      <x:c r="G94" t="str">
        <x:v>Acessórios</x:v>
      </x:c>
      <x:c r="H94" t="str">
        <x:v>Webcam HD</x:v>
      </x:c>
      <x:c r="I94" t="str">
        <x:v>Bruno</x:v>
      </x:c>
      <x:c r="J94" s="53" t="n">
        <x:v>1</x:v>
      </x:c>
      <x:c r="K94" s="54" t="n">
        <x:v>482.01</x:v>
      </x:c>
      <x:c r="L94" s="54" t="n">
        <x:v>242.31</x:v>
      </x:c>
      <x:c r="M94" s="55" t="n">
        <x:v>0.0215</x:v>
      </x:c>
      <x:c r="N94" s="54" t="n">
        <x:f>ROUND(J94*K94,2)</x:f>
        <x:v>482.01</x:v>
      </x:c>
      <x:c r="O94" s="54" t="n">
        <x:f>ROUND(N94*(1-M94),2)</x:f>
        <x:v>471.65</x:v>
      </x:c>
      <x:c r="P94" s="54" t="n">
        <x:f>ROUND(J94*L94,2)</x:f>
        <x:v>242.31</x:v>
      </x:c>
      <x:c r="Q94" s="54" t="n">
        <x:f>ROUND(O94-P94,2)</x:f>
        <x:v>229.34</x:v>
      </x:c>
      <x:c r="R94" s="55" t="n">
        <x:f>IF(O94=0,0,ROUND(Q94/O94,4))</x:f>
        <x:v>0.4863</x:v>
      </x:c>
      <x:c r="S94" s="53" t="n">
        <x:v>14</x:v>
      </x:c>
      <x:c r="T94" t="str">
        <x:v>Entregue com atraso</x:v>
      </x:c>
      <x:c r="U94" t="n">
        <x:v>3</x:v>
      </x:c>
      <x:c r="V94" t="str"/>
    </x:row>
    <x:row r="95">
      <x:c r="A95" s="52" t="n">
        <x:v>46169</x:v>
      </x:c>
      <x:c r="B95" t="str">
        <x:v>PED-100094</x:v>
      </x:c>
      <x:c r="C95" t="str">
        <x:v>Cliente 100</x:v>
      </x:c>
      <x:c r="D95" t="str">
        <x:v>MT</x:v>
      </x:c>
      <x:c r="E95" t="str">
        <x:v>Centro-Oeste</x:v>
      </x:c>
      <x:c r="F95" t="str">
        <x:v>Televendas</x:v>
      </x:c>
      <x:c r="G95" t="str">
        <x:v>Tecnologia</x:v>
      </x:c>
      <x:c r="H95" t="str">
        <x:v>Headset Office</x:v>
      </x:c>
      <x:c r="I95" t="str">
        <x:v>Carla</x:v>
      </x:c>
      <x:c r="J95" s="53" t="n">
        <x:v>1</x:v>
      </x:c>
      <x:c r="K95" s="54" t="n">
        <x:v>404.13</x:v>
      </x:c>
      <x:c r="L95" s="54" t="n">
        <x:v>209.41</x:v>
      </x:c>
      <x:c r="M95" s="55" t="n">
        <x:v>0.1047</x:v>
      </x:c>
      <x:c r="N95" s="54" t="n">
        <x:f>ROUND(J95*K95,2)</x:f>
        <x:v>404.13</x:v>
      </x:c>
      <x:c r="O95" s="54" t="n">
        <x:f>ROUND(N95*(1-M95),2)</x:f>
        <x:v>361.82</x:v>
      </x:c>
      <x:c r="P95" s="54" t="n">
        <x:f>ROUND(J95*L95,2)</x:f>
        <x:v>209.41</x:v>
      </x:c>
      <x:c r="Q95" s="54" t="n">
        <x:f>ROUND(O95-P95,2)</x:f>
        <x:v>152.41</x:v>
      </x:c>
      <x:c r="R95" s="55" t="n">
        <x:f>IF(O95=0,0,ROUND(Q95/O95,4))</x:f>
        <x:v>0.4212</x:v>
      </x:c>
      <x:c r="S95" s="53" t="n">
        <x:v>10</x:v>
      </x:c>
      <x:c r="T95" t="str">
        <x:v>Entregue</x:v>
      </x:c>
      <x:c r="U95" t="n">
        <x:v>5</x:v>
      </x:c>
      <x:c r="V95" t="str"/>
    </x:row>
    <x:row r="96">
      <x:c r="A96" s="52" t="n">
        <x:v>46059</x:v>
      </x:c>
      <x:c r="B96" t="str">
        <x:v>PED-100095</x:v>
      </x:c>
      <x:c r="C96" t="str">
        <x:v>Cliente 032</x:v>
      </x:c>
      <x:c r="D96" t="str">
        <x:v>CE</x:v>
      </x:c>
      <x:c r="E96" t="str">
        <x:v>Nordeste</x:v>
      </x:c>
      <x:c r="F96" t="str">
        <x:v>Marketplace</x:v>
      </x:c>
      <x:c r="G96" t="str">
        <x:v>Casa</x:v>
      </x:c>
      <x:c r="H96" t="str">
        <x:v>Aspirador Robô</x:v>
      </x:c>
      <x:c r="I96" t="str">
        <x:v>Elaine</x:v>
      </x:c>
      <x:c r="J96" s="53" t="n">
        <x:v>8</x:v>
      </x:c>
      <x:c r="K96" s="54" t="n">
        <x:v>1857.78</x:v>
      </x:c>
      <x:c r="L96" s="54" t="n">
        <x:v>1183.23</x:v>
      </x:c>
      <x:c r="M96" s="55" t="n">
        <x:v>0.035</x:v>
      </x:c>
      <x:c r="N96" s="54" t="n">
        <x:f>ROUND(J96*K96,2)</x:f>
        <x:v>14862.24</x:v>
      </x:c>
      <x:c r="O96" s="54" t="n">
        <x:f>ROUND(N96*(1-M96),2)</x:f>
        <x:v>14342.06</x:v>
      </x:c>
      <x:c r="P96" s="54" t="n">
        <x:f>ROUND(J96*L96,2)</x:f>
        <x:v>9465.84</x:v>
      </x:c>
      <x:c r="Q96" s="54" t="n">
        <x:f>ROUND(O96-P96,2)</x:f>
        <x:v>4876.22</x:v>
      </x:c>
      <x:c r="R96" s="55" t="n">
        <x:f>IF(O96=0,0,ROUND(Q96/O96,4))</x:f>
        <x:v>0.34</x:v>
      </x:c>
      <x:c r="S96" s="53" t="n">
        <x:v>4</x:v>
      </x:c>
      <x:c r="T96" t="str">
        <x:v>Entregue</x:v>
      </x:c>
      <x:c r="U96" t="n">
        <x:v>2</x:v>
      </x:c>
      <x:c r="V96" t="str"/>
    </x:row>
    <x:row r="97">
      <x:c r="A97" s="52" t="n">
        <x:v>46227</x:v>
      </x:c>
      <x:c r="B97" t="str">
        <x:v>PED-100096</x:v>
      </x:c>
      <x:c r="C97" t="str">
        <x:v>Cliente 065</x:v>
      </x:c>
      <x:c r="D97" t="str">
        <x:v>BA</x:v>
      </x:c>
      <x:c r="E97" t="str">
        <x:v>Nordeste</x:v>
      </x:c>
      <x:c r="F97" t="str">
        <x:v>Marketplace</x:v>
      </x:c>
      <x:c r="G97" t="str">
        <x:v>Acessórios</x:v>
      </x:c>
      <x:c r="H97" t="str">
        <x:v>Hub USB-C</x:v>
      </x:c>
      <x:c r="I97" t="str">
        <x:v>Carla</x:v>
      </x:c>
      <x:c r="J97" s="53" t="n">
        <x:v>6</x:v>
      </x:c>
      <x:c r="K97" s="54" t="n">
        <x:v>311.74</x:v>
      </x:c>
      <x:c r="L97" s="54" t="n">
        <x:v>145.92</x:v>
      </x:c>
      <x:c r="M97" s="55" t="n">
        <x:v>0.0481</x:v>
      </x:c>
      <x:c r="N97" s="54" t="n">
        <x:f>ROUND(J97*K97,2)</x:f>
        <x:v>1870.44</x:v>
      </x:c>
      <x:c r="O97" s="54" t="n">
        <x:f>ROUND(N97*(1-M97),2)</x:f>
        <x:v>1780.47</x:v>
      </x:c>
      <x:c r="P97" s="54" t="n">
        <x:f>ROUND(J97*L97,2)</x:f>
        <x:v>875.52</x:v>
      </x:c>
      <x:c r="Q97" s="54" t="n">
        <x:f>ROUND(O97-P97,2)</x:f>
        <x:v>904.95</x:v>
      </x:c>
      <x:c r="R97" s="55" t="n">
        <x:f>IF(O97=0,0,ROUND(Q97/O97,4))</x:f>
        <x:v>0.5083</x:v>
      </x:c>
      <x:c r="S97" s="53" t="n">
        <x:v>6</x:v>
      </x:c>
      <x:c r="T97" t="str">
        <x:v>Entregue</x:v>
      </x:c>
      <x:c r="U97" t="n">
        <x:v>3</x:v>
      </x:c>
      <x:c r="V97" t="str"/>
    </x:row>
    <x:row r="98">
      <x:c r="A98" s="52" t="n">
        <x:v>46232</x:v>
      </x:c>
      <x:c r="B98" t="str">
        <x:v>PED-100097</x:v>
      </x:c>
      <x:c r="C98" t="str">
        <x:v>Cliente 118</x:v>
      </x:c>
      <x:c r="D98" t="str">
        <x:v>PE</x:v>
      </x:c>
      <x:c r="E98" t="str">
        <x:v>Nordeste</x:v>
      </x:c>
      <x:c r="F98" t="str">
        <x:v>Marketplace</x:v>
      </x:c>
      <x:c r="G98" t="str">
        <x:v>Acessórios</x:v>
      </x:c>
      <x:c r="H98" t="str">
        <x:v>Mochila Executiva</x:v>
      </x:c>
      <x:c r="I98" t="str">
        <x:v>Isabela</x:v>
      </x:c>
      <x:c r="J98" s="53" t="n">
        <x:v>7</x:v>
      </x:c>
      <x:c r="K98" s="54" t="n">
        <x:v>424.23</x:v>
      </x:c>
      <x:c r="L98" s="54" t="n">
        <x:v>206.11</x:v>
      </x:c>
      <x:c r="M98" s="55" t="n">
        <x:v>0.035</x:v>
      </x:c>
      <x:c r="N98" s="54" t="n">
        <x:f>ROUND(J98*K98,2)</x:f>
        <x:v>2969.61</x:v>
      </x:c>
      <x:c r="O98" s="54" t="n">
        <x:f>ROUND(N98*(1-M98),2)</x:f>
        <x:v>2865.67</x:v>
      </x:c>
      <x:c r="P98" s="54" t="n">
        <x:f>ROUND(J98*L98,2)</x:f>
        <x:v>1442.77</x:v>
      </x:c>
      <x:c r="Q98" s="54" t="n">
        <x:f>ROUND(O98-P98,2)</x:f>
        <x:v>1422.9</x:v>
      </x:c>
      <x:c r="R98" s="55" t="n">
        <x:f>IF(O98=0,0,ROUND(Q98/O98,4))</x:f>
        <x:v>0.4965</x:v>
      </x:c>
      <x:c r="S98" s="53" t="n">
        <x:v>5</x:v>
      </x:c>
      <x:c r="T98" t="str">
        <x:v>Entregue</x:v>
      </x:c>
      <x:c r="U98" t="n">
        <x:v>2</x:v>
      </x:c>
      <x:c r="V98" t="str"/>
    </x:row>
    <x:row r="99">
      <x:c r="A99" s="52" t="n">
        <x:v>46155</x:v>
      </x:c>
      <x:c r="B99" t="str">
        <x:v>PED-100098</x:v>
      </x:c>
      <x:c r="C99" t="str">
        <x:v>Cliente 066</x:v>
      </x:c>
      <x:c r="D99" t="str">
        <x:v>SP</x:v>
      </x:c>
      <x:c r="E99" t="str">
        <x:v>Sudeste</x:v>
      </x:c>
      <x:c r="F99" t="str">
        <x:v>Loja</x:v>
      </x:c>
      <x:c r="G99" t="str">
        <x:v>Tecnologia</x:v>
      </x:c>
      <x:c r="H99" t="str">
        <x:v>Notebook Pro</x:v>
      </x:c>
      <x:c r="I99" t="str">
        <x:v>Carla</x:v>
      </x:c>
      <x:c r="J99" s="53" t="n">
        <x:v>7</x:v>
      </x:c>
      <x:c r="K99" s="54" t="n">
        <x:v>6055.04</x:v>
      </x:c>
      <x:c r="L99" s="54" t="n">
        <x:v>4153.6</x:v>
      </x:c>
      <x:c r="M99" s="55" t="n">
        <x:v>0</x:v>
      </x:c>
      <x:c r="N99" s="54" t="n">
        <x:f>ROUND(J99*K99,2)</x:f>
        <x:v>42385.28</x:v>
      </x:c>
      <x:c r="O99" s="54" t="n">
        <x:f>ROUND(N99*(1-M99),2)</x:f>
        <x:v>42385.28</x:v>
      </x:c>
      <x:c r="P99" s="54" t="n">
        <x:f>ROUND(J99*L99,2)</x:f>
        <x:v>29075.2</x:v>
      </x:c>
      <x:c r="Q99" s="54" t="n">
        <x:f>ROUND(O99-P99,2)</x:f>
        <x:v>13310.08</x:v>
      </x:c>
      <x:c r="R99" s="55" t="n">
        <x:f>IF(O99=0,0,ROUND(Q99/O99,4))</x:f>
        <x:v>0.314</x:v>
      </x:c>
      <x:c r="S99" s="53" t="n">
        <x:v>6</x:v>
      </x:c>
      <x:c r="T99" t="str">
        <x:v>Entregue</x:v>
      </x:c>
      <x:c r="U99" t="n">
        <x:v>2</x:v>
      </x:c>
      <x:c r="V99" t="str"/>
    </x:row>
    <x:row r="100">
      <x:c r="A100" s="52" t="n">
        <x:v>46209</x:v>
      </x:c>
      <x:c r="B100" t="str">
        <x:v>PED-100099</x:v>
      </x:c>
      <x:c r="C100" t="str">
        <x:v>Cliente 094</x:v>
      </x:c>
      <x:c r="D100" t="str">
        <x:v>MT</x:v>
      </x:c>
      <x:c r="E100" t="str">
        <x:v>Centro-Oeste</x:v>
      </x:c>
      <x:c r="F100" t="str">
        <x:v>Televendas</x:v>
      </x:c>
      <x:c r="G100" t="str">
        <x:v>Acessórios</x:v>
      </x:c>
      <x:c r="H100" t="str">
        <x:v>Hub USB-C</x:v>
      </x:c>
      <x:c r="I100" t="str">
        <x:v>Isabela</x:v>
      </x:c>
      <x:c r="J100" s="53" t="n">
        <x:v>3</x:v>
      </x:c>
      <x:c r="K100" s="54" t="n">
        <x:v>336.82</x:v>
      </x:c>
      <x:c r="L100" s="54" t="n">
        <x:v>129.81</x:v>
      </x:c>
      <x:c r="M100" s="55" t="n">
        <x:v>0.1203</x:v>
      </x:c>
      <x:c r="N100" s="54" t="n">
        <x:f>ROUND(J100*K100,2)</x:f>
        <x:v>1010.46</x:v>
      </x:c>
      <x:c r="O100" s="54" t="n">
        <x:f>ROUND(N100*(1-M100),2)</x:f>
        <x:v>888.9</x:v>
      </x:c>
      <x:c r="P100" s="54" t="n">
        <x:f>ROUND(J100*L100,2)</x:f>
        <x:v>389.43</x:v>
      </x:c>
      <x:c r="Q100" s="54" t="n">
        <x:f>ROUND(O100-P100,2)</x:f>
        <x:v>499.47</x:v>
      </x:c>
      <x:c r="R100" s="55" t="n">
        <x:f>IF(O100=0,0,ROUND(Q100/O100,4))</x:f>
        <x:v>0.5619</x:v>
      </x:c>
      <x:c r="S100" s="53" t="n">
        <x:v>7</x:v>
      </x:c>
      <x:c r="T100" t="str">
        <x:v>Entregue</x:v>
      </x:c>
      <x:c r="U100" t="n">
        <x:v>3</x:v>
      </x:c>
      <x:c r="V100" t="str"/>
    </x:row>
    <x:row r="101">
      <x:c r="A101" s="52" t="n">
        <x:v>46145</x:v>
      </x:c>
      <x:c r="B101" t="str">
        <x:v>PED-100100</x:v>
      </x:c>
      <x:c r="C101" t="str">
        <x:v>Cliente 002</x:v>
      </x:c>
      <x:c r="D101" t="str">
        <x:v>RJ</x:v>
      </x:c>
      <x:c r="E101" t="str">
        <x:v>Sudeste</x:v>
      </x:c>
      <x:c r="F101" t="str">
        <x:v>Marketplace</x:v>
      </x:c>
      <x:c r="G101" t="str">
        <x:v>Casa</x:v>
      </x:c>
      <x:c r="H101" t="str">
        <x:v>Cafeteira Smart</x:v>
      </x:c>
      <x:c r="I101" t="str">
        <x:v>Felipe</x:v>
      </x:c>
      <x:c r="J101" s="53" t="n">
        <x:v>1</x:v>
      </x:c>
      <x:c r="K101" s="54" t="n">
        <x:v>814.36</x:v>
      </x:c>
      <x:c r="L101" s="54" t="n">
        <x:v>447.47</x:v>
      </x:c>
      <x:c r="M101" s="55" t="n">
        <x:v>0.035</x:v>
      </x:c>
      <x:c r="N101" s="54" t="n">
        <x:f>ROUND(J101*K101,2)</x:f>
        <x:v>814.36</x:v>
      </x:c>
      <x:c r="O101" s="54" t="n">
        <x:f>ROUND(N101*(1-M101),2)</x:f>
        <x:v>785.86</x:v>
      </x:c>
      <x:c r="P101" s="54" t="n">
        <x:f>ROUND(J101*L101,2)</x:f>
        <x:v>447.47</x:v>
      </x:c>
      <x:c r="Q101" s="54" t="n">
        <x:f>ROUND(O101-P101,2)</x:f>
        <x:v>338.39</x:v>
      </x:c>
      <x:c r="R101" s="55" t="n">
        <x:f>IF(O101=0,0,ROUND(Q101/O101,4))</x:f>
        <x:v>0.4306</x:v>
      </x:c>
      <x:c r="S101" s="53" t="n">
        <x:v>9</x:v>
      </x:c>
      <x:c r="T101" t="str">
        <x:v>Entregue</x:v>
      </x:c>
      <x:c r="U101" t="n">
        <x:v>3</x:v>
      </x:c>
      <x:c r="V101" t="str"/>
    </x:row>
    <x:row r="102">
      <x:c r="A102" s="52" t="n">
        <x:v>46185</x:v>
      </x:c>
      <x:c r="B102" t="str">
        <x:v>PED-100101</x:v>
      </x:c>
      <x:c r="C102" t="str">
        <x:v>Cliente 030</x:v>
      </x:c>
      <x:c r="D102" t="str">
        <x:v>ES</x:v>
      </x:c>
      <x:c r="E102" t="str">
        <x:v>Sudeste</x:v>
      </x:c>
      <x:c r="F102" t="str">
        <x:v>E-commerce</x:v>
      </x:c>
      <x:c r="G102" t="str">
        <x:v>Acessórios</x:v>
      </x:c>
      <x:c r="H102" t="str">
        <x:v>Mochila Executiva</x:v>
      </x:c>
      <x:c r="I102" t="str">
        <x:v>Isabela</x:v>
      </x:c>
      <x:c r="J102" s="53" t="n">
        <x:v>4</x:v>
      </x:c>
      <x:c r="K102" s="54" t="n">
        <x:v>421.89</x:v>
      </x:c>
      <x:c r="L102" s="54" t="n">
        <x:v>182.66</x:v>
      </x:c>
      <x:c r="M102" s="55" t="n">
        <x:v>0.1218</x:v>
      </x:c>
      <x:c r="N102" s="54" t="n">
        <x:f>ROUND(J102*K102,2)</x:f>
        <x:v>1687.56</x:v>
      </x:c>
      <x:c r="O102" s="54" t="n">
        <x:f>ROUND(N102*(1-M102),2)</x:f>
        <x:v>1482.02</x:v>
      </x:c>
      <x:c r="P102" s="54" t="n">
        <x:f>ROUND(J102*L102,2)</x:f>
        <x:v>730.64</x:v>
      </x:c>
      <x:c r="Q102" s="54" t="n">
        <x:f>ROUND(O102-P102,2)</x:f>
        <x:v>751.38</x:v>
      </x:c>
      <x:c r="R102" s="55" t="n">
        <x:f>IF(O102=0,0,ROUND(Q102/O102,4))</x:f>
        <x:v>0.507</x:v>
      </x:c>
      <x:c r="S102" s="53" t="n">
        <x:v>4</x:v>
      </x:c>
      <x:c r="T102" t="str">
        <x:v>Entregue</x:v>
      </x:c>
      <x:c r="U102" t="n">
        <x:v>5</x:v>
      </x:c>
      <x:c r="V102" t="str"/>
    </x:row>
    <x:row r="103">
      <x:c r="A103" s="52" t="n">
        <x:v>46074</x:v>
      </x:c>
      <x:c r="B103" t="str">
        <x:v>PED-100102</x:v>
      </x:c>
      <x:c r="C103" t="str">
        <x:v>Cliente 028</x:v>
      </x:c>
      <x:c r="D103" t="str">
        <x:v>MT</x:v>
      </x:c>
      <x:c r="E103" t="str">
        <x:v>Centro-Oeste</x:v>
      </x:c>
      <x:c r="F103" t="str">
        <x:v>Loja</x:v>
      </x:c>
      <x:c r="G103" t="str">
        <x:v>Tecnologia</x:v>
      </x:c>
      <x:c r="H103" t="str">
        <x:v>Notebook Pro</x:v>
      </x:c>
      <x:c r="I103" t="str">
        <x:v>Isabela</x:v>
      </x:c>
      <x:c r="J103" s="53" t="n">
        <x:v>6</x:v>
      </x:c>
      <x:c r="K103" s="54" t="n">
        <x:v>5700.75</x:v>
      </x:c>
      <x:c r="L103" s="54" t="n">
        <x:v>4243.43</x:v>
      </x:c>
      <x:c r="M103" s="55" t="n">
        <x:v>0.0378</x:v>
      </x:c>
      <x:c r="N103" s="54" t="n">
        <x:f>ROUND(J103*K103,2)</x:f>
        <x:v>34204.5</x:v>
      </x:c>
      <x:c r="O103" s="54" t="n">
        <x:f>ROUND(N103*(1-M103),2)</x:f>
        <x:v>32911.57</x:v>
      </x:c>
      <x:c r="P103" s="54" t="n">
        <x:f>ROUND(J103*L103,2)</x:f>
        <x:v>25460.58</x:v>
      </x:c>
      <x:c r="Q103" s="54" t="n">
        <x:f>ROUND(O103-P103,2)</x:f>
        <x:v>7450.99</x:v>
      </x:c>
      <x:c r="R103" s="55" t="n">
        <x:f>IF(O103=0,0,ROUND(Q103/O103,4))</x:f>
        <x:v>0.2264</x:v>
      </x:c>
      <x:c r="S103" s="53" t="n">
        <x:v>8</x:v>
      </x:c>
      <x:c r="T103" t="str">
        <x:v>Entregue</x:v>
      </x:c>
      <x:c r="U103" t="n">
        <x:v>4</x:v>
      </x:c>
      <x:c r="V103" t="str"/>
    </x:row>
    <x:row r="104">
      <x:c r="A104" s="52" t="n">
        <x:v>46050</x:v>
      </x:c>
      <x:c r="B104" t="str">
        <x:v>PED-100103</x:v>
      </x:c>
      <x:c r="C104" t="str">
        <x:v>Cliente 105</x:v>
      </x:c>
      <x:c r="D104" t="str">
        <x:v>SC</x:v>
      </x:c>
      <x:c r="E104" t="str">
        <x:v>Sul</x:v>
      </x:c>
      <x:c r="F104" t="str">
        <x:v>Televendas</x:v>
      </x:c>
      <x:c r="G104" t="str">
        <x:v>Escritório</x:v>
      </x:c>
      <x:c r="H104" t="str">
        <x:v>Mesa Ajustável</x:v>
      </x:c>
      <x:c r="I104" t="str">
        <x:v>Henrique</x:v>
      </x:c>
      <x:c r="J104" s="53" t="n">
        <x:v>1</x:v>
      </x:c>
      <x:c r="K104" s="54" t="n">
        <x:v>2833</x:v>
      </x:c>
      <x:c r="L104" s="54" t="n">
        <x:v>1805.95</x:v>
      </x:c>
      <x:c r="M104" s="55" t="n">
        <x:v>0.0651</x:v>
      </x:c>
      <x:c r="N104" s="54" t="n">
        <x:f>ROUND(J104*K104,2)</x:f>
        <x:v>2833</x:v>
      </x:c>
      <x:c r="O104" s="54" t="n">
        <x:f>ROUND(N104*(1-M104),2)</x:f>
        <x:v>2648.57</x:v>
      </x:c>
      <x:c r="P104" s="54" t="n">
        <x:f>ROUND(J104*L104,2)</x:f>
        <x:v>1805.95</x:v>
      </x:c>
      <x:c r="Q104" s="54" t="n">
        <x:f>ROUND(O104-P104,2)</x:f>
        <x:v>842.62</x:v>
      </x:c>
      <x:c r="R104" s="55" t="n">
        <x:f>IF(O104=0,0,ROUND(Q104/O104,4))</x:f>
        <x:v>0.3181</x:v>
      </x:c>
      <x:c r="S104" s="53" t="n">
        <x:v>3</x:v>
      </x:c>
      <x:c r="T104" t="str">
        <x:v>Entregue</x:v>
      </x:c>
      <x:c r="U104" t="n">
        <x:v>5</x:v>
      </x:c>
      <x:c r="V104" t="str"/>
    </x:row>
    <x:row r="105">
      <x:c r="A105" s="52" t="n">
        <x:v>46189</x:v>
      </x:c>
      <x:c r="B105" t="str">
        <x:v>PED-100104</x:v>
      </x:c>
      <x:c r="C105" t="str">
        <x:v>Cliente 082</x:v>
      </x:c>
      <x:c r="D105" t="str">
        <x:v>PR</x:v>
      </x:c>
      <x:c r="E105" t="str">
        <x:v>Sul</x:v>
      </x:c>
      <x:c r="F105" t="str">
        <x:v>Loja</x:v>
      </x:c>
      <x:c r="G105" t="str">
        <x:v>Tecnologia</x:v>
      </x:c>
      <x:c r="H105" t="str">
        <x:v>Notebook Pro</x:v>
      </x:c>
      <x:c r="I105" t="str">
        <x:v>Bruno</x:v>
      </x:c>
      <x:c r="J105" s="53" t="n">
        <x:v>1</x:v>
      </x:c>
      <x:c r="K105" s="54" t="n">
        <x:v>5825.19</x:v>
      </x:c>
      <x:c r="L105" s="54" t="n">
        <x:v>4314.07</x:v>
      </x:c>
      <x:c r="M105" s="55" t="n">
        <x:v>0</x:v>
      </x:c>
      <x:c r="N105" s="54" t="n">
        <x:f>ROUND(J105*K105,2)</x:f>
        <x:v>5825.19</x:v>
      </x:c>
      <x:c r="O105" s="54" t="n">
        <x:f>ROUND(N105*(1-M105),2)</x:f>
        <x:v>5825.19</x:v>
      </x:c>
      <x:c r="P105" s="54" t="n">
        <x:f>ROUND(J105*L105,2)</x:f>
        <x:v>4314.07</x:v>
      </x:c>
      <x:c r="Q105" s="54" t="n">
        <x:f>ROUND(O105-P105,2)</x:f>
        <x:v>1511.12</x:v>
      </x:c>
      <x:c r="R105" s="55" t="n">
        <x:f>IF(O105=0,0,ROUND(Q105/O105,4))</x:f>
        <x:v>0.2594</x:v>
      </x:c>
      <x:c r="S105" s="53" t="n">
        <x:v>6</x:v>
      </x:c>
      <x:c r="T105" t="str">
        <x:v>Entregue</x:v>
      </x:c>
      <x:c r="U105" t="n">
        <x:v>3</x:v>
      </x:c>
      <x:c r="V105" t="str"/>
    </x:row>
    <x:row r="106">
      <x:c r="A106" s="52" t="n">
        <x:v>46024</x:v>
      </x:c>
      <x:c r="B106" t="str">
        <x:v>PED-100105</x:v>
      </x:c>
      <x:c r="C106" t="str">
        <x:v>Cliente 042</x:v>
      </x:c>
      <x:c r="D106" t="str">
        <x:v>AM</x:v>
      </x:c>
      <x:c r="E106" t="str">
        <x:v>Norte</x:v>
      </x:c>
      <x:c r="F106" t="str">
        <x:v>Televendas</x:v>
      </x:c>
      <x:c r="G106" t="str">
        <x:v>Tecnologia</x:v>
      </x:c>
      <x:c r="H106" t="str">
        <x:v>Notebook Pro</x:v>
      </x:c>
      <x:c r="I106" t="str">
        <x:v>Gabriela</x:v>
      </x:c>
      <x:c r="J106" s="53" t="n">
        <x:v>8</x:v>
      </x:c>
      <x:c r="K106" s="54" t="n">
        <x:v>5950.37</x:v>
      </x:c>
      <x:c r="L106" s="54" t="n">
        <x:v>4529</x:v>
      </x:c>
      <x:c r="M106" s="55" t="n">
        <x:v>0.1022</x:v>
      </x:c>
      <x:c r="N106" s="54" t="n">
        <x:f>ROUND(J106*K106,2)</x:f>
        <x:v>47602.96</x:v>
      </x:c>
      <x:c r="O106" s="54" t="n">
        <x:f>ROUND(N106*(1-M106),2)</x:f>
        <x:v>42737.94</x:v>
      </x:c>
      <x:c r="P106" s="54" t="n">
        <x:f>ROUND(J106*L106,2)</x:f>
        <x:v>36232</x:v>
      </x:c>
      <x:c r="Q106" s="54" t="n">
        <x:f>ROUND(O106-P106,2)</x:f>
        <x:v>6505.94</x:v>
      </x:c>
      <x:c r="R106" s="55" t="n">
        <x:f>IF(O106=0,0,ROUND(Q106/O106,4))</x:f>
        <x:v>0.1522</x:v>
      </x:c>
      <x:c r="S106" s="53" t="n">
        <x:v>2</x:v>
      </x:c>
      <x:c r="T106" t="str">
        <x:v>Entregue</x:v>
      </x:c>
      <x:c r="U106" t="n">
        <x:v>2</x:v>
      </x:c>
      <x:c r="V106" t="str"/>
    </x:row>
    <x:row r="107">
      <x:c r="A107" s="52" t="n">
        <x:v>46140</x:v>
      </x:c>
      <x:c r="B107" t="str">
        <x:v>PED-100106</x:v>
      </x:c>
      <x:c r="C107" t="str">
        <x:v>Cliente 066</x:v>
      </x:c>
      <x:c r="D107" t="str">
        <x:v>PE</x:v>
      </x:c>
      <x:c r="E107" t="str">
        <x:v>Nordeste</x:v>
      </x:c>
      <x:c r="F107" t="str">
        <x:v>Loja</x:v>
      </x:c>
      <x:c r="G107" t="str">
        <x:v>Tecnologia</x:v>
      </x:c>
      <x:c r="H107" t="str">
        <x:v>Notebook Pro</x:v>
      </x:c>
      <x:c r="I107" t="str">
        <x:v>Ana</x:v>
      </x:c>
      <x:c r="J107" s="53" t="n">
        <x:v>1</x:v>
      </x:c>
      <x:c r="K107" s="54" t="n">
        <x:v>6111.37</x:v>
      </x:c>
      <x:c r="L107" s="54" t="n">
        <x:v>4611.16</x:v>
      </x:c>
      <x:c r="M107" s="55" t="n">
        <x:v>0.0901</x:v>
      </x:c>
      <x:c r="N107" s="54" t="n">
        <x:f>ROUND(J107*K107,2)</x:f>
        <x:v>6111.37</x:v>
      </x:c>
      <x:c r="O107" s="54" t="n">
        <x:f>ROUND(N107*(1-M107),2)</x:f>
        <x:v>5560.74</x:v>
      </x:c>
      <x:c r="P107" s="54" t="n">
        <x:f>ROUND(J107*L107,2)</x:f>
        <x:v>4611.16</x:v>
      </x:c>
      <x:c r="Q107" s="54" t="n">
        <x:f>ROUND(O107-P107,2)</x:f>
        <x:v>949.58</x:v>
      </x:c>
      <x:c r="R107" s="55" t="n">
        <x:f>IF(O107=0,0,ROUND(Q107/O107,4))</x:f>
        <x:v>0.1708</x:v>
      </x:c>
      <x:c r="S107" s="53" t="n">
        <x:v>12</x:v>
      </x:c>
      <x:c r="T107" t="str">
        <x:v>Entregue com atraso</x:v>
      </x:c>
      <x:c r="U107" t="n">
        <x:v>2</x:v>
      </x:c>
      <x:c r="V107" t="str"/>
    </x:row>
    <x:row r="108">
      <x:c r="A108" s="52" t="n">
        <x:v>46155</x:v>
      </x:c>
      <x:c r="B108" t="str">
        <x:v>PED-100107</x:v>
      </x:c>
      <x:c r="C108" t="str">
        <x:v>Cliente 082</x:v>
      </x:c>
      <x:c r="D108" t="str">
        <x:v>SC</x:v>
      </x:c>
      <x:c r="E108" t="str">
        <x:v>Sul</x:v>
      </x:c>
      <x:c r="F108" t="str">
        <x:v>Marketplace</x:v>
      </x:c>
      <x:c r="G108" t="str">
        <x:v>Escritório</x:v>
      </x:c>
      <x:c r="H108" t="str">
        <x:v>Mesa Ajustável</x:v>
      </x:c>
      <x:c r="I108" t="str">
        <x:v>Carla</x:v>
      </x:c>
      <x:c r="J108" s="53" t="n">
        <x:v>7</x:v>
      </x:c>
      <x:c r="K108" s="54" t="n">
        <x:v>2818.07</x:v>
      </x:c>
      <x:c r="L108" s="54" t="n">
        <x:v>1865.83</x:v>
      </x:c>
      <x:c r="M108" s="55" t="n">
        <x:v>0.1297</x:v>
      </x:c>
      <x:c r="N108" s="54" t="n">
        <x:f>ROUND(J108*K108,2)</x:f>
        <x:v>19726.49</x:v>
      </x:c>
      <x:c r="O108" s="54" t="n">
        <x:f>ROUND(N108*(1-M108),2)</x:f>
        <x:v>17167.96</x:v>
      </x:c>
      <x:c r="P108" s="54" t="n">
        <x:f>ROUND(J108*L108,2)</x:f>
        <x:v>13060.81</x:v>
      </x:c>
      <x:c r="Q108" s="54" t="n">
        <x:f>ROUND(O108-P108,2)</x:f>
        <x:v>4107.15</x:v>
      </x:c>
      <x:c r="R108" s="55" t="n">
        <x:f>IF(O108=0,0,ROUND(Q108/O108,4))</x:f>
        <x:v>0.2392</x:v>
      </x:c>
      <x:c r="S108" s="53" t="n">
        <x:v>10</x:v>
      </x:c>
      <x:c r="T108" t="str">
        <x:v>Entregue</x:v>
      </x:c>
      <x:c r="U108" t="n">
        <x:v>2</x:v>
      </x:c>
      <x:c r="V108" t="str"/>
    </x:row>
    <x:row r="109">
      <x:c r="A109" s="52" t="n">
        <x:v>46191</x:v>
      </x:c>
      <x:c r="B109" t="str">
        <x:v>PED-100108</x:v>
      </x:c>
      <x:c r="C109" t="str">
        <x:v>Cliente 119</x:v>
      </x:c>
      <x:c r="D109" t="str">
        <x:v>RS</x:v>
      </x:c>
      <x:c r="E109" t="str">
        <x:v>Sul</x:v>
      </x:c>
      <x:c r="F109" t="str">
        <x:v>Televendas</x:v>
      </x:c>
      <x:c r="G109" t="str">
        <x:v>Tecnologia</x:v>
      </x:c>
      <x:c r="H109" t="str">
        <x:v>Monitor 27</x:v>
      </x:c>
      <x:c r="I109" t="str">
        <x:v>Gabriela</x:v>
      </x:c>
      <x:c r="J109" s="53" t="n">
        <x:v>6</x:v>
      </x:c>
      <x:c r="K109" s="54" t="n">
        <x:v>1739.89</x:v>
      </x:c>
      <x:c r="L109" s="54" t="n">
        <x:v>1113.09</x:v>
      </x:c>
      <x:c r="M109" s="55" t="n">
        <x:v>0</x:v>
      </x:c>
      <x:c r="N109" s="54" t="n">
        <x:f>ROUND(J109*K109,2)</x:f>
        <x:v>10439.34</x:v>
      </x:c>
      <x:c r="O109" s="54" t="n">
        <x:f>ROUND(N109*(1-M109),2)</x:f>
        <x:v>10439.34</x:v>
      </x:c>
      <x:c r="P109" s="54" t="n">
        <x:f>ROUND(J109*L109,2)</x:f>
        <x:v>6678.54</x:v>
      </x:c>
      <x:c r="Q109" s="54" t="n">
        <x:f>ROUND(O109-P109,2)</x:f>
        <x:v>3760.8</x:v>
      </x:c>
      <x:c r="R109" s="55" t="n">
        <x:f>IF(O109=0,0,ROUND(Q109/O109,4))</x:f>
        <x:v>0.3603</x:v>
      </x:c>
      <x:c r="S109" s="53" t="n">
        <x:v>8</x:v>
      </x:c>
      <x:c r="T109" t="str">
        <x:v>Entregue</x:v>
      </x:c>
      <x:c r="U109" t="n">
        <x:v>5</x:v>
      </x:c>
      <x:c r="V109" t="str"/>
    </x:row>
    <x:row r="110">
      <x:c r="A110" s="52" t="n">
        <x:v>46046</x:v>
      </x:c>
      <x:c r="B110" t="str">
        <x:v>PED-100109</x:v>
      </x:c>
      <x:c r="C110" t="str">
        <x:v>Cliente 020</x:v>
      </x:c>
      <x:c r="D110" t="str">
        <x:v>BA</x:v>
      </x:c>
      <x:c r="E110" t="str">
        <x:v>Nordeste</x:v>
      </x:c>
      <x:c r="F110" t="str">
        <x:v>E-commerce</x:v>
      </x:c>
      <x:c r="G110" t="str">
        <x:v>Tecnologia</x:v>
      </x:c>
      <x:c r="H110" t="str">
        <x:v>Notebook Pro</x:v>
      </x:c>
      <x:c r="I110" t="str">
        <x:v>Henrique</x:v>
      </x:c>
      <x:c r="J110" s="53" t="n">
        <x:v>8</x:v>
      </x:c>
      <x:c r="K110" s="54" t="n">
        <x:v>5846.76</x:v>
      </x:c>
      <x:c r="L110" s="54" t="n">
        <x:v>4686.52</x:v>
      </x:c>
      <x:c r="M110" s="55" t="n">
        <x:v>0</x:v>
      </x:c>
      <x:c r="N110" s="54" t="n">
        <x:f>ROUND(J110*K110,2)</x:f>
        <x:v>46774.08</x:v>
      </x:c>
      <x:c r="O110" s="54" t="n">
        <x:f>ROUND(N110*(1-M110),2)</x:f>
        <x:v>46774.08</x:v>
      </x:c>
      <x:c r="P110" s="54" t="n">
        <x:f>ROUND(J110*L110,2)</x:f>
        <x:v>37492.16</x:v>
      </x:c>
      <x:c r="Q110" s="54" t="n">
        <x:f>ROUND(O110-P110,2)</x:f>
        <x:v>9281.92</x:v>
      </x:c>
      <x:c r="R110" s="55" t="n">
        <x:f>IF(O110=0,0,ROUND(Q110/O110,4))</x:f>
        <x:v>0.1984</x:v>
      </x:c>
      <x:c r="S110" s="53" t="n">
        <x:v>2</x:v>
      </x:c>
      <x:c r="T110" t="str">
        <x:v>Entregue</x:v>
      </x:c>
      <x:c r="U110" t="n">
        <x:v>2</x:v>
      </x:c>
      <x:c r="V110" t="str"/>
    </x:row>
    <x:row r="111">
      <x:c r="A111" s="52" t="n">
        <x:v>46077</x:v>
      </x:c>
      <x:c r="B111" t="str">
        <x:v>PED-100110</x:v>
      </x:c>
      <x:c r="C111" t="str">
        <x:v>Cliente 037</x:v>
      </x:c>
      <x:c r="D111" t="str">
        <x:v>PR</x:v>
      </x:c>
      <x:c r="E111" t="str">
        <x:v>Sul</x:v>
      </x:c>
      <x:c r="F111" t="str">
        <x:v>E-commerce</x:v>
      </x:c>
      <x:c r="G111" t="str">
        <x:v>Casa</x:v>
      </x:c>
      <x:c r="H111" t="str">
        <x:v>Purificador</x:v>
      </x:c>
      <x:c r="I111" t="str">
        <x:v>Felipe</x:v>
      </x:c>
      <x:c r="J111" s="53" t="n">
        <x:v>4</x:v>
      </x:c>
      <x:c r="K111" s="54" t="n">
        <x:v>1225.07</x:v>
      </x:c>
      <x:c r="L111" s="54" t="n">
        <x:v>755.34</x:v>
      </x:c>
      <x:c r="M111" s="55" t="n">
        <x:v>0.0014</x:v>
      </x:c>
      <x:c r="N111" s="54" t="n">
        <x:f>ROUND(J111*K111,2)</x:f>
        <x:v>4900.28</x:v>
      </x:c>
      <x:c r="O111" s="54" t="n">
        <x:f>ROUND(N111*(1-M111),2)</x:f>
        <x:v>4893.42</x:v>
      </x:c>
      <x:c r="P111" s="54" t="n">
        <x:f>ROUND(J111*L111,2)</x:f>
        <x:v>3021.36</x:v>
      </x:c>
      <x:c r="Q111" s="54" t="n">
        <x:f>ROUND(O111-P111,2)</x:f>
        <x:v>1872.06</x:v>
      </x:c>
      <x:c r="R111" s="55" t="n">
        <x:f>IF(O111=0,0,ROUND(Q111/O111,4))</x:f>
        <x:v>0.3826</x:v>
      </x:c>
      <x:c r="S111" s="53" t="n">
        <x:v>9</x:v>
      </x:c>
      <x:c r="T111" t="str">
        <x:v>Entregue</x:v>
      </x:c>
      <x:c r="U111" t="n">
        <x:v>3</x:v>
      </x:c>
      <x:c r="V111" t="str"/>
    </x:row>
    <x:row r="112">
      <x:c r="A112" s="52" t="n">
        <x:v>46176</x:v>
      </x:c>
      <x:c r="B112" t="str">
        <x:v>PED-100111</x:v>
      </x:c>
      <x:c r="C112" t="str">
        <x:v>Cliente 029</x:v>
      </x:c>
      <x:c r="D112" t="str">
        <x:v>PE</x:v>
      </x:c>
      <x:c r="E112" t="str">
        <x:v>Nordeste</x:v>
      </x:c>
      <x:c r="F112" t="str">
        <x:v>Televendas</x:v>
      </x:c>
      <x:c r="G112" t="str">
        <x:v>Escritório</x:v>
      </x:c>
      <x:c r="H112" t="str">
        <x:v>Luminária LED</x:v>
      </x:c>
      <x:c r="I112" t="str">
        <x:v>Diego</x:v>
      </x:c>
      <x:c r="J112" s="53" t="n">
        <x:v>1</x:v>
      </x:c>
      <x:c r="K112" s="54" t="n">
        <x:v>274.56</x:v>
      </x:c>
      <x:c r="L112" s="54" t="n">
        <x:v>125.58</x:v>
      </x:c>
      <x:c r="M112" s="55" t="n">
        <x:v>0</x:v>
      </x:c>
      <x:c r="N112" s="54" t="n">
        <x:f>ROUND(J112*K112,2)</x:f>
        <x:v>274.56</x:v>
      </x:c>
      <x:c r="O112" s="54" t="n">
        <x:f>ROUND(N112*(1-M112),2)</x:f>
        <x:v>274.56</x:v>
      </x:c>
      <x:c r="P112" s="54" t="n">
        <x:f>ROUND(J112*L112,2)</x:f>
        <x:v>125.58</x:v>
      </x:c>
      <x:c r="Q112" s="54" t="n">
        <x:f>ROUND(O112-P112,2)</x:f>
        <x:v>148.98</x:v>
      </x:c>
      <x:c r="R112" s="55" t="n">
        <x:f>IF(O112=0,0,ROUND(Q112/O112,4))</x:f>
        <x:v>0.5426</x:v>
      </x:c>
      <x:c r="S112" s="53" t="n">
        <x:v>3</x:v>
      </x:c>
      <x:c r="T112" t="str">
        <x:v>Entregue</x:v>
      </x:c>
      <x:c r="U112" t="n">
        <x:v>4</x:v>
      </x:c>
      <x:c r="V112" t="str"/>
    </x:row>
    <x:row r="113">
      <x:c r="A113" s="52" t="n">
        <x:v>46064</x:v>
      </x:c>
      <x:c r="B113" t="str">
        <x:v>PED-100112</x:v>
      </x:c>
      <x:c r="C113" t="str">
        <x:v>Cliente 091</x:v>
      </x:c>
      <x:c r="D113" t="str">
        <x:v>CE</x:v>
      </x:c>
      <x:c r="E113" t="str">
        <x:v>Nordeste</x:v>
      </x:c>
      <x:c r="F113" t="str">
        <x:v>Loja</x:v>
      </x:c>
      <x:c r="G113" t="str">
        <x:v>Escritório</x:v>
      </x:c>
      <x:c r="H113" t="str">
        <x:v>Cadeira Ergonômica</x:v>
      </x:c>
      <x:c r="I113" t="str">
        <x:v>Gabriela</x:v>
      </x:c>
      <x:c r="J113" s="53" t="n">
        <x:v>4</x:v>
      </x:c>
      <x:c r="K113" s="54" t="n">
        <x:v>2153.84</x:v>
      </x:c>
      <x:c r="L113" s="54" t="n">
        <x:v>1410.61</x:v>
      </x:c>
      <x:c r="M113" s="55" t="n">
        <x:v>0.1271</x:v>
      </x:c>
      <x:c r="N113" s="54" t="n">
        <x:f>ROUND(J113*K113,2)</x:f>
        <x:v>8615.36</x:v>
      </x:c>
      <x:c r="O113" s="54" t="n">
        <x:f>ROUND(N113*(1-M113),2)</x:f>
        <x:v>7520.35</x:v>
      </x:c>
      <x:c r="P113" s="54" t="n">
        <x:f>ROUND(J113*L113,2)</x:f>
        <x:v>5642.44</x:v>
      </x:c>
      <x:c r="Q113" s="54" t="n">
        <x:f>ROUND(O113-P113,2)</x:f>
        <x:v>1877.91</x:v>
      </x:c>
      <x:c r="R113" s="55" t="n">
        <x:f>IF(O113=0,0,ROUND(Q113/O113,4))</x:f>
        <x:v>0.2497</x:v>
      </x:c>
      <x:c r="S113" s="53" t="n">
        <x:v>13</x:v>
      </x:c>
      <x:c r="T113" t="str">
        <x:v>Entregue com atraso</x:v>
      </x:c>
      <x:c r="U113" t="n">
        <x:v>5</x:v>
      </x:c>
      <x:c r="V113" t="str"/>
    </x:row>
    <x:row r="114">
      <x:c r="A114" s="52" t="n">
        <x:v>46095</x:v>
      </x:c>
      <x:c r="B114" t="str">
        <x:v>PED-100113</x:v>
      </x:c>
      <x:c r="C114" t="str">
        <x:v>Cliente 020</x:v>
      </x:c>
      <x:c r="D114" t="str">
        <x:v>SC</x:v>
      </x:c>
      <x:c r="E114" t="str">
        <x:v>Sul</x:v>
      </x:c>
      <x:c r="F114" t="str">
        <x:v>Televendas</x:v>
      </x:c>
      <x:c r="G114" t="str">
        <x:v>Tecnologia</x:v>
      </x:c>
      <x:c r="H114" t="str">
        <x:v>Headset Office</x:v>
      </x:c>
      <x:c r="I114" t="str">
        <x:v>Ana</x:v>
      </x:c>
      <x:c r="J114" s="53" t="n">
        <x:v>5</x:v>
      </x:c>
      <x:c r="K114" s="54" t="n">
        <x:v>372.61</x:v>
      </x:c>
      <x:c r="L114" s="54" t="n">
        <x:v>214.86</x:v>
      </x:c>
      <x:c r="M114" s="55" t="n">
        <x:v>0</x:v>
      </x:c>
      <x:c r="N114" s="54" t="n">
        <x:f>ROUND(J114*K114,2)</x:f>
        <x:v>1863.05</x:v>
      </x:c>
      <x:c r="O114" s="54" t="n">
        <x:f>ROUND(N114*(1-M114),2)</x:f>
        <x:v>1863.05</x:v>
      </x:c>
      <x:c r="P114" s="54" t="n">
        <x:f>ROUND(J114*L114,2)</x:f>
        <x:v>1074.3</x:v>
      </x:c>
      <x:c r="Q114" s="54" t="n">
        <x:f>ROUND(O114-P114,2)</x:f>
        <x:v>788.75</x:v>
      </x:c>
      <x:c r="R114" s="55" t="n">
        <x:f>IF(O114=0,0,ROUND(Q114/O114,4))</x:f>
        <x:v>0.4234</x:v>
      </x:c>
      <x:c r="S114" s="53" t="n">
        <x:v>7</x:v>
      </x:c>
      <x:c r="T114" t="str">
        <x:v>Entregue</x:v>
      </x:c>
      <x:c r="U114" t="n">
        <x:v>3</x:v>
      </x:c>
      <x:c r="V114" t="str"/>
    </x:row>
    <x:row r="115">
      <x:c r="A115" s="52" t="n">
        <x:v>46121</x:v>
      </x:c>
      <x:c r="B115" t="str">
        <x:v>PED-100114</x:v>
      </x:c>
      <x:c r="C115" t="str">
        <x:v>Cliente 092</x:v>
      </x:c>
      <x:c r="D115" t="str">
        <x:v>PA</x:v>
      </x:c>
      <x:c r="E115" t="str">
        <x:v>Norte</x:v>
      </x:c>
      <x:c r="F115" t="str">
        <x:v>E-commerce</x:v>
      </x:c>
      <x:c r="G115" t="str">
        <x:v>Tecnologia</x:v>
      </x:c>
      <x:c r="H115" t="str">
        <x:v>Monitor 27</x:v>
      </x:c>
      <x:c r="I115" t="str">
        <x:v>Elaine</x:v>
      </x:c>
      <x:c r="J115" s="53" t="n">
        <x:v>7</x:v>
      </x:c>
      <x:c r="K115" s="54" t="n">
        <x:v>1629.34</x:v>
      </x:c>
      <x:c r="L115" s="54" t="n">
        <x:v>1153.8</x:v>
      </x:c>
      <x:c r="M115" s="55" t="n">
        <x:v>0</x:v>
      </x:c>
      <x:c r="N115" s="54" t="n">
        <x:f>ROUND(J115*K115,2)</x:f>
        <x:v>11405.38</x:v>
      </x:c>
      <x:c r="O115" s="54" t="n">
        <x:f>ROUND(N115*(1-M115),2)</x:f>
        <x:v>11405.38</x:v>
      </x:c>
      <x:c r="P115" s="54" t="n">
        <x:f>ROUND(J115*L115,2)</x:f>
        <x:v>8076.6</x:v>
      </x:c>
      <x:c r="Q115" s="54" t="n">
        <x:f>ROUND(O115-P115,2)</x:f>
        <x:v>3328.78</x:v>
      </x:c>
      <x:c r="R115" s="55" t="n">
        <x:f>IF(O115=0,0,ROUND(Q115/O115,4))</x:f>
        <x:v>0.2919</x:v>
      </x:c>
      <x:c r="S115" s="53" t="n">
        <x:v>9</x:v>
      </x:c>
      <x:c r="T115" t="str">
        <x:v>Entregue</x:v>
      </x:c>
      <x:c r="U115" t="n">
        <x:v>5</x:v>
      </x:c>
      <x:c r="V115" t="str"/>
    </x:row>
    <x:row r="116">
      <x:c r="A116" s="52" t="n">
        <x:v>46074</x:v>
      </x:c>
      <x:c r="B116" t="str">
        <x:v>PED-100115</x:v>
      </x:c>
      <x:c r="C116" t="str">
        <x:v>Cliente 096</x:v>
      </x:c>
      <x:c r="D116" t="str">
        <x:v>MT</x:v>
      </x:c>
      <x:c r="E116" t="str">
        <x:v>Centro-Oeste</x:v>
      </x:c>
      <x:c r="F116" t="str">
        <x:v>E-commerce</x:v>
      </x:c>
      <x:c r="G116" t="str">
        <x:v>Escritório</x:v>
      </x:c>
      <x:c r="H116" t="str">
        <x:v>Mesa Ajustável</x:v>
      </x:c>
      <x:c r="I116" t="str">
        <x:v>Ana</x:v>
      </x:c>
      <x:c r="J116" s="53" t="n">
        <x:v>1</x:v>
      </x:c>
      <x:c r="K116" s="54" t="n">
        <x:v>2807.9</x:v>
      </x:c>
      <x:c r="L116" s="54" t="n">
        <x:v>1871.07</x:v>
      </x:c>
      <x:c r="M116" s="55" t="n">
        <x:v>0.0898</x:v>
      </x:c>
      <x:c r="N116" s="54" t="n">
        <x:f>ROUND(J116*K116,2)</x:f>
        <x:v>2807.9</x:v>
      </x:c>
      <x:c r="O116" s="54" t="n">
        <x:f>ROUND(N116*(1-M116),2)</x:f>
        <x:v>2555.75</x:v>
      </x:c>
      <x:c r="P116" s="54" t="n">
        <x:f>ROUND(J116*L116,2)</x:f>
        <x:v>1871.07</x:v>
      </x:c>
      <x:c r="Q116" s="54" t="n">
        <x:f>ROUND(O116-P116,2)</x:f>
        <x:v>684.68</x:v>
      </x:c>
      <x:c r="R116" s="55" t="n">
        <x:f>IF(O116=0,0,ROUND(Q116/O116,4))</x:f>
        <x:v>0.2679</x:v>
      </x:c>
      <x:c r="S116" s="53" t="n">
        <x:v>6</x:v>
      </x:c>
      <x:c r="T116" t="str">
        <x:v>Entregue</x:v>
      </x:c>
      <x:c r="U116" t="n">
        <x:v>2</x:v>
      </x:c>
      <x:c r="V116" t="str"/>
    </x:row>
    <x:row r="117">
      <x:c r="A117" s="52" t="n">
        <x:v>46075</x:v>
      </x:c>
      <x:c r="B117" t="str">
        <x:v>PED-100116</x:v>
      </x:c>
      <x:c r="C117" t="str">
        <x:v>Cliente 099</x:v>
      </x:c>
      <x:c r="D117" t="str">
        <x:v>PR</x:v>
      </x:c>
      <x:c r="E117" t="str">
        <x:v>Sul</x:v>
      </x:c>
      <x:c r="F117" t="str">
        <x:v>E-commerce</x:v>
      </x:c>
      <x:c r="G117" t="str">
        <x:v>Casa</x:v>
      </x:c>
      <x:c r="H117" t="str">
        <x:v>Purificador</x:v>
      </x:c>
      <x:c r="I117" t="str">
        <x:v>Carla</x:v>
      </x:c>
      <x:c r="J117" s="53" t="n">
        <x:v>1</x:v>
      </x:c>
      <x:c r="K117" s="54" t="n">
        <x:v>1304.56</x:v>
      </x:c>
      <x:c r="L117" s="54" t="n">
        <x:v>800.6</x:v>
      </x:c>
      <x:c r="M117" s="55" t="n">
        <x:v>0.0362</x:v>
      </x:c>
      <x:c r="N117" s="54" t="n">
        <x:f>ROUND(J117*K117,2)</x:f>
        <x:v>1304.56</x:v>
      </x:c>
      <x:c r="O117" s="54" t="n">
        <x:f>ROUND(N117*(1-M117),2)</x:f>
        <x:v>1257.33</x:v>
      </x:c>
      <x:c r="P117" s="54" t="n">
        <x:f>ROUND(J117*L117,2)</x:f>
        <x:v>800.6</x:v>
      </x:c>
      <x:c r="Q117" s="54" t="n">
        <x:f>ROUND(O117-P117,2)</x:f>
        <x:v>456.73</x:v>
      </x:c>
      <x:c r="R117" s="55" t="n">
        <x:f>IF(O117=0,0,ROUND(Q117/O117,4))</x:f>
        <x:v>0.3633</x:v>
      </x:c>
      <x:c r="S117" s="53" t="n">
        <x:v>9</x:v>
      </x:c>
      <x:c r="T117" t="str">
        <x:v>Entregue</x:v>
      </x:c>
      <x:c r="U117" t="n">
        <x:v>4</x:v>
      </x:c>
      <x:c r="V117" t="str"/>
    </x:row>
    <x:row r="118">
      <x:c r="A118" s="52" t="n">
        <x:v>46129</x:v>
      </x:c>
      <x:c r="B118" t="str">
        <x:v>PED-100117</x:v>
      </x:c>
      <x:c r="C118" t="str">
        <x:v>Cliente 076</x:v>
      </x:c>
      <x:c r="D118" t="str">
        <x:v>AM</x:v>
      </x:c>
      <x:c r="E118" t="str">
        <x:v>Norte</x:v>
      </x:c>
      <x:c r="F118" t="str">
        <x:v>Marketplace</x:v>
      </x:c>
      <x:c r="G118" t="str">
        <x:v>Escritório</x:v>
      </x:c>
      <x:c r="H118" t="str">
        <x:v>Mesa Ajustável</x:v>
      </x:c>
      <x:c r="I118" t="str">
        <x:v>Gabriela</x:v>
      </x:c>
      <x:c r="J118" s="53" t="n">
        <x:v>2</x:v>
      </x:c>
      <x:c r="K118" s="54" t="n">
        <x:v>2671.06</x:v>
      </x:c>
      <x:c r="L118" s="54" t="n">
        <x:v>1804.83</x:v>
      </x:c>
      <x:c r="M118" s="55" t="n">
        <x:v>0.1415</x:v>
      </x:c>
      <x:c r="N118" s="54" t="n">
        <x:f>ROUND(J118*K118,2)</x:f>
        <x:v>5342.12</x:v>
      </x:c>
      <x:c r="O118" s="54" t="n">
        <x:f>ROUND(N118*(1-M118),2)</x:f>
        <x:v>4586.21</x:v>
      </x:c>
      <x:c r="P118" s="54" t="n">
        <x:f>ROUND(J118*L118,2)</x:f>
        <x:v>3609.66</x:v>
      </x:c>
      <x:c r="Q118" s="54" t="n">
        <x:f>ROUND(O118-P118,2)</x:f>
        <x:v>976.55</x:v>
      </x:c>
      <x:c r="R118" s="55" t="n">
        <x:f>IF(O118=0,0,ROUND(Q118/O118,4))</x:f>
        <x:v>0.2129</x:v>
      </x:c>
      <x:c r="S118" s="53" t="n">
        <x:v>14</x:v>
      </x:c>
      <x:c r="T118" t="str">
        <x:v>Entregue com atraso</x:v>
      </x:c>
      <x:c r="U118" t="n">
        <x:v>2</x:v>
      </x:c>
      <x:c r="V118" t="str"/>
    </x:row>
    <x:row r="119">
      <x:c r="A119" s="52" t="n">
        <x:v>46195</x:v>
      </x:c>
      <x:c r="B119" t="str">
        <x:v>PED-100118</x:v>
      </x:c>
      <x:c r="C119" t="str">
        <x:v>Cliente 096</x:v>
      </x:c>
      <x:c r="D119" t="str">
        <x:v>AM</x:v>
      </x:c>
      <x:c r="E119" t="str">
        <x:v>Norte</x:v>
      </x:c>
      <x:c r="F119" t="str">
        <x:v>Loja</x:v>
      </x:c>
      <x:c r="G119" t="str">
        <x:v>Escritório</x:v>
      </x:c>
      <x:c r="H119" t="str">
        <x:v>Mesa Ajustável</x:v>
      </x:c>
      <x:c r="I119" t="str">
        <x:v>Diego</x:v>
      </x:c>
      <x:c r="J119" s="53" t="n">
        <x:v>1</x:v>
      </x:c>
      <x:c r="K119" s="54" t="n">
        <x:v>2923.94</x:v>
      </x:c>
      <x:c r="L119" s="54" t="n">
        <x:v>1832.24</x:v>
      </x:c>
      <x:c r="M119" s="55" t="n">
        <x:v>0.0286</x:v>
      </x:c>
      <x:c r="N119" s="54" t="n">
        <x:f>ROUND(J119*K119,2)</x:f>
        <x:v>2923.94</x:v>
      </x:c>
      <x:c r="O119" s="54" t="n">
        <x:f>ROUND(N119*(1-M119),2)</x:f>
        <x:v>2840.32</x:v>
      </x:c>
      <x:c r="P119" s="54" t="n">
        <x:f>ROUND(J119*L119,2)</x:f>
        <x:v>1832.24</x:v>
      </x:c>
      <x:c r="Q119" s="54" t="n">
        <x:f>ROUND(O119-P119,2)</x:f>
        <x:v>1008.08</x:v>
      </x:c>
      <x:c r="R119" s="55" t="n">
        <x:f>IF(O119=0,0,ROUND(Q119/O119,4))</x:f>
        <x:v>0.3549</x:v>
      </x:c>
      <x:c r="S119" s="53" t="n">
        <x:v>10</x:v>
      </x:c>
      <x:c r="T119" t="str">
        <x:v>Entregue</x:v>
      </x:c>
      <x:c r="U119" t="n">
        <x:v>4</x:v>
      </x:c>
      <x:c r="V119" t="str"/>
    </x:row>
    <x:row r="120">
      <x:c r="A120" s="52" t="n">
        <x:v>46039</x:v>
      </x:c>
      <x:c r="B120" t="str">
        <x:v>PED-100119</x:v>
      </x:c>
      <x:c r="C120" t="str">
        <x:v>Cliente 110</x:v>
      </x:c>
      <x:c r="D120" t="str">
        <x:v>MG</x:v>
      </x:c>
      <x:c r="E120" t="str">
        <x:v>Sudeste</x:v>
      </x:c>
      <x:c r="F120" t="str">
        <x:v>Televendas</x:v>
      </x:c>
      <x:c r="G120" t="str">
        <x:v>Tecnologia</x:v>
      </x:c>
      <x:c r="H120" t="str">
        <x:v>Monitor 27</x:v>
      </x:c>
      <x:c r="I120" t="str">
        <x:v>Gabriela</x:v>
      </x:c>
      <x:c r="J120" s="53" t="n">
        <x:v>2</x:v>
      </x:c>
      <x:c r="K120" s="54" t="n">
        <x:v>1649.47</x:v>
      </x:c>
      <x:c r="L120" s="54" t="n">
        <x:v>1107.97</x:v>
      </x:c>
      <x:c r="M120" s="55" t="n">
        <x:v>0.094</x:v>
      </x:c>
      <x:c r="N120" s="54" t="n">
        <x:f>ROUND(J120*K120,2)</x:f>
        <x:v>3298.94</x:v>
      </x:c>
      <x:c r="O120" s="54" t="n">
        <x:f>ROUND(N120*(1-M120),2)</x:f>
        <x:v>2988.84</x:v>
      </x:c>
      <x:c r="P120" s="54" t="n">
        <x:f>ROUND(J120*L120,2)</x:f>
        <x:v>2215.94</x:v>
      </x:c>
      <x:c r="Q120" s="54" t="n">
        <x:f>ROUND(O120-P120,2)</x:f>
        <x:v>772.9</x:v>
      </x:c>
      <x:c r="R120" s="55" t="n">
        <x:f>IF(O120=0,0,ROUND(Q120/O120,4))</x:f>
        <x:v>0.2586</x:v>
      </x:c>
      <x:c r="S120" s="53" t="n">
        <x:v>12</x:v>
      </x:c>
      <x:c r="T120" t="str">
        <x:v>Entregue com atraso</x:v>
      </x:c>
      <x:c r="U120" t="n">
        <x:v>5</x:v>
      </x:c>
      <x:c r="V120" t="str"/>
    </x:row>
    <x:row r="121">
      <x:c r="A121" s="52" t="n">
        <x:v>46053</x:v>
      </x:c>
      <x:c r="B121" t="str">
        <x:v>PED-100120</x:v>
      </x:c>
      <x:c r="C121" t="str">
        <x:v>Cliente 086</x:v>
      </x:c>
      <x:c r="D121" t="str">
        <x:v>SP</x:v>
      </x:c>
      <x:c r="E121" t="str">
        <x:v>Sudeste</x:v>
      </x:c>
      <x:c r="F121" t="str">
        <x:v>E-commerce</x:v>
      </x:c>
      <x:c r="G121" t="str">
        <x:v>Acessórios</x:v>
      </x:c>
      <x:c r="H121" t="str">
        <x:v>Hub USB-C</x:v>
      </x:c>
      <x:c r="I121" t="str">
        <x:v>Bruno</x:v>
      </x:c>
      <x:c r="J121" s="53" t="n">
        <x:v>6</x:v>
      </x:c>
      <x:c r="K121" s="54" t="n">
        <x:v>309.88</x:v>
      </x:c>
      <x:c r="L121" s="54" t="n">
        <x:v>139.01</x:v>
      </x:c>
      <x:c r="M121" s="55" t="n">
        <x:v>0.0557</x:v>
      </x:c>
      <x:c r="N121" s="54" t="n">
        <x:f>ROUND(J121*K121,2)</x:f>
        <x:v>1859.28</x:v>
      </x:c>
      <x:c r="O121" s="54" t="n">
        <x:f>ROUND(N121*(1-M121),2)</x:f>
        <x:v>1755.72</x:v>
      </x:c>
      <x:c r="P121" s="54" t="n">
        <x:f>ROUND(J121*L121,2)</x:f>
        <x:v>834.06</x:v>
      </x:c>
      <x:c r="Q121" s="54" t="n">
        <x:f>ROUND(O121-P121,2)</x:f>
        <x:v>921.66</x:v>
      </x:c>
      <x:c r="R121" s="55" t="n">
        <x:f>IF(O121=0,0,ROUND(Q121/O121,4))</x:f>
        <x:v>0.5249</x:v>
      </x:c>
      <x:c r="S121" s="53" t="n">
        <x:v>2</x:v>
      </x:c>
      <x:c r="T121" t="str">
        <x:v>Cancelado</x:v>
      </x:c>
      <x:c r="U121"/>
      <x:c r="V121" t="str"/>
    </x:row>
    <x:row r="122">
      <x:c r="A122" s="52" t="n">
        <x:v>46216</x:v>
      </x:c>
      <x:c r="B122" t="str">
        <x:v>PED-100121</x:v>
      </x:c>
      <x:c r="C122" t="str">
        <x:v>Cliente 091</x:v>
      </x:c>
      <x:c r="D122" t="str">
        <x:v>MG</x:v>
      </x:c>
      <x:c r="E122" t="str">
        <x:v>Sudeste</x:v>
      </x:c>
      <x:c r="F122" t="str">
        <x:v>Loja</x:v>
      </x:c>
      <x:c r="G122" t="str">
        <x:v>Acessórios</x:v>
      </x:c>
      <x:c r="H122" t="str">
        <x:v>Webcam HD</x:v>
      </x:c>
      <x:c r="I122" t="str">
        <x:v>Elaine</x:v>
      </x:c>
      <x:c r="J122" s="53" t="n">
        <x:v>6</x:v>
      </x:c>
      <x:c r="K122" s="54" t="n">
        <x:v>523.97</x:v>
      </x:c>
      <x:c r="L122" s="54" t="n">
        <x:v>236.92</x:v>
      </x:c>
      <x:c r="M122" s="55" t="n">
        <x:v>0.0786</x:v>
      </x:c>
      <x:c r="N122" s="54" t="n">
        <x:f>ROUND(J122*K122,2)</x:f>
        <x:v>3143.82</x:v>
      </x:c>
      <x:c r="O122" s="54" t="n">
        <x:f>ROUND(N122*(1-M122),2)</x:f>
        <x:v>2896.72</x:v>
      </x:c>
      <x:c r="P122" s="54" t="n">
        <x:f>ROUND(J122*L122,2)</x:f>
        <x:v>1421.52</x:v>
      </x:c>
      <x:c r="Q122" s="54" t="n">
        <x:f>ROUND(O122-P122,2)</x:f>
        <x:v>1475.2</x:v>
      </x:c>
      <x:c r="R122" s="55" t="n">
        <x:f>IF(O122=0,0,ROUND(Q122/O122,4))</x:f>
        <x:v>0.5093</x:v>
      </x:c>
      <x:c r="S122" s="53" t="n">
        <x:v>10</x:v>
      </x:c>
      <x:c r="T122" t="str">
        <x:v>Entregue</x:v>
      </x:c>
      <x:c r="U122" t="n">
        <x:v>3</x:v>
      </x:c>
      <x:c r="V122" t="str"/>
    </x:row>
    <x:row r="123">
      <x:c r="A123" s="52" t="n">
        <x:v>46078</x:v>
      </x:c>
      <x:c r="B123" t="str">
        <x:v>PED-100122</x:v>
      </x:c>
      <x:c r="C123" t="str">
        <x:v>Cliente 040</x:v>
      </x:c>
      <x:c r="D123" t="str">
        <x:v>BA</x:v>
      </x:c>
      <x:c r="E123" t="str">
        <x:v>Nordeste</x:v>
      </x:c>
      <x:c r="F123" t="str">
        <x:v>Loja</x:v>
      </x:c>
      <x:c r="G123" t="str">
        <x:v>Casa</x:v>
      </x:c>
      <x:c r="H123" t="str">
        <x:v>Aspirador Robô</x:v>
      </x:c>
      <x:c r="I123" t="str">
        <x:v>Diego</x:v>
      </x:c>
      <x:c r="J123" s="53" t="n">
        <x:v>1</x:v>
      </x:c>
      <x:c r="K123" s="54" t="n">
        <x:v>1819.23</x:v>
      </x:c>
      <x:c r="L123" s="54" t="n">
        <x:v>1223.08</x:v>
      </x:c>
      <x:c r="M123" s="55" t="n">
        <x:v>0.0735</x:v>
      </x:c>
      <x:c r="N123" s="54" t="n">
        <x:f>ROUND(J123*K123,2)</x:f>
        <x:v>1819.23</x:v>
      </x:c>
      <x:c r="O123" s="54" t="n">
        <x:f>ROUND(N123*(1-M123),2)</x:f>
        <x:v>1685.52</x:v>
      </x:c>
      <x:c r="P123" s="54" t="n">
        <x:f>ROUND(J123*L123,2)</x:f>
        <x:v>1223.08</x:v>
      </x:c>
      <x:c r="Q123" s="54" t="n">
        <x:f>ROUND(O123-P123,2)</x:f>
        <x:v>462.44</x:v>
      </x:c>
      <x:c r="R123" s="55" t="n">
        <x:f>IF(O123=0,0,ROUND(Q123/O123,4))</x:f>
        <x:v>0.2744</x:v>
      </x:c>
      <x:c r="S123" s="53" t="n">
        <x:v>13</x:v>
      </x:c>
      <x:c r="T123" t="str">
        <x:v>Entregue com atraso</x:v>
      </x:c>
      <x:c r="U123" t="n">
        <x:v>4</x:v>
      </x:c>
      <x:c r="V123" t="str"/>
    </x:row>
    <x:row r="124">
      <x:c r="A124" s="52" t="n">
        <x:v>46071</x:v>
      </x:c>
      <x:c r="B124" t="str">
        <x:v>PED-100123</x:v>
      </x:c>
      <x:c r="C124" t="str">
        <x:v>Cliente 114</x:v>
      </x:c>
      <x:c r="D124" t="str">
        <x:v>MA</x:v>
      </x:c>
      <x:c r="E124" t="str">
        <x:v>Nordeste</x:v>
      </x:c>
      <x:c r="F124" t="str">
        <x:v>E-commerce</x:v>
      </x:c>
      <x:c r="G124" t="str">
        <x:v>Tecnologia</x:v>
      </x:c>
      <x:c r="H124" t="str">
        <x:v>Notebook Pro</x:v>
      </x:c>
      <x:c r="I124" t="str">
        <x:v>Diego</x:v>
      </x:c>
      <x:c r="J124" s="53" t="n">
        <x:v>6</x:v>
      </x:c>
      <x:c r="K124" s="54" t="n">
        <x:v>6023.62</x:v>
      </x:c>
      <x:c r="L124" s="54" t="n">
        <x:v>4339.65</x:v>
      </x:c>
      <x:c r="M124" s="55" t="n">
        <x:v>0</x:v>
      </x:c>
      <x:c r="N124" s="54" t="n">
        <x:f>ROUND(J124*K124,2)</x:f>
        <x:v>36141.72</x:v>
      </x:c>
      <x:c r="O124" s="54" t="n">
        <x:f>ROUND(N124*(1-M124),2)</x:f>
        <x:v>36141.72</x:v>
      </x:c>
      <x:c r="P124" s="54" t="n">
        <x:f>ROUND(J124*L124,2)</x:f>
        <x:v>26037.9</x:v>
      </x:c>
      <x:c r="Q124" s="54" t="n">
        <x:f>ROUND(O124-P124,2)</x:f>
        <x:v>10103.82</x:v>
      </x:c>
      <x:c r="R124" s="55" t="n">
        <x:f>IF(O124=0,0,ROUND(Q124/O124,4))</x:f>
        <x:v>0.2796</x:v>
      </x:c>
      <x:c r="S124" s="53" t="n">
        <x:v>2</x:v>
      </x:c>
      <x:c r="T124" t="str">
        <x:v>Entregue</x:v>
      </x:c>
      <x:c r="U124" t="n">
        <x:v>4</x:v>
      </x:c>
      <x:c r="V124" t="str"/>
    </x:row>
    <x:row r="125">
      <x:c r="A125" s="52" t="n">
        <x:v>46066</x:v>
      </x:c>
      <x:c r="B125" t="str">
        <x:v>PED-100124</x:v>
      </x:c>
      <x:c r="C125" t="str">
        <x:v>Cliente 078</x:v>
      </x:c>
      <x:c r="D125" t="str">
        <x:v>MA</x:v>
      </x:c>
      <x:c r="E125" t="str">
        <x:v>Nordeste</x:v>
      </x:c>
      <x:c r="F125" t="str">
        <x:v>Loja</x:v>
      </x:c>
      <x:c r="G125" t="str">
        <x:v>Tecnologia</x:v>
      </x:c>
      <x:c r="H125" t="str">
        <x:v>Notebook Pro</x:v>
      </x:c>
      <x:c r="I125" t="str">
        <x:v>Bruno</x:v>
      </x:c>
      <x:c r="J125" s="53" t="n">
        <x:v>5</x:v>
      </x:c>
      <x:c r="K125" s="54" t="n">
        <x:v>5608.17</x:v>
      </x:c>
      <x:c r="L125" s="54" t="n">
        <x:v>4363.88</x:v>
      </x:c>
      <x:c r="M125" s="55" t="n">
        <x:v>0.0062</x:v>
      </x:c>
      <x:c r="N125" s="54" t="n">
        <x:f>ROUND(J125*K125,2)</x:f>
        <x:v>28040.85</x:v>
      </x:c>
      <x:c r="O125" s="54" t="n">
        <x:f>ROUND(N125*(1-M125),2)</x:f>
        <x:v>27867</x:v>
      </x:c>
      <x:c r="P125" s="54" t="n">
        <x:f>ROUND(J125*L125,2)</x:f>
        <x:v>21819.4</x:v>
      </x:c>
      <x:c r="Q125" s="54" t="n">
        <x:f>ROUND(O125-P125,2)</x:f>
        <x:v>6047.6</x:v>
      </x:c>
      <x:c r="R125" s="55" t="n">
        <x:f>IF(O125=0,0,ROUND(Q125/O125,4))</x:f>
        <x:v>0.217</x:v>
      </x:c>
      <x:c r="S125" s="53" t="n">
        <x:v>5</x:v>
      </x:c>
      <x:c r="T125" t="str">
        <x:v>Entregue</x:v>
      </x:c>
      <x:c r="U125" t="n">
        <x:v>4</x:v>
      </x:c>
      <x:c r="V125" t="str"/>
    </x:row>
    <x:row r="126">
      <x:c r="A126" s="52" t="n">
        <x:v>46079</x:v>
      </x:c>
      <x:c r="B126" t="str">
        <x:v>PED-100125</x:v>
      </x:c>
      <x:c r="C126" t="str">
        <x:v>Cliente 109</x:v>
      </x:c>
      <x:c r="D126" t="str">
        <x:v>RJ</x:v>
      </x:c>
      <x:c r="E126" t="str">
        <x:v>Sudeste</x:v>
      </x:c>
      <x:c r="F126" t="str">
        <x:v>Loja</x:v>
      </x:c>
      <x:c r="G126" t="str">
        <x:v>Acessórios</x:v>
      </x:c>
      <x:c r="H126" t="str">
        <x:v>Hub USB-C</x:v>
      </x:c>
      <x:c r="I126" t="str">
        <x:v>Diego</x:v>
      </x:c>
      <x:c r="J126" s="53" t="n">
        <x:v>3</x:v>
      </x:c>
      <x:c r="K126" s="54" t="n">
        <x:v>324.35</x:v>
      </x:c>
      <x:c r="L126" s="54" t="n">
        <x:v>141.04</x:v>
      </x:c>
      <x:c r="M126" s="55" t="n">
        <x:v>0.0594</x:v>
      </x:c>
      <x:c r="N126" s="54" t="n">
        <x:f>ROUND(J126*K126,2)</x:f>
        <x:v>973.05</x:v>
      </x:c>
      <x:c r="O126" s="54" t="n">
        <x:f>ROUND(N126*(1-M126),2)</x:f>
        <x:v>915.25</x:v>
      </x:c>
      <x:c r="P126" s="54" t="n">
        <x:f>ROUND(J126*L126,2)</x:f>
        <x:v>423.12</x:v>
      </x:c>
      <x:c r="Q126" s="54" t="n">
        <x:f>ROUND(O126-P126,2)</x:f>
        <x:v>492.13</x:v>
      </x:c>
      <x:c r="R126" s="55" t="n">
        <x:f>IF(O126=0,0,ROUND(Q126/O126,4))</x:f>
        <x:v>0.5377</x:v>
      </x:c>
      <x:c r="S126" s="53" t="n">
        <x:v>5</x:v>
      </x:c>
      <x:c r="T126" t="str">
        <x:v>Cancelado</x:v>
      </x:c>
      <x:c r="U126"/>
      <x:c r="V126" t="str"/>
    </x:row>
    <x:row r="127">
      <x:c r="A127" s="52" t="n">
        <x:v>46210</x:v>
      </x:c>
      <x:c r="B127" t="str">
        <x:v>PED-100126</x:v>
      </x:c>
      <x:c r="C127" t="str">
        <x:v>Cliente 011</x:v>
      </x:c>
      <x:c r="D127" t="str">
        <x:v>PR</x:v>
      </x:c>
      <x:c r="E127" t="str">
        <x:v>Sul</x:v>
      </x:c>
      <x:c r="F127" t="str">
        <x:v>Televendas</x:v>
      </x:c>
      <x:c r="G127" t="str">
        <x:v>Casa</x:v>
      </x:c>
      <x:c r="H127" t="str">
        <x:v>Purificador</x:v>
      </x:c>
      <x:c r="I127" t="str">
        <x:v>Carla</x:v>
      </x:c>
      <x:c r="J127" s="53" t="n">
        <x:v>6</x:v>
      </x:c>
      <x:c r="K127" s="54" t="n">
        <x:v>1267.95</x:v>
      </x:c>
      <x:c r="L127" s="54" t="n">
        <x:v>770.66</x:v>
      </x:c>
      <x:c r="M127" s="55" t="n">
        <x:v>0.0331</x:v>
      </x:c>
      <x:c r="N127" s="54" t="n">
        <x:f>ROUND(J127*K127,2)</x:f>
        <x:v>7607.7</x:v>
      </x:c>
      <x:c r="O127" s="54" t="n">
        <x:f>ROUND(N127*(1-M127),2)</x:f>
        <x:v>7355.89</x:v>
      </x:c>
      <x:c r="P127" s="54" t="n">
        <x:f>ROUND(J127*L127,2)</x:f>
        <x:v>4623.96</x:v>
      </x:c>
      <x:c r="Q127" s="54" t="n">
        <x:f>ROUND(O127-P127,2)</x:f>
        <x:v>2731.93</x:v>
      </x:c>
      <x:c r="R127" s="55" t="n">
        <x:f>IF(O127=0,0,ROUND(Q127/O127,4))</x:f>
        <x:v>0.3714</x:v>
      </x:c>
      <x:c r="S127" s="53" t="n">
        <x:v>7</x:v>
      </x:c>
      <x:c r="T127" t="str">
        <x:v>Entregue</x:v>
      </x:c>
      <x:c r="U127" t="n">
        <x:v>3</x:v>
      </x:c>
      <x:c r="V127" t="str"/>
    </x:row>
    <x:row r="128">
      <x:c r="A128" s="52" t="n">
        <x:v>46125</x:v>
      </x:c>
      <x:c r="B128" t="str">
        <x:v>PED-100127</x:v>
      </x:c>
      <x:c r="C128" t="str">
        <x:v>Cliente 111</x:v>
      </x:c>
      <x:c r="D128" t="str">
        <x:v>SC</x:v>
      </x:c>
      <x:c r="E128" t="str">
        <x:v>Sul</x:v>
      </x:c>
      <x:c r="F128" t="str">
        <x:v>E-commerce</x:v>
      </x:c>
      <x:c r="G128" t="str">
        <x:v>Escritório</x:v>
      </x:c>
      <x:c r="H128" t="str">
        <x:v>Cadeira Ergonômica</x:v>
      </x:c>
      <x:c r="I128" t="str">
        <x:v>Bruno</x:v>
      </x:c>
      <x:c r="J128" s="53" t="n">
        <x:v>7</x:v>
      </x:c>
      <x:c r="K128" s="54" t="n">
        <x:v>2205.35</x:v>
      </x:c>
      <x:c r="L128" s="54" t="n">
        <x:v>1368.74</x:v>
      </x:c>
      <x:c r="M128" s="55" t="n">
        <x:v>0.0035</x:v>
      </x:c>
      <x:c r="N128" s="54" t="n">
        <x:f>ROUND(J128*K128,2)</x:f>
        <x:v>15437.45</x:v>
      </x:c>
      <x:c r="O128" s="54" t="n">
        <x:f>ROUND(N128*(1-M128),2)</x:f>
        <x:v>15383.42</x:v>
      </x:c>
      <x:c r="P128" s="54" t="n">
        <x:f>ROUND(J128*L128,2)</x:f>
        <x:v>9581.18</x:v>
      </x:c>
      <x:c r="Q128" s="54" t="n">
        <x:f>ROUND(O128-P128,2)</x:f>
        <x:v>5802.24</x:v>
      </x:c>
      <x:c r="R128" s="55" t="n">
        <x:f>IF(O128=0,0,ROUND(Q128/O128,4))</x:f>
        <x:v>0.3772</x:v>
      </x:c>
      <x:c r="S128" s="53" t="n">
        <x:v>11</x:v>
      </x:c>
      <x:c r="T128" t="str">
        <x:v>Entregue com atraso</x:v>
      </x:c>
      <x:c r="U128" t="n">
        <x:v>4</x:v>
      </x:c>
      <x:c r="V128" t="str"/>
    </x:row>
    <x:row r="129">
      <x:c r="A129" s="52" t="n">
        <x:v>46144</x:v>
      </x:c>
      <x:c r="B129" t="str">
        <x:v>PED-100128</x:v>
      </x:c>
      <x:c r="C129" t="str">
        <x:v>Cliente 046</x:v>
      </x:c>
      <x:c r="D129" t="str">
        <x:v>SC</x:v>
      </x:c>
      <x:c r="E129" t="str">
        <x:v>Sul</x:v>
      </x:c>
      <x:c r="F129" t="str">
        <x:v>Marketplace</x:v>
      </x:c>
      <x:c r="G129" t="str">
        <x:v>Escritório</x:v>
      </x:c>
      <x:c r="H129" t="str">
        <x:v>Mesa Ajustável</x:v>
      </x:c>
      <x:c r="I129" t="str">
        <x:v>Henrique</x:v>
      </x:c>
      <x:c r="J129" s="53" t="n">
        <x:v>6</x:v>
      </x:c>
      <x:c r="K129" s="54" t="n">
        <x:v>2653.27</x:v>
      </x:c>
      <x:c r="L129" s="54" t="n">
        <x:v>1784.41</x:v>
      </x:c>
      <x:c r="M129" s="55" t="n">
        <x:v>0.1427</x:v>
      </x:c>
      <x:c r="N129" s="54" t="n">
        <x:f>ROUND(J129*K129,2)</x:f>
        <x:v>15919.62</x:v>
      </x:c>
      <x:c r="O129" s="54" t="n">
        <x:f>ROUND(N129*(1-M129),2)</x:f>
        <x:v>13647.89</x:v>
      </x:c>
      <x:c r="P129" s="54" t="n">
        <x:f>ROUND(J129*L129,2)</x:f>
        <x:v>10706.46</x:v>
      </x:c>
      <x:c r="Q129" s="54" t="n">
        <x:f>ROUND(O129-P129,2)</x:f>
        <x:v>2941.43</x:v>
      </x:c>
      <x:c r="R129" s="55" t="n">
        <x:f>IF(O129=0,0,ROUND(Q129/O129,4))</x:f>
        <x:v>0.2155</x:v>
      </x:c>
      <x:c r="S129" s="53" t="n">
        <x:v>10</x:v>
      </x:c>
      <x:c r="T129" t="str">
        <x:v>Entregue</x:v>
      </x:c>
      <x:c r="U129" t="n">
        <x:v>2</x:v>
      </x:c>
      <x:c r="V129" t="str"/>
    </x:row>
    <x:row r="130">
      <x:c r="A130" s="52" t="n">
        <x:v>46222</x:v>
      </x:c>
      <x:c r="B130" t="str">
        <x:v>PED-100129</x:v>
      </x:c>
      <x:c r="C130" t="str">
        <x:v>Cliente 011</x:v>
      </x:c>
      <x:c r="D130" t="str">
        <x:v>RJ</x:v>
      </x:c>
      <x:c r="E130" t="str">
        <x:v>Sudeste</x:v>
      </x:c>
      <x:c r="F130" t="str">
        <x:v>Loja</x:v>
      </x:c>
      <x:c r="G130" t="str">
        <x:v>Casa</x:v>
      </x:c>
      <x:c r="H130" t="str">
        <x:v>Cafeteira Smart</x:v>
      </x:c>
      <x:c r="I130" t="str">
        <x:v>Diego</x:v>
      </x:c>
      <x:c r="J130" s="53" t="n">
        <x:v>7</x:v>
      </x:c>
      <x:c r="K130" s="54" t="n">
        <x:v>827.05</x:v>
      </x:c>
      <x:c r="L130" s="54" t="n">
        <x:v>446.69</x:v>
      </x:c>
      <x:c r="M130" s="55" t="n">
        <x:v>0</x:v>
      </x:c>
      <x:c r="N130" s="54" t="n">
        <x:f>ROUND(J130*K130,2)</x:f>
        <x:v>5789.35</x:v>
      </x:c>
      <x:c r="O130" s="54" t="n">
        <x:f>ROUND(N130*(1-M130),2)</x:f>
        <x:v>5789.35</x:v>
      </x:c>
      <x:c r="P130" s="54" t="n">
        <x:f>ROUND(J130*L130,2)</x:f>
        <x:v>3126.83</x:v>
      </x:c>
      <x:c r="Q130" s="54" t="n">
        <x:f>ROUND(O130-P130,2)</x:f>
        <x:v>2662.52</x:v>
      </x:c>
      <x:c r="R130" s="55" t="n">
        <x:f>IF(O130=0,0,ROUND(Q130/O130,4))</x:f>
        <x:v>0.4599</x:v>
      </x:c>
      <x:c r="S130" s="53" t="n">
        <x:v>4</x:v>
      </x:c>
      <x:c r="T130" t="str">
        <x:v>Entregue</x:v>
      </x:c>
      <x:c r="U130" t="n">
        <x:v>5</x:v>
      </x:c>
      <x:c r="V130" t="str"/>
    </x:row>
    <x:row r="131">
      <x:c r="A131" s="52" t="n">
        <x:v>46206</x:v>
      </x:c>
      <x:c r="B131" t="str">
        <x:v>PED-100130</x:v>
      </x:c>
      <x:c r="C131" t="str">
        <x:v>Cliente 083</x:v>
      </x:c>
      <x:c r="D131" t="str">
        <x:v>MT</x:v>
      </x:c>
      <x:c r="E131" t="str">
        <x:v>Centro-Oeste</x:v>
      </x:c>
      <x:c r="F131" t="str">
        <x:v>E-commerce</x:v>
      </x:c>
      <x:c r="G131" t="str">
        <x:v>Acessórios</x:v>
      </x:c>
      <x:c r="H131" t="str">
        <x:v>Hub USB-C</x:v>
      </x:c>
      <x:c r="I131" t="str">
        <x:v>Ana</x:v>
      </x:c>
      <x:c r="J131" s="53" t="n">
        <x:v>6</x:v>
      </x:c>
      <x:c r="K131" s="54" t="n">
        <x:v>316.84</x:v>
      </x:c>
      <x:c r="L131" s="54" t="n">
        <x:v>137.38</x:v>
      </x:c>
      <x:c r="M131" s="55" t="n">
        <x:v>0.0657</x:v>
      </x:c>
      <x:c r="N131" s="54" t="n">
        <x:f>ROUND(J131*K131,2)</x:f>
        <x:v>1901.04</x:v>
      </x:c>
      <x:c r="O131" s="54" t="n">
        <x:f>ROUND(N131*(1-M131),2)</x:f>
        <x:v>1776.14</x:v>
      </x:c>
      <x:c r="P131" s="54" t="n">
        <x:f>ROUND(J131*L131,2)</x:f>
        <x:v>824.28</x:v>
      </x:c>
      <x:c r="Q131" s="54" t="n">
        <x:f>ROUND(O131-P131,2)</x:f>
        <x:v>951.86</x:v>
      </x:c>
      <x:c r="R131" s="55" t="n">
        <x:f>IF(O131=0,0,ROUND(Q131/O131,4))</x:f>
        <x:v>0.5359</x:v>
      </x:c>
      <x:c r="S131" s="53" t="n">
        <x:v>8</x:v>
      </x:c>
      <x:c r="T131" t="str">
        <x:v>Entregue</x:v>
      </x:c>
      <x:c r="U131" t="n">
        <x:v>5</x:v>
      </x:c>
      <x:c r="V131" t="str"/>
    </x:row>
    <x:row r="132">
      <x:c r="A132" s="52" t="n">
        <x:v>46097</x:v>
      </x:c>
      <x:c r="B132" t="str">
        <x:v>PED-100131</x:v>
      </x:c>
      <x:c r="C132" t="str">
        <x:v>Cliente 016</x:v>
      </x:c>
      <x:c r="D132" t="str">
        <x:v>SC</x:v>
      </x:c>
      <x:c r="E132" t="str">
        <x:v>Sul</x:v>
      </x:c>
      <x:c r="F132" t="str">
        <x:v>E-commerce</x:v>
      </x:c>
      <x:c r="G132" t="str">
        <x:v>Acessórios</x:v>
      </x:c>
      <x:c r="H132" t="str">
        <x:v>Hub USB-C</x:v>
      </x:c>
      <x:c r="I132" t="str">
        <x:v>Felipe</x:v>
      </x:c>
      <x:c r="J132" s="53" t="n">
        <x:v>5</x:v>
      </x:c>
      <x:c r="K132" s="54" t="n">
        <x:v>323.24</x:v>
      </x:c>
      <x:c r="L132" s="54" t="n">
        <x:v>129.97</x:v>
      </x:c>
      <x:c r="M132" s="55" t="n">
        <x:v>0</x:v>
      </x:c>
      <x:c r="N132" s="54" t="n">
        <x:f>ROUND(J132*K132,2)</x:f>
        <x:v>1616.2</x:v>
      </x:c>
      <x:c r="O132" s="54" t="n">
        <x:f>ROUND(N132*(1-M132),2)</x:f>
        <x:v>1616.2</x:v>
      </x:c>
      <x:c r="P132" s="54" t="n">
        <x:f>ROUND(J132*L132,2)</x:f>
        <x:v>649.85</x:v>
      </x:c>
      <x:c r="Q132" s="54" t="n">
        <x:f>ROUND(O132-P132,2)</x:f>
        <x:v>966.35</x:v>
      </x:c>
      <x:c r="R132" s="55" t="n">
        <x:f>IF(O132=0,0,ROUND(Q132/O132,4))</x:f>
        <x:v>0.5979</x:v>
      </x:c>
      <x:c r="S132" s="53" t="n">
        <x:v>5</x:v>
      </x:c>
      <x:c r="T132" t="str">
        <x:v>Cancelado</x:v>
      </x:c>
      <x:c r="U132"/>
      <x:c r="V132" t="str"/>
    </x:row>
    <x:row r="133">
      <x:c r="A133" s="52" t="n">
        <x:v>46120</x:v>
      </x:c>
      <x:c r="B133" t="str">
        <x:v>PED-100132</x:v>
      </x:c>
      <x:c r="C133" t="str">
        <x:v>Cliente 107</x:v>
      </x:c>
      <x:c r="D133" t="str">
        <x:v>BA</x:v>
      </x:c>
      <x:c r="E133" t="str">
        <x:v>Nordeste</x:v>
      </x:c>
      <x:c r="F133" t="str">
        <x:v>Loja</x:v>
      </x:c>
      <x:c r="G133" t="str">
        <x:v>Acessórios</x:v>
      </x:c>
      <x:c r="H133" t="str">
        <x:v>Hub USB-C</x:v>
      </x:c>
      <x:c r="I133" t="str">
        <x:v>Bruno</x:v>
      </x:c>
      <x:c r="J133" s="53" t="n">
        <x:v>5</x:v>
      </x:c>
      <x:c r="K133" s="54" t="n">
        <x:v>318.07</x:v>
      </x:c>
      <x:c r="L133" s="54" t="n">
        <x:v>136.48</x:v>
      </x:c>
      <x:c r="M133" s="55" t="n">
        <x:v>0.0186</x:v>
      </x:c>
      <x:c r="N133" s="54" t="n">
        <x:f>ROUND(J133*K133,2)</x:f>
        <x:v>1590.35</x:v>
      </x:c>
      <x:c r="O133" s="54" t="n">
        <x:f>ROUND(N133*(1-M133),2)</x:f>
        <x:v>1560.77</x:v>
      </x:c>
      <x:c r="P133" s="54" t="n">
        <x:f>ROUND(J133*L133,2)</x:f>
        <x:v>682.4</x:v>
      </x:c>
      <x:c r="Q133" s="54" t="n">
        <x:f>ROUND(O133-P133,2)</x:f>
        <x:v>878.37</x:v>
      </x:c>
      <x:c r="R133" s="55" t="n">
        <x:f>IF(O133=0,0,ROUND(Q133/O133,4))</x:f>
        <x:v>0.5628</x:v>
      </x:c>
      <x:c r="S133" s="53" t="n">
        <x:v>14</x:v>
      </x:c>
      <x:c r="T133" t="str">
        <x:v>Entregue com atraso</x:v>
      </x:c>
      <x:c r="U133" t="n">
        <x:v>2</x:v>
      </x:c>
      <x:c r="V133" t="str"/>
    </x:row>
    <x:row r="134">
      <x:c r="A134" s="52" t="n">
        <x:v>46174</x:v>
      </x:c>
      <x:c r="B134" t="str">
        <x:v>PED-100133</x:v>
      </x:c>
      <x:c r="C134" t="str">
        <x:v>Cliente 093</x:v>
      </x:c>
      <x:c r="D134" t="str">
        <x:v>BA</x:v>
      </x:c>
      <x:c r="E134" t="str">
        <x:v>Nordeste</x:v>
      </x:c>
      <x:c r="F134" t="str">
        <x:v>Marketplace</x:v>
      </x:c>
      <x:c r="G134" t="str">
        <x:v>Acessórios</x:v>
      </x:c>
      <x:c r="H134" t="str">
        <x:v>Webcam HD</x:v>
      </x:c>
      <x:c r="I134" t="str">
        <x:v>Bruno</x:v>
      </x:c>
      <x:c r="J134" s="53" t="n">
        <x:v>6</x:v>
      </x:c>
      <x:c r="K134" s="54" t="n">
        <x:v>493.49</x:v>
      </x:c>
      <x:c r="L134" s="54" t="n">
        <x:v>250.06</x:v>
      </x:c>
      <x:c r="M134" s="55" t="n">
        <x:v>0.1592</x:v>
      </x:c>
      <x:c r="N134" s="54" t="n">
        <x:f>ROUND(J134*K134,2)</x:f>
        <x:v>2960.94</x:v>
      </x:c>
      <x:c r="O134" s="54" t="n">
        <x:f>ROUND(N134*(1-M134),2)</x:f>
        <x:v>2489.56</x:v>
      </x:c>
      <x:c r="P134" s="54" t="n">
        <x:f>ROUND(J134*L134,2)</x:f>
        <x:v>1500.36</x:v>
      </x:c>
      <x:c r="Q134" s="54" t="n">
        <x:f>ROUND(O134-P134,2)</x:f>
        <x:v>989.2</x:v>
      </x:c>
      <x:c r="R134" s="55" t="n">
        <x:f>IF(O134=0,0,ROUND(Q134/O134,4))</x:f>
        <x:v>0.3973</x:v>
      </x:c>
      <x:c r="S134" s="53" t="n">
        <x:v>5</x:v>
      </x:c>
      <x:c r="T134" t="str">
        <x:v>Entregue</x:v>
      </x:c>
      <x:c r="U134" t="n">
        <x:v>4</x:v>
      </x:c>
      <x:c r="V134" t="str"/>
    </x:row>
    <x:row r="135">
      <x:c r="A135" s="52" t="n">
        <x:v>46048</x:v>
      </x:c>
      <x:c r="B135" t="str">
        <x:v>PED-100134</x:v>
      </x:c>
      <x:c r="C135" t="str">
        <x:v>Cliente 112</x:v>
      </x:c>
      <x:c r="D135" t="str">
        <x:v>MA</x:v>
      </x:c>
      <x:c r="E135" t="str">
        <x:v>Nordeste</x:v>
      </x:c>
      <x:c r="F135" t="str">
        <x:v>Loja</x:v>
      </x:c>
      <x:c r="G135" t="str">
        <x:v>Tecnologia</x:v>
      </x:c>
      <x:c r="H135" t="str">
        <x:v>Headset Office</x:v>
      </x:c>
      <x:c r="I135" t="str">
        <x:v>Isabela</x:v>
      </x:c>
      <x:c r="J135" s="53" t="n">
        <x:v>6</x:v>
      </x:c>
      <x:c r="K135" s="54" t="n">
        <x:v>399.32</x:v>
      </x:c>
      <x:c r="L135" s="54" t="n">
        <x:v>212.24</x:v>
      </x:c>
      <x:c r="M135" s="55" t="n">
        <x:v>0.1179</x:v>
      </x:c>
      <x:c r="N135" s="54" t="n">
        <x:f>ROUND(J135*K135,2)</x:f>
        <x:v>2395.92</x:v>
      </x:c>
      <x:c r="O135" s="54" t="n">
        <x:f>ROUND(N135*(1-M135),2)</x:f>
        <x:v>2113.44</x:v>
      </x:c>
      <x:c r="P135" s="54" t="n">
        <x:f>ROUND(J135*L135,2)</x:f>
        <x:v>1273.44</x:v>
      </x:c>
      <x:c r="Q135" s="54" t="n">
        <x:f>ROUND(O135-P135,2)</x:f>
        <x:v>840</x:v>
      </x:c>
      <x:c r="R135" s="55" t="n">
        <x:f>IF(O135=0,0,ROUND(Q135/O135,4))</x:f>
        <x:v>0.3975</x:v>
      </x:c>
      <x:c r="S135" s="53" t="n">
        <x:v>10</x:v>
      </x:c>
      <x:c r="T135" t="str">
        <x:v>Entregue</x:v>
      </x:c>
      <x:c r="U135" t="n">
        <x:v>4</x:v>
      </x:c>
      <x:c r="V135" t="str"/>
    </x:row>
    <x:row r="136">
      <x:c r="A136" s="52" t="n">
        <x:v>46136</x:v>
      </x:c>
      <x:c r="B136" t="str">
        <x:v>PED-100135</x:v>
      </x:c>
      <x:c r="C136" t="str">
        <x:v>Cliente 001</x:v>
      </x:c>
      <x:c r="D136" t="str">
        <x:v>PR</x:v>
      </x:c>
      <x:c r="E136" t="str">
        <x:v>Sul</x:v>
      </x:c>
      <x:c r="F136" t="str">
        <x:v>Marketplace</x:v>
      </x:c>
      <x:c r="G136" t="str">
        <x:v>Casa</x:v>
      </x:c>
      <x:c r="H136" t="str">
        <x:v>Purificador</x:v>
      </x:c>
      <x:c r="I136" t="str">
        <x:v>Ana</x:v>
      </x:c>
      <x:c r="J136" s="53" t="n">
        <x:v>4</x:v>
      </x:c>
      <x:c r="K136" s="54" t="n">
        <x:v>1215.76</x:v>
      </x:c>
      <x:c r="L136" s="54" t="n">
        <x:v>772.25</x:v>
      </x:c>
      <x:c r="M136" s="55" t="n">
        <x:v>0.0695</x:v>
      </x:c>
      <x:c r="N136" s="54" t="n">
        <x:f>ROUND(J136*K136,2)</x:f>
        <x:v>4863.04</x:v>
      </x:c>
      <x:c r="O136" s="54" t="n">
        <x:f>ROUND(N136*(1-M136),2)</x:f>
        <x:v>4525.06</x:v>
      </x:c>
      <x:c r="P136" s="54" t="n">
        <x:f>ROUND(J136*L136,2)</x:f>
        <x:v>3089</x:v>
      </x:c>
      <x:c r="Q136" s="54" t="n">
        <x:f>ROUND(O136-P136,2)</x:f>
        <x:v>1436.06</x:v>
      </x:c>
      <x:c r="R136" s="55" t="n">
        <x:f>IF(O136=0,0,ROUND(Q136/O136,4))</x:f>
        <x:v>0.3174</x:v>
      </x:c>
      <x:c r="S136" s="53" t="n">
        <x:v>11</x:v>
      </x:c>
      <x:c r="T136" t="str">
        <x:v>Entregue com atraso</x:v>
      </x:c>
      <x:c r="U136" t="n">
        <x:v>3</x:v>
      </x:c>
      <x:c r="V136" t="str"/>
    </x:row>
    <x:row r="137">
      <x:c r="A137" s="52" t="n">
        <x:v>46225</x:v>
      </x:c>
      <x:c r="B137" t="str">
        <x:v>PED-100136</x:v>
      </x:c>
      <x:c r="C137" t="str">
        <x:v>Cliente 039</x:v>
      </x:c>
      <x:c r="D137" t="str">
        <x:v>AM</x:v>
      </x:c>
      <x:c r="E137" t="str">
        <x:v>Norte</x:v>
      </x:c>
      <x:c r="F137" t="str">
        <x:v>E-commerce</x:v>
      </x:c>
      <x:c r="G137" t="str">
        <x:v>Casa</x:v>
      </x:c>
      <x:c r="H137" t="str">
        <x:v>Cafeteira Smart</x:v>
      </x:c>
      <x:c r="I137" t="str">
        <x:v>Elaine</x:v>
      </x:c>
      <x:c r="J137" s="53" t="n">
        <x:v>5</x:v>
      </x:c>
      <x:c r="K137" s="54" t="n">
        <x:v>765.31</x:v>
      </x:c>
      <x:c r="L137" s="54" t="n">
        <x:v>455.12</x:v>
      </x:c>
      <x:c r="M137" s="55" t="n">
        <x:v>0.05</x:v>
      </x:c>
      <x:c r="N137" s="54" t="n">
        <x:f>ROUND(J137*K137,2)</x:f>
        <x:v>3826.55</x:v>
      </x:c>
      <x:c r="O137" s="54" t="n">
        <x:f>ROUND(N137*(1-M137),2)</x:f>
        <x:v>3635.22</x:v>
      </x:c>
      <x:c r="P137" s="54" t="n">
        <x:f>ROUND(J137*L137,2)</x:f>
        <x:v>2275.6</x:v>
      </x:c>
      <x:c r="Q137" s="54" t="n">
        <x:f>ROUND(O137-P137,2)</x:f>
        <x:v>1359.62</x:v>
      </x:c>
      <x:c r="R137" s="55" t="n">
        <x:f>IF(O137=0,0,ROUND(Q137/O137,4))</x:f>
        <x:v>0.374</x:v>
      </x:c>
      <x:c r="S137" s="53" t="n">
        <x:v>9</x:v>
      </x:c>
      <x:c r="T137" t="str">
        <x:v>Entregue</x:v>
      </x:c>
      <x:c r="U137" t="n">
        <x:v>4</x:v>
      </x:c>
      <x:c r="V137" t="str"/>
    </x:row>
    <x:row r="138">
      <x:c r="A138" s="52" t="n">
        <x:v>46029</x:v>
      </x:c>
      <x:c r="B138" t="str">
        <x:v>PED-100137</x:v>
      </x:c>
      <x:c r="C138" t="str">
        <x:v>Cliente 099</x:v>
      </x:c>
      <x:c r="D138" t="str">
        <x:v>RS</x:v>
      </x:c>
      <x:c r="E138" t="str">
        <x:v>Sul</x:v>
      </x:c>
      <x:c r="F138" t="str">
        <x:v>Marketplace</x:v>
      </x:c>
      <x:c r="G138" t="str">
        <x:v>Tecnologia</x:v>
      </x:c>
      <x:c r="H138" t="str">
        <x:v>Monitor 27</x:v>
      </x:c>
      <x:c r="I138" t="str">
        <x:v>Isabela</x:v>
      </x:c>
      <x:c r="J138" s="53" t="n">
        <x:v>5</x:v>
      </x:c>
      <x:c r="K138" s="54" t="n">
        <x:v>1613.01</x:v>
      </x:c>
      <x:c r="L138" s="54" t="n">
        <x:v>1077.98</x:v>
      </x:c>
      <x:c r="M138" s="55" t="n">
        <x:v>0.079</x:v>
      </x:c>
      <x:c r="N138" s="54" t="n">
        <x:f>ROUND(J138*K138,2)</x:f>
        <x:v>8065.05</x:v>
      </x:c>
      <x:c r="O138" s="54" t="n">
        <x:f>ROUND(N138*(1-M138),2)</x:f>
        <x:v>7427.91</x:v>
      </x:c>
      <x:c r="P138" s="54" t="n">
        <x:f>ROUND(J138*L138,2)</x:f>
        <x:v>5389.9</x:v>
      </x:c>
      <x:c r="Q138" s="54" t="n">
        <x:f>ROUND(O138-P138,2)</x:f>
        <x:v>2038.01</x:v>
      </x:c>
      <x:c r="R138" s="55" t="n">
        <x:f>IF(O138=0,0,ROUND(Q138/O138,4))</x:f>
        <x:v>0.2744</x:v>
      </x:c>
      <x:c r="S138" s="53" t="n">
        <x:v>13</x:v>
      </x:c>
      <x:c r="T138" t="str">
        <x:v>Entregue com atraso</x:v>
      </x:c>
      <x:c r="U138" t="n">
        <x:v>5</x:v>
      </x:c>
      <x:c r="V138" t="str"/>
    </x:row>
    <x:row r="139">
      <x:c r="A139" s="52" t="n">
        <x:v>46222</x:v>
      </x:c>
      <x:c r="B139" t="str">
        <x:v>PED-100138</x:v>
      </x:c>
      <x:c r="C139" t="str">
        <x:v>Cliente 007</x:v>
      </x:c>
      <x:c r="D139" t="str">
        <x:v>GO</x:v>
      </x:c>
      <x:c r="E139" t="str">
        <x:v>Centro-Oeste</x:v>
      </x:c>
      <x:c r="F139" t="str">
        <x:v>Loja</x:v>
      </x:c>
      <x:c r="G139" t="str">
        <x:v>Escritório</x:v>
      </x:c>
      <x:c r="H139" t="str">
        <x:v>Luminária LED</x:v>
      </x:c>
      <x:c r="I139" t="str">
        <x:v>Henrique</x:v>
      </x:c>
      <x:c r="J139" s="53" t="n">
        <x:v>5</x:v>
      </x:c>
      <x:c r="K139" s="54" t="n">
        <x:v>264.14</x:v>
      </x:c>
      <x:c r="L139" s="54" t="n">
        <x:v>113.5</x:v>
      </x:c>
      <x:c r="M139" s="55" t="n">
        <x:v>0</x:v>
      </x:c>
      <x:c r="N139" s="54" t="n">
        <x:f>ROUND(J139*K139,2)</x:f>
        <x:v>1320.7</x:v>
      </x:c>
      <x:c r="O139" s="54" t="n">
        <x:f>ROUND(N139*(1-M139),2)</x:f>
        <x:v>1320.7</x:v>
      </x:c>
      <x:c r="P139" s="54" t="n">
        <x:f>ROUND(J139*L139,2)</x:f>
        <x:v>567.5</x:v>
      </x:c>
      <x:c r="Q139" s="54" t="n">
        <x:f>ROUND(O139-P139,2)</x:f>
        <x:v>753.2</x:v>
      </x:c>
      <x:c r="R139" s="55" t="n">
        <x:f>IF(O139=0,0,ROUND(Q139/O139,4))</x:f>
        <x:v>0.5703</x:v>
      </x:c>
      <x:c r="S139" s="53" t="n">
        <x:v>4</x:v>
      </x:c>
      <x:c r="T139" t="str">
        <x:v>Entregue</x:v>
      </x:c>
      <x:c r="U139" t="n">
        <x:v>3</x:v>
      </x:c>
      <x:c r="V139" t="str"/>
    </x:row>
    <x:row r="140">
      <x:c r="A140" s="52" t="n">
        <x:v>46209</x:v>
      </x:c>
      <x:c r="B140" t="str">
        <x:v>PED-100139</x:v>
      </x:c>
      <x:c r="C140" t="str">
        <x:v>Cliente 108</x:v>
      </x:c>
      <x:c r="D140" t="str">
        <x:v>MA</x:v>
      </x:c>
      <x:c r="E140" t="str">
        <x:v>Nordeste</x:v>
      </x:c>
      <x:c r="F140" t="str">
        <x:v>Loja</x:v>
      </x:c>
      <x:c r="G140" t="str">
        <x:v>Acessórios</x:v>
      </x:c>
      <x:c r="H140" t="str">
        <x:v>Webcam HD</x:v>
      </x:c>
      <x:c r="I140" t="str">
        <x:v>Henrique</x:v>
      </x:c>
      <x:c r="J140" s="53" t="n">
        <x:v>5</x:v>
      </x:c>
      <x:c r="K140" s="54" t="n">
        <x:v>518.75</x:v>
      </x:c>
      <x:c r="L140" s="54" t="n">
        <x:v>244.88</x:v>
      </x:c>
      <x:c r="M140" s="55" t="n">
        <x:v>0</x:v>
      </x:c>
      <x:c r="N140" s="54" t="n">
        <x:f>ROUND(J140*K140,2)</x:f>
        <x:v>2593.75</x:v>
      </x:c>
      <x:c r="O140" s="54" t="n">
        <x:f>ROUND(N140*(1-M140),2)</x:f>
        <x:v>2593.75</x:v>
      </x:c>
      <x:c r="P140" s="54" t="n">
        <x:f>ROUND(J140*L140,2)</x:f>
        <x:v>1224.4</x:v>
      </x:c>
      <x:c r="Q140" s="54" t="n">
        <x:f>ROUND(O140-P140,2)</x:f>
        <x:v>1369.35</x:v>
      </x:c>
      <x:c r="R140" s="55" t="n">
        <x:f>IF(O140=0,0,ROUND(Q140/O140,4))</x:f>
        <x:v>0.5279</x:v>
      </x:c>
      <x:c r="S140" s="53" t="n">
        <x:v>13</x:v>
      </x:c>
      <x:c r="T140" t="str">
        <x:v>Entregue com atraso</x:v>
      </x:c>
      <x:c r="U140" t="n">
        <x:v>2</x:v>
      </x:c>
      <x:c r="V140" t="str"/>
    </x:row>
    <x:row r="141">
      <x:c r="A141" s="52" t="n">
        <x:v>46164</x:v>
      </x:c>
      <x:c r="B141" t="str">
        <x:v>PED-100140</x:v>
      </x:c>
      <x:c r="C141" t="str">
        <x:v>Cliente 082</x:v>
      </x:c>
      <x:c r="D141" t="str">
        <x:v>BA</x:v>
      </x:c>
      <x:c r="E141" t="str">
        <x:v>Nordeste</x:v>
      </x:c>
      <x:c r="F141" t="str">
        <x:v>Marketplace</x:v>
      </x:c>
      <x:c r="G141" t="str">
        <x:v>Escritório</x:v>
      </x:c>
      <x:c r="H141" t="str">
        <x:v>Mesa Ajustável</x:v>
      </x:c>
      <x:c r="I141" t="str">
        <x:v>João</x:v>
      </x:c>
      <x:c r="J141" s="53" t="n">
        <x:v>8</x:v>
      </x:c>
      <x:c r="K141" s="54" t="n">
        <x:v>2935.07</x:v>
      </x:c>
      <x:c r="L141" s="54" t="n">
        <x:v>1829</x:v>
      </x:c>
      <x:c r="M141" s="55" t="n">
        <x:v>0.1469</x:v>
      </x:c>
      <x:c r="N141" s="54" t="n">
        <x:f>ROUND(J141*K141,2)</x:f>
        <x:v>23480.56</x:v>
      </x:c>
      <x:c r="O141" s="54" t="n">
        <x:f>ROUND(N141*(1-M141),2)</x:f>
        <x:v>20031.27</x:v>
      </x:c>
      <x:c r="P141" s="54" t="n">
        <x:f>ROUND(J141*L141,2)</x:f>
        <x:v>14632</x:v>
      </x:c>
      <x:c r="Q141" s="54" t="n">
        <x:f>ROUND(O141-P141,2)</x:f>
        <x:v>5399.27</x:v>
      </x:c>
      <x:c r="R141" s="55" t="n">
        <x:f>IF(O141=0,0,ROUND(Q141/O141,4))</x:f>
        <x:v>0.2695</x:v>
      </x:c>
      <x:c r="S141" s="53" t="n">
        <x:v>6</x:v>
      </x:c>
      <x:c r="T141" t="str">
        <x:v>Entregue</x:v>
      </x:c>
      <x:c r="U141" t="n">
        <x:v>4</x:v>
      </x:c>
      <x:c r="V141" t="str"/>
    </x:row>
    <x:row r="142">
      <x:c r="A142" s="52" t="n">
        <x:v>46153</x:v>
      </x:c>
      <x:c r="B142" t="str">
        <x:v>PED-100141</x:v>
      </x:c>
      <x:c r="C142" t="str">
        <x:v>Cliente 018</x:v>
      </x:c>
      <x:c r="D142" t="str">
        <x:v>RS</x:v>
      </x:c>
      <x:c r="E142" t="str">
        <x:v>Sul</x:v>
      </x:c>
      <x:c r="F142" t="str">
        <x:v>Loja</x:v>
      </x:c>
      <x:c r="G142" t="str">
        <x:v>Acessórios</x:v>
      </x:c>
      <x:c r="H142" t="str">
        <x:v>Hub USB-C</x:v>
      </x:c>
      <x:c r="I142" t="str">
        <x:v>Isabela</x:v>
      </x:c>
      <x:c r="J142" s="53" t="n">
        <x:v>3</x:v>
      </x:c>
      <x:c r="K142" s="54" t="n">
        <x:v>312.91</x:v>
      </x:c>
      <x:c r="L142" s="54" t="n">
        <x:v>138.09</x:v>
      </x:c>
      <x:c r="M142" s="55" t="n">
        <x:v>0</x:v>
      </x:c>
      <x:c r="N142" s="54" t="n">
        <x:f>ROUND(J142*K142,2)</x:f>
        <x:v>938.73</x:v>
      </x:c>
      <x:c r="O142" s="54" t="n">
        <x:f>ROUND(N142*(1-M142),2)</x:f>
        <x:v>938.73</x:v>
      </x:c>
      <x:c r="P142" s="54" t="n">
        <x:f>ROUND(J142*L142,2)</x:f>
        <x:v>414.27</x:v>
      </x:c>
      <x:c r="Q142" s="54" t="n">
        <x:f>ROUND(O142-P142,2)</x:f>
        <x:v>524.46</x:v>
      </x:c>
      <x:c r="R142" s="55" t="n">
        <x:f>IF(O142=0,0,ROUND(Q142/O142,4))</x:f>
        <x:v>0.5587</x:v>
      </x:c>
      <x:c r="S142" s="53" t="n">
        <x:v>13</x:v>
      </x:c>
      <x:c r="T142" t="str">
        <x:v>Entregue com atraso</x:v>
      </x:c>
      <x:c r="U142" t="n">
        <x:v>5</x:v>
      </x:c>
      <x:c r="V142" t="str"/>
    </x:row>
    <x:row r="143">
      <x:c r="A143" s="52" t="n">
        <x:v>46186</x:v>
      </x:c>
      <x:c r="B143" t="str">
        <x:v>PED-100142</x:v>
      </x:c>
      <x:c r="C143" t="str">
        <x:v>Cliente 061</x:v>
      </x:c>
      <x:c r="D143" t="str">
        <x:v>CE</x:v>
      </x:c>
      <x:c r="E143" t="str">
        <x:v>Nordeste</x:v>
      </x:c>
      <x:c r="F143" t="str">
        <x:v>E-commerce</x:v>
      </x:c>
      <x:c r="G143" t="str">
        <x:v>Casa</x:v>
      </x:c>
      <x:c r="H143" t="str">
        <x:v>Aspirador Robô</x:v>
      </x:c>
      <x:c r="I143" t="str">
        <x:v>Felipe</x:v>
      </x:c>
      <x:c r="J143" s="53" t="n">
        <x:v>1</x:v>
      </x:c>
      <x:c r="K143" s="54" t="n">
        <x:v>1926.88</x:v>
      </x:c>
      <x:c r="L143" s="54" t="n">
        <x:v>1284.82</x:v>
      </x:c>
      <x:c r="M143" s="55" t="n">
        <x:v>0.1192</x:v>
      </x:c>
      <x:c r="N143" s="54" t="n">
        <x:f>ROUND(J143*K143,2)</x:f>
        <x:v>1926.88</x:v>
      </x:c>
      <x:c r="O143" s="54" t="n">
        <x:f>ROUND(N143*(1-M143),2)</x:f>
        <x:v>1697.2</x:v>
      </x:c>
      <x:c r="P143" s="54" t="n">
        <x:f>ROUND(J143*L143,2)</x:f>
        <x:v>1284.82</x:v>
      </x:c>
      <x:c r="Q143" s="54" t="n">
        <x:f>ROUND(O143-P143,2)</x:f>
        <x:v>412.38</x:v>
      </x:c>
      <x:c r="R143" s="55" t="n">
        <x:f>IF(O143=0,0,ROUND(Q143/O143,4))</x:f>
        <x:v>0.243</x:v>
      </x:c>
      <x:c r="S143" s="53" t="n">
        <x:v>13</x:v>
      </x:c>
      <x:c r="T143" t="str">
        <x:v>Entregue com atraso</x:v>
      </x:c>
      <x:c r="U143" t="n">
        <x:v>3</x:v>
      </x:c>
      <x:c r="V143" t="str"/>
    </x:row>
    <x:row r="144">
      <x:c r="A144" s="52" t="n">
        <x:v>46066</x:v>
      </x:c>
      <x:c r="B144" t="str">
        <x:v>PED-100143</x:v>
      </x:c>
      <x:c r="C144" t="str">
        <x:v>Cliente 076</x:v>
      </x:c>
      <x:c r="D144" t="str">
        <x:v>GO</x:v>
      </x:c>
      <x:c r="E144" t="str">
        <x:v>Centro-Oeste</x:v>
      </x:c>
      <x:c r="F144" t="str">
        <x:v>Loja</x:v>
      </x:c>
      <x:c r="G144" t="str">
        <x:v>Tecnologia</x:v>
      </x:c>
      <x:c r="H144" t="str">
        <x:v>Monitor 27</x:v>
      </x:c>
      <x:c r="I144" t="str">
        <x:v>Felipe</x:v>
      </x:c>
      <x:c r="J144" s="53" t="n">
        <x:v>7</x:v>
      </x:c>
      <x:c r="K144" s="54" t="n">
        <x:v>1757.64</x:v>
      </x:c>
      <x:c r="L144" s="54" t="n">
        <x:v>1085.33</x:v>
      </x:c>
      <x:c r="M144" s="55" t="n">
        <x:v>0</x:v>
      </x:c>
      <x:c r="N144" s="54" t="n">
        <x:f>ROUND(J144*K144,2)</x:f>
        <x:v>12303.48</x:v>
      </x:c>
      <x:c r="O144" s="54" t="n">
        <x:f>ROUND(N144*(1-M144),2)</x:f>
        <x:v>12303.48</x:v>
      </x:c>
      <x:c r="P144" s="54" t="n">
        <x:f>ROUND(J144*L144,2)</x:f>
        <x:v>7597.31</x:v>
      </x:c>
      <x:c r="Q144" s="54" t="n">
        <x:f>ROUND(O144-P144,2)</x:f>
        <x:v>4706.17</x:v>
      </x:c>
      <x:c r="R144" s="55" t="n">
        <x:f>IF(O144=0,0,ROUND(Q144/O144,4))</x:f>
        <x:v>0.3825</x:v>
      </x:c>
      <x:c r="S144" s="53" t="n">
        <x:v>14</x:v>
      </x:c>
      <x:c r="T144" t="str">
        <x:v>Entregue com atraso</x:v>
      </x:c>
      <x:c r="U144" t="n">
        <x:v>3</x:v>
      </x:c>
      <x:c r="V144" t="str"/>
    </x:row>
    <x:row r="145">
      <x:c r="A145" s="52" t="n">
        <x:v>46233</x:v>
      </x:c>
      <x:c r="B145" t="str">
        <x:v>PED-100144</x:v>
      </x:c>
      <x:c r="C145" t="str">
        <x:v>Cliente 028</x:v>
      </x:c>
      <x:c r="D145" t="str">
        <x:v>MT</x:v>
      </x:c>
      <x:c r="E145" t="str">
        <x:v>Centro-Oeste</x:v>
      </x:c>
      <x:c r="F145" t="str">
        <x:v>Televendas</x:v>
      </x:c>
      <x:c r="G145" t="str">
        <x:v>Escritório</x:v>
      </x:c>
      <x:c r="H145" t="str">
        <x:v>Mesa Ajustável</x:v>
      </x:c>
      <x:c r="I145" t="str">
        <x:v>Henrique</x:v>
      </x:c>
      <x:c r="J145" s="53" t="n">
        <x:v>6</x:v>
      </x:c>
      <x:c r="K145" s="54" t="n">
        <x:v>2701.82</x:v>
      </x:c>
      <x:c r="L145" s="54" t="n">
        <x:v>1804.74</x:v>
      </x:c>
      <x:c r="M145" s="55" t="n">
        <x:v>0.0556</x:v>
      </x:c>
      <x:c r="N145" s="54" t="n">
        <x:f>ROUND(J145*K145,2)</x:f>
        <x:v>16210.92</x:v>
      </x:c>
      <x:c r="O145" s="54" t="n">
        <x:f>ROUND(N145*(1-M145),2)</x:f>
        <x:v>15309.59</x:v>
      </x:c>
      <x:c r="P145" s="54" t="n">
        <x:f>ROUND(J145*L145,2)</x:f>
        <x:v>10828.44</x:v>
      </x:c>
      <x:c r="Q145" s="54" t="n">
        <x:f>ROUND(O145-P145,2)</x:f>
        <x:v>4481.15</x:v>
      </x:c>
      <x:c r="R145" s="55" t="n">
        <x:f>IF(O145=0,0,ROUND(Q145/O145,4))</x:f>
        <x:v>0.2927</x:v>
      </x:c>
      <x:c r="S145" s="53" t="n">
        <x:v>7</x:v>
      </x:c>
      <x:c r="T145" t="str">
        <x:v>Entregue</x:v>
      </x:c>
      <x:c r="U145" t="n">
        <x:v>3</x:v>
      </x:c>
      <x:c r="V145" t="str"/>
    </x:row>
    <x:row r="146">
      <x:c r="A146" s="52" t="n">
        <x:v>46221</x:v>
      </x:c>
      <x:c r="B146" t="str">
        <x:v>PED-100145</x:v>
      </x:c>
      <x:c r="C146" t="str">
        <x:v>Cliente 066</x:v>
      </x:c>
      <x:c r="D146" t="str">
        <x:v>BA</x:v>
      </x:c>
      <x:c r="E146" t="str">
        <x:v>Nordeste</x:v>
      </x:c>
      <x:c r="F146" t="str">
        <x:v>Loja</x:v>
      </x:c>
      <x:c r="G146" t="str">
        <x:v>Acessórios</x:v>
      </x:c>
      <x:c r="H146" t="str">
        <x:v>Hub USB-C</x:v>
      </x:c>
      <x:c r="I146" t="str">
        <x:v>João</x:v>
      </x:c>
      <x:c r="J146" s="53" t="n">
        <x:v>2</x:v>
      </x:c>
      <x:c r="K146" s="54" t="n">
        <x:v>322.18</x:v>
      </x:c>
      <x:c r="L146" s="54" t="n">
        <x:v>145.59</x:v>
      </x:c>
      <x:c r="M146" s="55" t="n">
        <x:v>0.0735</x:v>
      </x:c>
      <x:c r="N146" s="54" t="n">
        <x:f>ROUND(J146*K146,2)</x:f>
        <x:v>644.36</x:v>
      </x:c>
      <x:c r="O146" s="54" t="n">
        <x:f>ROUND(N146*(1-M146),2)</x:f>
        <x:v>597</x:v>
      </x:c>
      <x:c r="P146" s="54" t="n">
        <x:f>ROUND(J146*L146,2)</x:f>
        <x:v>291.18</x:v>
      </x:c>
      <x:c r="Q146" s="54" t="n">
        <x:f>ROUND(O146-P146,2)</x:f>
        <x:v>305.82</x:v>
      </x:c>
      <x:c r="R146" s="55" t="n">
        <x:f>IF(O146=0,0,ROUND(Q146/O146,4))</x:f>
        <x:v>0.5123</x:v>
      </x:c>
      <x:c r="S146" s="53" t="n">
        <x:v>14</x:v>
      </x:c>
      <x:c r="T146" t="str">
        <x:v>Entregue com atraso</x:v>
      </x:c>
      <x:c r="U146" t="n">
        <x:v>5</x:v>
      </x:c>
      <x:c r="V146" t="str"/>
    </x:row>
    <x:row r="147">
      <x:c r="A147" s="52" t="n">
        <x:v>46131</x:v>
      </x:c>
      <x:c r="B147" t="str">
        <x:v>PED-100146</x:v>
      </x:c>
      <x:c r="C147" t="str">
        <x:v>Cliente 051</x:v>
      </x:c>
      <x:c r="D147" t="str">
        <x:v>BA</x:v>
      </x:c>
      <x:c r="E147" t="str">
        <x:v>Nordeste</x:v>
      </x:c>
      <x:c r="F147" t="str">
        <x:v>Loja</x:v>
      </x:c>
      <x:c r="G147" t="str">
        <x:v>Acessórios</x:v>
      </x:c>
      <x:c r="H147" t="str">
        <x:v>Hub USB-C</x:v>
      </x:c>
      <x:c r="I147" t="str">
        <x:v>Ana</x:v>
      </x:c>
      <x:c r="J147" s="53" t="n">
        <x:v>5</x:v>
      </x:c>
      <x:c r="K147" s="54" t="n">
        <x:v>334.4</x:v>
      </x:c>
      <x:c r="L147" s="54" t="n">
        <x:v>142.53</x:v>
      </x:c>
      <x:c r="M147" s="55" t="n">
        <x:v>0.1126</x:v>
      </x:c>
      <x:c r="N147" s="54" t="n">
        <x:f>ROUND(J147*K147,2)</x:f>
        <x:v>1672</x:v>
      </x:c>
      <x:c r="O147" s="54" t="n">
        <x:f>ROUND(N147*(1-M147),2)</x:f>
        <x:v>1483.73</x:v>
      </x:c>
      <x:c r="P147" s="54" t="n">
        <x:f>ROUND(J147*L147,2)</x:f>
        <x:v>712.65</x:v>
      </x:c>
      <x:c r="Q147" s="54" t="n">
        <x:f>ROUND(O147-P147,2)</x:f>
        <x:v>771.08</x:v>
      </x:c>
      <x:c r="R147" s="55" t="n">
        <x:f>IF(O147=0,0,ROUND(Q147/O147,4))</x:f>
        <x:v>0.5197</x:v>
      </x:c>
      <x:c r="S147" s="53" t="n">
        <x:v>9</x:v>
      </x:c>
      <x:c r="T147" t="str">
        <x:v>Entregue</x:v>
      </x:c>
      <x:c r="U147" t="n">
        <x:v>5</x:v>
      </x:c>
      <x:c r="V147" t="str"/>
    </x:row>
    <x:row r="148">
      <x:c r="A148" s="52" t="n">
        <x:v>46130</x:v>
      </x:c>
      <x:c r="B148" t="str">
        <x:v>PED-100147</x:v>
      </x:c>
      <x:c r="C148" t="str">
        <x:v>Cliente 060</x:v>
      </x:c>
      <x:c r="D148" t="str">
        <x:v>CE</x:v>
      </x:c>
      <x:c r="E148" t="str">
        <x:v>Nordeste</x:v>
      </x:c>
      <x:c r="F148" t="str">
        <x:v>E-commerce</x:v>
      </x:c>
      <x:c r="G148" t="str">
        <x:v>Casa</x:v>
      </x:c>
      <x:c r="H148" t="str">
        <x:v>Purificador</x:v>
      </x:c>
      <x:c r="I148" t="str">
        <x:v>Henrique</x:v>
      </x:c>
      <x:c r="J148" s="53" t="n">
        <x:v>5</x:v>
      </x:c>
      <x:c r="K148" s="54" t="n">
        <x:v>1332.5</x:v>
      </x:c>
      <x:c r="L148" s="54" t="n">
        <x:v>796.12</x:v>
      </x:c>
      <x:c r="M148" s="55" t="n">
        <x:v>0.0991</x:v>
      </x:c>
      <x:c r="N148" s="54" t="n">
        <x:f>ROUND(J148*K148,2)</x:f>
        <x:v>6662.5</x:v>
      </x:c>
      <x:c r="O148" s="54" t="n">
        <x:f>ROUND(N148*(1-M148),2)</x:f>
        <x:v>6002.25</x:v>
      </x:c>
      <x:c r="P148" s="54" t="n">
        <x:f>ROUND(J148*L148,2)</x:f>
        <x:v>3980.6</x:v>
      </x:c>
      <x:c r="Q148" s="54" t="n">
        <x:f>ROUND(O148-P148,2)</x:f>
        <x:v>2021.65</x:v>
      </x:c>
      <x:c r="R148" s="55" t="n">
        <x:f>IF(O148=0,0,ROUND(Q148/O148,4))</x:f>
        <x:v>0.3368</x:v>
      </x:c>
      <x:c r="S148" s="53" t="n">
        <x:v>32</x:v>
      </x:c>
      <x:c r="T148" t="str">
        <x:v>Entregue com atraso</x:v>
      </x:c>
      <x:c r="U148" t="n">
        <x:v>2</x:v>
      </x:c>
      <x:c r="V148" t="str">
        <x:v>Ocorrência logística</x:v>
      </x:c>
    </x:row>
    <x:row r="149">
      <x:c r="A149" s="52" t="n">
        <x:v>46131</x:v>
      </x:c>
      <x:c r="B149" t="str">
        <x:v>PED-100148</x:v>
      </x:c>
      <x:c r="C149" t="str">
        <x:v>Cliente 064</x:v>
      </x:c>
      <x:c r="D149" t="str">
        <x:v>AM</x:v>
      </x:c>
      <x:c r="E149" t="str">
        <x:v>Norte</x:v>
      </x:c>
      <x:c r="F149" t="str">
        <x:v>Marketplace</x:v>
      </x:c>
      <x:c r="G149" t="str">
        <x:v>Acessórios</x:v>
      </x:c>
      <x:c r="H149" t="str">
        <x:v>Hub USB-C</x:v>
      </x:c>
      <x:c r="I149" t="str">
        <x:v>Felipe</x:v>
      </x:c>
      <x:c r="J149" s="53" t="n">
        <x:v>6</x:v>
      </x:c>
      <x:c r="K149" s="54" t="n">
        <x:v>302.09</x:v>
      </x:c>
      <x:c r="L149" s="54" t="n">
        <x:v>142.07</x:v>
      </x:c>
      <x:c r="M149" s="55" t="n">
        <x:v>0.1554</x:v>
      </x:c>
      <x:c r="N149" s="54" t="n">
        <x:f>ROUND(J149*K149,2)</x:f>
        <x:v>1812.54</x:v>
      </x:c>
      <x:c r="O149" s="54" t="n">
        <x:f>ROUND(N149*(1-M149),2)</x:f>
        <x:v>1530.87</x:v>
      </x:c>
      <x:c r="P149" s="54" t="n">
        <x:f>ROUND(J149*L149,2)</x:f>
        <x:v>852.42</x:v>
      </x:c>
      <x:c r="Q149" s="54" t="n">
        <x:f>ROUND(O149-P149,2)</x:f>
        <x:v>678.45</x:v>
      </x:c>
      <x:c r="R149" s="55" t="n">
        <x:f>IF(O149=0,0,ROUND(Q149/O149,4))</x:f>
        <x:v>0.4432</x:v>
      </x:c>
      <x:c r="S149" s="53" t="n">
        <x:v>13</x:v>
      </x:c>
      <x:c r="T149" t="str">
        <x:v>Entregue com atraso</x:v>
      </x:c>
      <x:c r="U149" t="n">
        <x:v>3</x:v>
      </x:c>
      <x:c r="V149" t="str"/>
    </x:row>
    <x:row r="150">
      <x:c r="A150" s="52" t="n">
        <x:v>46050</x:v>
      </x:c>
      <x:c r="B150" t="str">
        <x:v>PED-100149</x:v>
      </x:c>
      <x:c r="C150" t="str">
        <x:v>Cliente 061</x:v>
      </x:c>
      <x:c r="D150" t="str">
        <x:v>SC</x:v>
      </x:c>
      <x:c r="E150" t="str">
        <x:v>Sul</x:v>
      </x:c>
      <x:c r="F150" t="str">
        <x:v>Loja</x:v>
      </x:c>
      <x:c r="G150" t="str">
        <x:v>Acessórios</x:v>
      </x:c>
      <x:c r="H150" t="str">
        <x:v>Hub USB-C</x:v>
      </x:c>
      <x:c r="I150" t="str">
        <x:v>Felipe</x:v>
      </x:c>
      <x:c r="J150" s="53" t="n">
        <x:v>5</x:v>
      </x:c>
      <x:c r="K150" s="54" t="n">
        <x:v>303.41</x:v>
      </x:c>
      <x:c r="L150" s="54" t="n">
        <x:v>135.29</x:v>
      </x:c>
      <x:c r="M150" s="55" t="n">
        <x:v>0</x:v>
      </x:c>
      <x:c r="N150" s="54" t="n">
        <x:f>ROUND(J150*K150,2)</x:f>
        <x:v>1517.05</x:v>
      </x:c>
      <x:c r="O150" s="54" t="n">
        <x:f>ROUND(N150*(1-M150),2)</x:f>
        <x:v>1517.05</x:v>
      </x:c>
      <x:c r="P150" s="54" t="n">
        <x:f>ROUND(J150*L150,2)</x:f>
        <x:v>676.45</x:v>
      </x:c>
      <x:c r="Q150" s="54" t="n">
        <x:f>ROUND(O150-P150,2)</x:f>
        <x:v>840.6</x:v>
      </x:c>
      <x:c r="R150" s="55" t="n">
        <x:f>IF(O150=0,0,ROUND(Q150/O150,4))</x:f>
        <x:v>0.5541</x:v>
      </x:c>
      <x:c r="S150" s="53" t="n">
        <x:v>14</x:v>
      </x:c>
      <x:c r="T150" t="str">
        <x:v>Entregue com atraso</x:v>
      </x:c>
      <x:c r="U150" t="n">
        <x:v>4</x:v>
      </x:c>
      <x:c r="V150" t="str"/>
    </x:row>
    <x:row r="151">
      <x:c r="A151" s="52" t="n">
        <x:v>46090</x:v>
      </x:c>
      <x:c r="B151" t="str">
        <x:v>PED-100150</x:v>
      </x:c>
      <x:c r="C151" t="str">
        <x:v>Cliente 097</x:v>
      </x:c>
      <x:c r="D151" t="str">
        <x:v>PA</x:v>
      </x:c>
      <x:c r="E151" t="str">
        <x:v>Norte</x:v>
      </x:c>
      <x:c r="F151" t="str">
        <x:v>Televendas</x:v>
      </x:c>
      <x:c r="G151" t="str">
        <x:v>Acessórios</x:v>
      </x:c>
      <x:c r="H151" t="str">
        <x:v>Hub USB-C</x:v>
      </x:c>
      <x:c r="I151" t="str">
        <x:v>Felipe</x:v>
      </x:c>
      <x:c r="J151" s="53" t="n">
        <x:v>8</x:v>
      </x:c>
      <x:c r="K151" s="54" t="n">
        <x:v>301.35</x:v>
      </x:c>
      <x:c r="L151" s="54" t="n">
        <x:v>137.38</x:v>
      </x:c>
      <x:c r="M151" s="55" t="n">
        <x:v>0</x:v>
      </x:c>
      <x:c r="N151" s="54" t="n">
        <x:f>ROUND(J151*K151,2)</x:f>
        <x:v>2410.8</x:v>
      </x:c>
      <x:c r="O151" s="54" t="n">
        <x:f>ROUND(N151*(1-M151),2)</x:f>
        <x:v>2410.8</x:v>
      </x:c>
      <x:c r="P151" s="54" t="n">
        <x:f>ROUND(J151*L151,2)</x:f>
        <x:v>1099.04</x:v>
      </x:c>
      <x:c r="Q151" s="54" t="n">
        <x:f>ROUND(O151-P151,2)</x:f>
        <x:v>1311.76</x:v>
      </x:c>
      <x:c r="R151" s="55" t="n">
        <x:f>IF(O151=0,0,ROUND(Q151/O151,4))</x:f>
        <x:v>0.5441</x:v>
      </x:c>
      <x:c r="S151" s="53" t="n">
        <x:v>9</x:v>
      </x:c>
      <x:c r="T151" t="str">
        <x:v>Entregue</x:v>
      </x:c>
      <x:c r="U151" t="n">
        <x:v>3</x:v>
      </x:c>
      <x:c r="V151" t="str"/>
    </x:row>
    <x:row r="152">
      <x:c r="A152" s="52" t="n">
        <x:v>46125</x:v>
      </x:c>
      <x:c r="B152" t="str">
        <x:v>PED-100151</x:v>
      </x:c>
      <x:c r="C152" t="str">
        <x:v>Cliente 061</x:v>
      </x:c>
      <x:c r="D152" t="str">
        <x:v>BA</x:v>
      </x:c>
      <x:c r="E152" t="str">
        <x:v>Nordeste</x:v>
      </x:c>
      <x:c r="F152" t="str">
        <x:v>E-commerce</x:v>
      </x:c>
      <x:c r="G152" t="str">
        <x:v>Casa</x:v>
      </x:c>
      <x:c r="H152" t="str">
        <x:v>Purificador</x:v>
      </x:c>
      <x:c r="I152" t="str">
        <x:v>Bruno</x:v>
      </x:c>
      <x:c r="J152" s="53" t="n">
        <x:v>6</x:v>
      </x:c>
      <x:c r="K152" s="54" t="n">
        <x:v>1342.93</x:v>
      </x:c>
      <x:c r="L152" s="54" t="n">
        <x:v>823.15</x:v>
      </x:c>
      <x:c r="M152" s="55" t="n">
        <x:v>0.0084</x:v>
      </x:c>
      <x:c r="N152" s="54" t="n">
        <x:f>ROUND(J152*K152,2)</x:f>
        <x:v>8057.58</x:v>
      </x:c>
      <x:c r="O152" s="54" t="n">
        <x:f>ROUND(N152*(1-M152),2)</x:f>
        <x:v>7989.9</x:v>
      </x:c>
      <x:c r="P152" s="54" t="n">
        <x:f>ROUND(J152*L152,2)</x:f>
        <x:v>4938.9</x:v>
      </x:c>
      <x:c r="Q152" s="54" t="n">
        <x:f>ROUND(O152-P152,2)</x:f>
        <x:v>3051</x:v>
      </x:c>
      <x:c r="R152" s="55" t="n">
        <x:f>IF(O152=0,0,ROUND(Q152/O152,4))</x:f>
        <x:v>0.3819</x:v>
      </x:c>
      <x:c r="S152" s="53" t="n">
        <x:v>7</x:v>
      </x:c>
      <x:c r="T152" t="str">
        <x:v>Entregue</x:v>
      </x:c>
      <x:c r="U152" t="n">
        <x:v>5</x:v>
      </x:c>
      <x:c r="V152" t="str"/>
    </x:row>
    <x:row r="153">
      <x:c r="A153" s="52" t="n">
        <x:v>46110</x:v>
      </x:c>
      <x:c r="B153" t="str">
        <x:v>PED-100152</x:v>
      </x:c>
      <x:c r="C153" t="str">
        <x:v>Cliente 091</x:v>
      </x:c>
      <x:c r="D153" t="str">
        <x:v>MT</x:v>
      </x:c>
      <x:c r="E153" t="str">
        <x:v>Centro-Oeste</x:v>
      </x:c>
      <x:c r="F153" t="str">
        <x:v>Marketplace</x:v>
      </x:c>
      <x:c r="G153" t="str">
        <x:v>Escritório</x:v>
      </x:c>
      <x:c r="H153" t="str">
        <x:v>Luminária LED</x:v>
      </x:c>
      <x:c r="I153" t="str">
        <x:v>Ana</x:v>
      </x:c>
      <x:c r="J153" s="53" t="n">
        <x:v>7</x:v>
      </x:c>
      <x:c r="K153" s="54" t="n">
        <x:v>262.31</x:v>
      </x:c>
      <x:c r="L153" s="54" t="n">
        <x:v>121.28</x:v>
      </x:c>
      <x:c r="M153" s="55" t="n">
        <x:v>0.035</x:v>
      </x:c>
      <x:c r="N153" s="54" t="n">
        <x:f>ROUND(J153*K153,2)</x:f>
        <x:v>1836.17</x:v>
      </x:c>
      <x:c r="O153" s="54" t="n">
        <x:f>ROUND(N153*(1-M153),2)</x:f>
        <x:v>1771.9</x:v>
      </x:c>
      <x:c r="P153" s="54" t="n">
        <x:f>ROUND(J153*L153,2)</x:f>
        <x:v>848.96</x:v>
      </x:c>
      <x:c r="Q153" s="54" t="n">
        <x:f>ROUND(O153-P153,2)</x:f>
        <x:v>922.94</x:v>
      </x:c>
      <x:c r="R153" s="55" t="n">
        <x:f>IF(O153=0,0,ROUND(Q153/O153,4))</x:f>
        <x:v>0.5209</x:v>
      </x:c>
      <x:c r="S153" s="53" t="n">
        <x:v>11</x:v>
      </x:c>
      <x:c r="T153" t="str">
        <x:v>Entregue com atraso</x:v>
      </x:c>
      <x:c r="U153" t="n">
        <x:v>5</x:v>
      </x:c>
      <x:c r="V153" t="str"/>
    </x:row>
    <x:row r="154">
      <x:c r="A154" s="52" t="n">
        <x:v>46171</x:v>
      </x:c>
      <x:c r="B154" t="str">
        <x:v>PED-100153</x:v>
      </x:c>
      <x:c r="C154" t="str">
        <x:v>Cliente 032</x:v>
      </x:c>
      <x:c r="D154" t="str">
        <x:v>BA</x:v>
      </x:c>
      <x:c r="E154" t="str">
        <x:v>Nordeste</x:v>
      </x:c>
      <x:c r="F154" t="str">
        <x:v>Televendas</x:v>
      </x:c>
      <x:c r="G154" t="str">
        <x:v>Casa</x:v>
      </x:c>
      <x:c r="H154" t="str">
        <x:v>Cafeteira Smart</x:v>
      </x:c>
      <x:c r="I154" t="str">
        <x:v>Henrique</x:v>
      </x:c>
      <x:c r="J154" s="53" t="n">
        <x:v>7</x:v>
      </x:c>
      <x:c r="K154" s="54" t="n">
        <x:v>813.59</x:v>
      </x:c>
      <x:c r="L154" s="54" t="n">
        <x:v>476.27</x:v>
      </x:c>
      <x:c r="M154" s="55" t="n">
        <x:v>0.0255</x:v>
      </x:c>
      <x:c r="N154" s="54" t="n">
        <x:f>ROUND(J154*K154,2)</x:f>
        <x:v>5695.13</x:v>
      </x:c>
      <x:c r="O154" s="54" t="n">
        <x:f>ROUND(N154*(1-M154),2)</x:f>
        <x:v>5549.9</x:v>
      </x:c>
      <x:c r="P154" s="54" t="n">
        <x:f>ROUND(J154*L154,2)</x:f>
        <x:v>3333.89</x:v>
      </x:c>
      <x:c r="Q154" s="54" t="n">
        <x:f>ROUND(O154-P154,2)</x:f>
        <x:v>2216.01</x:v>
      </x:c>
      <x:c r="R154" s="55" t="n">
        <x:f>IF(O154=0,0,ROUND(Q154/O154,4))</x:f>
        <x:v>0.3993</x:v>
      </x:c>
      <x:c r="S154" s="53" t="n">
        <x:v>10</x:v>
      </x:c>
      <x:c r="T154" t="str">
        <x:v>Entregue</x:v>
      </x:c>
      <x:c r="U154" t="n">
        <x:v>4</x:v>
      </x:c>
      <x:c r="V154" t="str"/>
    </x:row>
    <x:row r="155">
      <x:c r="A155" s="52" t="n">
        <x:v>46213</x:v>
      </x:c>
      <x:c r="B155" t="str">
        <x:v>PED-100154</x:v>
      </x:c>
      <x:c r="C155" t="str">
        <x:v>Cliente 072</x:v>
      </x:c>
      <x:c r="D155" t="str">
        <x:v>CE</x:v>
      </x:c>
      <x:c r="E155" t="str">
        <x:v>Nordeste</x:v>
      </x:c>
      <x:c r="F155" t="str">
        <x:v>Televendas</x:v>
      </x:c>
      <x:c r="G155" t="str">
        <x:v>Tecnologia</x:v>
      </x:c>
      <x:c r="H155" t="str">
        <x:v>Notebook Pro</x:v>
      </x:c>
      <x:c r="I155" t="str">
        <x:v>Elaine</x:v>
      </x:c>
      <x:c r="J155" s="53" t="n">
        <x:v>2</x:v>
      </x:c>
      <x:c r="K155" s="54" t="n">
        <x:v>5566.59</x:v>
      </x:c>
      <x:c r="L155" s="54" t="n">
        <x:v>4469.05</x:v>
      </x:c>
      <x:c r="M155" s="55" t="n">
        <x:v>0.0008</x:v>
      </x:c>
      <x:c r="N155" s="54" t="n">
        <x:f>ROUND(J155*K155,2)</x:f>
        <x:v>11133.18</x:v>
      </x:c>
      <x:c r="O155" s="54" t="n">
        <x:f>ROUND(N155*(1-M155),2)</x:f>
        <x:v>11124.27</x:v>
      </x:c>
      <x:c r="P155" s="54" t="n">
        <x:f>ROUND(J155*L155,2)</x:f>
        <x:v>8938.1</x:v>
      </x:c>
      <x:c r="Q155" s="54" t="n">
        <x:f>ROUND(O155-P155,2)</x:f>
        <x:v>2186.17</x:v>
      </x:c>
      <x:c r="R155" s="55" t="n">
        <x:f>IF(O155=0,0,ROUND(Q155/O155,4))</x:f>
        <x:v>0.1965</x:v>
      </x:c>
      <x:c r="S155" s="53" t="n">
        <x:v>2</x:v>
      </x:c>
      <x:c r="T155" t="str">
        <x:v>Entregue</x:v>
      </x:c>
      <x:c r="U155" t="n">
        <x:v>3</x:v>
      </x:c>
      <x:c r="V155" t="str"/>
    </x:row>
    <x:row r="156">
      <x:c r="A156" s="52" t="n">
        <x:v>46040</x:v>
      </x:c>
      <x:c r="B156" t="str">
        <x:v>PED-100155</x:v>
      </x:c>
      <x:c r="C156" t="str">
        <x:v>Cliente 077</x:v>
      </x:c>
      <x:c r="D156" t="str">
        <x:v>MG</x:v>
      </x:c>
      <x:c r="E156" t="str">
        <x:v>Sudeste</x:v>
      </x:c>
      <x:c r="F156" t="str">
        <x:v>Marketplace</x:v>
      </x:c>
      <x:c r="G156" t="str">
        <x:v>Escritório</x:v>
      </x:c>
      <x:c r="H156" t="str">
        <x:v>Cadeira Ergonômica</x:v>
      </x:c>
      <x:c r="I156" t="str">
        <x:v>Diego</x:v>
      </x:c>
      <x:c r="J156" s="53" t="n">
        <x:v>2</x:v>
      </x:c>
      <x:c r="K156" s="54" t="n">
        <x:v>2075.78</x:v>
      </x:c>
      <x:c r="L156" s="54" t="n">
        <x:v>1373.1</x:v>
      </x:c>
      <x:c r="M156" s="55" t="n">
        <x:v>0.0504</x:v>
      </x:c>
      <x:c r="N156" s="54" t="n">
        <x:f>ROUND(J156*K156,2)</x:f>
        <x:v>4151.56</x:v>
      </x:c>
      <x:c r="O156" s="54" t="n">
        <x:f>ROUND(N156*(1-M156),2)</x:f>
        <x:v>3942.32</x:v>
      </x:c>
      <x:c r="P156" s="54" t="n">
        <x:f>ROUND(J156*L156,2)</x:f>
        <x:v>2746.2</x:v>
      </x:c>
      <x:c r="Q156" s="54" t="n">
        <x:f>ROUND(O156-P156,2)</x:f>
        <x:v>1196.12</x:v>
      </x:c>
      <x:c r="R156" s="55" t="n">
        <x:f>IF(O156=0,0,ROUND(Q156/O156,4))</x:f>
        <x:v>0.3034</x:v>
      </x:c>
      <x:c r="S156" s="53" t="n">
        <x:v>9</x:v>
      </x:c>
      <x:c r="T156" t="str">
        <x:v>Entregue</x:v>
      </x:c>
      <x:c r="U156" t="n">
        <x:v>2</x:v>
      </x:c>
      <x:c r="V156" t="str"/>
    </x:row>
    <x:row r="157">
      <x:c r="A157" s="52" t="n">
        <x:v>46202</x:v>
      </x:c>
      <x:c r="B157" t="str">
        <x:v>PED-100156</x:v>
      </x:c>
      <x:c r="C157" t="str">
        <x:v>Cliente 058</x:v>
      </x:c>
      <x:c r="D157" t="str">
        <x:v>RS</x:v>
      </x:c>
      <x:c r="E157" t="str">
        <x:v>Sul</x:v>
      </x:c>
      <x:c r="F157" t="str">
        <x:v>Televendas</x:v>
      </x:c>
      <x:c r="G157" t="str">
        <x:v>Casa</x:v>
      </x:c>
      <x:c r="H157" t="str">
        <x:v>Aspirador Robô</x:v>
      </x:c>
      <x:c r="I157" t="str">
        <x:v>Ana</x:v>
      </x:c>
      <x:c r="J157" s="53" t="n">
        <x:v>8</x:v>
      </x:c>
      <x:c r="K157" s="54" t="n">
        <x:v>1844.26</x:v>
      </x:c>
      <x:c r="L157" s="54" t="n">
        <x:v>1183.09</x:v>
      </x:c>
      <x:c r="M157" s="55" t="n">
        <x:v>0</x:v>
      </x:c>
      <x:c r="N157" s="54" t="n">
        <x:f>ROUND(J157*K157,2)</x:f>
        <x:v>14754.08</x:v>
      </x:c>
      <x:c r="O157" s="54" t="n">
        <x:f>ROUND(N157*(1-M157),2)</x:f>
        <x:v>14754.08</x:v>
      </x:c>
      <x:c r="P157" s="54" t="n">
        <x:f>ROUND(J157*L157,2)</x:f>
        <x:v>9464.72</x:v>
      </x:c>
      <x:c r="Q157" s="54" t="n">
        <x:f>ROUND(O157-P157,2)</x:f>
        <x:v>5289.36</x:v>
      </x:c>
      <x:c r="R157" s="55" t="n">
        <x:f>IF(O157=0,0,ROUND(Q157/O157,4))</x:f>
        <x:v>0.3585</x:v>
      </x:c>
      <x:c r="S157" s="53" t="n">
        <x:v>12</x:v>
      </x:c>
      <x:c r="T157" t="str">
        <x:v>Entregue com atraso</x:v>
      </x:c>
      <x:c r="U157" t="n">
        <x:v>3</x:v>
      </x:c>
      <x:c r="V157" t="str"/>
    </x:row>
    <x:row r="158">
      <x:c r="A158" s="52" t="n">
        <x:v>46107</x:v>
      </x:c>
      <x:c r="B158" t="str">
        <x:v>PED-100157</x:v>
      </x:c>
      <x:c r="C158" t="str">
        <x:v>Cliente 097</x:v>
      </x:c>
      <x:c r="D158" t="str">
        <x:v>DF</x:v>
      </x:c>
      <x:c r="E158" t="str">
        <x:v>Centro-Oeste</x:v>
      </x:c>
      <x:c r="F158" t="str">
        <x:v>Loja</x:v>
      </x:c>
      <x:c r="G158" t="str">
        <x:v>Casa</x:v>
      </x:c>
      <x:c r="H158" t="str">
        <x:v>Aspirador Robô</x:v>
      </x:c>
      <x:c r="I158" t="str">
        <x:v>Isabela</x:v>
      </x:c>
      <x:c r="J158" s="53" t="n">
        <x:v>3</x:v>
      </x:c>
      <x:c r="K158" s="54" t="n">
        <x:v>1875.52</x:v>
      </x:c>
      <x:c r="L158" s="54" t="n">
        <x:v>1189.51</x:v>
      </x:c>
      <x:c r="M158" s="55" t="n">
        <x:v>0</x:v>
      </x:c>
      <x:c r="N158" s="54" t="n">
        <x:f>ROUND(J158*K158,2)</x:f>
        <x:v>5626.56</x:v>
      </x:c>
      <x:c r="O158" s="54" t="n">
        <x:f>ROUND(N158*(1-M158),2)</x:f>
        <x:v>5626.56</x:v>
      </x:c>
      <x:c r="P158" s="54" t="n">
        <x:f>ROUND(J158*L158,2)</x:f>
        <x:v>3568.53</x:v>
      </x:c>
      <x:c r="Q158" s="54" t="n">
        <x:f>ROUND(O158-P158,2)</x:f>
        <x:v>2058.03</x:v>
      </x:c>
      <x:c r="R158" s="55" t="n">
        <x:f>IF(O158=0,0,ROUND(Q158/O158,4))</x:f>
        <x:v>0.3658</x:v>
      </x:c>
      <x:c r="S158" s="53" t="n">
        <x:v>13</x:v>
      </x:c>
      <x:c r="T158" t="str">
        <x:v>Entregue com atraso</x:v>
      </x:c>
      <x:c r="U158" t="n">
        <x:v>4</x:v>
      </x:c>
      <x:c r="V158" t="str"/>
    </x:row>
    <x:row r="159">
      <x:c r="A159" s="52" t="n">
        <x:v>46142</x:v>
      </x:c>
      <x:c r="B159" t="str">
        <x:v>PED-100158</x:v>
      </x:c>
      <x:c r="C159" t="str">
        <x:v>Cliente 116</x:v>
      </x:c>
      <x:c r="D159" t="str">
        <x:v>MA</x:v>
      </x:c>
      <x:c r="E159" t="str">
        <x:v>Nordeste</x:v>
      </x:c>
      <x:c r="F159" t="str">
        <x:v>Televendas</x:v>
      </x:c>
      <x:c r="G159" t="str">
        <x:v>Escritório</x:v>
      </x:c>
      <x:c r="H159" t="str">
        <x:v>Cadeira Ergonômica</x:v>
      </x:c>
      <x:c r="I159" t="str">
        <x:v>Diego</x:v>
      </x:c>
      <x:c r="J159" s="53" t="n">
        <x:v>5</x:v>
      </x:c>
      <x:c r="K159" s="54" t="n">
        <x:v>2177.85</x:v>
      </x:c>
      <x:c r="L159" s="54" t="n">
        <x:v>1477.84</x:v>
      </x:c>
      <x:c r="M159" s="55" t="n">
        <x:v>0.1171</x:v>
      </x:c>
      <x:c r="N159" s="54" t="n">
        <x:f>ROUND(J159*K159,2)</x:f>
        <x:v>10889.25</x:v>
      </x:c>
      <x:c r="O159" s="54" t="n">
        <x:f>ROUND(N159*(1-M159),2)</x:f>
        <x:v>9614.12</x:v>
      </x:c>
      <x:c r="P159" s="54" t="n">
        <x:f>ROUND(J159*L159,2)</x:f>
        <x:v>7389.2</x:v>
      </x:c>
      <x:c r="Q159" s="54" t="n">
        <x:f>ROUND(O159-P159,2)</x:f>
        <x:v>2224.92</x:v>
      </x:c>
      <x:c r="R159" s="55" t="n">
        <x:f>IF(O159=0,0,ROUND(Q159/O159,4))</x:f>
        <x:v>0.2314</x:v>
      </x:c>
      <x:c r="S159" s="53" t="n">
        <x:v>10</x:v>
      </x:c>
      <x:c r="T159" t="str">
        <x:v>Entregue</x:v>
      </x:c>
      <x:c r="U159" t="n">
        <x:v>4</x:v>
      </x:c>
      <x:c r="V159" t="str"/>
    </x:row>
    <x:row r="160">
      <x:c r="A160" s="52" t="n">
        <x:v>46138</x:v>
      </x:c>
      <x:c r="B160" t="str">
        <x:v>PED-100159</x:v>
      </x:c>
      <x:c r="C160" t="str">
        <x:v>Cliente 086</x:v>
      </x:c>
      <x:c r="D160" t="str">
        <x:v>GO</x:v>
      </x:c>
      <x:c r="E160" t="str">
        <x:v>Centro-Oeste</x:v>
      </x:c>
      <x:c r="F160" t="str">
        <x:v>Loja</x:v>
      </x:c>
      <x:c r="G160" t="str">
        <x:v>Tecnologia</x:v>
      </x:c>
      <x:c r="H160" t="str">
        <x:v>Notebook Pro</x:v>
      </x:c>
      <x:c r="I160" t="str">
        <x:v>Elaine</x:v>
      </x:c>
      <x:c r="J160" s="53" t="n">
        <x:v>2</x:v>
      </x:c>
      <x:c r="K160" s="54" t="n">
        <x:v>6095.58</x:v>
      </x:c>
      <x:c r="L160" s="54" t="n">
        <x:v>4533.33</x:v>
      </x:c>
      <x:c r="M160" s="55" t="n">
        <x:v>0</x:v>
      </x:c>
      <x:c r="N160" s="54" t="n">
        <x:f>ROUND(J160*K160,2)</x:f>
        <x:v>12191.16</x:v>
      </x:c>
      <x:c r="O160" s="54" t="n">
        <x:f>ROUND(N160*(1-M160),2)</x:f>
        <x:v>12191.16</x:v>
      </x:c>
      <x:c r="P160" s="54" t="n">
        <x:f>ROUND(J160*L160,2)</x:f>
        <x:v>9066.66</x:v>
      </x:c>
      <x:c r="Q160" s="54" t="n">
        <x:f>ROUND(O160-P160,2)</x:f>
        <x:v>3124.5</x:v>
      </x:c>
      <x:c r="R160" s="55" t="n">
        <x:f>IF(O160=0,0,ROUND(Q160/O160,4))</x:f>
        <x:v>0.2563</x:v>
      </x:c>
      <x:c r="S160" s="53" t="n">
        <x:v>4</x:v>
      </x:c>
      <x:c r="T160" t="str">
        <x:v>Entregue</x:v>
      </x:c>
      <x:c r="U160" t="n">
        <x:v>3</x:v>
      </x:c>
      <x:c r="V160" t="str"/>
    </x:row>
    <x:row r="161">
      <x:c r="A161" s="52" t="n">
        <x:v>46173</x:v>
      </x:c>
      <x:c r="B161" t="str">
        <x:v>PED-100160</x:v>
      </x:c>
      <x:c r="C161" t="str">
        <x:v>Cliente 030</x:v>
      </x:c>
      <x:c r="D161" t="str">
        <x:v>BA</x:v>
      </x:c>
      <x:c r="E161" t="str">
        <x:v>Nordeste</x:v>
      </x:c>
      <x:c r="F161" t="str">
        <x:v>E-commerce</x:v>
      </x:c>
      <x:c r="G161" t="str">
        <x:v>Tecnologia</x:v>
      </x:c>
      <x:c r="H161" t="str">
        <x:v>Headset Office</x:v>
      </x:c>
      <x:c r="I161" t="str">
        <x:v>João</x:v>
      </x:c>
      <x:c r="J161" s="53" t="n">
        <x:v>2</x:v>
      </x:c>
      <x:c r="K161" s="54" t="n">
        <x:v>393.85</x:v>
      </x:c>
      <x:c r="L161" s="54" t="n">
        <x:v>224.74</x:v>
      </x:c>
      <x:c r="M161" s="55" t="n">
        <x:v>0.0143</x:v>
      </x:c>
      <x:c r="N161" s="54" t="n">
        <x:f>ROUND(J161*K161,2)</x:f>
        <x:v>787.7</x:v>
      </x:c>
      <x:c r="O161" s="54" t="n">
        <x:f>ROUND(N161*(1-M161),2)</x:f>
        <x:v>776.44</x:v>
      </x:c>
      <x:c r="P161" s="54" t="n">
        <x:f>ROUND(J161*L161,2)</x:f>
        <x:v>449.48</x:v>
      </x:c>
      <x:c r="Q161" s="54" t="n">
        <x:f>ROUND(O161-P161,2)</x:f>
        <x:v>326.96</x:v>
      </x:c>
      <x:c r="R161" s="55" t="n">
        <x:f>IF(O161=0,0,ROUND(Q161/O161,4))</x:f>
        <x:v>0.4211</x:v>
      </x:c>
      <x:c r="S161" s="53" t="n">
        <x:v>12</x:v>
      </x:c>
      <x:c r="T161" t="str">
        <x:v>Entregue com atraso</x:v>
      </x:c>
      <x:c r="U161" t="n">
        <x:v>2</x:v>
      </x:c>
      <x:c r="V161" t="str"/>
    </x:row>
    <x:row r="162">
      <x:c r="A162" s="52" t="n">
        <x:v>46221</x:v>
      </x:c>
      <x:c r="B162" t="str">
        <x:v>PED-100161</x:v>
      </x:c>
      <x:c r="C162" t="str">
        <x:v>Cliente 111</x:v>
      </x:c>
      <x:c r="D162" t="str">
        <x:v>BA</x:v>
      </x:c>
      <x:c r="E162" t="str">
        <x:v>Nordeste</x:v>
      </x:c>
      <x:c r="F162" t="str">
        <x:v>Marketplace</x:v>
      </x:c>
      <x:c r="G162" t="str">
        <x:v>Casa</x:v>
      </x:c>
      <x:c r="H162" t="str">
        <x:v>Cafeteira Smart</x:v>
      </x:c>
      <x:c r="I162" t="str">
        <x:v>Isabela</x:v>
      </x:c>
      <x:c r="J162" s="53" t="n">
        <x:v>6</x:v>
      </x:c>
      <x:c r="K162" s="54" t="n">
        <x:v>820.47</x:v>
      </x:c>
      <x:c r="L162" s="54" t="n">
        <x:v>489.24</x:v>
      </x:c>
      <x:c r="M162" s="55" t="n">
        <x:v>0.035</x:v>
      </x:c>
      <x:c r="N162" s="54" t="n">
        <x:f>ROUND(J162*K162,2)</x:f>
        <x:v>4922.82</x:v>
      </x:c>
      <x:c r="O162" s="54" t="n">
        <x:f>ROUND(N162*(1-M162),2)</x:f>
        <x:v>4750.52</x:v>
      </x:c>
      <x:c r="P162" s="54" t="n">
        <x:f>ROUND(J162*L162,2)</x:f>
        <x:v>2935.44</x:v>
      </x:c>
      <x:c r="Q162" s="54" t="n">
        <x:f>ROUND(O162-P162,2)</x:f>
        <x:v>1815.08</x:v>
      </x:c>
      <x:c r="R162" s="55" t="n">
        <x:f>IF(O162=0,0,ROUND(Q162/O162,4))</x:f>
        <x:v>0.3821</x:v>
      </x:c>
      <x:c r="S162" s="53" t="n">
        <x:v>5</x:v>
      </x:c>
      <x:c r="T162" t="str">
        <x:v>Entregue</x:v>
      </x:c>
      <x:c r="U162" t="n">
        <x:v>4</x:v>
      </x:c>
      <x:c r="V162" t="str"/>
    </x:row>
    <x:row r="163">
      <x:c r="A163" s="52" t="n">
        <x:v>46131</x:v>
      </x:c>
      <x:c r="B163" t="str">
        <x:v>PED-100162</x:v>
      </x:c>
      <x:c r="C163" t="str">
        <x:v>Cliente 007</x:v>
      </x:c>
      <x:c r="D163" t="str">
        <x:v>MT</x:v>
      </x:c>
      <x:c r="E163" t="str">
        <x:v>Centro-Oeste</x:v>
      </x:c>
      <x:c r="F163" t="str">
        <x:v>Loja</x:v>
      </x:c>
      <x:c r="G163" t="str">
        <x:v>Tecnologia</x:v>
      </x:c>
      <x:c r="H163" t="str">
        <x:v>Headset Office</x:v>
      </x:c>
      <x:c r="I163" t="str">
        <x:v>Felipe</x:v>
      </x:c>
      <x:c r="J163" s="53" t="n">
        <x:v>8</x:v>
      </x:c>
      <x:c r="K163" s="54" t="n">
        <x:v>388.41</x:v>
      </x:c>
      <x:c r="L163" s="54" t="n">
        <x:v>215.68</x:v>
      </x:c>
      <x:c r="M163" s="55" t="n">
        <x:v>0</x:v>
      </x:c>
      <x:c r="N163" s="54" t="n">
        <x:f>ROUND(J163*K163,2)</x:f>
        <x:v>3107.28</x:v>
      </x:c>
      <x:c r="O163" s="54" t="n">
        <x:f>ROUND(N163*(1-M163),2)</x:f>
        <x:v>3107.28</x:v>
      </x:c>
      <x:c r="P163" s="54" t="n">
        <x:f>ROUND(J163*L163,2)</x:f>
        <x:v>1725.44</x:v>
      </x:c>
      <x:c r="Q163" s="54" t="n">
        <x:f>ROUND(O163-P163,2)</x:f>
        <x:v>1381.84</x:v>
      </x:c>
      <x:c r="R163" s="55" t="n">
        <x:f>IF(O163=0,0,ROUND(Q163/O163,4))</x:f>
        <x:v>0.4447</x:v>
      </x:c>
      <x:c r="S163" s="53" t="n">
        <x:v>3</x:v>
      </x:c>
      <x:c r="T163" t="str">
        <x:v>Entregue</x:v>
      </x:c>
      <x:c r="U163" t="n">
        <x:v>4</x:v>
      </x:c>
      <x:c r="V163" t="str"/>
    </x:row>
    <x:row r="164">
      <x:c r="A164" s="52" t="n">
        <x:v>46229</x:v>
      </x:c>
      <x:c r="B164" t="str">
        <x:v>PED-100163</x:v>
      </x:c>
      <x:c r="C164" t="str">
        <x:v>Cliente 002</x:v>
      </x:c>
      <x:c r="D164" t="str">
        <x:v>GO</x:v>
      </x:c>
      <x:c r="E164" t="str">
        <x:v>Centro-Oeste</x:v>
      </x:c>
      <x:c r="F164" t="str">
        <x:v>E-commerce</x:v>
      </x:c>
      <x:c r="G164" t="str">
        <x:v>Tecnologia</x:v>
      </x:c>
      <x:c r="H164" t="str">
        <x:v>Monitor 27</x:v>
      </x:c>
      <x:c r="I164" t="str">
        <x:v>Gabriela</x:v>
      </x:c>
      <x:c r="J164" s="53" t="n">
        <x:v>7</x:v>
      </x:c>
      <x:c r="K164" s="54" t="n">
        <x:v>1690.12</x:v>
      </x:c>
      <x:c r="L164" s="54" t="n">
        <x:v>1104.03</x:v>
      </x:c>
      <x:c r="M164" s="55" t="n">
        <x:v>0</x:v>
      </x:c>
      <x:c r="N164" s="54" t="n">
        <x:f>ROUND(J164*K164,2)</x:f>
        <x:v>11830.84</x:v>
      </x:c>
      <x:c r="O164" s="54" t="n">
        <x:f>ROUND(N164*(1-M164),2)</x:f>
        <x:v>11830.84</x:v>
      </x:c>
      <x:c r="P164" s="54" t="n">
        <x:f>ROUND(J164*L164,2)</x:f>
        <x:v>7728.21</x:v>
      </x:c>
      <x:c r="Q164" s="54" t="n">
        <x:f>ROUND(O164-P164,2)</x:f>
        <x:v>4102.63</x:v>
      </x:c>
      <x:c r="R164" s="55" t="n">
        <x:f>IF(O164=0,0,ROUND(Q164/O164,4))</x:f>
        <x:v>0.3468</x:v>
      </x:c>
      <x:c r="S164" s="53" t="n">
        <x:v>11</x:v>
      </x:c>
      <x:c r="T164" t="str">
        <x:v>Entregue com atraso</x:v>
      </x:c>
      <x:c r="U164" t="n">
        <x:v>3</x:v>
      </x:c>
      <x:c r="V164" t="str"/>
    </x:row>
    <x:row r="165">
      <x:c r="A165" s="52" t="n">
        <x:v>46065</x:v>
      </x:c>
      <x:c r="B165" t="str">
        <x:v>PED-100164</x:v>
      </x:c>
      <x:c r="C165" t="str">
        <x:v>Cliente 046</x:v>
      </x:c>
      <x:c r="D165" t="str">
        <x:v>SP</x:v>
      </x:c>
      <x:c r="E165" t="str">
        <x:v>Sudeste</x:v>
      </x:c>
      <x:c r="F165" t="str">
        <x:v>E-commerce</x:v>
      </x:c>
      <x:c r="G165" t="str">
        <x:v>Tecnologia</x:v>
      </x:c>
      <x:c r="H165" t="str">
        <x:v>Monitor 27</x:v>
      </x:c>
      <x:c r="I165" t="str">
        <x:v>Ana</x:v>
      </x:c>
      <x:c r="J165" s="53" t="n">
        <x:v>7</x:v>
      </x:c>
      <x:c r="K165" s="54" t="n">
        <x:v>1786.82</x:v>
      </x:c>
      <x:c r="L165" s="54" t="n">
        <x:v>1115.36</x:v>
      </x:c>
      <x:c r="M165" s="55" t="n">
        <x:v>0</x:v>
      </x:c>
      <x:c r="N165" s="54" t="n">
        <x:f>ROUND(J165*K165,2)</x:f>
        <x:v>12507.74</x:v>
      </x:c>
      <x:c r="O165" s="54" t="n">
        <x:f>ROUND(N165*(1-M165),2)</x:f>
        <x:v>12507.74</x:v>
      </x:c>
      <x:c r="P165" s="54" t="n">
        <x:f>ROUND(J165*L165,2)</x:f>
        <x:v>7807.52</x:v>
      </x:c>
      <x:c r="Q165" s="54" t="n">
        <x:f>ROUND(O165-P165,2)</x:f>
        <x:v>4700.22</x:v>
      </x:c>
      <x:c r="R165" s="55" t="n">
        <x:f>IF(O165=0,0,ROUND(Q165/O165,4))</x:f>
        <x:v>0.3758</x:v>
      </x:c>
      <x:c r="S165" s="53" t="n">
        <x:v>4</x:v>
      </x:c>
      <x:c r="T165" t="str">
        <x:v>Entregue</x:v>
      </x:c>
      <x:c r="U165" t="n">
        <x:v>4</x:v>
      </x:c>
      <x:c r="V165" t="str"/>
    </x:row>
    <x:row r="166">
      <x:c r="A166" s="52" t="n">
        <x:v>46229</x:v>
      </x:c>
      <x:c r="B166" t="str">
        <x:v>PED-100165</x:v>
      </x:c>
      <x:c r="C166" t="str">
        <x:v>Cliente 106</x:v>
      </x:c>
      <x:c r="D166" t="str">
        <x:v>RS</x:v>
      </x:c>
      <x:c r="E166" t="str">
        <x:v>Sul</x:v>
      </x:c>
      <x:c r="F166" t="str">
        <x:v>Televendas</x:v>
      </x:c>
      <x:c r="G166" t="str">
        <x:v>Tecnologia</x:v>
      </x:c>
      <x:c r="H166" t="str">
        <x:v>Monitor 27</x:v>
      </x:c>
      <x:c r="I166" t="str">
        <x:v>Diego</x:v>
      </x:c>
      <x:c r="J166" s="53" t="n">
        <x:v>4</x:v>
      </x:c>
      <x:c r="K166" s="54" t="n">
        <x:v>1590.99</x:v>
      </x:c>
      <x:c r="L166" s="54" t="n">
        <x:v>1044.79</x:v>
      </x:c>
      <x:c r="M166" s="55" t="n">
        <x:v>0</x:v>
      </x:c>
      <x:c r="N166" s="54" t="n">
        <x:f>ROUND(J166*K166,2)</x:f>
        <x:v>6363.96</x:v>
      </x:c>
      <x:c r="O166" s="54" t="n">
        <x:f>ROUND(N166*(1-M166),2)</x:f>
        <x:v>6363.96</x:v>
      </x:c>
      <x:c r="P166" s="54" t="n">
        <x:f>ROUND(J166*L166,2)</x:f>
        <x:v>4179.16</x:v>
      </x:c>
      <x:c r="Q166" s="54" t="n">
        <x:f>ROUND(O166-P166,2)</x:f>
        <x:v>2184.8</x:v>
      </x:c>
      <x:c r="R166" s="55" t="n">
        <x:f>IF(O166=0,0,ROUND(Q166/O166,4))</x:f>
        <x:v>0.3433</x:v>
      </x:c>
      <x:c r="S166" s="53" t="n">
        <x:v>8</x:v>
      </x:c>
      <x:c r="T166" t="str">
        <x:v>Entregue</x:v>
      </x:c>
      <x:c r="U166" t="n">
        <x:v>2</x:v>
      </x:c>
      <x:c r="V166" t="str"/>
    </x:row>
    <x:row r="167">
      <x:c r="A167" s="52" t="n">
        <x:v>46084</x:v>
      </x:c>
      <x:c r="B167" t="str">
        <x:v>PED-100166</x:v>
      </x:c>
      <x:c r="C167" t="str">
        <x:v>Cliente 090</x:v>
      </x:c>
      <x:c r="D167" t="str">
        <x:v>PR</x:v>
      </x:c>
      <x:c r="E167" t="str">
        <x:v>Sul</x:v>
      </x:c>
      <x:c r="F167" t="str">
        <x:v>Televendas</x:v>
      </x:c>
      <x:c r="G167" t="str">
        <x:v>Escritório</x:v>
      </x:c>
      <x:c r="H167" t="str">
        <x:v>Cadeira Ergonômica</x:v>
      </x:c>
      <x:c r="I167" t="str">
        <x:v>Ana</x:v>
      </x:c>
      <x:c r="J167" s="53" t="n">
        <x:v>8</x:v>
      </x:c>
      <x:c r="K167" s="54" t="n">
        <x:v>2317.53</x:v>
      </x:c>
      <x:c r="L167" s="54" t="n">
        <x:v>1472.03</x:v>
      </x:c>
      <x:c r="M167" s="55" t="n">
        <x:v>0</x:v>
      </x:c>
      <x:c r="N167" s="54" t="n">
        <x:f>ROUND(J167*K167,2)</x:f>
        <x:v>18540.24</x:v>
      </x:c>
      <x:c r="O167" s="54" t="n">
        <x:f>ROUND(N167*(1-M167),2)</x:f>
        <x:v>18540.24</x:v>
      </x:c>
      <x:c r="P167" s="54" t="n">
        <x:f>ROUND(J167*L167,2)</x:f>
        <x:v>11776.24</x:v>
      </x:c>
      <x:c r="Q167" s="54" t="n">
        <x:f>ROUND(O167-P167,2)</x:f>
        <x:v>6764</x:v>
      </x:c>
      <x:c r="R167" s="55" t="n">
        <x:f>IF(O167=0,0,ROUND(Q167/O167,4))</x:f>
        <x:v>0.3648</x:v>
      </x:c>
      <x:c r="S167" s="53" t="n">
        <x:v>3</x:v>
      </x:c>
      <x:c r="T167" t="str">
        <x:v>Entregue</x:v>
      </x:c>
      <x:c r="U167" t="n">
        <x:v>2</x:v>
      </x:c>
      <x:c r="V167" t="str"/>
    </x:row>
    <x:row r="168">
      <x:c r="A168" s="52" t="n">
        <x:v>46036</x:v>
      </x:c>
      <x:c r="B168" t="str">
        <x:v>PED-100167</x:v>
      </x:c>
      <x:c r="C168" t="str">
        <x:v>Cliente 076</x:v>
      </x:c>
      <x:c r="D168" t="str">
        <x:v>MT</x:v>
      </x:c>
      <x:c r="E168" t="str">
        <x:v>Centro-Oeste</x:v>
      </x:c>
      <x:c r="F168" t="str">
        <x:v>Loja</x:v>
      </x:c>
      <x:c r="G168" t="str">
        <x:v>Tecnologia</x:v>
      </x:c>
      <x:c r="H168" t="str">
        <x:v>Headset Office</x:v>
      </x:c>
      <x:c r="I168" t="str">
        <x:v>Felipe</x:v>
      </x:c>
      <x:c r="J168" s="53" t="n">
        <x:v>8</x:v>
      </x:c>
      <x:c r="K168" s="54" t="n">
        <x:v>400.64</x:v>
      </x:c>
      <x:c r="L168" s="54" t="n">
        <x:v>208.78</x:v>
      </x:c>
      <x:c r="M168" s="55" t="n">
        <x:v>0.1006</x:v>
      </x:c>
      <x:c r="N168" s="54" t="n">
        <x:f>ROUND(J168*K168,2)</x:f>
        <x:v>3205.12</x:v>
      </x:c>
      <x:c r="O168" s="54" t="n">
        <x:f>ROUND(N168*(1-M168),2)</x:f>
        <x:v>2882.68</x:v>
      </x:c>
      <x:c r="P168" s="54" t="n">
        <x:f>ROUND(J168*L168,2)</x:f>
        <x:v>1670.24</x:v>
      </x:c>
      <x:c r="Q168" s="54" t="n">
        <x:f>ROUND(O168-P168,2)</x:f>
        <x:v>1212.44</x:v>
      </x:c>
      <x:c r="R168" s="55" t="n">
        <x:f>IF(O168=0,0,ROUND(Q168/O168,4))</x:f>
        <x:v>0.4206</x:v>
      </x:c>
      <x:c r="S168" s="53" t="n">
        <x:v>13</x:v>
      </x:c>
      <x:c r="T168" t="str">
        <x:v>Entregue com atraso</x:v>
      </x:c>
      <x:c r="U168" t="n">
        <x:v>5</x:v>
      </x:c>
      <x:c r="V168" t="str"/>
    </x:row>
    <x:row r="169">
      <x:c r="A169" s="52" t="n">
        <x:v>46232</x:v>
      </x:c>
      <x:c r="B169" t="str">
        <x:v>PED-100168</x:v>
      </x:c>
      <x:c r="C169" t="str">
        <x:v>Cliente 095</x:v>
      </x:c>
      <x:c r="D169" t="str">
        <x:v>PA</x:v>
      </x:c>
      <x:c r="E169" t="str">
        <x:v>Norte</x:v>
      </x:c>
      <x:c r="F169" t="str">
        <x:v>Loja</x:v>
      </x:c>
      <x:c r="G169" t="str">
        <x:v>Casa</x:v>
      </x:c>
      <x:c r="H169" t="str">
        <x:v>Cafeteira Smart</x:v>
      </x:c>
      <x:c r="I169" t="str">
        <x:v>Carla</x:v>
      </x:c>
      <x:c r="J169" s="53" t="n">
        <x:v>5</x:v>
      </x:c>
      <x:c r="K169" s="54" t="n">
        <x:v>826.83</x:v>
      </x:c>
      <x:c r="L169" s="54" t="n">
        <x:v>480.97</x:v>
      </x:c>
      <x:c r="M169" s="55" t="n">
        <x:v>0.1139</x:v>
      </x:c>
      <x:c r="N169" s="54" t="n">
        <x:f>ROUND(J169*K169,2)</x:f>
        <x:v>4134.15</x:v>
      </x:c>
      <x:c r="O169" s="54" t="n">
        <x:f>ROUND(N169*(1-M169),2)</x:f>
        <x:v>3663.27</x:v>
      </x:c>
      <x:c r="P169" s="54" t="n">
        <x:f>ROUND(J169*L169,2)</x:f>
        <x:v>2404.85</x:v>
      </x:c>
      <x:c r="Q169" s="54" t="n">
        <x:f>ROUND(O169-P169,2)</x:f>
        <x:v>1258.42</x:v>
      </x:c>
      <x:c r="R169" s="55" t="n">
        <x:f>IF(O169=0,0,ROUND(Q169/O169,4))</x:f>
        <x:v>0.3435</x:v>
      </x:c>
      <x:c r="S169" s="53" t="n">
        <x:v>3</x:v>
      </x:c>
      <x:c r="T169" t="str">
        <x:v>Entregue</x:v>
      </x:c>
      <x:c r="U169" t="n">
        <x:v>4</x:v>
      </x:c>
      <x:c r="V169" t="str"/>
    </x:row>
    <x:row r="170">
      <x:c r="A170" s="52" t="n">
        <x:v>46032</x:v>
      </x:c>
      <x:c r="B170" t="str">
        <x:v>PED-100169</x:v>
      </x:c>
      <x:c r="C170" t="str">
        <x:v>Cliente 096</x:v>
      </x:c>
      <x:c r="D170" t="str">
        <x:v>MT</x:v>
      </x:c>
      <x:c r="E170" t="str">
        <x:v>Centro-Oeste</x:v>
      </x:c>
      <x:c r="F170" t="str">
        <x:v>Marketplace</x:v>
      </x:c>
      <x:c r="G170" t="str">
        <x:v>Tecnologia</x:v>
      </x:c>
      <x:c r="H170" t="str">
        <x:v>Monitor 27</x:v>
      </x:c>
      <x:c r="I170" t="str">
        <x:v>Ana</x:v>
      </x:c>
      <x:c r="J170" s="53" t="n">
        <x:v>4</x:v>
      </x:c>
      <x:c r="K170" s="54" t="n">
        <x:v>1775.98</x:v>
      </x:c>
      <x:c r="L170" s="54" t="n">
        <x:v>1063.53</x:v>
      </x:c>
      <x:c r="M170" s="55" t="n">
        <x:v>0.035</x:v>
      </x:c>
      <x:c r="N170" s="54" t="n">
        <x:f>ROUND(J170*K170,2)</x:f>
        <x:v>7103.92</x:v>
      </x:c>
      <x:c r="O170" s="54" t="n">
        <x:f>ROUND(N170*(1-M170),2)</x:f>
        <x:v>6855.28</x:v>
      </x:c>
      <x:c r="P170" s="54" t="n">
        <x:f>ROUND(J170*L170,2)</x:f>
        <x:v>4254.12</x:v>
      </x:c>
      <x:c r="Q170" s="54" t="n">
        <x:f>ROUND(O170-P170,2)</x:f>
        <x:v>2601.16</x:v>
      </x:c>
      <x:c r="R170" s="55" t="n">
        <x:f>IF(O170=0,0,ROUND(Q170/O170,4))</x:f>
        <x:v>0.3794</x:v>
      </x:c>
      <x:c r="S170" s="53" t="n">
        <x:v>11</x:v>
      </x:c>
      <x:c r="T170" t="str">
        <x:v>Entregue com atraso</x:v>
      </x:c>
      <x:c r="U170" t="n">
        <x:v>2</x:v>
      </x:c>
      <x:c r="V170" t="str"/>
    </x:row>
    <x:row r="171">
      <x:c r="A171" s="52" t="n">
        <x:v>46125</x:v>
      </x:c>
      <x:c r="B171" t="str">
        <x:v>PED-100170</x:v>
      </x:c>
      <x:c r="C171" t="str">
        <x:v>Cliente 103</x:v>
      </x:c>
      <x:c r="D171" t="str">
        <x:v>AM</x:v>
      </x:c>
      <x:c r="E171" t="str">
        <x:v>Norte</x:v>
      </x:c>
      <x:c r="F171" t="str">
        <x:v>Marketplace</x:v>
      </x:c>
      <x:c r="G171" t="str">
        <x:v>Casa</x:v>
      </x:c>
      <x:c r="H171" t="str">
        <x:v>Aspirador Robô</x:v>
      </x:c>
      <x:c r="I171" t="str">
        <x:v>Elaine</x:v>
      </x:c>
      <x:c r="J171" s="53" t="n">
        <x:v>2</x:v>
      </x:c>
      <x:c r="K171" s="54" t="n">
        <x:v>1970.79</x:v>
      </x:c>
      <x:c r="L171" s="54" t="n">
        <x:v>1249.7</x:v>
      </x:c>
      <x:c r="M171" s="55" t="n">
        <x:v>0.1446</x:v>
      </x:c>
      <x:c r="N171" s="54" t="n">
        <x:f>ROUND(J171*K171,2)</x:f>
        <x:v>3941.58</x:v>
      </x:c>
      <x:c r="O171" s="54" t="n">
        <x:f>ROUND(N171*(1-M171),2)</x:f>
        <x:v>3371.63</x:v>
      </x:c>
      <x:c r="P171" s="54" t="n">
        <x:f>ROUND(J171*L171,2)</x:f>
        <x:v>2499.4</x:v>
      </x:c>
      <x:c r="Q171" s="54" t="n">
        <x:f>ROUND(O171-P171,2)</x:f>
        <x:v>872.23</x:v>
      </x:c>
      <x:c r="R171" s="55" t="n">
        <x:f>IF(O171=0,0,ROUND(Q171/O171,4))</x:f>
        <x:v>0.2587</x:v>
      </x:c>
      <x:c r="S171" s="53" t="n">
        <x:v>4</x:v>
      </x:c>
      <x:c r="T171" t="str">
        <x:v>Entregue</x:v>
      </x:c>
      <x:c r="U171" t="n">
        <x:v>3</x:v>
      </x:c>
      <x:c r="V171" t="str"/>
    </x:row>
    <x:row r="172">
      <x:c r="A172" s="52" t="n">
        <x:v>46232</x:v>
      </x:c>
      <x:c r="B172" t="str">
        <x:v>PED-100171</x:v>
      </x:c>
      <x:c r="C172" t="str">
        <x:v>Cliente 086</x:v>
      </x:c>
      <x:c r="D172" t="str">
        <x:v>AM</x:v>
      </x:c>
      <x:c r="E172" t="str">
        <x:v>Norte</x:v>
      </x:c>
      <x:c r="F172" t="str">
        <x:v>E-commerce</x:v>
      </x:c>
      <x:c r="G172" t="str">
        <x:v>Tecnologia</x:v>
      </x:c>
      <x:c r="H172" t="str">
        <x:v>Notebook Pro</x:v>
      </x:c>
      <x:c r="I172" t="str">
        <x:v>Carla</x:v>
      </x:c>
      <x:c r="J172" s="53" t="n">
        <x:v>7</x:v>
      </x:c>
      <x:c r="K172" s="54" t="n">
        <x:v>6152.24</x:v>
      </x:c>
      <x:c r="L172" s="54" t="n">
        <x:v>4398.93</x:v>
      </x:c>
      <x:c r="M172" s="55" t="n">
        <x:v>0.0023</x:v>
      </x:c>
      <x:c r="N172" s="54" t="n">
        <x:f>ROUND(J172*K172,2)</x:f>
        <x:v>43065.68</x:v>
      </x:c>
      <x:c r="O172" s="54" t="n">
        <x:f>ROUND(N172*(1-M172),2)</x:f>
        <x:v>42966.63</x:v>
      </x:c>
      <x:c r="P172" s="54" t="n">
        <x:f>ROUND(J172*L172,2)</x:f>
        <x:v>30792.51</x:v>
      </x:c>
      <x:c r="Q172" s="54" t="n">
        <x:f>ROUND(O172-P172,2)</x:f>
        <x:v>12174.12</x:v>
      </x:c>
      <x:c r="R172" s="55" t="n">
        <x:f>IF(O172=0,0,ROUND(Q172/O172,4))</x:f>
        <x:v>0.2833</x:v>
      </x:c>
      <x:c r="S172" s="53" t="n">
        <x:v>2</x:v>
      </x:c>
      <x:c r="T172" t="str">
        <x:v>Entregue</x:v>
      </x:c>
      <x:c r="U172" t="n">
        <x:v>3</x:v>
      </x:c>
      <x:c r="V172" t="str"/>
    </x:row>
    <x:row r="173">
      <x:c r="A173" s="52" t="n">
        <x:v>46155</x:v>
      </x:c>
      <x:c r="B173" t="str">
        <x:v>PED-100172</x:v>
      </x:c>
      <x:c r="C173" t="str">
        <x:v>Cliente 070</x:v>
      </x:c>
      <x:c r="D173" t="str">
        <x:v>BA</x:v>
      </x:c>
      <x:c r="E173" t="str">
        <x:v>Nordeste</x:v>
      </x:c>
      <x:c r="F173" t="str">
        <x:v>Televendas</x:v>
      </x:c>
      <x:c r="G173" t="str">
        <x:v>Tecnologia</x:v>
      </x:c>
      <x:c r="H173" t="str">
        <x:v>Headset Office</x:v>
      </x:c>
      <x:c r="I173" t="str">
        <x:v>Gabriela</x:v>
      </x:c>
      <x:c r="J173" s="53" t="n">
        <x:v>3</x:v>
      </x:c>
      <x:c r="K173" s="54" t="n">
        <x:v>367.77</x:v>
      </x:c>
      <x:c r="L173" s="54" t="n">
        <x:v>215.06</x:v>
      </x:c>
      <x:c r="M173" s="55" t="n">
        <x:v>0.0034</x:v>
      </x:c>
      <x:c r="N173" s="54" t="n">
        <x:f>ROUND(J173*K173,2)</x:f>
        <x:v>1103.31</x:v>
      </x:c>
      <x:c r="O173" s="54" t="n">
        <x:f>ROUND(N173*(1-M173),2)</x:f>
        <x:v>1099.56</x:v>
      </x:c>
      <x:c r="P173" s="54" t="n">
        <x:f>ROUND(J173*L173,2)</x:f>
        <x:v>645.18</x:v>
      </x:c>
      <x:c r="Q173" s="54" t="n">
        <x:f>ROUND(O173-P173,2)</x:f>
        <x:v>454.38</x:v>
      </x:c>
      <x:c r="R173" s="55" t="n">
        <x:f>IF(O173=0,0,ROUND(Q173/O173,4))</x:f>
        <x:v>0.4132</x:v>
      </x:c>
      <x:c r="S173" s="53" t="n">
        <x:v>4</x:v>
      </x:c>
      <x:c r="T173" t="str">
        <x:v>Entregue</x:v>
      </x:c>
      <x:c r="U173" t="n">
        <x:v>4</x:v>
      </x:c>
      <x:c r="V173" t="str"/>
    </x:row>
    <x:row r="174">
      <x:c r="A174" s="52" t="n">
        <x:v>46147</x:v>
      </x:c>
      <x:c r="B174" t="str">
        <x:v>PED-100173</x:v>
      </x:c>
      <x:c r="C174" t="str">
        <x:v>Cliente 116</x:v>
      </x:c>
      <x:c r="D174" t="str">
        <x:v>MG</x:v>
      </x:c>
      <x:c r="E174" t="str">
        <x:v>Sudeste</x:v>
      </x:c>
      <x:c r="F174" t="str">
        <x:v>E-commerce</x:v>
      </x:c>
      <x:c r="G174" t="str">
        <x:v>Tecnologia</x:v>
      </x:c>
      <x:c r="H174" t="str">
        <x:v>Headset Office</x:v>
      </x:c>
      <x:c r="I174" t="str">
        <x:v>Isabela</x:v>
      </x:c>
      <x:c r="J174" s="53" t="n">
        <x:v>6</x:v>
      </x:c>
      <x:c r="K174" s="54" t="n">
        <x:v>376.8</x:v>
      </x:c>
      <x:c r="L174" s="54" t="n">
        <x:v>214.91</x:v>
      </x:c>
      <x:c r="M174" s="55" t="n">
        <x:v>0</x:v>
      </x:c>
      <x:c r="N174" s="54" t="n">
        <x:f>ROUND(J174*K174,2)</x:f>
        <x:v>2260.8</x:v>
      </x:c>
      <x:c r="O174" s="54" t="n">
        <x:f>ROUND(N174*(1-M174),2)</x:f>
        <x:v>2260.8</x:v>
      </x:c>
      <x:c r="P174" s="54" t="n">
        <x:f>ROUND(J174*L174,2)</x:f>
        <x:v>1289.46</x:v>
      </x:c>
      <x:c r="Q174" s="54" t="n">
        <x:f>ROUND(O174-P174,2)</x:f>
        <x:v>971.34</x:v>
      </x:c>
      <x:c r="R174" s="55" t="n">
        <x:f>IF(O174=0,0,ROUND(Q174/O174,4))</x:f>
        <x:v>0.4296</x:v>
      </x:c>
      <x:c r="S174" s="53" t="n">
        <x:v>3</x:v>
      </x:c>
      <x:c r="T174" t="str">
        <x:v>Entregue</x:v>
      </x:c>
      <x:c r="U174" t="n">
        <x:v>3</x:v>
      </x:c>
      <x:c r="V174" t="str"/>
    </x:row>
    <x:row r="175">
      <x:c r="A175" s="52" t="n">
        <x:v>46194</x:v>
      </x:c>
      <x:c r="B175" t="str">
        <x:v>PED-100174</x:v>
      </x:c>
      <x:c r="C175" t="str">
        <x:v>Cliente 091</x:v>
      </x:c>
      <x:c r="D175" t="str">
        <x:v>PA</x:v>
      </x:c>
      <x:c r="E175" t="str">
        <x:v>Norte</x:v>
      </x:c>
      <x:c r="F175" t="str">
        <x:v>Televendas</x:v>
      </x:c>
      <x:c r="G175" t="str">
        <x:v>Acessórios</x:v>
      </x:c>
      <x:c r="H175" t="str">
        <x:v>Hub USB-C</x:v>
      </x:c>
      <x:c r="I175" t="str">
        <x:v>Felipe</x:v>
      </x:c>
      <x:c r="J175" s="53" t="n">
        <x:v>2</x:v>
      </x:c>
      <x:c r="K175" s="54" t="n">
        <x:v>317.63</x:v>
      </x:c>
      <x:c r="L175" s="54" t="n">
        <x:v>140.85</x:v>
      </x:c>
      <x:c r="M175" s="55" t="n">
        <x:v>0</x:v>
      </x:c>
      <x:c r="N175" s="54" t="n">
        <x:f>ROUND(J175*K175,2)</x:f>
        <x:v>635.26</x:v>
      </x:c>
      <x:c r="O175" s="54" t="n">
        <x:f>ROUND(N175*(1-M175),2)</x:f>
        <x:v>635.26</x:v>
      </x:c>
      <x:c r="P175" s="54" t="n">
        <x:f>ROUND(J175*L175,2)</x:f>
        <x:v>281.7</x:v>
      </x:c>
      <x:c r="Q175" s="54" t="n">
        <x:f>ROUND(O175-P175,2)</x:f>
        <x:v>353.56</x:v>
      </x:c>
      <x:c r="R175" s="55" t="n">
        <x:f>IF(O175=0,0,ROUND(Q175/O175,4))</x:f>
        <x:v>0.5566</x:v>
      </x:c>
      <x:c r="S175" s="53" t="n">
        <x:v>11</x:v>
      </x:c>
      <x:c r="T175" t="str">
        <x:v>Entregue com atraso</x:v>
      </x:c>
      <x:c r="U175" t="n">
        <x:v>4</x:v>
      </x:c>
      <x:c r="V175" t="str"/>
    </x:row>
    <x:row r="176">
      <x:c r="A176" s="52" t="n">
        <x:v>46099</x:v>
      </x:c>
      <x:c r="B176" t="str">
        <x:v>PED-100175</x:v>
      </x:c>
      <x:c r="C176" t="str">
        <x:v>Cliente 050</x:v>
      </x:c>
      <x:c r="D176" t="str">
        <x:v>PR</x:v>
      </x:c>
      <x:c r="E176" t="str">
        <x:v>Sul</x:v>
      </x:c>
      <x:c r="F176" t="str">
        <x:v>E-commerce</x:v>
      </x:c>
      <x:c r="G176" t="str">
        <x:v>Casa</x:v>
      </x:c>
      <x:c r="H176" t="str">
        <x:v>Cafeteira Smart</x:v>
      </x:c>
      <x:c r="I176" t="str">
        <x:v>Elaine</x:v>
      </x:c>
      <x:c r="J176" s="53" t="n">
        <x:v>8</x:v>
      </x:c>
      <x:c r="K176" s="54" t="n">
        <x:v>748.56</x:v>
      </x:c>
      <x:c r="L176" s="54" t="n">
        <x:v>444.03</x:v>
      </x:c>
      <x:c r="M176" s="55" t="n">
        <x:v>0.0405</x:v>
      </x:c>
      <x:c r="N176" s="54" t="n">
        <x:f>ROUND(J176*K176,2)</x:f>
        <x:v>5988.48</x:v>
      </x:c>
      <x:c r="O176" s="54" t="n">
        <x:f>ROUND(N176*(1-M176),2)</x:f>
        <x:v>5745.95</x:v>
      </x:c>
      <x:c r="P176" s="54" t="n">
        <x:f>ROUND(J176*L176,2)</x:f>
        <x:v>3552.24</x:v>
      </x:c>
      <x:c r="Q176" s="54" t="n">
        <x:f>ROUND(O176-P176,2)</x:f>
        <x:v>2193.71</x:v>
      </x:c>
      <x:c r="R176" s="55" t="n">
        <x:f>IF(O176=0,0,ROUND(Q176/O176,4))</x:f>
        <x:v>0.3818</x:v>
      </x:c>
      <x:c r="S176" s="53" t="n">
        <x:v>8</x:v>
      </x:c>
      <x:c r="T176" t="str">
        <x:v>Entregue</x:v>
      </x:c>
      <x:c r="U176" t="n">
        <x:v>5</x:v>
      </x:c>
      <x:c r="V176" t="str"/>
    </x:row>
    <x:row r="177">
      <x:c r="A177" s="52" t="n">
        <x:v>46141</x:v>
      </x:c>
      <x:c r="B177" t="str">
        <x:v>PED-100176</x:v>
      </x:c>
      <x:c r="C177" t="str">
        <x:v>Cliente 076</x:v>
      </x:c>
      <x:c r="D177" t="str">
        <x:v>DF</x:v>
      </x:c>
      <x:c r="E177" t="str">
        <x:v>Centro-Oeste</x:v>
      </x:c>
      <x:c r="F177" t="str">
        <x:v>Marketplace</x:v>
      </x:c>
      <x:c r="G177" t="str">
        <x:v>Tecnologia</x:v>
      </x:c>
      <x:c r="H177" t="str">
        <x:v>Headset Office</x:v>
      </x:c>
      <x:c r="I177" t="str">
        <x:v>João</x:v>
      </x:c>
      <x:c r="J177" s="53" t="n">
        <x:v>3</x:v>
      </x:c>
      <x:c r="K177" s="54" t="n">
        <x:v>412.37</x:v>
      </x:c>
      <x:c r="L177" s="54" t="n">
        <x:v>218.45</x:v>
      </x:c>
      <x:c r="M177" s="55" t="n">
        <x:v>0.1315</x:v>
      </x:c>
      <x:c r="N177" s="54" t="n">
        <x:f>ROUND(J177*K177,2)</x:f>
        <x:v>1237.11</x:v>
      </x:c>
      <x:c r="O177" s="54" t="n">
        <x:f>ROUND(N177*(1-M177),2)</x:f>
        <x:v>1074.43</x:v>
      </x:c>
      <x:c r="P177" s="54" t="n">
        <x:f>ROUND(J177*L177,2)</x:f>
        <x:v>655.35</x:v>
      </x:c>
      <x:c r="Q177" s="54" t="n">
        <x:f>ROUND(O177-P177,2)</x:f>
        <x:v>419.08</x:v>
      </x:c>
      <x:c r="R177" s="55" t="n">
        <x:f>IF(O177=0,0,ROUND(Q177/O177,4))</x:f>
        <x:v>0.39</x:v>
      </x:c>
      <x:c r="S177" s="53" t="n">
        <x:v>2</x:v>
      </x:c>
      <x:c r="T177" t="str">
        <x:v>Entregue</x:v>
      </x:c>
      <x:c r="U177" t="n">
        <x:v>2</x:v>
      </x:c>
      <x:c r="V177" t="str"/>
    </x:row>
    <x:row r="178">
      <x:c r="A178" s="52" t="n">
        <x:v>46169</x:v>
      </x:c>
      <x:c r="B178" t="str">
        <x:v>PED-100177</x:v>
      </x:c>
      <x:c r="C178" t="str">
        <x:v>Cliente 027</x:v>
      </x:c>
      <x:c r="D178" t="str">
        <x:v>MA</x:v>
      </x:c>
      <x:c r="E178" t="str">
        <x:v>Nordeste</x:v>
      </x:c>
      <x:c r="F178" t="str">
        <x:v>Televendas</x:v>
      </x:c>
      <x:c r="G178" t="str">
        <x:v>Acessórios</x:v>
      </x:c>
      <x:c r="H178" t="str">
        <x:v>Hub USB-C</x:v>
      </x:c>
      <x:c r="I178" t="str">
        <x:v>Henrique</x:v>
      </x:c>
      <x:c r="J178" s="53" t="n">
        <x:v>6</x:v>
      </x:c>
      <x:c r="K178" s="54" t="n">
        <x:v>330.92</x:v>
      </x:c>
      <x:c r="L178" s="54" t="n">
        <x:v>143.08</x:v>
      </x:c>
      <x:c r="M178" s="55" t="n">
        <x:v>0.1115</x:v>
      </x:c>
      <x:c r="N178" s="54" t="n">
        <x:f>ROUND(J178*K178,2)</x:f>
        <x:v>1985.52</x:v>
      </x:c>
      <x:c r="O178" s="54" t="n">
        <x:f>ROUND(N178*(1-M178),2)</x:f>
        <x:v>1764.13</x:v>
      </x:c>
      <x:c r="P178" s="54" t="n">
        <x:f>ROUND(J178*L178,2)</x:f>
        <x:v>858.48</x:v>
      </x:c>
      <x:c r="Q178" s="54" t="n">
        <x:f>ROUND(O178-P178,2)</x:f>
        <x:v>905.65</x:v>
      </x:c>
      <x:c r="R178" s="55" t="n">
        <x:f>IF(O178=0,0,ROUND(Q178/O178,4))</x:f>
        <x:v>0.5134</x:v>
      </x:c>
      <x:c r="S178" s="53" t="n">
        <x:v>9</x:v>
      </x:c>
      <x:c r="T178" t="str">
        <x:v>Entregue</x:v>
      </x:c>
      <x:c r="U178" t="n">
        <x:v>4</x:v>
      </x:c>
      <x:c r="V178" t="str"/>
    </x:row>
    <x:row r="179">
      <x:c r="A179" s="52" t="n">
        <x:v>46155</x:v>
      </x:c>
      <x:c r="B179" t="str">
        <x:v>PED-100178</x:v>
      </x:c>
      <x:c r="C179" t="str">
        <x:v>Cliente 104</x:v>
      </x:c>
      <x:c r="D179" t="str">
        <x:v>AM</x:v>
      </x:c>
      <x:c r="E179" t="str">
        <x:v>Norte</x:v>
      </x:c>
      <x:c r="F179" t="str">
        <x:v>E-commerce</x:v>
      </x:c>
      <x:c r="G179" t="str">
        <x:v>Acessórios</x:v>
      </x:c>
      <x:c r="H179" t="str">
        <x:v>Webcam HD</x:v>
      </x:c>
      <x:c r="I179" t="str">
        <x:v>Felipe</x:v>
      </x:c>
      <x:c r="J179" s="53" t="n">
        <x:v>1</x:v>
      </x:c>
      <x:c r="K179" s="54" t="n">
        <x:v>484.47</x:v>
      </x:c>
      <x:c r="L179" s="54" t="n">
        <x:v>250.77</x:v>
      </x:c>
      <x:c r="M179" s="55" t="n">
        <x:v>0.0571</x:v>
      </x:c>
      <x:c r="N179" s="54" t="n">
        <x:f>ROUND(J179*K179,2)</x:f>
        <x:v>484.47</x:v>
      </x:c>
      <x:c r="O179" s="54" t="n">
        <x:f>ROUND(N179*(1-M179),2)</x:f>
        <x:v>456.81</x:v>
      </x:c>
      <x:c r="P179" s="54" t="n">
        <x:f>ROUND(J179*L179,2)</x:f>
        <x:v>250.77</x:v>
      </x:c>
      <x:c r="Q179" s="54" t="n">
        <x:f>ROUND(O179-P179,2)</x:f>
        <x:v>206.04</x:v>
      </x:c>
      <x:c r="R179" s="55" t="n">
        <x:f>IF(O179=0,0,ROUND(Q179/O179,4))</x:f>
        <x:v>0.451</x:v>
      </x:c>
      <x:c r="S179" s="53" t="n">
        <x:v>11</x:v>
      </x:c>
      <x:c r="T179" t="str">
        <x:v>Entregue com atraso</x:v>
      </x:c>
      <x:c r="U179" t="n">
        <x:v>2</x:v>
      </x:c>
      <x:c r="V179" t="str"/>
    </x:row>
    <x:row r="180">
      <x:c r="A180" s="52" t="n">
        <x:v>46191</x:v>
      </x:c>
      <x:c r="B180" t="str">
        <x:v>PED-100179</x:v>
      </x:c>
      <x:c r="C180" t="str">
        <x:v>Cliente 021</x:v>
      </x:c>
      <x:c r="D180" t="str">
        <x:v>ES</x:v>
      </x:c>
      <x:c r="E180" t="str">
        <x:v>Sudeste</x:v>
      </x:c>
      <x:c r="F180" t="str">
        <x:v>Marketplace</x:v>
      </x:c>
      <x:c r="G180" t="str">
        <x:v>Escritório</x:v>
      </x:c>
      <x:c r="H180" t="str">
        <x:v>Cadeira Ergonômica</x:v>
      </x:c>
      <x:c r="I180" t="str">
        <x:v>Felipe</x:v>
      </x:c>
      <x:c r="J180" s="53" t="n">
        <x:v>5</x:v>
      </x:c>
      <x:c r="K180" s="54" t="n">
        <x:v>2081.92</x:v>
      </x:c>
      <x:c r="L180" s="54" t="n">
        <x:v>1446.14</x:v>
      </x:c>
      <x:c r="M180" s="55" t="n">
        <x:v>0.1491</x:v>
      </x:c>
      <x:c r="N180" s="54" t="n">
        <x:f>ROUND(J180*K180,2)</x:f>
        <x:v>10409.6</x:v>
      </x:c>
      <x:c r="O180" s="54" t="n">
        <x:f>ROUND(N180*(1-M180),2)</x:f>
        <x:v>8857.53</x:v>
      </x:c>
      <x:c r="P180" s="54" t="n">
        <x:f>ROUND(J180*L180,2)</x:f>
        <x:v>7230.7</x:v>
      </x:c>
      <x:c r="Q180" s="54" t="n">
        <x:f>ROUND(O180-P180,2)</x:f>
        <x:v>1626.83</x:v>
      </x:c>
      <x:c r="R180" s="55" t="n">
        <x:f>IF(O180=0,0,ROUND(Q180/O180,4))</x:f>
        <x:v>0.1837</x:v>
      </x:c>
      <x:c r="S180" s="53" t="n">
        <x:v>2</x:v>
      </x:c>
      <x:c r="T180" t="str">
        <x:v>Entregue</x:v>
      </x:c>
      <x:c r="U180" t="n">
        <x:v>3</x:v>
      </x:c>
      <x:c r="V180" t="str"/>
    </x:row>
    <x:row r="181">
      <x:c r="A181" s="52" t="n">
        <x:v>46196</x:v>
      </x:c>
      <x:c r="B181" t="str">
        <x:v>PED-100180</x:v>
      </x:c>
      <x:c r="C181" t="str">
        <x:v>Cliente 036</x:v>
      </x:c>
      <x:c r="D181" t="str">
        <x:v>RS</x:v>
      </x:c>
      <x:c r="E181" t="str">
        <x:v>Sul</x:v>
      </x:c>
      <x:c r="F181" t="str">
        <x:v>E-commerce</x:v>
      </x:c>
      <x:c r="G181" t="str">
        <x:v>Escritório</x:v>
      </x:c>
      <x:c r="H181" t="str">
        <x:v>Luminária LED</x:v>
      </x:c>
      <x:c r="I181" t="str">
        <x:v>Elaine</x:v>
      </x:c>
      <x:c r="J181" s="53" t="n">
        <x:v>7</x:v>
      </x:c>
      <x:c r="K181" s="54" t="n">
        <x:v>267.01</x:v>
      </x:c>
      <x:c r="L181" s="54" t="n">
        <x:v>120.51</x:v>
      </x:c>
      <x:c r="M181" s="55" t="n">
        <x:v>0.0591</x:v>
      </x:c>
      <x:c r="N181" s="54" t="n">
        <x:f>ROUND(J181*K181,2)</x:f>
        <x:v>1869.07</x:v>
      </x:c>
      <x:c r="O181" s="54" t="n">
        <x:f>ROUND(N181*(1-M181),2)</x:f>
        <x:v>1758.61</x:v>
      </x:c>
      <x:c r="P181" s="54" t="n">
        <x:f>ROUND(J181*L181,2)</x:f>
        <x:v>843.57</x:v>
      </x:c>
      <x:c r="Q181" s="54" t="n">
        <x:f>ROUND(O181-P181,2)</x:f>
        <x:v>915.04</x:v>
      </x:c>
      <x:c r="R181" s="55" t="n">
        <x:f>IF(O181=0,0,ROUND(Q181/O181,4))</x:f>
        <x:v>0.5203</x:v>
      </x:c>
      <x:c r="S181" s="53" t="n">
        <x:v>6</x:v>
      </x:c>
      <x:c r="T181" t="str">
        <x:v>Entregue</x:v>
      </x:c>
      <x:c r="U181" t="n">
        <x:v>4</x:v>
      </x:c>
      <x:c r="V181" t="str"/>
    </x:row>
    <x:row r="182">
      <x:c r="A182" s="52" t="n">
        <x:v>46055</x:v>
      </x:c>
      <x:c r="B182" t="str">
        <x:v>PED-100181</x:v>
      </x:c>
      <x:c r="C182" t="str">
        <x:v>Cliente 100</x:v>
      </x:c>
      <x:c r="D182" t="str">
        <x:v>AM</x:v>
      </x:c>
      <x:c r="E182" t="str">
        <x:v>Norte</x:v>
      </x:c>
      <x:c r="F182" t="str">
        <x:v>Loja</x:v>
      </x:c>
      <x:c r="G182" t="str">
        <x:v>Tecnologia</x:v>
      </x:c>
      <x:c r="H182" t="str">
        <x:v>Headset Office</x:v>
      </x:c>
      <x:c r="I182" t="str">
        <x:v>Carla</x:v>
      </x:c>
      <x:c r="J182" s="53" t="n">
        <x:v>2</x:v>
      </x:c>
      <x:c r="K182" s="54" t="n">
        <x:v>407.97</x:v>
      </x:c>
      <x:c r="L182" s="54" t="n">
        <x:v>219.92</x:v>
      </x:c>
      <x:c r="M182" s="55" t="n">
        <x:v>0.058</x:v>
      </x:c>
      <x:c r="N182" s="54" t="n">
        <x:f>ROUND(J182*K182,2)</x:f>
        <x:v>815.94</x:v>
      </x:c>
      <x:c r="O182" s="54" t="n">
        <x:f>ROUND(N182*(1-M182),2)</x:f>
        <x:v>768.62</x:v>
      </x:c>
      <x:c r="P182" s="54" t="n">
        <x:f>ROUND(J182*L182,2)</x:f>
        <x:v>439.84</x:v>
      </x:c>
      <x:c r="Q182" s="54" t="n">
        <x:f>ROUND(O182-P182,2)</x:f>
        <x:v>328.78</x:v>
      </x:c>
      <x:c r="R182" s="55" t="n">
        <x:f>IF(O182=0,0,ROUND(Q182/O182,4))</x:f>
        <x:v>0.4278</x:v>
      </x:c>
      <x:c r="S182" s="53" t="n">
        <x:v>9</x:v>
      </x:c>
      <x:c r="T182" t="str">
        <x:v>Entregue</x:v>
      </x:c>
      <x:c r="U182" t="n">
        <x:v>4</x:v>
      </x:c>
      <x:c r="V182" t="str"/>
    </x:row>
    <x:row r="183">
      <x:c r="A183" s="52" t="n">
        <x:v>46145</x:v>
      </x:c>
      <x:c r="B183" t="str">
        <x:v>PED-100182</x:v>
      </x:c>
      <x:c r="C183" t="str">
        <x:v>Cliente 031</x:v>
      </x:c>
      <x:c r="D183" t="str">
        <x:v>GO</x:v>
      </x:c>
      <x:c r="E183" t="str">
        <x:v>Centro-Oeste</x:v>
      </x:c>
      <x:c r="F183" t="str">
        <x:v>Televendas</x:v>
      </x:c>
      <x:c r="G183" t="str">
        <x:v>Casa</x:v>
      </x:c>
      <x:c r="H183" t="str">
        <x:v>Cafeteira Smart</x:v>
      </x:c>
      <x:c r="I183" t="str">
        <x:v>Elaine</x:v>
      </x:c>
      <x:c r="J183" s="53" t="n">
        <x:v>1</x:v>
      </x:c>
      <x:c r="K183" s="54" t="n">
        <x:v>749.85</x:v>
      </x:c>
      <x:c r="L183" s="54" t="n">
        <x:v>454.48</x:v>
      </x:c>
      <x:c r="M183" s="55" t="n">
        <x:v>0.0298</x:v>
      </x:c>
      <x:c r="N183" s="54" t="n">
        <x:f>ROUND(J183*K183,2)</x:f>
        <x:v>749.85</x:v>
      </x:c>
      <x:c r="O183" s="54" t="n">
        <x:f>ROUND(N183*(1-M183),2)</x:f>
        <x:v>727.5</x:v>
      </x:c>
      <x:c r="P183" s="54" t="n">
        <x:f>ROUND(J183*L183,2)</x:f>
        <x:v>454.48</x:v>
      </x:c>
      <x:c r="Q183" s="54" t="n">
        <x:f>ROUND(O183-P183,2)</x:f>
        <x:v>273.02</x:v>
      </x:c>
      <x:c r="R183" s="55" t="n">
        <x:f>IF(O183=0,0,ROUND(Q183/O183,4))</x:f>
        <x:v>0.3753</x:v>
      </x:c>
      <x:c r="S183" s="53" t="n">
        <x:v>13</x:v>
      </x:c>
      <x:c r="T183" t="str">
        <x:v>Entregue com atraso</x:v>
      </x:c>
      <x:c r="U183" t="n">
        <x:v>3</x:v>
      </x:c>
      <x:c r="V183" t="str"/>
    </x:row>
    <x:row r="184">
      <x:c r="A184" s="52" t="n">
        <x:v>46150</x:v>
      </x:c>
      <x:c r="B184" t="str">
        <x:v>PED-100183</x:v>
      </x:c>
      <x:c r="C184" t="str">
        <x:v>Cliente 027</x:v>
      </x:c>
      <x:c r="D184" t="str">
        <x:v>MG</x:v>
      </x:c>
      <x:c r="E184" t="str">
        <x:v>Sudeste</x:v>
      </x:c>
      <x:c r="F184" t="str">
        <x:v>Marketplace</x:v>
      </x:c>
      <x:c r="G184" t="str">
        <x:v>Tecnologia</x:v>
      </x:c>
      <x:c r="H184" t="str">
        <x:v>Monitor 27</x:v>
      </x:c>
      <x:c r="I184" t="str">
        <x:v>João</x:v>
      </x:c>
      <x:c r="J184" s="53" t="n">
        <x:v>6</x:v>
      </x:c>
      <x:c r="K184" s="54" t="n">
        <x:v>1739.71</x:v>
      </x:c>
      <x:c r="L184" s="54" t="n">
        <x:v>1060.95</x:v>
      </x:c>
      <x:c r="M184" s="55" t="n">
        <x:v>0.0912</x:v>
      </x:c>
      <x:c r="N184" s="54" t="n">
        <x:f>ROUND(J184*K184,2)</x:f>
        <x:v>10438.26</x:v>
      </x:c>
      <x:c r="O184" s="54" t="n">
        <x:f>ROUND(N184*(1-M184),2)</x:f>
        <x:v>9486.29</x:v>
      </x:c>
      <x:c r="P184" s="54" t="n">
        <x:f>ROUND(J184*L184,2)</x:f>
        <x:v>6365.7</x:v>
      </x:c>
      <x:c r="Q184" s="54" t="n">
        <x:f>ROUND(O184-P184,2)</x:f>
        <x:v>3120.59</x:v>
      </x:c>
      <x:c r="R184" s="55" t="n">
        <x:f>IF(O184=0,0,ROUND(Q184/O184,4))</x:f>
        <x:v>0.329</x:v>
      </x:c>
      <x:c r="S184" s="53" t="n">
        <x:v>4</x:v>
      </x:c>
      <x:c r="T184" t="str">
        <x:v>Entregue</x:v>
      </x:c>
      <x:c r="U184" t="n">
        <x:v>3</x:v>
      </x:c>
      <x:c r="V184" t="str"/>
    </x:row>
    <x:row r="185">
      <x:c r="A185" s="52" t="n">
        <x:v>46104</x:v>
      </x:c>
      <x:c r="B185" t="str">
        <x:v>PED-100184</x:v>
      </x:c>
      <x:c r="C185" t="str">
        <x:v>Cliente 074</x:v>
      </x:c>
      <x:c r="D185" t="str">
        <x:v>CE</x:v>
      </x:c>
      <x:c r="E185" t="str">
        <x:v>Nordeste</x:v>
      </x:c>
      <x:c r="F185" t="str">
        <x:v>Marketplace</x:v>
      </x:c>
      <x:c r="G185" t="str">
        <x:v>Acessórios</x:v>
      </x:c>
      <x:c r="H185" t="str">
        <x:v>Webcam HD</x:v>
      </x:c>
      <x:c r="I185" t="str">
        <x:v>Felipe</x:v>
      </x:c>
      <x:c r="J185" s="53" t="n">
        <x:v>8</x:v>
      </x:c>
      <x:c r="K185" s="54" t="n">
        <x:v>523.33</x:v>
      </x:c>
      <x:c r="L185" s="54" t="n">
        <x:v>257.66</x:v>
      </x:c>
      <x:c r="M185" s="55" t="n">
        <x:v>0.1182</x:v>
      </x:c>
      <x:c r="N185" s="54" t="n">
        <x:f>ROUND(J185*K185,2)</x:f>
        <x:v>4186.64</x:v>
      </x:c>
      <x:c r="O185" s="54" t="n">
        <x:f>ROUND(N185*(1-M185),2)</x:f>
        <x:v>3691.78</x:v>
      </x:c>
      <x:c r="P185" s="54" t="n">
        <x:f>ROUND(J185*L185,2)</x:f>
        <x:v>2061.28</x:v>
      </x:c>
      <x:c r="Q185" s="54" t="n">
        <x:f>ROUND(O185-P185,2)</x:f>
        <x:v>1630.5</x:v>
      </x:c>
      <x:c r="R185" s="55" t="n">
        <x:f>IF(O185=0,0,ROUND(Q185/O185,4))</x:f>
        <x:v>0.4417</x:v>
      </x:c>
      <x:c r="S185" s="53" t="n">
        <x:v>3</x:v>
      </x:c>
      <x:c r="T185" t="str">
        <x:v>Entregue</x:v>
      </x:c>
      <x:c r="U185" t="n">
        <x:v>5</x:v>
      </x:c>
      <x:c r="V185" t="str"/>
    </x:row>
    <x:row r="186">
      <x:c r="A186" s="52" t="n">
        <x:v>46046</x:v>
      </x:c>
      <x:c r="B186" t="str">
        <x:v>PED-100185</x:v>
      </x:c>
      <x:c r="C186" t="str">
        <x:v>Cliente 117</x:v>
      </x:c>
      <x:c r="D186" t="str">
        <x:v>GO</x:v>
      </x:c>
      <x:c r="E186" t="str">
        <x:v>Centro-Oeste</x:v>
      </x:c>
      <x:c r="F186" t="str">
        <x:v>Televendas</x:v>
      </x:c>
      <x:c r="G186" t="str">
        <x:v>Tecnologia</x:v>
      </x:c>
      <x:c r="H186" t="str">
        <x:v>Headset Office</x:v>
      </x:c>
      <x:c r="I186" t="str">
        <x:v>Diego</x:v>
      </x:c>
      <x:c r="J186" s="53" t="n">
        <x:v>2</x:v>
      </x:c>
      <x:c r="K186" s="54" t="n">
        <x:v>400.15</x:v>
      </x:c>
      <x:c r="L186" s="54" t="n">
        <x:v>211.32</x:v>
      </x:c>
      <x:c r="M186" s="55" t="n">
        <x:v>0.0677</x:v>
      </x:c>
      <x:c r="N186" s="54" t="n">
        <x:f>ROUND(J186*K186,2)</x:f>
        <x:v>800.3</x:v>
      </x:c>
      <x:c r="O186" s="54" t="n">
        <x:f>ROUND(N186*(1-M186),2)</x:f>
        <x:v>746.12</x:v>
      </x:c>
      <x:c r="P186" s="54" t="n">
        <x:f>ROUND(J186*L186,2)</x:f>
        <x:v>422.64</x:v>
      </x:c>
      <x:c r="Q186" s="54" t="n">
        <x:f>ROUND(O186-P186,2)</x:f>
        <x:v>323.48</x:v>
      </x:c>
      <x:c r="R186" s="55" t="n">
        <x:f>IF(O186=0,0,ROUND(Q186/O186,4))</x:f>
        <x:v>0.4335</x:v>
      </x:c>
      <x:c r="S186" s="53" t="n">
        <x:v>11</x:v>
      </x:c>
      <x:c r="T186" t="str">
        <x:v>Entregue com atraso</x:v>
      </x:c>
      <x:c r="U186" t="n">
        <x:v>2</x:v>
      </x:c>
      <x:c r="V186" t="str"/>
    </x:row>
    <x:row r="187">
      <x:c r="A187" s="52" t="n">
        <x:v>46099</x:v>
      </x:c>
      <x:c r="B187" t="str">
        <x:v>PED-100186</x:v>
      </x:c>
      <x:c r="C187" t="str">
        <x:v>Cliente 044</x:v>
      </x:c>
      <x:c r="D187" t="str">
        <x:v>SP</x:v>
      </x:c>
      <x:c r="E187" t="str">
        <x:v>Sudeste</x:v>
      </x:c>
      <x:c r="F187" t="str">
        <x:v>Loja</x:v>
      </x:c>
      <x:c r="G187" t="str">
        <x:v>Acessórios</x:v>
      </x:c>
      <x:c r="H187" t="str">
        <x:v>Webcam HD</x:v>
      </x:c>
      <x:c r="I187" t="str">
        <x:v>João</x:v>
      </x:c>
      <x:c r="J187" s="53" t="n">
        <x:v>4</x:v>
      </x:c>
      <x:c r="K187" s="54" t="n">
        <x:v>506.24</x:v>
      </x:c>
      <x:c r="L187" s="54" t="n">
        <x:v>239.87</x:v>
      </x:c>
      <x:c r="M187" s="55" t="n">
        <x:v>0.0089</x:v>
      </x:c>
      <x:c r="N187" s="54" t="n">
        <x:f>ROUND(J187*K187,2)</x:f>
        <x:v>2024.96</x:v>
      </x:c>
      <x:c r="O187" s="54" t="n">
        <x:f>ROUND(N187*(1-M187),2)</x:f>
        <x:v>2006.94</x:v>
      </x:c>
      <x:c r="P187" s="54" t="n">
        <x:f>ROUND(J187*L187,2)</x:f>
        <x:v>959.48</x:v>
      </x:c>
      <x:c r="Q187" s="54" t="n">
        <x:f>ROUND(O187-P187,2)</x:f>
        <x:v>1047.46</x:v>
      </x:c>
      <x:c r="R187" s="55" t="n">
        <x:f>IF(O187=0,0,ROUND(Q187/O187,4))</x:f>
        <x:v>0.5219</x:v>
      </x:c>
      <x:c r="S187" s="53" t="n">
        <x:v>4</x:v>
      </x:c>
      <x:c r="T187" t="str">
        <x:v>Entregue</x:v>
      </x:c>
      <x:c r="U187" t="n">
        <x:v>5</x:v>
      </x:c>
      <x:c r="V187" t="str"/>
    </x:row>
    <x:row r="188">
      <x:c r="A188" s="52" t="n">
        <x:v>46177</x:v>
      </x:c>
      <x:c r="B188" t="str">
        <x:v>PED-100187</x:v>
      </x:c>
      <x:c r="C188" t="str">
        <x:v>Cliente 044</x:v>
      </x:c>
      <x:c r="D188" t="str">
        <x:v>MA</x:v>
      </x:c>
      <x:c r="E188" t="str">
        <x:v>Nordeste</x:v>
      </x:c>
      <x:c r="F188" t="str">
        <x:v>E-commerce</x:v>
      </x:c>
      <x:c r="G188" t="str">
        <x:v>Casa</x:v>
      </x:c>
      <x:c r="H188" t="str">
        <x:v>Purificador</x:v>
      </x:c>
      <x:c r="I188" t="str">
        <x:v>Henrique</x:v>
      </x:c>
      <x:c r="J188" s="53" t="n">
        <x:v>4</x:v>
      </x:c>
      <x:c r="K188" s="54" t="n">
        <x:v>1257.87</x:v>
      </x:c>
      <x:c r="L188" s="54" t="n">
        <x:v>798.34</x:v>
      </x:c>
      <x:c r="M188" s="55" t="n">
        <x:v>0.0005</x:v>
      </x:c>
      <x:c r="N188" s="54" t="n">
        <x:f>ROUND(J188*K188,2)</x:f>
        <x:v>5031.48</x:v>
      </x:c>
      <x:c r="O188" s="54" t="n">
        <x:f>ROUND(N188*(1-M188),2)</x:f>
        <x:v>5028.96</x:v>
      </x:c>
      <x:c r="P188" s="54" t="n">
        <x:f>ROUND(J188*L188,2)</x:f>
        <x:v>3193.36</x:v>
      </x:c>
      <x:c r="Q188" s="54" t="n">
        <x:f>ROUND(O188-P188,2)</x:f>
        <x:v>1835.6</x:v>
      </x:c>
      <x:c r="R188" s="55" t="n">
        <x:f>IF(O188=0,0,ROUND(Q188/O188,4))</x:f>
        <x:v>0.365</x:v>
      </x:c>
      <x:c r="S188" s="53" t="n">
        <x:v>10</x:v>
      </x:c>
      <x:c r="T188" t="str">
        <x:v>Entregue</x:v>
      </x:c>
      <x:c r="U188" t="n">
        <x:v>2</x:v>
      </x:c>
      <x:c r="V188" t="str"/>
    </x:row>
    <x:row r="189">
      <x:c r="A189" s="52" t="n">
        <x:v>46143</x:v>
      </x:c>
      <x:c r="B189" t="str">
        <x:v>PED-100188</x:v>
      </x:c>
      <x:c r="C189" t="str">
        <x:v>Cliente 005</x:v>
      </x:c>
      <x:c r="D189" t="str">
        <x:v>AM</x:v>
      </x:c>
      <x:c r="E189" t="str">
        <x:v>Norte</x:v>
      </x:c>
      <x:c r="F189" t="str">
        <x:v>Televendas</x:v>
      </x:c>
      <x:c r="G189" t="str">
        <x:v>Acessórios</x:v>
      </x:c>
      <x:c r="H189" t="str">
        <x:v>Hub USB-C</x:v>
      </x:c>
      <x:c r="I189" t="str">
        <x:v>João</x:v>
      </x:c>
      <x:c r="J189" s="53" t="n">
        <x:v>5</x:v>
      </x:c>
      <x:c r="K189" s="54" t="n">
        <x:v>318.21</x:v>
      </x:c>
      <x:c r="L189" s="54" t="n">
        <x:v>134.82</x:v>
      </x:c>
      <x:c r="M189" s="55" t="n">
        <x:v>0</x:v>
      </x:c>
      <x:c r="N189" s="54" t="n">
        <x:f>ROUND(J189*K189,2)</x:f>
        <x:v>1591.05</x:v>
      </x:c>
      <x:c r="O189" s="54" t="n">
        <x:f>ROUND(N189*(1-M189),2)</x:f>
        <x:v>1591.05</x:v>
      </x:c>
      <x:c r="P189" s="54" t="n">
        <x:f>ROUND(J189*L189,2)</x:f>
        <x:v>674.1</x:v>
      </x:c>
      <x:c r="Q189" s="54" t="n">
        <x:f>ROUND(O189-P189,2)</x:f>
        <x:v>916.95</x:v>
      </x:c>
      <x:c r="R189" s="55" t="n">
        <x:f>IF(O189=0,0,ROUND(Q189/O189,4))</x:f>
        <x:v>0.5763</x:v>
      </x:c>
      <x:c r="S189" s="53" t="n">
        <x:v>4</x:v>
      </x:c>
      <x:c r="T189" t="str">
        <x:v>Entregue</x:v>
      </x:c>
      <x:c r="U189" t="n">
        <x:v>3</x:v>
      </x:c>
      <x:c r="V189" t="str"/>
    </x:row>
    <x:row r="190">
      <x:c r="A190" s="52" t="n">
        <x:v>46186</x:v>
      </x:c>
      <x:c r="B190" t="str">
        <x:v>PED-100189</x:v>
      </x:c>
      <x:c r="C190" t="str">
        <x:v>Cliente 024</x:v>
      </x:c>
      <x:c r="D190" t="str">
        <x:v>PE</x:v>
      </x:c>
      <x:c r="E190" t="str">
        <x:v>Nordeste</x:v>
      </x:c>
      <x:c r="F190" t="str">
        <x:v>Marketplace</x:v>
      </x:c>
      <x:c r="G190" t="str">
        <x:v>Tecnologia</x:v>
      </x:c>
      <x:c r="H190" t="str">
        <x:v>Monitor 27</x:v>
      </x:c>
      <x:c r="I190" t="str">
        <x:v>Gabriela</x:v>
      </x:c>
      <x:c r="J190" s="53" t="n">
        <x:v>8</x:v>
      </x:c>
      <x:c r="K190" s="54" t="n">
        <x:v>1771.77</x:v>
      </x:c>
      <x:c r="L190" s="54" t="n">
        <x:v>1129.66</x:v>
      </x:c>
      <x:c r="M190" s="55" t="n">
        <x:v>0.035</x:v>
      </x:c>
      <x:c r="N190" s="54" t="n">
        <x:f>ROUND(J190*K190,2)</x:f>
        <x:v>14174.16</x:v>
      </x:c>
      <x:c r="O190" s="54" t="n">
        <x:f>ROUND(N190*(1-M190),2)</x:f>
        <x:v>13678.06</x:v>
      </x:c>
      <x:c r="P190" s="54" t="n">
        <x:f>ROUND(J190*L190,2)</x:f>
        <x:v>9037.28</x:v>
      </x:c>
      <x:c r="Q190" s="54" t="n">
        <x:f>ROUND(O190-P190,2)</x:f>
        <x:v>4640.78</x:v>
      </x:c>
      <x:c r="R190" s="55" t="n">
        <x:f>IF(O190=0,0,ROUND(Q190/O190,4))</x:f>
        <x:v>0.3393</x:v>
      </x:c>
      <x:c r="S190" s="53" t="n">
        <x:v>2</x:v>
      </x:c>
      <x:c r="T190" t="str">
        <x:v>Cancelado</x:v>
      </x:c>
      <x:c r="U190"/>
      <x:c r="V190" t="str"/>
    </x:row>
    <x:row r="191">
      <x:c r="A191" s="52" t="n">
        <x:v>46172</x:v>
      </x:c>
      <x:c r="B191" t="str">
        <x:v>PED-100190</x:v>
      </x:c>
      <x:c r="C191" t="str">
        <x:v>Cliente 007</x:v>
      </x:c>
      <x:c r="D191" t="str">
        <x:v>SC</x:v>
      </x:c>
      <x:c r="E191" t="str">
        <x:v>Sul</x:v>
      </x:c>
      <x:c r="F191" t="str">
        <x:v>Marketplace</x:v>
      </x:c>
      <x:c r="G191" t="str">
        <x:v>Acessórios</x:v>
      </x:c>
      <x:c r="H191" t="str">
        <x:v>Webcam HD</x:v>
      </x:c>
      <x:c r="I191" t="str">
        <x:v>Carla</x:v>
      </x:c>
      <x:c r="J191" s="53" t="n">
        <x:v>6</x:v>
      </x:c>
      <x:c r="K191" s="54" t="n">
        <x:v>535.92</x:v>
      </x:c>
      <x:c r="L191" s="54" t="n">
        <x:v>248.73</x:v>
      </x:c>
      <x:c r="M191" s="55" t="n">
        <x:v>0.035</x:v>
      </x:c>
      <x:c r="N191" s="54" t="n">
        <x:f>ROUND(J191*K191,2)</x:f>
        <x:v>3215.52</x:v>
      </x:c>
      <x:c r="O191" s="54" t="n">
        <x:f>ROUND(N191*(1-M191),2)</x:f>
        <x:v>3102.98</x:v>
      </x:c>
      <x:c r="P191" s="54" t="n">
        <x:f>ROUND(J191*L191,2)</x:f>
        <x:v>1492.38</x:v>
      </x:c>
      <x:c r="Q191" s="54" t="n">
        <x:f>ROUND(O191-P191,2)</x:f>
        <x:v>1610.6</x:v>
      </x:c>
      <x:c r="R191" s="55" t="n">
        <x:f>IF(O191=0,0,ROUND(Q191/O191,4))</x:f>
        <x:v>0.519</x:v>
      </x:c>
      <x:c r="S191" s="53" t="n">
        <x:v>10</x:v>
      </x:c>
      <x:c r="T191" t="str">
        <x:v>Entregue</x:v>
      </x:c>
      <x:c r="U191" t="n">
        <x:v>3</x:v>
      </x:c>
      <x:c r="V191" t="str"/>
    </x:row>
    <x:row r="192">
      <x:c r="A192" s="52" t="n">
        <x:v>46200</x:v>
      </x:c>
      <x:c r="B192" t="str">
        <x:v>PED-100191</x:v>
      </x:c>
      <x:c r="C192" t="str">
        <x:v>Cliente 093</x:v>
      </x:c>
      <x:c r="D192" t="str">
        <x:v>ES</x:v>
      </x:c>
      <x:c r="E192" t="str">
        <x:v>Sudeste</x:v>
      </x:c>
      <x:c r="F192" t="str">
        <x:v>Televendas</x:v>
      </x:c>
      <x:c r="G192" t="str">
        <x:v>Tecnologia</x:v>
      </x:c>
      <x:c r="H192" t="str">
        <x:v>Notebook Pro</x:v>
      </x:c>
      <x:c r="I192" t="str">
        <x:v>Elaine</x:v>
      </x:c>
      <x:c r="J192" s="53" t="n">
        <x:v>5</x:v>
      </x:c>
      <x:c r="K192" s="54" t="n">
        <x:v>5607.3</x:v>
      </x:c>
      <x:c r="L192" s="54" t="n">
        <x:v>4511.85</x:v>
      </x:c>
      <x:c r="M192" s="55" t="n">
        <x:v>0.039</x:v>
      </x:c>
      <x:c r="N192" s="54" t="n">
        <x:f>ROUND(J192*K192,2)</x:f>
        <x:v>28036.5</x:v>
      </x:c>
      <x:c r="O192" s="54" t="n">
        <x:f>ROUND(N192*(1-M192),2)</x:f>
        <x:v>26943.08</x:v>
      </x:c>
      <x:c r="P192" s="54" t="n">
        <x:f>ROUND(J192*L192,2)</x:f>
        <x:v>22559.25</x:v>
      </x:c>
      <x:c r="Q192" s="54" t="n">
        <x:f>ROUND(O192-P192,2)</x:f>
        <x:v>4383.83</x:v>
      </x:c>
      <x:c r="R192" s="55" t="n">
        <x:f>IF(O192=0,0,ROUND(Q192/O192,4))</x:f>
        <x:v>0.1627</x:v>
      </x:c>
      <x:c r="S192" s="53" t="n">
        <x:v>8</x:v>
      </x:c>
      <x:c r="T192" t="str">
        <x:v>Entregue</x:v>
      </x:c>
      <x:c r="U192" t="n">
        <x:v>4</x:v>
      </x:c>
      <x:c r="V192" t="str"/>
    </x:row>
    <x:row r="193">
      <x:c r="A193" s="52" t="n">
        <x:v>46059</x:v>
      </x:c>
      <x:c r="B193" t="str">
        <x:v>PED-100192</x:v>
      </x:c>
      <x:c r="C193" t="str">
        <x:v>Cliente 047</x:v>
      </x:c>
      <x:c r="D193" t="str">
        <x:v>MT</x:v>
      </x:c>
      <x:c r="E193" t="str">
        <x:v>Centro-Oeste</x:v>
      </x:c>
      <x:c r="F193" t="str">
        <x:v>E-commerce</x:v>
      </x:c>
      <x:c r="G193" t="str">
        <x:v>Escritório</x:v>
      </x:c>
      <x:c r="H193" t="str">
        <x:v>Luminária LED</x:v>
      </x:c>
      <x:c r="I193" t="str">
        <x:v>Felipe</x:v>
      </x:c>
      <x:c r="J193" s="53" t="n">
        <x:v>1</x:v>
      </x:c>
      <x:c r="K193" s="54" t="n">
        <x:v>255.97</x:v>
      </x:c>
      <x:c r="L193" s="54" t="n">
        <x:v>114.78</x:v>
      </x:c>
      <x:c r="M193" s="55" t="n">
        <x:v>0</x:v>
      </x:c>
      <x:c r="N193" s="54" t="n">
        <x:f>ROUND(J193*K193,2)</x:f>
        <x:v>255.97</x:v>
      </x:c>
      <x:c r="O193" s="54" t="n">
        <x:f>ROUND(N193*(1-M193),2)</x:f>
        <x:v>255.97</x:v>
      </x:c>
      <x:c r="P193" s="54" t="n">
        <x:f>ROUND(J193*L193,2)</x:f>
        <x:v>114.78</x:v>
      </x:c>
      <x:c r="Q193" s="54" t="n">
        <x:f>ROUND(O193-P193,2)</x:f>
        <x:v>141.19</x:v>
      </x:c>
      <x:c r="R193" s="55" t="n">
        <x:f>IF(O193=0,0,ROUND(Q193/O193,4))</x:f>
        <x:v>0.5516</x:v>
      </x:c>
      <x:c r="S193" s="53" t="n">
        <x:v>8</x:v>
      </x:c>
      <x:c r="T193" t="str">
        <x:v>Entregue</x:v>
      </x:c>
      <x:c r="U193" t="n">
        <x:v>5</x:v>
      </x:c>
      <x:c r="V193" t="str"/>
    </x:row>
    <x:row r="194">
      <x:c r="A194" s="52" t="n">
        <x:v>46219</x:v>
      </x:c>
      <x:c r="B194" t="str">
        <x:v>PED-100193</x:v>
      </x:c>
      <x:c r="C194" t="str">
        <x:v>Cliente 038</x:v>
      </x:c>
      <x:c r="D194" t="str">
        <x:v>SP</x:v>
      </x:c>
      <x:c r="E194" t="str">
        <x:v>Sudeste</x:v>
      </x:c>
      <x:c r="F194" t="str">
        <x:v>E-commerce</x:v>
      </x:c>
      <x:c r="G194" t="str">
        <x:v>Casa</x:v>
      </x:c>
      <x:c r="H194" t="str">
        <x:v>Purificador</x:v>
      </x:c>
      <x:c r="I194" t="str">
        <x:v>João</x:v>
      </x:c>
      <x:c r="J194" s="53" t="n">
        <x:v>3</x:v>
      </x:c>
      <x:c r="K194" s="54" t="n">
        <x:v>1285.93</x:v>
      </x:c>
      <x:c r="L194" s="54" t="n">
        <x:v>772.6</x:v>
      </x:c>
      <x:c r="M194" s="55" t="n">
        <x:v>0.078</x:v>
      </x:c>
      <x:c r="N194" s="54" t="n">
        <x:f>ROUND(J194*K194,2)</x:f>
        <x:v>3857.79</x:v>
      </x:c>
      <x:c r="O194" s="54" t="n">
        <x:f>ROUND(N194*(1-M194),2)</x:f>
        <x:v>3556.88</x:v>
      </x:c>
      <x:c r="P194" s="54" t="n">
        <x:f>ROUND(J194*L194,2)</x:f>
        <x:v>2317.8</x:v>
      </x:c>
      <x:c r="Q194" s="54" t="n">
        <x:f>ROUND(O194-P194,2)</x:f>
        <x:v>1239.08</x:v>
      </x:c>
      <x:c r="R194" s="55" t="n">
        <x:f>IF(O194=0,0,ROUND(Q194/O194,4))</x:f>
        <x:v>0.3484</x:v>
      </x:c>
      <x:c r="S194" s="53" t="n">
        <x:v>6</x:v>
      </x:c>
      <x:c r="T194" t="str">
        <x:v>Entregue</x:v>
      </x:c>
      <x:c r="U194" t="n">
        <x:v>4</x:v>
      </x:c>
      <x:c r="V194" t="str"/>
    </x:row>
    <x:row r="195">
      <x:c r="A195" s="52" t="n">
        <x:v>46078</x:v>
      </x:c>
      <x:c r="B195" t="str">
        <x:v>PED-100194</x:v>
      </x:c>
      <x:c r="C195" t="str">
        <x:v>Cliente 109</x:v>
      </x:c>
      <x:c r="D195" t="str">
        <x:v>PA</x:v>
      </x:c>
      <x:c r="E195" t="str">
        <x:v>Norte</x:v>
      </x:c>
      <x:c r="F195" t="str">
        <x:v>Marketplace</x:v>
      </x:c>
      <x:c r="G195" t="str">
        <x:v>Casa</x:v>
      </x:c>
      <x:c r="H195" t="str">
        <x:v>Purificador</x:v>
      </x:c>
      <x:c r="I195" t="str">
        <x:v>Ana</x:v>
      </x:c>
      <x:c r="J195" s="53" t="n">
        <x:v>8</x:v>
      </x:c>
      <x:c r="K195" s="54" t="n">
        <x:v>1225.09</x:v>
      </x:c>
      <x:c r="L195" s="54" t="n">
        <x:v>782.3</x:v>
      </x:c>
      <x:c r="M195" s="55" t="n">
        <x:v>0.0625</x:v>
      </x:c>
      <x:c r="N195" s="54" t="n">
        <x:f>ROUND(J195*K195,2)</x:f>
        <x:v>9800.72</x:v>
      </x:c>
      <x:c r="O195" s="54" t="n">
        <x:f>ROUND(N195*(1-M195),2)</x:f>
        <x:v>9188.17</x:v>
      </x:c>
      <x:c r="P195" s="54" t="n">
        <x:f>ROUND(J195*L195,2)</x:f>
        <x:v>6258.4</x:v>
      </x:c>
      <x:c r="Q195" s="54" t="n">
        <x:f>ROUND(O195-P195,2)</x:f>
        <x:v>2929.77</x:v>
      </x:c>
      <x:c r="R195" s="55" t="n">
        <x:f>IF(O195=0,0,ROUND(Q195/O195,4))</x:f>
        <x:v>0.3189</x:v>
      </x:c>
      <x:c r="S195" s="53" t="n">
        <x:v>10</x:v>
      </x:c>
      <x:c r="T195" t="str">
        <x:v>Entregue</x:v>
      </x:c>
      <x:c r="U195" t="n">
        <x:v>3</x:v>
      </x:c>
      <x:c r="V195" t="str"/>
    </x:row>
    <x:row r="196">
      <x:c r="A196" s="52" t="n">
        <x:v>46225</x:v>
      </x:c>
      <x:c r="B196" t="str">
        <x:v>PED-100195</x:v>
      </x:c>
      <x:c r="C196" t="str">
        <x:v>Cliente 061</x:v>
      </x:c>
      <x:c r="D196" t="str">
        <x:v>DF</x:v>
      </x:c>
      <x:c r="E196" t="str">
        <x:v>Centro-Oeste</x:v>
      </x:c>
      <x:c r="F196" t="str">
        <x:v>E-commerce</x:v>
      </x:c>
      <x:c r="G196" t="str">
        <x:v>Tecnologia</x:v>
      </x:c>
      <x:c r="H196" t="str">
        <x:v>Monitor 27</x:v>
      </x:c>
      <x:c r="I196" t="str">
        <x:v>João</x:v>
      </x:c>
      <x:c r="J196" s="53" t="n">
        <x:v>7</x:v>
      </x:c>
      <x:c r="K196" s="54" t="n">
        <x:v>1719.28</x:v>
      </x:c>
      <x:c r="L196" s="54" t="n">
        <x:v>1096</x:v>
      </x:c>
      <x:c r="M196" s="55" t="n">
        <x:v>0</x:v>
      </x:c>
      <x:c r="N196" s="54" t="n">
        <x:f>ROUND(J196*K196,2)</x:f>
        <x:v>12034.96</x:v>
      </x:c>
      <x:c r="O196" s="54" t="n">
        <x:f>ROUND(N196*(1-M196),2)</x:f>
        <x:v>12034.96</x:v>
      </x:c>
      <x:c r="P196" s="54" t="n">
        <x:f>ROUND(J196*L196,2)</x:f>
        <x:v>7672</x:v>
      </x:c>
      <x:c r="Q196" s="54" t="n">
        <x:f>ROUND(O196-P196,2)</x:f>
        <x:v>4362.96</x:v>
      </x:c>
      <x:c r="R196" s="55" t="n">
        <x:f>IF(O196=0,0,ROUND(Q196/O196,4))</x:f>
        <x:v>0.3625</x:v>
      </x:c>
      <x:c r="S196" s="53" t="n">
        <x:v>4</x:v>
      </x:c>
      <x:c r="T196" t="str">
        <x:v>Entregue</x:v>
      </x:c>
      <x:c r="U196" t="n">
        <x:v>3</x:v>
      </x:c>
      <x:c r="V196" t="str"/>
    </x:row>
    <x:row r="197">
      <x:c r="A197" s="52" t="n">
        <x:v>46118</x:v>
      </x:c>
      <x:c r="B197" t="str">
        <x:v>PED-100196</x:v>
      </x:c>
      <x:c r="C197" t="str">
        <x:v>Cliente 081</x:v>
      </x:c>
      <x:c r="D197" t="str">
        <x:v>PE</x:v>
      </x:c>
      <x:c r="E197" t="str">
        <x:v>Nordeste</x:v>
      </x:c>
      <x:c r="F197" t="str">
        <x:v>Marketplace</x:v>
      </x:c>
      <x:c r="G197" t="str">
        <x:v>Acessórios</x:v>
      </x:c>
      <x:c r="H197" t="str">
        <x:v>Webcam HD</x:v>
      </x:c>
      <x:c r="I197" t="str">
        <x:v>João</x:v>
      </x:c>
      <x:c r="J197" s="53" t="n">
        <x:v>7</x:v>
      </x:c>
      <x:c r="K197" s="54" t="n">
        <x:v>501.39</x:v>
      </x:c>
      <x:c r="L197" s="54" t="n">
        <x:v>238.61</x:v>
      </x:c>
      <x:c r="M197" s="55" t="n">
        <x:v>0.1206</x:v>
      </x:c>
      <x:c r="N197" s="54" t="n">
        <x:f>ROUND(J197*K197,2)</x:f>
        <x:v>3509.73</x:v>
      </x:c>
      <x:c r="O197" s="54" t="n">
        <x:f>ROUND(N197*(1-M197),2)</x:f>
        <x:v>3086.46</x:v>
      </x:c>
      <x:c r="P197" s="54" t="n">
        <x:f>ROUND(J197*L197,2)</x:f>
        <x:v>1670.27</x:v>
      </x:c>
      <x:c r="Q197" s="54" t="n">
        <x:f>ROUND(O197-P197,2)</x:f>
        <x:v>1416.19</x:v>
      </x:c>
      <x:c r="R197" s="55" t="n">
        <x:f>IF(O197=0,0,ROUND(Q197/O197,4))</x:f>
        <x:v>0.4588</x:v>
      </x:c>
      <x:c r="S197" s="53" t="n">
        <x:v>5</x:v>
      </x:c>
      <x:c r="T197" t="str">
        <x:v>Entregue</x:v>
      </x:c>
      <x:c r="U197" t="n">
        <x:v>5</x:v>
      </x:c>
      <x:c r="V197" t="str"/>
    </x:row>
    <x:row r="198">
      <x:c r="A198" s="52" t="n">
        <x:v>46120</x:v>
      </x:c>
      <x:c r="B198" t="str">
        <x:v>PED-100197</x:v>
      </x:c>
      <x:c r="C198" t="str">
        <x:v>Cliente 029</x:v>
      </x:c>
      <x:c r="D198" t="str">
        <x:v>BA</x:v>
      </x:c>
      <x:c r="E198" t="str">
        <x:v>Nordeste</x:v>
      </x:c>
      <x:c r="F198" t="str">
        <x:v>Marketplace</x:v>
      </x:c>
      <x:c r="G198" t="str">
        <x:v>Tecnologia</x:v>
      </x:c>
      <x:c r="H198" t="str">
        <x:v>Headset Office</x:v>
      </x:c>
      <x:c r="I198" t="str">
        <x:v>Isabela</x:v>
      </x:c>
      <x:c r="J198" s="53" t="n">
        <x:v>2</x:v>
      </x:c>
      <x:c r="K198" s="54" t="n">
        <x:v>404.03</x:v>
      </x:c>
      <x:c r="L198" s="54" t="n">
        <x:v>219.41</x:v>
      </x:c>
      <x:c r="M198" s="55" t="n">
        <x:v>0.035</x:v>
      </x:c>
      <x:c r="N198" s="54" t="n">
        <x:f>ROUND(J198*K198,2)</x:f>
        <x:v>808.06</x:v>
      </x:c>
      <x:c r="O198" s="54" t="n">
        <x:f>ROUND(N198*(1-M198),2)</x:f>
        <x:v>779.78</x:v>
      </x:c>
      <x:c r="P198" s="54" t="n">
        <x:f>ROUND(J198*L198,2)</x:f>
        <x:v>438.82</x:v>
      </x:c>
      <x:c r="Q198" s="54" t="n">
        <x:f>ROUND(O198-P198,2)</x:f>
        <x:v>340.96</x:v>
      </x:c>
      <x:c r="R198" s="55" t="n">
        <x:f>IF(O198=0,0,ROUND(Q198/O198,4))</x:f>
        <x:v>0.4373</x:v>
      </x:c>
      <x:c r="S198" s="53" t="n">
        <x:v>12</x:v>
      </x:c>
      <x:c r="T198" t="str">
        <x:v>Entregue com atraso</x:v>
      </x:c>
      <x:c r="U198" t="n">
        <x:v>4</x:v>
      </x:c>
      <x:c r="V198" t="str"/>
    </x:row>
    <x:row r="199">
      <x:c r="A199" s="52" t="n">
        <x:v>46136</x:v>
      </x:c>
      <x:c r="B199" t="str">
        <x:v>PED-100198</x:v>
      </x:c>
      <x:c r="C199" t="str">
        <x:v>Cliente 107</x:v>
      </x:c>
      <x:c r="D199" t="str">
        <x:v>PA</x:v>
      </x:c>
      <x:c r="E199" t="str">
        <x:v>Norte</x:v>
      </x:c>
      <x:c r="F199" t="str">
        <x:v>E-commerce</x:v>
      </x:c>
      <x:c r="G199" t="str">
        <x:v>Escritório</x:v>
      </x:c>
      <x:c r="H199" t="str">
        <x:v>Mesa Ajustável</x:v>
      </x:c>
      <x:c r="I199" t="str">
        <x:v>Gabriela</x:v>
      </x:c>
      <x:c r="J199" s="53" t="n">
        <x:v>8</x:v>
      </x:c>
      <x:c r="K199" s="54" t="n">
        <x:v>2733.86</x:v>
      </x:c>
      <x:c r="L199" s="54" t="n">
        <x:v>1803.52</x:v>
      </x:c>
      <x:c r="M199" s="55" t="n">
        <x:v>0.4099</x:v>
      </x:c>
      <x:c r="N199" s="54" t="n">
        <x:f>ROUND(J199*K199,2)</x:f>
        <x:v>21870.88</x:v>
      </x:c>
      <x:c r="O199" s="54" t="n">
        <x:f>ROUND(N199*(1-M199),2)</x:f>
        <x:v>12906.01</x:v>
      </x:c>
      <x:c r="P199" s="54" t="n">
        <x:f>ROUND(J199*L199,2)</x:f>
        <x:v>14428.16</x:v>
      </x:c>
      <x:c r="Q199" s="54" t="n">
        <x:f>ROUND(O199-P199,2)</x:f>
        <x:v>-1522.15</x:v>
      </x:c>
      <x:c r="R199" s="55" t="n">
        <x:f>IF(O199=0,0,ROUND(Q199/O199,4))</x:f>
        <x:v>-0.1179</x:v>
      </x:c>
      <x:c r="S199" s="53" t="n">
        <x:v>4</x:v>
      </x:c>
      <x:c r="T199" t="str">
        <x:v>Entregue</x:v>
      </x:c>
      <x:c r="U199" t="n">
        <x:v>5</x:v>
      </x:c>
      <x:c r="V199" t="str">
        <x:v>Desconto autorizado fora da campanha</x:v>
      </x:c>
    </x:row>
    <x:row r="200">
      <x:c r="A200" s="52" t="n">
        <x:v>46231</x:v>
      </x:c>
      <x:c r="B200" t="str">
        <x:v>PED-100199</x:v>
      </x:c>
      <x:c r="C200" t="str">
        <x:v>Cliente 012</x:v>
      </x:c>
      <x:c r="D200" t="str">
        <x:v>DF</x:v>
      </x:c>
      <x:c r="E200" t="str">
        <x:v>Centro-Oeste</x:v>
      </x:c>
      <x:c r="F200" t="str">
        <x:v>E-commerce</x:v>
      </x:c>
      <x:c r="G200" t="str">
        <x:v>Casa</x:v>
      </x:c>
      <x:c r="H200" t="str">
        <x:v>Purificador</x:v>
      </x:c>
      <x:c r="I200" t="str">
        <x:v>Felipe</x:v>
      </x:c>
      <x:c r="J200" s="53" t="n">
        <x:v>2</x:v>
      </x:c>
      <x:c r="K200" s="54" t="n">
        <x:v>1358.43</x:v>
      </x:c>
      <x:c r="L200" s="54" t="n">
        <x:v>805.53</x:v>
      </x:c>
      <x:c r="M200" s="55" t="n">
        <x:v>0.022</x:v>
      </x:c>
      <x:c r="N200" s="54" t="n">
        <x:f>ROUND(J200*K200,2)</x:f>
        <x:v>2716.86</x:v>
      </x:c>
      <x:c r="O200" s="54" t="n">
        <x:f>ROUND(N200*(1-M200),2)</x:f>
        <x:v>2657.09</x:v>
      </x:c>
      <x:c r="P200" s="54" t="n">
        <x:f>ROUND(J200*L200,2)</x:f>
        <x:v>1611.06</x:v>
      </x:c>
      <x:c r="Q200" s="54" t="n">
        <x:f>ROUND(O200-P200,2)</x:f>
        <x:v>1046.03</x:v>
      </x:c>
      <x:c r="R200" s="55" t="n">
        <x:f>IF(O200=0,0,ROUND(Q200/O200,4))</x:f>
        <x:v>0.3937</x:v>
      </x:c>
      <x:c r="S200" s="53" t="n">
        <x:v>12</x:v>
      </x:c>
      <x:c r="T200" t="str">
        <x:v>Entregue com atraso</x:v>
      </x:c>
      <x:c r="U200" t="n">
        <x:v>2</x:v>
      </x:c>
      <x:c r="V200" t="str"/>
    </x:row>
    <x:row r="201">
      <x:c r="A201" s="52" t="n">
        <x:v>46188</x:v>
      </x:c>
      <x:c r="B201" t="str">
        <x:v>PED-100200</x:v>
      </x:c>
      <x:c r="C201" t="str">
        <x:v>Cliente 098</x:v>
      </x:c>
      <x:c r="D201" t="str">
        <x:v>CE</x:v>
      </x:c>
      <x:c r="E201" t="str">
        <x:v>Nordeste</x:v>
      </x:c>
      <x:c r="F201" t="str">
        <x:v>Marketplace</x:v>
      </x:c>
      <x:c r="G201" t="str">
        <x:v>Acessórios</x:v>
      </x:c>
      <x:c r="H201" t="str">
        <x:v>Hub USB-C</x:v>
      </x:c>
      <x:c r="I201" t="str">
        <x:v>Felipe</x:v>
      </x:c>
      <x:c r="J201" s="53" t="n">
        <x:v>3</x:v>
      </x:c>
      <x:c r="K201" s="54" t="n">
        <x:v>325.25</x:v>
      </x:c>
      <x:c r="L201" s="54" t="n">
        <x:v>138.21</x:v>
      </x:c>
      <x:c r="M201" s="55" t="n">
        <x:v>0.0832</x:v>
      </x:c>
      <x:c r="N201" s="54" t="n">
        <x:f>ROUND(J201*K201,2)</x:f>
        <x:v>975.75</x:v>
      </x:c>
      <x:c r="O201" s="54" t="n">
        <x:f>ROUND(N201*(1-M201),2)</x:f>
        <x:v>894.57</x:v>
      </x:c>
      <x:c r="P201" s="54" t="n">
        <x:f>ROUND(J201*L201,2)</x:f>
        <x:v>414.63</x:v>
      </x:c>
      <x:c r="Q201" s="54" t="n">
        <x:f>ROUND(O201-P201,2)</x:f>
        <x:v>479.94</x:v>
      </x:c>
      <x:c r="R201" s="55" t="n">
        <x:f>IF(O201=0,0,ROUND(Q201/O201,4))</x:f>
        <x:v>0.5365</x:v>
      </x:c>
      <x:c r="S201" s="53" t="n">
        <x:v>13</x:v>
      </x:c>
      <x:c r="T201" t="str">
        <x:v>Entregue com atraso</x:v>
      </x:c>
      <x:c r="U201" t="n">
        <x:v>5</x:v>
      </x:c>
      <x:c r="V201" t="str"/>
    </x:row>
    <x:row r="202">
      <x:c r="A202" s="52" t="n">
        <x:v>46182</x:v>
      </x:c>
      <x:c r="B202" t="str">
        <x:v>PED-100201</x:v>
      </x:c>
      <x:c r="C202" t="str">
        <x:v>Cliente 111</x:v>
      </x:c>
      <x:c r="D202" t="str">
        <x:v>PR</x:v>
      </x:c>
      <x:c r="E202" t="str">
        <x:v>Sul</x:v>
      </x:c>
      <x:c r="F202" t="str">
        <x:v>Loja</x:v>
      </x:c>
      <x:c r="G202" t="str">
        <x:v>Tecnologia</x:v>
      </x:c>
      <x:c r="H202" t="str">
        <x:v>Monitor 27</x:v>
      </x:c>
      <x:c r="I202" t="str">
        <x:v>João</x:v>
      </x:c>
      <x:c r="J202" s="53" t="n">
        <x:v>3</x:v>
      </x:c>
      <x:c r="K202" s="54" t="n">
        <x:v>1777.54</x:v>
      </x:c>
      <x:c r="L202" s="54" t="n">
        <x:v>1094.02</x:v>
      </x:c>
      <x:c r="M202" s="55" t="n">
        <x:v>0.1107</x:v>
      </x:c>
      <x:c r="N202" s="54" t="n">
        <x:f>ROUND(J202*K202,2)</x:f>
        <x:v>5332.62</x:v>
      </x:c>
      <x:c r="O202" s="54" t="n">
        <x:f>ROUND(N202*(1-M202),2)</x:f>
        <x:v>4742.3</x:v>
      </x:c>
      <x:c r="P202" s="54" t="n">
        <x:f>ROUND(J202*L202,2)</x:f>
        <x:v>3282.06</x:v>
      </x:c>
      <x:c r="Q202" s="54" t="n">
        <x:f>ROUND(O202-P202,2)</x:f>
        <x:v>1460.24</x:v>
      </x:c>
      <x:c r="R202" s="55" t="n">
        <x:f>IF(O202=0,0,ROUND(Q202/O202,4))</x:f>
        <x:v>0.3079</x:v>
      </x:c>
      <x:c r="S202" s="53" t="n">
        <x:v>9</x:v>
      </x:c>
      <x:c r="T202" t="str">
        <x:v>Cancelado</x:v>
      </x:c>
      <x:c r="U202"/>
      <x:c r="V202" t="str"/>
    </x:row>
    <x:row r="203">
      <x:c r="A203" s="52" t="n">
        <x:v>46217</x:v>
      </x:c>
      <x:c r="B203" t="str">
        <x:v>PED-100202</x:v>
      </x:c>
      <x:c r="C203" t="str">
        <x:v>Cliente 048</x:v>
      </x:c>
      <x:c r="D203" t="str">
        <x:v>BA</x:v>
      </x:c>
      <x:c r="E203" t="str">
        <x:v>Nordeste</x:v>
      </x:c>
      <x:c r="F203" t="str">
        <x:v>Televendas</x:v>
      </x:c>
      <x:c r="G203" t="str">
        <x:v>Casa</x:v>
      </x:c>
      <x:c r="H203" t="str">
        <x:v>Aspirador Robô</x:v>
      </x:c>
      <x:c r="I203" t="str">
        <x:v>Bruno</x:v>
      </x:c>
      <x:c r="J203" s="53" t="n">
        <x:v>1</x:v>
      </x:c>
      <x:c r="K203" s="54" t="n">
        <x:v>1803.55</x:v>
      </x:c>
      <x:c r="L203" s="54" t="n">
        <x:v>1266.13</x:v>
      </x:c>
      <x:c r="M203" s="55" t="n">
        <x:v>0.0603</x:v>
      </x:c>
      <x:c r="N203" s="54" t="n">
        <x:f>ROUND(J203*K203,2)</x:f>
        <x:v>1803.55</x:v>
      </x:c>
      <x:c r="O203" s="54" t="n">
        <x:f>ROUND(N203*(1-M203),2)</x:f>
        <x:v>1694.8</x:v>
      </x:c>
      <x:c r="P203" s="54" t="n">
        <x:f>ROUND(J203*L203,2)</x:f>
        <x:v>1266.13</x:v>
      </x:c>
      <x:c r="Q203" s="54" t="n">
        <x:f>ROUND(O203-P203,2)</x:f>
        <x:v>428.67</x:v>
      </x:c>
      <x:c r="R203" s="55" t="n">
        <x:f>IF(O203=0,0,ROUND(Q203/O203,4))</x:f>
        <x:v>0.2529</x:v>
      </x:c>
      <x:c r="S203" s="53" t="n">
        <x:v>5</x:v>
      </x:c>
      <x:c r="T203" t="str">
        <x:v>Entregue</x:v>
      </x:c>
      <x:c r="U203" t="n">
        <x:v>2</x:v>
      </x:c>
      <x:c r="V203" t="str"/>
    </x:row>
    <x:row r="204">
      <x:c r="A204" s="52" t="n">
        <x:v>46187</x:v>
      </x:c>
      <x:c r="B204" t="str">
        <x:v>PED-100203</x:v>
      </x:c>
      <x:c r="C204" t="str">
        <x:v>Cliente 011</x:v>
      </x:c>
      <x:c r="D204" t="str">
        <x:v>BA</x:v>
      </x:c>
      <x:c r="E204" t="str">
        <x:v>Nordeste</x:v>
      </x:c>
      <x:c r="F204" t="str">
        <x:v>Loja</x:v>
      </x:c>
      <x:c r="G204" t="str">
        <x:v>Escritório</x:v>
      </x:c>
      <x:c r="H204" t="str">
        <x:v>Cadeira Ergonômica</x:v>
      </x:c>
      <x:c r="I204" t="str">
        <x:v>Isabela</x:v>
      </x:c>
      <x:c r="J204" s="53" t="n">
        <x:v>8</x:v>
      </x:c>
      <x:c r="K204" s="54" t="n">
        <x:v>2097.06</x:v>
      </x:c>
      <x:c r="L204" s="54" t="n">
        <x:v>1402.16</x:v>
      </x:c>
      <x:c r="M204" s="55" t="n">
        <x:v>0</x:v>
      </x:c>
      <x:c r="N204" s="54" t="n">
        <x:f>ROUND(J204*K204,2)</x:f>
        <x:v>16776.48</x:v>
      </x:c>
      <x:c r="O204" s="54" t="n">
        <x:f>ROUND(N204*(1-M204),2)</x:f>
        <x:v>16776.48</x:v>
      </x:c>
      <x:c r="P204" s="54" t="n">
        <x:f>ROUND(J204*L204,2)</x:f>
        <x:v>11217.28</x:v>
      </x:c>
      <x:c r="Q204" s="54" t="n">
        <x:f>ROUND(O204-P204,2)</x:f>
        <x:v>5559.2</x:v>
      </x:c>
      <x:c r="R204" s="55" t="n">
        <x:f>IF(O204=0,0,ROUND(Q204/O204,4))</x:f>
        <x:v>0.3314</x:v>
      </x:c>
      <x:c r="S204" s="53" t="n">
        <x:v>2</x:v>
      </x:c>
      <x:c r="T204" t="str">
        <x:v>Entregue</x:v>
      </x:c>
      <x:c r="U204" t="n">
        <x:v>3</x:v>
      </x:c>
      <x:c r="V204" t="str"/>
    </x:row>
    <x:row r="205">
      <x:c r="A205" s="52" t="n">
        <x:v>46047</x:v>
      </x:c>
      <x:c r="B205" t="str">
        <x:v>PED-100204</x:v>
      </x:c>
      <x:c r="C205" t="str">
        <x:v>Cliente 067</x:v>
      </x:c>
      <x:c r="D205" t="str">
        <x:v>MT</x:v>
      </x:c>
      <x:c r="E205" t="str">
        <x:v>Centro-Oeste</x:v>
      </x:c>
      <x:c r="F205" t="str">
        <x:v>Marketplace</x:v>
      </x:c>
      <x:c r="G205" t="str">
        <x:v>Acessórios</x:v>
      </x:c>
      <x:c r="H205" t="str">
        <x:v>Mochila Executiva</x:v>
      </x:c>
      <x:c r="I205" t="str">
        <x:v>Henrique</x:v>
      </x:c>
      <x:c r="J205" s="53" t="n">
        <x:v>1</x:v>
      </x:c>
      <x:c r="K205" s="54" t="n">
        <x:v>454.87</x:v>
      </x:c>
      <x:c r="L205" s="54" t="n">
        <x:v>190.51</x:v>
      </x:c>
      <x:c r="M205" s="55" t="n">
        <x:v>0.035</x:v>
      </x:c>
      <x:c r="N205" s="54" t="n">
        <x:f>ROUND(J205*K205,2)</x:f>
        <x:v>454.87</x:v>
      </x:c>
      <x:c r="O205" s="54" t="n">
        <x:f>ROUND(N205*(1-M205),2)</x:f>
        <x:v>438.95</x:v>
      </x:c>
      <x:c r="P205" s="54" t="n">
        <x:f>ROUND(J205*L205,2)</x:f>
        <x:v>190.51</x:v>
      </x:c>
      <x:c r="Q205" s="54" t="n">
        <x:f>ROUND(O205-P205,2)</x:f>
        <x:v>248.44</x:v>
      </x:c>
      <x:c r="R205" s="55" t="n">
        <x:f>IF(O205=0,0,ROUND(Q205/O205,4))</x:f>
        <x:v>0.566</x:v>
      </x:c>
      <x:c r="S205" s="53" t="n">
        <x:v>9</x:v>
      </x:c>
      <x:c r="T205" t="str">
        <x:v>Entregue</x:v>
      </x:c>
      <x:c r="U205" t="n">
        <x:v>5</x:v>
      </x:c>
      <x:c r="V205" t="str"/>
    </x:row>
    <x:row r="206">
      <x:c r="A206" s="52" t="n">
        <x:v>46175</x:v>
      </x:c>
      <x:c r="B206" t="str">
        <x:v>PED-100205</x:v>
      </x:c>
      <x:c r="C206" t="str">
        <x:v>Cliente 094</x:v>
      </x:c>
      <x:c r="D206" t="str">
        <x:v>PR</x:v>
      </x:c>
      <x:c r="E206" t="str">
        <x:v>Sul</x:v>
      </x:c>
      <x:c r="F206" t="str">
        <x:v>Televendas</x:v>
      </x:c>
      <x:c r="G206" t="str">
        <x:v>Casa</x:v>
      </x:c>
      <x:c r="H206" t="str">
        <x:v>Cafeteira Smart</x:v>
      </x:c>
      <x:c r="I206" t="str">
        <x:v>Diego</x:v>
      </x:c>
      <x:c r="J206" s="53" t="n">
        <x:v>1</x:v>
      </x:c>
      <x:c r="K206" s="54" t="n">
        <x:v>764.02</x:v>
      </x:c>
      <x:c r="L206" s="54" t="n">
        <x:v>474.41</x:v>
      </x:c>
      <x:c r="M206" s="55" t="n">
        <x:v>0</x:v>
      </x:c>
      <x:c r="N206" s="54" t="n">
        <x:f>ROUND(J206*K206,2)</x:f>
        <x:v>764.02</x:v>
      </x:c>
      <x:c r="O206" s="54" t="n">
        <x:f>ROUND(N206*(1-M206),2)</x:f>
        <x:v>764.02</x:v>
      </x:c>
      <x:c r="P206" s="54" t="n">
        <x:f>ROUND(J206*L206,2)</x:f>
        <x:v>474.41</x:v>
      </x:c>
      <x:c r="Q206" s="54" t="n">
        <x:f>ROUND(O206-P206,2)</x:f>
        <x:v>289.61</x:v>
      </x:c>
      <x:c r="R206" s="55" t="n">
        <x:f>IF(O206=0,0,ROUND(Q206/O206,4))</x:f>
        <x:v>0.3791</x:v>
      </x:c>
      <x:c r="S206" s="53" t="n">
        <x:v>12</x:v>
      </x:c>
      <x:c r="T206" t="str">
        <x:v>Entregue com atraso</x:v>
      </x:c>
      <x:c r="U206" t="n">
        <x:v>4</x:v>
      </x:c>
      <x:c r="V206" t="str"/>
    </x:row>
    <x:row r="207">
      <x:c r="A207" s="52" t="n">
        <x:v>46192</x:v>
      </x:c>
      <x:c r="B207" t="str">
        <x:v>PED-100206</x:v>
      </x:c>
      <x:c r="C207" t="str">
        <x:v>Cliente 102</x:v>
      </x:c>
      <x:c r="D207" t="str">
        <x:v>PE</x:v>
      </x:c>
      <x:c r="E207" t="str">
        <x:v>Nordeste</x:v>
      </x:c>
      <x:c r="F207" t="str">
        <x:v>Marketplace</x:v>
      </x:c>
      <x:c r="G207" t="str">
        <x:v>Tecnologia</x:v>
      </x:c>
      <x:c r="H207" t="str">
        <x:v>Headset Office</x:v>
      </x:c>
      <x:c r="I207" t="str">
        <x:v>Diego</x:v>
      </x:c>
      <x:c r="J207" s="53" t="n">
        <x:v>2</x:v>
      </x:c>
      <x:c r="K207" s="54" t="n">
        <x:v>385.58</x:v>
      </x:c>
      <x:c r="L207" s="54" t="n">
        <x:v>220.35</x:v>
      </x:c>
      <x:c r="M207" s="55" t="n">
        <x:v>0.035</x:v>
      </x:c>
      <x:c r="N207" s="54" t="n">
        <x:f>ROUND(J207*K207,2)</x:f>
        <x:v>771.16</x:v>
      </x:c>
      <x:c r="O207" s="54" t="n">
        <x:f>ROUND(N207*(1-M207),2)</x:f>
        <x:v>744.17</x:v>
      </x:c>
      <x:c r="P207" s="54" t="n">
        <x:f>ROUND(J207*L207,2)</x:f>
        <x:v>440.7</x:v>
      </x:c>
      <x:c r="Q207" s="54" t="n">
        <x:f>ROUND(O207-P207,2)</x:f>
        <x:v>303.47</x:v>
      </x:c>
      <x:c r="R207" s="55" t="n">
        <x:f>IF(O207=0,0,ROUND(Q207/O207,4))</x:f>
        <x:v>0.4078</x:v>
      </x:c>
      <x:c r="S207" s="53" t="n">
        <x:v>4</x:v>
      </x:c>
      <x:c r="T207" t="str">
        <x:v>Entregue</x:v>
      </x:c>
      <x:c r="U207" t="n">
        <x:v>3</x:v>
      </x:c>
      <x:c r="V207" t="str"/>
    </x:row>
    <x:row r="208">
      <x:c r="A208" s="52" t="n">
        <x:v>46136</x:v>
      </x:c>
      <x:c r="B208" t="str">
        <x:v>PED-100207</x:v>
      </x:c>
      <x:c r="C208" t="str">
        <x:v>Cliente 040</x:v>
      </x:c>
      <x:c r="D208" t="str">
        <x:v>PE</x:v>
      </x:c>
      <x:c r="E208" t="str">
        <x:v>Nordeste</x:v>
      </x:c>
      <x:c r="F208" t="str">
        <x:v>Marketplace</x:v>
      </x:c>
      <x:c r="G208" t="str">
        <x:v>Escritório</x:v>
      </x:c>
      <x:c r="H208" t="str">
        <x:v>Cadeira Ergonômica</x:v>
      </x:c>
      <x:c r="I208" t="str">
        <x:v>Bruno</x:v>
      </x:c>
      <x:c r="J208" s="53" t="n">
        <x:v>7</x:v>
      </x:c>
      <x:c r="K208" s="54" t="n">
        <x:v>2318.67</x:v>
      </x:c>
      <x:c r="L208" s="54" t="n">
        <x:v>1521.37</x:v>
      </x:c>
      <x:c r="M208" s="55" t="n">
        <x:v>0.035</x:v>
      </x:c>
      <x:c r="N208" s="54" t="n">
        <x:f>ROUND(J208*K208,2)</x:f>
        <x:v>16230.69</x:v>
      </x:c>
      <x:c r="O208" s="54" t="n">
        <x:f>ROUND(N208*(1-M208),2)</x:f>
        <x:v>15662.62</x:v>
      </x:c>
      <x:c r="P208" s="54" t="n">
        <x:f>ROUND(J208*L208,2)</x:f>
        <x:v>10649.59</x:v>
      </x:c>
      <x:c r="Q208" s="54" t="n">
        <x:f>ROUND(O208-P208,2)</x:f>
        <x:v>5013.03</x:v>
      </x:c>
      <x:c r="R208" s="55" t="n">
        <x:f>IF(O208=0,0,ROUND(Q208/O208,4))</x:f>
        <x:v>0.3201</x:v>
      </x:c>
      <x:c r="S208" s="53" t="n">
        <x:v>12</x:v>
      </x:c>
      <x:c r="T208" t="str">
        <x:v>Entregue com atraso</x:v>
      </x:c>
      <x:c r="U208" t="n">
        <x:v>4</x:v>
      </x:c>
      <x:c r="V208" t="str"/>
    </x:row>
    <x:row r="209">
      <x:c r="A209" s="52" t="n">
        <x:v>46101</x:v>
      </x:c>
      <x:c r="B209" t="str">
        <x:v>PED-100208</x:v>
      </x:c>
      <x:c r="C209" t="str">
        <x:v>Cliente 045</x:v>
      </x:c>
      <x:c r="D209" t="str">
        <x:v>SP</x:v>
      </x:c>
      <x:c r="E209" t="str">
        <x:v>Sudeste</x:v>
      </x:c>
      <x:c r="F209" t="str">
        <x:v>Marketplace</x:v>
      </x:c>
      <x:c r="G209" t="str">
        <x:v>Casa</x:v>
      </x:c>
      <x:c r="H209" t="str">
        <x:v>Aspirador Robô</x:v>
      </x:c>
      <x:c r="I209" t="str">
        <x:v>Felipe</x:v>
      </x:c>
      <x:c r="J209" s="53" t="n">
        <x:v>8</x:v>
      </x:c>
      <x:c r="K209" s="54" t="n">
        <x:v>1828.17</x:v>
      </x:c>
      <x:c r="L209" s="54" t="n">
        <x:v>1182.7</x:v>
      </x:c>
      <x:c r="M209" s="55" t="n">
        <x:v>0.0601</x:v>
      </x:c>
      <x:c r="N209" s="54" t="n">
        <x:f>ROUND(J209*K209,2)</x:f>
        <x:v>14625.36</x:v>
      </x:c>
      <x:c r="O209" s="54" t="n">
        <x:f>ROUND(N209*(1-M209),2)</x:f>
        <x:v>13746.38</x:v>
      </x:c>
      <x:c r="P209" s="54" t="n">
        <x:f>ROUND(J209*L209,2)</x:f>
        <x:v>9461.6</x:v>
      </x:c>
      <x:c r="Q209" s="54" t="n">
        <x:f>ROUND(O209-P209,2)</x:f>
        <x:v>4284.78</x:v>
      </x:c>
      <x:c r="R209" s="55" t="n">
        <x:f>IF(O209=0,0,ROUND(Q209/O209,4))</x:f>
        <x:v>0.3117</x:v>
      </x:c>
      <x:c r="S209" s="53" t="n">
        <x:v>13</x:v>
      </x:c>
      <x:c r="T209" t="str">
        <x:v>Entregue com atraso</x:v>
      </x:c>
      <x:c r="U209" t="n">
        <x:v>3</x:v>
      </x:c>
      <x:c r="V209" t="str"/>
    </x:row>
    <x:row r="210">
      <x:c r="A210" s="52" t="n">
        <x:v>46217</x:v>
      </x:c>
      <x:c r="B210" t="str">
        <x:v>PED-100209</x:v>
      </x:c>
      <x:c r="C210" t="str">
        <x:v>Cliente 092</x:v>
      </x:c>
      <x:c r="D210" t="str">
        <x:v>AM</x:v>
      </x:c>
      <x:c r="E210" t="str">
        <x:v>Norte</x:v>
      </x:c>
      <x:c r="F210" t="str">
        <x:v>E-commerce</x:v>
      </x:c>
      <x:c r="G210" t="str">
        <x:v>Tecnologia</x:v>
      </x:c>
      <x:c r="H210" t="str">
        <x:v>Monitor 27</x:v>
      </x:c>
      <x:c r="I210" t="str">
        <x:v>Bruno</x:v>
      </x:c>
      <x:c r="J210" s="53" t="n">
        <x:v>4</x:v>
      </x:c>
      <x:c r="K210" s="54" t="n">
        <x:v>1683.15</x:v>
      </x:c>
      <x:c r="L210" s="54" t="n">
        <x:v>1110.01</x:v>
      </x:c>
      <x:c r="M210" s="55" t="n">
        <x:v>0</x:v>
      </x:c>
      <x:c r="N210" s="54" t="n">
        <x:f>ROUND(J210*K210,2)</x:f>
        <x:v>6732.6</x:v>
      </x:c>
      <x:c r="O210" s="54" t="n">
        <x:f>ROUND(N210*(1-M210),2)</x:f>
        <x:v>6732.6</x:v>
      </x:c>
      <x:c r="P210" s="54" t="n">
        <x:f>ROUND(J210*L210,2)</x:f>
        <x:v>4440.04</x:v>
      </x:c>
      <x:c r="Q210" s="54" t="n">
        <x:f>ROUND(O210-P210,2)</x:f>
        <x:v>2292.56</x:v>
      </x:c>
      <x:c r="R210" s="55" t="n">
        <x:f>IF(O210=0,0,ROUND(Q210/O210,4))</x:f>
        <x:v>0.3405</x:v>
      </x:c>
      <x:c r="S210" s="53" t="n">
        <x:v>2</x:v>
      </x:c>
      <x:c r="T210" t="str">
        <x:v>Entregue</x:v>
      </x:c>
      <x:c r="U210" t="n">
        <x:v>2</x:v>
      </x:c>
      <x:c r="V210" t="str"/>
    </x:row>
    <x:row r="211">
      <x:c r="A211" s="52" t="n">
        <x:v>46095</x:v>
      </x:c>
      <x:c r="B211" t="str">
        <x:v>PED-100210</x:v>
      </x:c>
      <x:c r="C211" t="str">
        <x:v>Cliente 085</x:v>
      </x:c>
      <x:c r="D211" t="str">
        <x:v>SC</x:v>
      </x:c>
      <x:c r="E211" t="str">
        <x:v>Sul</x:v>
      </x:c>
      <x:c r="F211" t="str">
        <x:v>E-commerce</x:v>
      </x:c>
      <x:c r="G211" t="str">
        <x:v>Escritório</x:v>
      </x:c>
      <x:c r="H211" t="str">
        <x:v>Luminária LED</x:v>
      </x:c>
      <x:c r="I211" t="str">
        <x:v>Elaine</x:v>
      </x:c>
      <x:c r="J211" s="53" t="n">
        <x:v>5</x:v>
      </x:c>
      <x:c r="K211" s="54" t="n">
        <x:v>259.68</x:v>
      </x:c>
      <x:c r="L211" s="54" t="n">
        <x:v>118.5</x:v>
      </x:c>
      <x:c r="M211" s="55" t="n">
        <x:v>0.0816</x:v>
      </x:c>
      <x:c r="N211" s="54" t="n">
        <x:f>ROUND(J211*K211,2)</x:f>
        <x:v>1298.4</x:v>
      </x:c>
      <x:c r="O211" s="54" t="n">
        <x:f>ROUND(N211*(1-M211),2)</x:f>
        <x:v>1192.45</x:v>
      </x:c>
      <x:c r="P211" s="54" t="n">
        <x:f>ROUND(J211*L211,2)</x:f>
        <x:v>592.5</x:v>
      </x:c>
      <x:c r="Q211" s="54" t="n">
        <x:f>ROUND(O211-P211,2)</x:f>
        <x:v>599.95</x:v>
      </x:c>
      <x:c r="R211" s="55" t="n">
        <x:f>IF(O211=0,0,ROUND(Q211/O211,4))</x:f>
        <x:v>0.5031</x:v>
      </x:c>
      <x:c r="S211" s="53" t="n">
        <x:v>10</x:v>
      </x:c>
      <x:c r="T211" t="str">
        <x:v>Entregue</x:v>
      </x:c>
      <x:c r="U211" t="n">
        <x:v>2</x:v>
      </x:c>
      <x:c r="V211" t="str"/>
    </x:row>
    <x:row r="212">
      <x:c r="A212" s="52" t="n">
        <x:v>46135</x:v>
      </x:c>
      <x:c r="B212" t="str">
        <x:v>PED-100211</x:v>
      </x:c>
      <x:c r="C212" t="str">
        <x:v>Cliente 019</x:v>
      </x:c>
      <x:c r="D212" t="str">
        <x:v>PR</x:v>
      </x:c>
      <x:c r="E212" t="str">
        <x:v>Sul</x:v>
      </x:c>
      <x:c r="F212" t="str">
        <x:v>Televendas</x:v>
      </x:c>
      <x:c r="G212" t="str">
        <x:v>Casa</x:v>
      </x:c>
      <x:c r="H212" t="str">
        <x:v>Aspirador Robô</x:v>
      </x:c>
      <x:c r="I212" t="str">
        <x:v>Bruno</x:v>
      </x:c>
      <x:c r="J212" s="53" t="n">
        <x:v>8</x:v>
      </x:c>
      <x:c r="K212" s="54" t="n">
        <x:v>1803.95</x:v>
      </x:c>
      <x:c r="L212" s="54" t="n">
        <x:v>1188.97</x:v>
      </x:c>
      <x:c r="M212" s="55" t="n">
        <x:v>0.0007</x:v>
      </x:c>
      <x:c r="N212" s="54" t="n">
        <x:f>ROUND(J212*K212,2)</x:f>
        <x:v>14431.6</x:v>
      </x:c>
      <x:c r="O212" s="54" t="n">
        <x:f>ROUND(N212*(1-M212),2)</x:f>
        <x:v>14421.5</x:v>
      </x:c>
      <x:c r="P212" s="54" t="n">
        <x:f>ROUND(J212*L212,2)</x:f>
        <x:v>9511.76</x:v>
      </x:c>
      <x:c r="Q212" s="54" t="n">
        <x:f>ROUND(O212-P212,2)</x:f>
        <x:v>4909.74</x:v>
      </x:c>
      <x:c r="R212" s="55" t="n">
        <x:f>IF(O212=0,0,ROUND(Q212/O212,4))</x:f>
        <x:v>0.3404</x:v>
      </x:c>
      <x:c r="S212" s="53" t="n">
        <x:v>13</x:v>
      </x:c>
      <x:c r="T212" t="str">
        <x:v>Entregue com atraso</x:v>
      </x:c>
      <x:c r="U212" t="n">
        <x:v>3</x:v>
      </x:c>
      <x:c r="V212" t="str"/>
    </x:row>
    <x:row r="213">
      <x:c r="A213" s="52" t="n">
        <x:v>46034</x:v>
      </x:c>
      <x:c r="B213" t="str">
        <x:v>PED-100212</x:v>
      </x:c>
      <x:c r="C213" t="str">
        <x:v>Cliente 045</x:v>
      </x:c>
      <x:c r="D213" t="str">
        <x:v>RJ</x:v>
      </x:c>
      <x:c r="E213" t="str">
        <x:v>Sudeste</x:v>
      </x:c>
      <x:c r="F213" t="str">
        <x:v>Marketplace</x:v>
      </x:c>
      <x:c r="G213" t="str">
        <x:v>Tecnologia</x:v>
      </x:c>
      <x:c r="H213" t="str">
        <x:v>Notebook Pro</x:v>
      </x:c>
      <x:c r="I213" t="str">
        <x:v>Elaine</x:v>
      </x:c>
      <x:c r="J213" s="53" t="n">
        <x:v>8</x:v>
      </x:c>
      <x:c r="K213" s="54" t="n">
        <x:v>5550.63</x:v>
      </x:c>
      <x:c r="L213" s="54" t="n">
        <x:v>6426.3</x:v>
      </x:c>
      <x:c r="M213" s="55" t="n">
        <x:v>0.035</x:v>
      </x:c>
      <x:c r="N213" s="54" t="n">
        <x:f>ROUND(J213*K213,2)</x:f>
        <x:v>44405.04</x:v>
      </x:c>
      <x:c r="O213" s="54" t="n">
        <x:f>ROUND(N213*(1-M213),2)</x:f>
        <x:v>42850.86</x:v>
      </x:c>
      <x:c r="P213" s="54" t="n">
        <x:f>ROUND(J213*L213,2)</x:f>
        <x:v>51410.4</x:v>
      </x:c>
      <x:c r="Q213" s="54" t="n">
        <x:f>ROUND(O213-P213,2)</x:f>
        <x:v>-8559.54</x:v>
      </x:c>
      <x:c r="R213" s="55" t="n">
        <x:f>IF(O213=0,0,ROUND(Q213/O213,4))</x:f>
        <x:v>-0.1998</x:v>
      </x:c>
      <x:c r="S213" s="53" t="n">
        <x:v>8</x:v>
      </x:c>
      <x:c r="T213" t="str">
        <x:v>Entregue</x:v>
      </x:c>
      <x:c r="U213" t="n">
        <x:v>3</x:v>
      </x:c>
      <x:c r="V213" t="str">
        <x:v>Custo revisado após fechamento</x:v>
      </x:c>
    </x:row>
    <x:row r="214">
      <x:c r="A214" s="52" t="n">
        <x:v>46157</x:v>
      </x:c>
      <x:c r="B214" t="str">
        <x:v>PED-100213</x:v>
      </x:c>
      <x:c r="C214" t="str">
        <x:v>Cliente 055</x:v>
      </x:c>
      <x:c r="D214" t="str">
        <x:v>MA</x:v>
      </x:c>
      <x:c r="E214" t="str">
        <x:v>Nordeste</x:v>
      </x:c>
      <x:c r="F214" t="str">
        <x:v>Loja</x:v>
      </x:c>
      <x:c r="G214" t="str">
        <x:v>Escritório</x:v>
      </x:c>
      <x:c r="H214" t="str">
        <x:v>Luminária LED</x:v>
      </x:c>
      <x:c r="I214" t="str">
        <x:v>Felipe</x:v>
      </x:c>
      <x:c r="J214" s="53" t="n">
        <x:v>3</x:v>
      </x:c>
      <x:c r="K214" s="54" t="n">
        <x:v>253.56</x:v>
      </x:c>
      <x:c r="L214" s="54" t="n">
        <x:v>121.41</x:v>
      </x:c>
      <x:c r="M214" s="55" t="n">
        <x:v>0.0227</x:v>
      </x:c>
      <x:c r="N214" s="54" t="n">
        <x:f>ROUND(J214*K214,2)</x:f>
        <x:v>760.68</x:v>
      </x:c>
      <x:c r="O214" s="54" t="n">
        <x:f>ROUND(N214*(1-M214),2)</x:f>
        <x:v>743.41</x:v>
      </x:c>
      <x:c r="P214" s="54" t="n">
        <x:f>ROUND(J214*L214,2)</x:f>
        <x:v>364.23</x:v>
      </x:c>
      <x:c r="Q214" s="54" t="n">
        <x:f>ROUND(O214-P214,2)</x:f>
        <x:v>379.18</x:v>
      </x:c>
      <x:c r="R214" s="55" t="n">
        <x:f>IF(O214=0,0,ROUND(Q214/O214,4))</x:f>
        <x:v>0.5101</x:v>
      </x:c>
      <x:c r="S214" s="53" t="n">
        <x:v>9</x:v>
      </x:c>
      <x:c r="T214" t="str">
        <x:v>Entregue</x:v>
      </x:c>
      <x:c r="U214" t="n">
        <x:v>4</x:v>
      </x:c>
      <x:c r="V214" t="str"/>
    </x:row>
    <x:row r="215">
      <x:c r="A215" s="52" t="n">
        <x:v>46171</x:v>
      </x:c>
      <x:c r="B215" t="str">
        <x:v>PED-100214</x:v>
      </x:c>
      <x:c r="C215" t="str">
        <x:v>Cliente 034</x:v>
      </x:c>
      <x:c r="D215" t="str">
        <x:v>RJ</x:v>
      </x:c>
      <x:c r="E215" t="str">
        <x:v>Sudeste</x:v>
      </x:c>
      <x:c r="F215" t="str">
        <x:v>Marketplace</x:v>
      </x:c>
      <x:c r="G215" t="str">
        <x:v>Casa</x:v>
      </x:c>
      <x:c r="H215" t="str">
        <x:v>Aspirador Robô</x:v>
      </x:c>
      <x:c r="I215" t="str">
        <x:v>Felipe</x:v>
      </x:c>
      <x:c r="J215" s="53" t="n">
        <x:v>6</x:v>
      </x:c>
      <x:c r="K215" s="54" t="n">
        <x:v>1873.52</x:v>
      </x:c>
      <x:c r="L215" s="54" t="n">
        <x:v>1179.45</x:v>
      </x:c>
      <x:c r="M215" s="55" t="n">
        <x:v>0.035</x:v>
      </x:c>
      <x:c r="N215" s="54" t="n">
        <x:f>ROUND(J215*K215,2)</x:f>
        <x:v>11241.12</x:v>
      </x:c>
      <x:c r="O215" s="54" t="n">
        <x:f>ROUND(N215*(1-M215),2)</x:f>
        <x:v>10847.68</x:v>
      </x:c>
      <x:c r="P215" s="54" t="n">
        <x:f>ROUND(J215*L215,2)</x:f>
        <x:v>7076.7</x:v>
      </x:c>
      <x:c r="Q215" s="54" t="n">
        <x:f>ROUND(O215-P215,2)</x:f>
        <x:v>3770.98</x:v>
      </x:c>
      <x:c r="R215" s="55" t="n">
        <x:f>IF(O215=0,0,ROUND(Q215/O215,4))</x:f>
        <x:v>0.3476</x:v>
      </x:c>
      <x:c r="S215" s="53" t="n">
        <x:v>5</x:v>
      </x:c>
      <x:c r="T215" t="str">
        <x:v>Entregue</x:v>
      </x:c>
      <x:c r="U215" t="n">
        <x:v>2</x:v>
      </x:c>
      <x:c r="V215" t="str"/>
    </x:row>
    <x:row r="216">
      <x:c r="A216" s="52" t="n">
        <x:v>46031</x:v>
      </x:c>
      <x:c r="B216" t="str">
        <x:v>PED-100215</x:v>
      </x:c>
      <x:c r="C216" t="str">
        <x:v>Cliente 059</x:v>
      </x:c>
      <x:c r="D216" t="str">
        <x:v>AM</x:v>
      </x:c>
      <x:c r="E216" t="str">
        <x:v>Norte</x:v>
      </x:c>
      <x:c r="F216" t="str">
        <x:v>E-commerce</x:v>
      </x:c>
      <x:c r="G216" t="str">
        <x:v>Casa</x:v>
      </x:c>
      <x:c r="H216" t="str">
        <x:v>Aspirador Robô</x:v>
      </x:c>
      <x:c r="I216" t="str">
        <x:v>Bruno</x:v>
      </x:c>
      <x:c r="J216" s="53" t="n">
        <x:v>3</x:v>
      </x:c>
      <x:c r="K216" s="54" t="n">
        <x:v>1809.78</x:v>
      </x:c>
      <x:c r="L216" s="54" t="n">
        <x:v>1237.21</x:v>
      </x:c>
      <x:c r="M216" s="55" t="n">
        <x:v>0.0544</x:v>
      </x:c>
      <x:c r="N216" s="54" t="n">
        <x:f>ROUND(J216*K216,2)</x:f>
        <x:v>5429.34</x:v>
      </x:c>
      <x:c r="O216" s="54" t="n">
        <x:f>ROUND(N216*(1-M216),2)</x:f>
        <x:v>5133.98</x:v>
      </x:c>
      <x:c r="P216" s="54" t="n">
        <x:f>ROUND(J216*L216,2)</x:f>
        <x:v>3711.63</x:v>
      </x:c>
      <x:c r="Q216" s="54" t="n">
        <x:f>ROUND(O216-P216,2)</x:f>
        <x:v>1422.35</x:v>
      </x:c>
      <x:c r="R216" s="55" t="n">
        <x:f>IF(O216=0,0,ROUND(Q216/O216,4))</x:f>
        <x:v>0.277</x:v>
      </x:c>
      <x:c r="S216" s="53" t="n">
        <x:v>14</x:v>
      </x:c>
      <x:c r="T216" t="str">
        <x:v>Entregue com atraso</x:v>
      </x:c>
      <x:c r="U216" t="n">
        <x:v>3</x:v>
      </x:c>
      <x:c r="V216" t="str"/>
    </x:row>
    <x:row r="217">
      <x:c r="A217" s="52" t="n">
        <x:v>46056</x:v>
      </x:c>
      <x:c r="B217" t="str">
        <x:v>PED-100216</x:v>
      </x:c>
      <x:c r="C217" t="str">
        <x:v>Cliente 035</x:v>
      </x:c>
      <x:c r="D217" t="str">
        <x:v>MA</x:v>
      </x:c>
      <x:c r="E217" t="str">
        <x:v>Nordeste</x:v>
      </x:c>
      <x:c r="F217" t="str">
        <x:v>Televendas</x:v>
      </x:c>
      <x:c r="G217" t="str">
        <x:v>Casa</x:v>
      </x:c>
      <x:c r="H217" t="str">
        <x:v>Purificador</x:v>
      </x:c>
      <x:c r="I217" t="str">
        <x:v>Diego</x:v>
      </x:c>
      <x:c r="J217" s="53" t="n">
        <x:v>3</x:v>
      </x:c>
      <x:c r="K217" s="54" t="n">
        <x:v>1271.39</x:v>
      </x:c>
      <x:c r="L217" s="54" t="n">
        <x:v>772.9</x:v>
      </x:c>
      <x:c r="M217" s="55" t="n">
        <x:v>0.0955</x:v>
      </x:c>
      <x:c r="N217" s="54" t="n">
        <x:f>ROUND(J217*K217,2)</x:f>
        <x:v>3814.17</x:v>
      </x:c>
      <x:c r="O217" s="54" t="n">
        <x:f>ROUND(N217*(1-M217),2)</x:f>
        <x:v>3449.92</x:v>
      </x:c>
      <x:c r="P217" s="54" t="n">
        <x:f>ROUND(J217*L217,2)</x:f>
        <x:v>2318.7</x:v>
      </x:c>
      <x:c r="Q217" s="54" t="n">
        <x:f>ROUND(O217-P217,2)</x:f>
        <x:v>1131.22</x:v>
      </x:c>
      <x:c r="R217" s="55" t="n">
        <x:f>IF(O217=0,0,ROUND(Q217/O217,4))</x:f>
        <x:v>0.3279</x:v>
      </x:c>
      <x:c r="S217" s="53" t="n">
        <x:v>13</x:v>
      </x:c>
      <x:c r="T217" t="str">
        <x:v>Entregue com atraso</x:v>
      </x:c>
      <x:c r="U217" t="n">
        <x:v>5</x:v>
      </x:c>
      <x:c r="V217" t="str"/>
    </x:row>
    <x:row r="218">
      <x:c r="A218" s="52" t="n">
        <x:v>46024</x:v>
      </x:c>
      <x:c r="B218" t="str">
        <x:v>PED-100217</x:v>
      </x:c>
      <x:c r="C218" t="str">
        <x:v>Cliente 051</x:v>
      </x:c>
      <x:c r="D218" t="str">
        <x:v>MG</x:v>
      </x:c>
      <x:c r="E218" t="str">
        <x:v>Sudeste</x:v>
      </x:c>
      <x:c r="F218" t="str">
        <x:v>Marketplace</x:v>
      </x:c>
      <x:c r="G218" t="str">
        <x:v>Acessórios</x:v>
      </x:c>
      <x:c r="H218" t="str">
        <x:v>Hub USB-C</x:v>
      </x:c>
      <x:c r="I218" t="str">
        <x:v>Isabela</x:v>
      </x:c>
      <x:c r="J218" s="53" t="n">
        <x:v>8</x:v>
      </x:c>
      <x:c r="K218" s="54" t="n">
        <x:v>318.65</x:v>
      </x:c>
      <x:c r="L218" s="54" t="n">
        <x:v>132.01</x:v>
      </x:c>
      <x:c r="M218" s="55" t="n">
        <x:v>0.035</x:v>
      </x:c>
      <x:c r="N218" s="54" t="n">
        <x:f>ROUND(J218*K218,2)</x:f>
        <x:v>2549.2</x:v>
      </x:c>
      <x:c r="O218" s="54" t="n">
        <x:f>ROUND(N218*(1-M218),2)</x:f>
        <x:v>2459.98</x:v>
      </x:c>
      <x:c r="P218" s="54" t="n">
        <x:f>ROUND(J218*L218,2)</x:f>
        <x:v>1056.08</x:v>
      </x:c>
      <x:c r="Q218" s="54" t="n">
        <x:f>ROUND(O218-P218,2)</x:f>
        <x:v>1403.9</x:v>
      </x:c>
      <x:c r="R218" s="55" t="n">
        <x:f>IF(O218=0,0,ROUND(Q218/O218,4))</x:f>
        <x:v>0.5707</x:v>
      </x:c>
      <x:c r="S218" s="53" t="n">
        <x:v>4</x:v>
      </x:c>
      <x:c r="T218" t="str">
        <x:v>Entregue</x:v>
      </x:c>
      <x:c r="U218" t="n">
        <x:v>5</x:v>
      </x:c>
      <x:c r="V218" t="str"/>
    </x:row>
    <x:row r="219">
      <x:c r="A219" s="52" t="n">
        <x:v>46181</x:v>
      </x:c>
      <x:c r="B219" t="str">
        <x:v>PED-100218</x:v>
      </x:c>
      <x:c r="C219" t="str">
        <x:v>Cliente 059</x:v>
      </x:c>
      <x:c r="D219" t="str">
        <x:v>PE</x:v>
      </x:c>
      <x:c r="E219" t="str">
        <x:v>Nordeste</x:v>
      </x:c>
      <x:c r="F219" t="str">
        <x:v>Loja</x:v>
      </x:c>
      <x:c r="G219" t="str">
        <x:v>Tecnologia</x:v>
      </x:c>
      <x:c r="H219" t="str">
        <x:v>Headset Office</x:v>
      </x:c>
      <x:c r="I219" t="str">
        <x:v>Elaine</x:v>
      </x:c>
      <x:c r="J219" s="53" t="n">
        <x:v>8</x:v>
      </x:c>
      <x:c r="K219" s="54" t="n">
        <x:v>404.18</x:v>
      </x:c>
      <x:c r="L219" s="54" t="n">
        <x:v>213.51</x:v>
      </x:c>
      <x:c r="M219" s="55" t="n">
        <x:v>0.0179</x:v>
      </x:c>
      <x:c r="N219" s="54" t="n">
        <x:f>ROUND(J219*K219,2)</x:f>
        <x:v>3233.44</x:v>
      </x:c>
      <x:c r="O219" s="54" t="n">
        <x:f>ROUND(N219*(1-M219),2)</x:f>
        <x:v>3175.56</x:v>
      </x:c>
      <x:c r="P219" s="54" t="n">
        <x:f>ROUND(J219*L219,2)</x:f>
        <x:v>1708.08</x:v>
      </x:c>
      <x:c r="Q219" s="54" t="n">
        <x:f>ROUND(O219-P219,2)</x:f>
        <x:v>1467.48</x:v>
      </x:c>
      <x:c r="R219" s="55" t="n">
        <x:f>IF(O219=0,0,ROUND(Q219/O219,4))</x:f>
        <x:v>0.4621</x:v>
      </x:c>
      <x:c r="S219" s="53" t="n">
        <x:v>9</x:v>
      </x:c>
      <x:c r="T219" t="str">
        <x:v>Entregue</x:v>
      </x:c>
      <x:c r="U219" t="n">
        <x:v>2</x:v>
      </x:c>
      <x:c r="V219" t="str"/>
    </x:row>
    <x:row r="220">
      <x:c r="A220" s="52" t="n">
        <x:v>46062</x:v>
      </x:c>
      <x:c r="B220" t="str">
        <x:v>PED-100219</x:v>
      </x:c>
      <x:c r="C220" t="str">
        <x:v>Cliente 043</x:v>
      </x:c>
      <x:c r="D220" t="str">
        <x:v>MT</x:v>
      </x:c>
      <x:c r="E220" t="str">
        <x:v>Centro-Oeste</x:v>
      </x:c>
      <x:c r="F220" t="str">
        <x:v>Loja</x:v>
      </x:c>
      <x:c r="G220" t="str">
        <x:v>Tecnologia</x:v>
      </x:c>
      <x:c r="H220" t="str">
        <x:v>Headset Office</x:v>
      </x:c>
      <x:c r="I220" t="str">
        <x:v>Carla</x:v>
      </x:c>
      <x:c r="J220" s="53" t="n">
        <x:v>8</x:v>
      </x:c>
      <x:c r="K220" s="54" t="n">
        <x:v>375.02</x:v>
      </x:c>
      <x:c r="L220" s="54" t="n">
        <x:v>213.9</x:v>
      </x:c>
      <x:c r="M220" s="55" t="n">
        <x:v>0</x:v>
      </x:c>
      <x:c r="N220" s="54" t="n">
        <x:f>ROUND(J220*K220,2)</x:f>
        <x:v>3000.16</x:v>
      </x:c>
      <x:c r="O220" s="54" t="n">
        <x:f>ROUND(N220*(1-M220),2)</x:f>
        <x:v>3000.16</x:v>
      </x:c>
      <x:c r="P220" s="54" t="n">
        <x:f>ROUND(J220*L220,2)</x:f>
        <x:v>1711.2</x:v>
      </x:c>
      <x:c r="Q220" s="54" t="n">
        <x:f>ROUND(O220-P220,2)</x:f>
        <x:v>1288.96</x:v>
      </x:c>
      <x:c r="R220" s="55" t="n">
        <x:f>IF(O220=0,0,ROUND(Q220/O220,4))</x:f>
        <x:v>0.4296</x:v>
      </x:c>
      <x:c r="S220" s="53" t="n">
        <x:v>6</x:v>
      </x:c>
      <x:c r="T220" t="str">
        <x:v>Entregue</x:v>
      </x:c>
      <x:c r="U220" t="n">
        <x:v>4</x:v>
      </x:c>
      <x:c r="V220" t="str"/>
    </x:row>
    <x:row r="221">
      <x:c r="A221" s="52" t="n">
        <x:v>46059</x:v>
      </x:c>
      <x:c r="B221" t="str">
        <x:v>PED-100220</x:v>
      </x:c>
      <x:c r="C221" t="str">
        <x:v>Cliente 094</x:v>
      </x:c>
      <x:c r="D221" t="str">
        <x:v>BA</x:v>
      </x:c>
      <x:c r="E221" t="str">
        <x:v>Nordeste</x:v>
      </x:c>
      <x:c r="F221" t="str">
        <x:v>E-commerce</x:v>
      </x:c>
      <x:c r="G221" t="str">
        <x:v>Escritório</x:v>
      </x:c>
      <x:c r="H221" t="str">
        <x:v>Cadeira Ergonômica</x:v>
      </x:c>
      <x:c r="I221" t="str">
        <x:v>Bruno</x:v>
      </x:c>
      <x:c r="J221" s="53" t="n">
        <x:v>5</x:v>
      </x:c>
      <x:c r="K221" s="54" t="n">
        <x:v>2103.63</x:v>
      </x:c>
      <x:c r="L221" s="54" t="n">
        <x:v>1473.85</x:v>
      </x:c>
      <x:c r="M221" s="55" t="n">
        <x:v>0</x:v>
      </x:c>
      <x:c r="N221" s="54" t="n">
        <x:f>ROUND(J221*K221,2)</x:f>
        <x:v>10518.15</x:v>
      </x:c>
      <x:c r="O221" s="54" t="n">
        <x:f>ROUND(N221*(1-M221),2)</x:f>
        <x:v>10518.15</x:v>
      </x:c>
      <x:c r="P221" s="54" t="n">
        <x:f>ROUND(J221*L221,2)</x:f>
        <x:v>7369.25</x:v>
      </x:c>
      <x:c r="Q221" s="54" t="n">
        <x:f>ROUND(O221-P221,2)</x:f>
        <x:v>3148.9</x:v>
      </x:c>
      <x:c r="R221" s="55" t="n">
        <x:f>IF(O221=0,0,ROUND(Q221/O221,4))</x:f>
        <x:v>0.2994</x:v>
      </x:c>
      <x:c r="S221" s="53" t="n">
        <x:v>29</x:v>
      </x:c>
      <x:c r="T221" t="str">
        <x:v>Entregue com atraso</x:v>
      </x:c>
      <x:c r="U221" t="n">
        <x:v>1</x:v>
      </x:c>
      <x:c r="V221" t="str">
        <x:v>Ocorrência logística</x:v>
      </x:c>
    </x:row>
    <x:row r="222">
      <x:c r="A222" s="52" t="n">
        <x:v>46096</x:v>
      </x:c>
      <x:c r="B222" t="str">
        <x:v>PED-100221</x:v>
      </x:c>
      <x:c r="C222" t="str">
        <x:v>Cliente 007</x:v>
      </x:c>
      <x:c r="D222" t="str">
        <x:v>PR</x:v>
      </x:c>
      <x:c r="E222" t="str">
        <x:v>Sul</x:v>
      </x:c>
      <x:c r="F222" t="str">
        <x:v>Loja</x:v>
      </x:c>
      <x:c r="G222" t="str">
        <x:v>Escritório</x:v>
      </x:c>
      <x:c r="H222" t="str">
        <x:v>Cadeira Ergonômica</x:v>
      </x:c>
      <x:c r="I222" t="str">
        <x:v>Bruno</x:v>
      </x:c>
      <x:c r="J222" s="53" t="n">
        <x:v>3</x:v>
      </x:c>
      <x:c r="K222" s="54" t="n">
        <x:v>2161.31</x:v>
      </x:c>
      <x:c r="L222" s="54" t="n">
        <x:v>1433.47</x:v>
      </x:c>
      <x:c r="M222" s="55" t="n">
        <x:v>0.0386</x:v>
      </x:c>
      <x:c r="N222" s="54" t="n">
        <x:f>ROUND(J222*K222,2)</x:f>
        <x:v>6483.93</x:v>
      </x:c>
      <x:c r="O222" s="54" t="n">
        <x:f>ROUND(N222*(1-M222),2)</x:f>
        <x:v>6233.65</x:v>
      </x:c>
      <x:c r="P222" s="54" t="n">
        <x:f>ROUND(J222*L222,2)</x:f>
        <x:v>4300.41</x:v>
      </x:c>
      <x:c r="Q222" s="54" t="n">
        <x:f>ROUND(O222-P222,2)</x:f>
        <x:v>1933.24</x:v>
      </x:c>
      <x:c r="R222" s="55" t="n">
        <x:f>IF(O222=0,0,ROUND(Q222/O222,4))</x:f>
        <x:v>0.3101</x:v>
      </x:c>
      <x:c r="S222" s="53" t="n">
        <x:v>13</x:v>
      </x:c>
      <x:c r="T222" t="str">
        <x:v>Entregue com atraso</x:v>
      </x:c>
      <x:c r="U222" t="n">
        <x:v>2</x:v>
      </x:c>
      <x:c r="V222" t="str"/>
    </x:row>
    <x:row r="223">
      <x:c r="A223" s="52" t="n">
        <x:v>46156</x:v>
      </x:c>
      <x:c r="B223" t="str">
        <x:v>PED-100222</x:v>
      </x:c>
      <x:c r="C223" t="str">
        <x:v>Cliente 051</x:v>
      </x:c>
      <x:c r="D223" t="str">
        <x:v>SP</x:v>
      </x:c>
      <x:c r="E223" t="str">
        <x:v>Sudeste</x:v>
      </x:c>
      <x:c r="F223" t="str">
        <x:v>Loja</x:v>
      </x:c>
      <x:c r="G223" t="str">
        <x:v>Tecnologia</x:v>
      </x:c>
      <x:c r="H223" t="str">
        <x:v>Notebook Pro</x:v>
      </x:c>
      <x:c r="I223" t="str">
        <x:v>Isabela</x:v>
      </x:c>
      <x:c r="J223" s="53" t="n">
        <x:v>3</x:v>
      </x:c>
      <x:c r="K223" s="54" t="n">
        <x:v>5680.03</x:v>
      </x:c>
      <x:c r="L223" s="54" t="n">
        <x:v>4278.61</x:v>
      </x:c>
      <x:c r="M223" s="55" t="n">
        <x:v>0.1157</x:v>
      </x:c>
      <x:c r="N223" s="54" t="n">
        <x:f>ROUND(J223*K223,2)</x:f>
        <x:v>17040.09</x:v>
      </x:c>
      <x:c r="O223" s="54" t="n">
        <x:f>ROUND(N223*(1-M223),2)</x:f>
        <x:v>15068.55</x:v>
      </x:c>
      <x:c r="P223" s="54" t="n">
        <x:f>ROUND(J223*L223,2)</x:f>
        <x:v>12835.83</x:v>
      </x:c>
      <x:c r="Q223" s="54" t="n">
        <x:f>ROUND(O223-P223,2)</x:f>
        <x:v>2232.72</x:v>
      </x:c>
      <x:c r="R223" s="55" t="n">
        <x:f>IF(O223=0,0,ROUND(Q223/O223,4))</x:f>
        <x:v>0.1482</x:v>
      </x:c>
      <x:c r="S223" s="53" t="n">
        <x:v>14</x:v>
      </x:c>
      <x:c r="T223" t="str">
        <x:v>Entregue com atraso</x:v>
      </x:c>
      <x:c r="U223" t="n">
        <x:v>3</x:v>
      </x:c>
      <x:c r="V223" t="str"/>
    </x:row>
    <x:row r="224">
      <x:c r="A224" s="52" t="n">
        <x:v>46073</x:v>
      </x:c>
      <x:c r="B224" t="str">
        <x:v>PED-100223</x:v>
      </x:c>
      <x:c r="C224" t="str">
        <x:v>Cliente 079</x:v>
      </x:c>
      <x:c r="D224" t="str">
        <x:v>ES</x:v>
      </x:c>
      <x:c r="E224" t="str">
        <x:v>Sudeste</x:v>
      </x:c>
      <x:c r="F224" t="str">
        <x:v>E-commerce</x:v>
      </x:c>
      <x:c r="G224" t="str">
        <x:v>Tecnologia</x:v>
      </x:c>
      <x:c r="H224" t="str">
        <x:v>Monitor 27</x:v>
      </x:c>
      <x:c r="I224" t="str">
        <x:v>Felipe</x:v>
      </x:c>
      <x:c r="J224" s="53" t="n">
        <x:v>3</x:v>
      </x:c>
      <x:c r="K224" s="54" t="n">
        <x:v>1754.12</x:v>
      </x:c>
      <x:c r="L224" s="54" t="n">
        <x:v>1095.55</x:v>
      </x:c>
      <x:c r="M224" s="55" t="n">
        <x:v>0</x:v>
      </x:c>
      <x:c r="N224" s="54" t="n">
        <x:f>ROUND(J224*K224,2)</x:f>
        <x:v>5262.36</x:v>
      </x:c>
      <x:c r="O224" s="54" t="n">
        <x:f>ROUND(N224*(1-M224),2)</x:f>
        <x:v>5262.36</x:v>
      </x:c>
      <x:c r="P224" s="54" t="n">
        <x:f>ROUND(J224*L224,2)</x:f>
        <x:v>3286.65</x:v>
      </x:c>
      <x:c r="Q224" s="54" t="n">
        <x:f>ROUND(O224-P224,2)</x:f>
        <x:v>1975.71</x:v>
      </x:c>
      <x:c r="R224" s="55" t="n">
        <x:f>IF(O224=0,0,ROUND(Q224/O224,4))</x:f>
        <x:v>0.3754</x:v>
      </x:c>
      <x:c r="S224" s="53" t="n">
        <x:v>4</x:v>
      </x:c>
      <x:c r="T224" t="str">
        <x:v>Entregue</x:v>
      </x:c>
      <x:c r="U224" t="n">
        <x:v>3</x:v>
      </x:c>
      <x:c r="V224" t="str"/>
    </x:row>
    <x:row r="225">
      <x:c r="A225" s="52" t="n">
        <x:v>46188</x:v>
      </x:c>
      <x:c r="B225" t="str">
        <x:v>PED-100224</x:v>
      </x:c>
      <x:c r="C225" t="str">
        <x:v>Cliente 100</x:v>
      </x:c>
      <x:c r="D225" t="str">
        <x:v>PE</x:v>
      </x:c>
      <x:c r="E225" t="str">
        <x:v>Nordeste</x:v>
      </x:c>
      <x:c r="F225" t="str">
        <x:v>Televendas</x:v>
      </x:c>
      <x:c r="G225" t="str">
        <x:v>Tecnologia</x:v>
      </x:c>
      <x:c r="H225" t="str">
        <x:v>Notebook Pro</x:v>
      </x:c>
      <x:c r="I225" t="str">
        <x:v>Elaine</x:v>
      </x:c>
      <x:c r="J225" s="53" t="n">
        <x:v>7</x:v>
      </x:c>
      <x:c r="K225" s="54" t="n">
        <x:v>6020.95</x:v>
      </x:c>
      <x:c r="L225" s="54" t="n">
        <x:v>4340.86</x:v>
      </x:c>
      <x:c r="M225" s="55" t="n">
        <x:v>0</x:v>
      </x:c>
      <x:c r="N225" s="54" t="n">
        <x:f>ROUND(J225*K225,2)</x:f>
        <x:v>42146.65</x:v>
      </x:c>
      <x:c r="O225" s="54" t="n">
        <x:f>ROUND(N225*(1-M225),2)</x:f>
        <x:v>42146.65</x:v>
      </x:c>
      <x:c r="P225" s="54" t="n">
        <x:f>ROUND(J225*L225,2)</x:f>
        <x:v>30386.02</x:v>
      </x:c>
      <x:c r="Q225" s="54" t="n">
        <x:f>ROUND(O225-P225,2)</x:f>
        <x:v>11760.63</x:v>
      </x:c>
      <x:c r="R225" s="55" t="n">
        <x:f>IF(O225=0,0,ROUND(Q225/O225,4))</x:f>
        <x:v>0.279</x:v>
      </x:c>
      <x:c r="S225" s="53" t="n">
        <x:v>7</x:v>
      </x:c>
      <x:c r="T225" t="str">
        <x:v>Entregue</x:v>
      </x:c>
      <x:c r="U225" t="n">
        <x:v>4</x:v>
      </x:c>
      <x:c r="V225" t="str"/>
    </x:row>
    <x:row r="226">
      <x:c r="A226" s="52" t="n">
        <x:v>46053</x:v>
      </x:c>
      <x:c r="B226" t="str">
        <x:v>PED-100225</x:v>
      </x:c>
      <x:c r="C226" t="str">
        <x:v>Cliente 102</x:v>
      </x:c>
      <x:c r="D226" t="str">
        <x:v>DF</x:v>
      </x:c>
      <x:c r="E226" t="str">
        <x:v>Centro-Oeste</x:v>
      </x:c>
      <x:c r="F226" t="str">
        <x:v>Marketplace</x:v>
      </x:c>
      <x:c r="G226" t="str">
        <x:v>Escritório</x:v>
      </x:c>
      <x:c r="H226" t="str">
        <x:v>Cadeira Ergonômica</x:v>
      </x:c>
      <x:c r="I226" t="str">
        <x:v>Ana</x:v>
      </x:c>
      <x:c r="J226" s="53" t="n">
        <x:v>4</x:v>
      </x:c>
      <x:c r="K226" s="54" t="n">
        <x:v>2217.52</x:v>
      </x:c>
      <x:c r="L226" s="54" t="n">
        <x:v>1431.44</x:v>
      </x:c>
      <x:c r="M226" s="55" t="n">
        <x:v>0.0638</x:v>
      </x:c>
      <x:c r="N226" s="54" t="n">
        <x:f>ROUND(J226*K226,2)</x:f>
        <x:v>8870.08</x:v>
      </x:c>
      <x:c r="O226" s="54" t="n">
        <x:f>ROUND(N226*(1-M226),2)</x:f>
        <x:v>8304.17</x:v>
      </x:c>
      <x:c r="P226" s="54" t="n">
        <x:f>ROUND(J226*L226,2)</x:f>
        <x:v>5725.76</x:v>
      </x:c>
      <x:c r="Q226" s="54" t="n">
        <x:f>ROUND(O226-P226,2)</x:f>
        <x:v>2578.41</x:v>
      </x:c>
      <x:c r="R226" s="55" t="n">
        <x:f>IF(O226=0,0,ROUND(Q226/O226,4))</x:f>
        <x:v>0.3105</x:v>
      </x:c>
      <x:c r="S226" s="53" t="n">
        <x:v>3</x:v>
      </x:c>
      <x:c r="T226" t="str">
        <x:v>Entregue</x:v>
      </x:c>
      <x:c r="U226" t="n">
        <x:v>4</x:v>
      </x:c>
      <x:c r="V226" t="str"/>
    </x:row>
    <x:row r="227">
      <x:c r="A227" s="52" t="n">
        <x:v>46127</x:v>
      </x:c>
      <x:c r="B227" t="str">
        <x:v>PED-100226</x:v>
      </x:c>
      <x:c r="C227" t="str">
        <x:v>Cliente 009</x:v>
      </x:c>
      <x:c r="D227" t="str">
        <x:v>AM</x:v>
      </x:c>
      <x:c r="E227" t="str">
        <x:v>Norte</x:v>
      </x:c>
      <x:c r="F227" t="str">
        <x:v>E-commerce</x:v>
      </x:c>
      <x:c r="G227" t="str">
        <x:v>Escritório</x:v>
      </x:c>
      <x:c r="H227" t="str">
        <x:v>Cadeira Ergonômica</x:v>
      </x:c>
      <x:c r="I227" t="str">
        <x:v>Bruno</x:v>
      </x:c>
      <x:c r="J227" s="53" t="n">
        <x:v>2</x:v>
      </x:c>
      <x:c r="K227" s="54" t="n">
        <x:v>2314.55</x:v>
      </x:c>
      <x:c r="L227" s="54" t="n">
        <x:v>1472.65</x:v>
      </x:c>
      <x:c r="M227" s="55" t="n">
        <x:v>0.1073</x:v>
      </x:c>
      <x:c r="N227" s="54" t="n">
        <x:f>ROUND(J227*K227,2)</x:f>
        <x:v>4629.1</x:v>
      </x:c>
      <x:c r="O227" s="54" t="n">
        <x:f>ROUND(N227*(1-M227),2)</x:f>
        <x:v>4132.4</x:v>
      </x:c>
      <x:c r="P227" s="54" t="n">
        <x:f>ROUND(J227*L227,2)</x:f>
        <x:v>2945.3</x:v>
      </x:c>
      <x:c r="Q227" s="54" t="n">
        <x:f>ROUND(O227-P227,2)</x:f>
        <x:v>1187.1</x:v>
      </x:c>
      <x:c r="R227" s="55" t="n">
        <x:f>IF(O227=0,0,ROUND(Q227/O227,4))</x:f>
        <x:v>0.2873</x:v>
      </x:c>
      <x:c r="S227" s="53" t="n">
        <x:v>4</x:v>
      </x:c>
      <x:c r="T227" t="str">
        <x:v>Entregue</x:v>
      </x:c>
      <x:c r="U227" t="n">
        <x:v>4</x:v>
      </x:c>
      <x:c r="V227" t="str"/>
    </x:row>
    <x:row r="228">
      <x:c r="A228" s="52" t="n">
        <x:v>46035</x:v>
      </x:c>
      <x:c r="B228" t="str">
        <x:v>PED-100227</x:v>
      </x:c>
      <x:c r="C228" t="str">
        <x:v>Cliente 083</x:v>
      </x:c>
      <x:c r="D228" t="str">
        <x:v>SC</x:v>
      </x:c>
      <x:c r="E228" t="str">
        <x:v>Sul</x:v>
      </x:c>
      <x:c r="F228" t="str">
        <x:v>E-commerce</x:v>
      </x:c>
      <x:c r="G228" t="str">
        <x:v>Tecnologia</x:v>
      </x:c>
      <x:c r="H228" t="str">
        <x:v>Notebook Pro</x:v>
      </x:c>
      <x:c r="I228" t="str">
        <x:v>Elaine</x:v>
      </x:c>
      <x:c r="J228" s="53" t="n">
        <x:v>7</x:v>
      </x:c>
      <x:c r="K228" s="54" t="n">
        <x:v>5997.2</x:v>
      </x:c>
      <x:c r="L228" s="54" t="n">
        <x:v>4180.12</x:v>
      </x:c>
      <x:c r="M228" s="55" t="n">
        <x:v>0</x:v>
      </x:c>
      <x:c r="N228" s="54" t="n">
        <x:f>ROUND(J228*K228,2)</x:f>
        <x:v>41980.4</x:v>
      </x:c>
      <x:c r="O228" s="54" t="n">
        <x:f>ROUND(N228*(1-M228),2)</x:f>
        <x:v>41980.4</x:v>
      </x:c>
      <x:c r="P228" s="54" t="n">
        <x:f>ROUND(J228*L228,2)</x:f>
        <x:v>29260.84</x:v>
      </x:c>
      <x:c r="Q228" s="54" t="n">
        <x:f>ROUND(O228-P228,2)</x:f>
        <x:v>12719.56</x:v>
      </x:c>
      <x:c r="R228" s="55" t="n">
        <x:f>IF(O228=0,0,ROUND(Q228/O228,4))</x:f>
        <x:v>0.303</x:v>
      </x:c>
      <x:c r="S228" s="53" t="n">
        <x:v>2</x:v>
      </x:c>
      <x:c r="T228" t="str">
        <x:v>Entregue</x:v>
      </x:c>
      <x:c r="U228" t="n">
        <x:v>5</x:v>
      </x:c>
      <x:c r="V228" t="str"/>
    </x:row>
    <x:row r="229">
      <x:c r="A229" s="52" t="n">
        <x:v>46161</x:v>
      </x:c>
      <x:c r="B229" t="str">
        <x:v>PED-100228</x:v>
      </x:c>
      <x:c r="C229" t="str">
        <x:v>Cliente 013</x:v>
      </x:c>
      <x:c r="D229" t="str">
        <x:v>DF</x:v>
      </x:c>
      <x:c r="E229" t="str">
        <x:v>Centro-Oeste</x:v>
      </x:c>
      <x:c r="F229" t="str">
        <x:v>Marketplace</x:v>
      </x:c>
      <x:c r="G229" t="str">
        <x:v>Casa</x:v>
      </x:c>
      <x:c r="H229" t="str">
        <x:v>Aspirador Robô</x:v>
      </x:c>
      <x:c r="I229" t="str">
        <x:v>Felipe</x:v>
      </x:c>
      <x:c r="J229" s="53" t="n">
        <x:v>4</x:v>
      </x:c>
      <x:c r="K229" s="54" t="n">
        <x:v>1881.08</x:v>
      </x:c>
      <x:c r="L229" s="54" t="n">
        <x:v>1210.97</x:v>
      </x:c>
      <x:c r="M229" s="55" t="n">
        <x:v>0.1556</x:v>
      </x:c>
      <x:c r="N229" s="54" t="n">
        <x:f>ROUND(J229*K229,2)</x:f>
        <x:v>7524.32</x:v>
      </x:c>
      <x:c r="O229" s="54" t="n">
        <x:f>ROUND(N229*(1-M229),2)</x:f>
        <x:v>6353.54</x:v>
      </x:c>
      <x:c r="P229" s="54" t="n">
        <x:f>ROUND(J229*L229,2)</x:f>
        <x:v>4843.88</x:v>
      </x:c>
      <x:c r="Q229" s="54" t="n">
        <x:f>ROUND(O229-P229,2)</x:f>
        <x:v>1509.66</x:v>
      </x:c>
      <x:c r="R229" s="55" t="n">
        <x:f>IF(O229=0,0,ROUND(Q229/O229,4))</x:f>
        <x:v>0.2376</x:v>
      </x:c>
      <x:c r="S229" s="53" t="n">
        <x:v>2</x:v>
      </x:c>
      <x:c r="T229" t="str">
        <x:v>Entregue</x:v>
      </x:c>
      <x:c r="U229" t="n">
        <x:v>3</x:v>
      </x:c>
      <x:c r="V229" t="str"/>
    </x:row>
    <x:row r="230">
      <x:c r="A230" s="52" t="n">
        <x:v>46231</x:v>
      </x:c>
      <x:c r="B230" t="str">
        <x:v>PED-100229</x:v>
      </x:c>
      <x:c r="C230" t="str">
        <x:v>Cliente 046</x:v>
      </x:c>
      <x:c r="D230" t="str">
        <x:v>AM</x:v>
      </x:c>
      <x:c r="E230" t="str">
        <x:v>Norte</x:v>
      </x:c>
      <x:c r="F230" t="str">
        <x:v>E-commerce</x:v>
      </x:c>
      <x:c r="G230" t="str">
        <x:v>Escritório</x:v>
      </x:c>
      <x:c r="H230" t="str">
        <x:v>Luminária LED</x:v>
      </x:c>
      <x:c r="I230" t="str">
        <x:v>Henrique</x:v>
      </x:c>
      <x:c r="J230" s="53" t="n">
        <x:v>6</x:v>
      </x:c>
      <x:c r="K230" s="54" t="n">
        <x:v>250.92</x:v>
      </x:c>
      <x:c r="L230" s="54" t="n">
        <x:v>118.22</x:v>
      </x:c>
      <x:c r="M230" s="55" t="n">
        <x:v>0.0349</x:v>
      </x:c>
      <x:c r="N230" s="54" t="n">
        <x:f>ROUND(J230*K230,2)</x:f>
        <x:v>1505.52</x:v>
      </x:c>
      <x:c r="O230" s="54" t="n">
        <x:f>ROUND(N230*(1-M230),2)</x:f>
        <x:v>1452.98</x:v>
      </x:c>
      <x:c r="P230" s="54" t="n">
        <x:f>ROUND(J230*L230,2)</x:f>
        <x:v>709.32</x:v>
      </x:c>
      <x:c r="Q230" s="54" t="n">
        <x:f>ROUND(O230-P230,2)</x:f>
        <x:v>743.66</x:v>
      </x:c>
      <x:c r="R230" s="55" t="n">
        <x:f>IF(O230=0,0,ROUND(Q230/O230,4))</x:f>
        <x:v>0.5118</x:v>
      </x:c>
      <x:c r="S230" s="53" t="n">
        <x:v>14</x:v>
      </x:c>
      <x:c r="T230" t="str">
        <x:v>Entregue com atraso</x:v>
      </x:c>
      <x:c r="U230" t="n">
        <x:v>4</x:v>
      </x:c>
      <x:c r="V230" t="str"/>
    </x:row>
    <x:row r="231">
      <x:c r="A231" s="52" t="n">
        <x:v>46183</x:v>
      </x:c>
      <x:c r="B231" t="str">
        <x:v>PED-100230</x:v>
      </x:c>
      <x:c r="C231" t="str">
        <x:v>Cliente 102</x:v>
      </x:c>
      <x:c r="D231" t="str">
        <x:v>CE</x:v>
      </x:c>
      <x:c r="E231" t="str">
        <x:v>Nordeste</x:v>
      </x:c>
      <x:c r="F231" t="str">
        <x:v>E-commerce</x:v>
      </x:c>
      <x:c r="G231" t="str">
        <x:v>Tecnologia</x:v>
      </x:c>
      <x:c r="H231" t="str">
        <x:v>Monitor 27</x:v>
      </x:c>
      <x:c r="I231" t="str">
        <x:v>Diego</x:v>
      </x:c>
      <x:c r="J231" s="53" t="n">
        <x:v>4</x:v>
      </x:c>
      <x:c r="K231" s="54" t="n">
        <x:v>1715.15</x:v>
      </x:c>
      <x:c r="L231" s="54" t="n">
        <x:v>1144.02</x:v>
      </x:c>
      <x:c r="M231" s="55" t="n">
        <x:v>0.1175</x:v>
      </x:c>
      <x:c r="N231" s="54" t="n">
        <x:f>ROUND(J231*K231,2)</x:f>
        <x:v>6860.6</x:v>
      </x:c>
      <x:c r="O231" s="54" t="n">
        <x:f>ROUND(N231*(1-M231),2)</x:f>
        <x:v>6054.48</x:v>
      </x:c>
      <x:c r="P231" s="54" t="n">
        <x:f>ROUND(J231*L231,2)</x:f>
        <x:v>4576.08</x:v>
      </x:c>
      <x:c r="Q231" s="54" t="n">
        <x:f>ROUND(O231-P231,2)</x:f>
        <x:v>1478.4</x:v>
      </x:c>
      <x:c r="R231" s="55" t="n">
        <x:f>IF(O231=0,0,ROUND(Q231/O231,4))</x:f>
        <x:v>0.2442</x:v>
      </x:c>
      <x:c r="S231" s="53" t="n">
        <x:v>7</x:v>
      </x:c>
      <x:c r="T231" t="str">
        <x:v>Entregue</x:v>
      </x:c>
      <x:c r="U231" t="n">
        <x:v>5</x:v>
      </x:c>
      <x:c r="V231" t="str"/>
    </x:row>
    <x:row r="232">
      <x:c r="A232" s="52" t="n">
        <x:v>46095</x:v>
      </x:c>
      <x:c r="B232" t="str">
        <x:v>PED-100231</x:v>
      </x:c>
      <x:c r="C232" t="str">
        <x:v>Cliente 034</x:v>
      </x:c>
      <x:c r="D232" t="str">
        <x:v>SC</x:v>
      </x:c>
      <x:c r="E232" t="str">
        <x:v>Sul</x:v>
      </x:c>
      <x:c r="F232" t="str">
        <x:v>Marketplace</x:v>
      </x:c>
      <x:c r="G232" t="str">
        <x:v>Casa</x:v>
      </x:c>
      <x:c r="H232" t="str">
        <x:v>Purificador</x:v>
      </x:c>
      <x:c r="I232" t="str">
        <x:v>Felipe</x:v>
      </x:c>
      <x:c r="J232" s="53" t="n">
        <x:v>2</x:v>
      </x:c>
      <x:c r="K232" s="54" t="n">
        <x:v>1260.24</x:v>
      </x:c>
      <x:c r="L232" s="54" t="n">
        <x:v>788.01</x:v>
      </x:c>
      <x:c r="M232" s="55" t="n">
        <x:v>0.1459</x:v>
      </x:c>
      <x:c r="N232" s="54" t="n">
        <x:f>ROUND(J232*K232,2)</x:f>
        <x:v>2520.48</x:v>
      </x:c>
      <x:c r="O232" s="54" t="n">
        <x:f>ROUND(N232*(1-M232),2)</x:f>
        <x:v>2152.74</x:v>
      </x:c>
      <x:c r="P232" s="54" t="n">
        <x:f>ROUND(J232*L232,2)</x:f>
        <x:v>1576.02</x:v>
      </x:c>
      <x:c r="Q232" s="54" t="n">
        <x:f>ROUND(O232-P232,2)</x:f>
        <x:v>576.72</x:v>
      </x:c>
      <x:c r="R232" s="55" t="n">
        <x:f>IF(O232=0,0,ROUND(Q232/O232,4))</x:f>
        <x:v>0.2679</x:v>
      </x:c>
      <x:c r="S232" s="53" t="n">
        <x:v>10</x:v>
      </x:c>
      <x:c r="T232" t="str">
        <x:v>Entregue</x:v>
      </x:c>
      <x:c r="U232" t="n">
        <x:v>4</x:v>
      </x:c>
      <x:c r="V232" t="str"/>
    </x:row>
    <x:row r="233">
      <x:c r="A233" s="52" t="n">
        <x:v>46037</x:v>
      </x:c>
      <x:c r="B233" t="str">
        <x:v>PED-100232</x:v>
      </x:c>
      <x:c r="C233" t="str">
        <x:v>Cliente 119</x:v>
      </x:c>
      <x:c r="D233" t="str">
        <x:v>CE</x:v>
      </x:c>
      <x:c r="E233" t="str">
        <x:v>Nordeste</x:v>
      </x:c>
      <x:c r="F233" t="str">
        <x:v>E-commerce</x:v>
      </x:c>
      <x:c r="G233" t="str">
        <x:v>Casa</x:v>
      </x:c>
      <x:c r="H233" t="str">
        <x:v>Aspirador Robô</x:v>
      </x:c>
      <x:c r="I233" t="str">
        <x:v>João</x:v>
      </x:c>
      <x:c r="J233" s="53" t="n">
        <x:v>5</x:v>
      </x:c>
      <x:c r="K233" s="54" t="n">
        <x:v>1964.51</x:v>
      </x:c>
      <x:c r="L233" s="54" t="n">
        <x:v>1289.14</x:v>
      </x:c>
      <x:c r="M233" s="55" t="n">
        <x:v>0</x:v>
      </x:c>
      <x:c r="N233" s="54" t="n">
        <x:f>ROUND(J233*K233,2)</x:f>
        <x:v>9822.55</x:v>
      </x:c>
      <x:c r="O233" s="54" t="n">
        <x:f>ROUND(N233*(1-M233),2)</x:f>
        <x:v>9822.55</x:v>
      </x:c>
      <x:c r="P233" s="54" t="n">
        <x:f>ROUND(J233*L233,2)</x:f>
        <x:v>6445.7</x:v>
      </x:c>
      <x:c r="Q233" s="54" t="n">
        <x:f>ROUND(O233-P233,2)</x:f>
        <x:v>3376.85</x:v>
      </x:c>
      <x:c r="R233" s="55" t="n">
        <x:f>IF(O233=0,0,ROUND(Q233/O233,4))</x:f>
        <x:v>0.3438</x:v>
      </x:c>
      <x:c r="S233" s="53" t="n">
        <x:v>4</x:v>
      </x:c>
      <x:c r="T233" t="str">
        <x:v>Entregue</x:v>
      </x:c>
      <x:c r="U233" t="n">
        <x:v>4</x:v>
      </x:c>
      <x:c r="V233" t="str"/>
    </x:row>
    <x:row r="234">
      <x:c r="A234" s="52" t="n">
        <x:v>46196</x:v>
      </x:c>
      <x:c r="B234" t="str">
        <x:v>PED-100233</x:v>
      </x:c>
      <x:c r="C234" t="str">
        <x:v>Cliente 086</x:v>
      </x:c>
      <x:c r="D234" t="str">
        <x:v>MG</x:v>
      </x:c>
      <x:c r="E234" t="str">
        <x:v>Sudeste</x:v>
      </x:c>
      <x:c r="F234" t="str">
        <x:v>Televendas</x:v>
      </x:c>
      <x:c r="G234" t="str">
        <x:v>Casa</x:v>
      </x:c>
      <x:c r="H234" t="str">
        <x:v>Cafeteira Smart</x:v>
      </x:c>
      <x:c r="I234" t="str">
        <x:v>Elaine</x:v>
      </x:c>
      <x:c r="J234" s="53" t="n">
        <x:v>1</x:v>
      </x:c>
      <x:c r="K234" s="54" t="n">
        <x:v>791.96</x:v>
      </x:c>
      <x:c r="L234" s="54" t="n">
        <x:v>464.99</x:v>
      </x:c>
      <x:c r="M234" s="55" t="n">
        <x:v>0.0749</x:v>
      </x:c>
      <x:c r="N234" s="54" t="n">
        <x:f>ROUND(J234*K234,2)</x:f>
        <x:v>791.96</x:v>
      </x:c>
      <x:c r="O234" s="54" t="n">
        <x:f>ROUND(N234*(1-M234),2)</x:f>
        <x:v>732.64</x:v>
      </x:c>
      <x:c r="P234" s="54" t="n">
        <x:f>ROUND(J234*L234,2)</x:f>
        <x:v>464.99</x:v>
      </x:c>
      <x:c r="Q234" s="54" t="n">
        <x:f>ROUND(O234-P234,2)</x:f>
        <x:v>267.65</x:v>
      </x:c>
      <x:c r="R234" s="55" t="n">
        <x:f>IF(O234=0,0,ROUND(Q234/O234,4))</x:f>
        <x:v>0.3653</x:v>
      </x:c>
      <x:c r="S234" s="53" t="n">
        <x:v>4</x:v>
      </x:c>
      <x:c r="T234" t="str">
        <x:v>Entregue</x:v>
      </x:c>
      <x:c r="U234" t="n">
        <x:v>4</x:v>
      </x:c>
      <x:c r="V234" t="str"/>
    </x:row>
    <x:row r="235">
      <x:c r="A235" s="52" t="n">
        <x:v>46116</x:v>
      </x:c>
      <x:c r="B235" t="str">
        <x:v>PED-100234</x:v>
      </x:c>
      <x:c r="C235" t="str">
        <x:v>Cliente 094</x:v>
      </x:c>
      <x:c r="D235" t="str">
        <x:v>MT</x:v>
      </x:c>
      <x:c r="E235" t="str">
        <x:v>Centro-Oeste</x:v>
      </x:c>
      <x:c r="F235" t="str">
        <x:v>Televendas</x:v>
      </x:c>
      <x:c r="G235" t="str">
        <x:v>Acessórios</x:v>
      </x:c>
      <x:c r="H235" t="str">
        <x:v>Hub USB-C</x:v>
      </x:c>
      <x:c r="I235" t="str">
        <x:v>Henrique</x:v>
      </x:c>
      <x:c r="J235" s="53" t="n">
        <x:v>4</x:v>
      </x:c>
      <x:c r="K235" s="54" t="n">
        <x:v>322.14</x:v>
      </x:c>
      <x:c r="L235" s="54" t="n">
        <x:v>138.93</x:v>
      </x:c>
      <x:c r="M235" s="55" t="n">
        <x:v>0.083</x:v>
      </x:c>
      <x:c r="N235" s="54" t="n">
        <x:f>ROUND(J235*K235,2)</x:f>
        <x:v>1288.56</x:v>
      </x:c>
      <x:c r="O235" s="54" t="n">
        <x:f>ROUND(N235*(1-M235),2)</x:f>
        <x:v>1181.61</x:v>
      </x:c>
      <x:c r="P235" s="54" t="n">
        <x:f>ROUND(J235*L235,2)</x:f>
        <x:v>555.72</x:v>
      </x:c>
      <x:c r="Q235" s="54" t="n">
        <x:f>ROUND(O235-P235,2)</x:f>
        <x:v>625.89</x:v>
      </x:c>
      <x:c r="R235" s="55" t="n">
        <x:f>IF(O235=0,0,ROUND(Q235/O235,4))</x:f>
        <x:v>0.5297</x:v>
      </x:c>
      <x:c r="S235" s="53" t="n">
        <x:v>9</x:v>
      </x:c>
      <x:c r="T235" t="str">
        <x:v>Cancelado</x:v>
      </x:c>
      <x:c r="U235"/>
      <x:c r="V235" t="str"/>
    </x:row>
    <x:row r="236">
      <x:c r="A236" s="52" t="n">
        <x:v>46219</x:v>
      </x:c>
      <x:c r="B236" t="str">
        <x:v>PED-100235</x:v>
      </x:c>
      <x:c r="C236" t="str">
        <x:v>Cliente 079</x:v>
      </x:c>
      <x:c r="D236" t="str">
        <x:v>GO</x:v>
      </x:c>
      <x:c r="E236" t="str">
        <x:v>Centro-Oeste</x:v>
      </x:c>
      <x:c r="F236" t="str">
        <x:v>Loja</x:v>
      </x:c>
      <x:c r="G236" t="str">
        <x:v>Escritório</x:v>
      </x:c>
      <x:c r="H236" t="str">
        <x:v>Mesa Ajustável</x:v>
      </x:c>
      <x:c r="I236" t="str">
        <x:v>Bruno</x:v>
      </x:c>
      <x:c r="J236" s="53" t="n">
        <x:v>6</x:v>
      </x:c>
      <x:c r="K236" s="54" t="n">
        <x:v>2754.86</x:v>
      </x:c>
      <x:c r="L236" s="54" t="n">
        <x:v>1846.95</x:v>
      </x:c>
      <x:c r="M236" s="55" t="n">
        <x:v>0.0713</x:v>
      </x:c>
      <x:c r="N236" s="54" t="n">
        <x:f>ROUND(J236*K236,2)</x:f>
        <x:v>16529.16</x:v>
      </x:c>
      <x:c r="O236" s="54" t="n">
        <x:f>ROUND(N236*(1-M236),2)</x:f>
        <x:v>15350.63</x:v>
      </x:c>
      <x:c r="P236" s="54" t="n">
        <x:f>ROUND(J236*L236,2)</x:f>
        <x:v>11081.7</x:v>
      </x:c>
      <x:c r="Q236" s="54" t="n">
        <x:f>ROUND(O236-P236,2)</x:f>
        <x:v>4268.93</x:v>
      </x:c>
      <x:c r="R236" s="55" t="n">
        <x:f>IF(O236=0,0,ROUND(Q236/O236,4))</x:f>
        <x:v>0.2781</x:v>
      </x:c>
      <x:c r="S236" s="53" t="n">
        <x:v>9</x:v>
      </x:c>
      <x:c r="T236" t="str">
        <x:v>Entregue</x:v>
      </x:c>
      <x:c r="U236" t="n">
        <x:v>5</x:v>
      </x:c>
      <x:c r="V236" t="str"/>
    </x:row>
    <x:row r="237">
      <x:c r="A237" s="52" t="n">
        <x:v>46102</x:v>
      </x:c>
      <x:c r="B237" t="str">
        <x:v>PED-100236</x:v>
      </x:c>
      <x:c r="C237" t="str">
        <x:v>Cliente 086</x:v>
      </x:c>
      <x:c r="D237" t="str">
        <x:v>RS</x:v>
      </x:c>
      <x:c r="E237" t="str">
        <x:v>Sul</x:v>
      </x:c>
      <x:c r="F237" t="str">
        <x:v>Televendas</x:v>
      </x:c>
      <x:c r="G237" t="str">
        <x:v>Casa</x:v>
      </x:c>
      <x:c r="H237" t="str">
        <x:v>Purificador</x:v>
      </x:c>
      <x:c r="I237" t="str">
        <x:v>Diego</x:v>
      </x:c>
      <x:c r="J237" s="53" t="n">
        <x:v>6</x:v>
      </x:c>
      <x:c r="K237" s="54" t="n">
        <x:v>1342.03</x:v>
      </x:c>
      <x:c r="L237" s="54" t="n">
        <x:v>751.76</x:v>
      </x:c>
      <x:c r="M237" s="55" t="n">
        <x:v>0</x:v>
      </x:c>
      <x:c r="N237" s="54" t="n">
        <x:f>ROUND(J237*K237,2)</x:f>
        <x:v>8052.18</x:v>
      </x:c>
      <x:c r="O237" s="54" t="n">
        <x:f>ROUND(N237*(1-M237),2)</x:f>
        <x:v>8052.18</x:v>
      </x:c>
      <x:c r="P237" s="54" t="n">
        <x:f>ROUND(J237*L237,2)</x:f>
        <x:v>4510.56</x:v>
      </x:c>
      <x:c r="Q237" s="54" t="n">
        <x:f>ROUND(O237-P237,2)</x:f>
        <x:v>3541.62</x:v>
      </x:c>
      <x:c r="R237" s="55" t="n">
        <x:f>IF(O237=0,0,ROUND(Q237/O237,4))</x:f>
        <x:v>0.4398</x:v>
      </x:c>
      <x:c r="S237" s="53" t="n">
        <x:v>3</x:v>
      </x:c>
      <x:c r="T237" t="str">
        <x:v>Entregue</x:v>
      </x:c>
      <x:c r="U237" t="n">
        <x:v>3</x:v>
      </x:c>
      <x:c r="V237" t="str"/>
    </x:row>
    <x:row r="238">
      <x:c r="A238" s="52" t="n">
        <x:v>46129</x:v>
      </x:c>
      <x:c r="B238" t="str">
        <x:v>PED-100237</x:v>
      </x:c>
      <x:c r="C238" t="str">
        <x:v>Cliente 016</x:v>
      </x:c>
      <x:c r="D238" t="str">
        <x:v>PE</x:v>
      </x:c>
      <x:c r="E238" t="str">
        <x:v>Nordeste</x:v>
      </x:c>
      <x:c r="F238" t="str">
        <x:v>Marketplace</x:v>
      </x:c>
      <x:c r="G238" t="str">
        <x:v>Tecnologia</x:v>
      </x:c>
      <x:c r="H238" t="str">
        <x:v>Notebook Pro</x:v>
      </x:c>
      <x:c r="I238" t="str">
        <x:v>Gabriela</x:v>
      </x:c>
      <x:c r="J238" s="53" t="n">
        <x:v>4</x:v>
      </x:c>
      <x:c r="K238" s="54" t="n">
        <x:v>6074.07</x:v>
      </x:c>
      <x:c r="L238" s="54" t="n">
        <x:v>4352.92</x:v>
      </x:c>
      <x:c r="M238" s="55" t="n">
        <x:v>0.035</x:v>
      </x:c>
      <x:c r="N238" s="54" t="n">
        <x:f>ROUND(J238*K238,2)</x:f>
        <x:v>24296.28</x:v>
      </x:c>
      <x:c r="O238" s="54" t="n">
        <x:f>ROUND(N238*(1-M238),2)</x:f>
        <x:v>23445.91</x:v>
      </x:c>
      <x:c r="P238" s="54" t="n">
        <x:f>ROUND(J238*L238,2)</x:f>
        <x:v>17411.68</x:v>
      </x:c>
      <x:c r="Q238" s="54" t="n">
        <x:f>ROUND(O238-P238,2)</x:f>
        <x:v>6034.23</x:v>
      </x:c>
      <x:c r="R238" s="55" t="n">
        <x:f>IF(O238=0,0,ROUND(Q238/O238,4))</x:f>
        <x:v>0.2574</x:v>
      </x:c>
      <x:c r="S238" s="53" t="n">
        <x:v>3</x:v>
      </x:c>
      <x:c r="T238" t="str">
        <x:v>Entregue</x:v>
      </x:c>
      <x:c r="U238" t="n">
        <x:v>2</x:v>
      </x:c>
      <x:c r="V238" t="str"/>
    </x:row>
    <x:row r="239">
      <x:c r="A239" s="52" t="n">
        <x:v>46169</x:v>
      </x:c>
      <x:c r="B239" t="str">
        <x:v>PED-100238</x:v>
      </x:c>
      <x:c r="C239" t="str">
        <x:v>Cliente 079</x:v>
      </x:c>
      <x:c r="D239" t="str">
        <x:v>DF</x:v>
      </x:c>
      <x:c r="E239" t="str">
        <x:v>Centro-Oeste</x:v>
      </x:c>
      <x:c r="F239" t="str">
        <x:v>Loja</x:v>
      </x:c>
      <x:c r="G239" t="str">
        <x:v>Tecnologia</x:v>
      </x:c>
      <x:c r="H239" t="str">
        <x:v>Notebook Pro</x:v>
      </x:c>
      <x:c r="I239" t="str">
        <x:v>Ana</x:v>
      </x:c>
      <x:c r="J239" s="53" t="n">
        <x:v>2</x:v>
      </x:c>
      <x:c r="K239" s="54" t="n">
        <x:v>6191.32</x:v>
      </x:c>
      <x:c r="L239" s="54" t="n">
        <x:v>4323.85</x:v>
      </x:c>
      <x:c r="M239" s="55" t="n">
        <x:v>0.084</x:v>
      </x:c>
      <x:c r="N239" s="54" t="n">
        <x:f>ROUND(J239*K239,2)</x:f>
        <x:v>12382.64</x:v>
      </x:c>
      <x:c r="O239" s="54" t="n">
        <x:f>ROUND(N239*(1-M239),2)</x:f>
        <x:v>11342.5</x:v>
      </x:c>
      <x:c r="P239" s="54" t="n">
        <x:f>ROUND(J239*L239,2)</x:f>
        <x:v>8647.7</x:v>
      </x:c>
      <x:c r="Q239" s="54" t="n">
        <x:f>ROUND(O239-P239,2)</x:f>
        <x:v>2694.8</x:v>
      </x:c>
      <x:c r="R239" s="55" t="n">
        <x:f>IF(O239=0,0,ROUND(Q239/O239,4))</x:f>
        <x:v>0.2376</x:v>
      </x:c>
      <x:c r="S239" s="53" t="n">
        <x:v>4</x:v>
      </x:c>
      <x:c r="T239" t="str">
        <x:v>Entregue</x:v>
      </x:c>
      <x:c r="U239" t="n">
        <x:v>5</x:v>
      </x:c>
      <x:c r="V239" t="str"/>
    </x:row>
    <x:row r="240">
      <x:c r="A240" s="52" t="n">
        <x:v>46099</x:v>
      </x:c>
      <x:c r="B240" t="str">
        <x:v>PED-100239</x:v>
      </x:c>
      <x:c r="C240" t="str">
        <x:v>Cliente 069</x:v>
      </x:c>
      <x:c r="D240" t="str">
        <x:v>RJ</x:v>
      </x:c>
      <x:c r="E240" t="str">
        <x:v>Sudeste</x:v>
      </x:c>
      <x:c r="F240" t="str">
        <x:v>Televendas</x:v>
      </x:c>
      <x:c r="G240" t="str">
        <x:v>Tecnologia</x:v>
      </x:c>
      <x:c r="H240" t="str">
        <x:v>Notebook Pro</x:v>
      </x:c>
      <x:c r="I240" t="str">
        <x:v>João</x:v>
      </x:c>
      <x:c r="J240" s="53" t="n">
        <x:v>6</x:v>
      </x:c>
      <x:c r="K240" s="54" t="n">
        <x:v>5987.96</x:v>
      </x:c>
      <x:c r="L240" s="54" t="n">
        <x:v>4441.35</x:v>
      </x:c>
      <x:c r="M240" s="55" t="n">
        <x:v>0</x:v>
      </x:c>
      <x:c r="N240" s="54" t="n">
        <x:f>ROUND(J240*K240,2)</x:f>
        <x:v>35927.76</x:v>
      </x:c>
      <x:c r="O240" s="54" t="n">
        <x:f>ROUND(N240*(1-M240),2)</x:f>
        <x:v>35927.76</x:v>
      </x:c>
      <x:c r="P240" s="54" t="n">
        <x:f>ROUND(J240*L240,2)</x:f>
        <x:v>26648.1</x:v>
      </x:c>
      <x:c r="Q240" s="54" t="n">
        <x:f>ROUND(O240-P240,2)</x:f>
        <x:v>9279.66</x:v>
      </x:c>
      <x:c r="R240" s="55" t="n">
        <x:f>IF(O240=0,0,ROUND(Q240/O240,4))</x:f>
        <x:v>0.2583</x:v>
      </x:c>
      <x:c r="S240" s="53" t="n">
        <x:v>11</x:v>
      </x:c>
      <x:c r="T240" t="str">
        <x:v>Entregue com atraso</x:v>
      </x:c>
      <x:c r="U240" t="n">
        <x:v>4</x:v>
      </x:c>
      <x:c r="V240" t="str"/>
    </x:row>
    <x:row r="241">
      <x:c r="A241" s="52" t="n">
        <x:v>46217</x:v>
      </x:c>
      <x:c r="B241" t="str">
        <x:v>PED-100240</x:v>
      </x:c>
      <x:c r="C241" t="str">
        <x:v>Cliente 034</x:v>
      </x:c>
      <x:c r="D241" t="str">
        <x:v>AM</x:v>
      </x:c>
      <x:c r="E241" t="str">
        <x:v>Norte</x:v>
      </x:c>
      <x:c r="F241" t="str">
        <x:v>Marketplace</x:v>
      </x:c>
      <x:c r="G241" t="str">
        <x:v>Acessórios</x:v>
      </x:c>
      <x:c r="H241" t="str">
        <x:v>Webcam HD</x:v>
      </x:c>
      <x:c r="I241" t="str">
        <x:v>Diego</x:v>
      </x:c>
      <x:c r="J241" s="53" t="n">
        <x:v>2</x:v>
      </x:c>
      <x:c r="K241" s="54" t="n">
        <x:v>500.51</x:v>
      </x:c>
      <x:c r="L241" s="54" t="n">
        <x:v>246.95</x:v>
      </x:c>
      <x:c r="M241" s="55" t="n">
        <x:v>0.035</x:v>
      </x:c>
      <x:c r="N241" s="54" t="n">
        <x:f>ROUND(J241*K241,2)</x:f>
        <x:v>1001.02</x:v>
      </x:c>
      <x:c r="O241" s="54" t="n">
        <x:f>ROUND(N241*(1-M241),2)</x:f>
        <x:v>965.98</x:v>
      </x:c>
      <x:c r="P241" s="54" t="n">
        <x:f>ROUND(J241*L241,2)</x:f>
        <x:v>493.9</x:v>
      </x:c>
      <x:c r="Q241" s="54" t="n">
        <x:f>ROUND(O241-P241,2)</x:f>
        <x:v>472.08</x:v>
      </x:c>
      <x:c r="R241" s="55" t="n">
        <x:f>IF(O241=0,0,ROUND(Q241/O241,4))</x:f>
        <x:v>0.4887</x:v>
      </x:c>
      <x:c r="S241" s="53" t="n">
        <x:v>13</x:v>
      </x:c>
      <x:c r="T241" t="str">
        <x:v>Entregue com atraso</x:v>
      </x:c>
      <x:c r="U241" t="n">
        <x:v>5</x:v>
      </x:c>
      <x:c r="V241" t="str"/>
    </x:row>
    <x:row r="242">
      <x:c r="A242" s="52" t="n">
        <x:v>46156</x:v>
      </x:c>
      <x:c r="B242" t="str">
        <x:v>PED-100241</x:v>
      </x:c>
      <x:c r="C242" t="str">
        <x:v>Cliente 115</x:v>
      </x:c>
      <x:c r="D242" t="str">
        <x:v>ES</x:v>
      </x:c>
      <x:c r="E242" t="str">
        <x:v>Sudeste</x:v>
      </x:c>
      <x:c r="F242" t="str">
        <x:v>Loja</x:v>
      </x:c>
      <x:c r="G242" t="str">
        <x:v>Acessórios</x:v>
      </x:c>
      <x:c r="H242" t="str">
        <x:v>Webcam HD</x:v>
      </x:c>
      <x:c r="I242" t="str">
        <x:v>Isabela</x:v>
      </x:c>
      <x:c r="J242" s="53" t="n">
        <x:v>1</x:v>
      </x:c>
      <x:c r="K242" s="54" t="n">
        <x:v>519.92</x:v>
      </x:c>
      <x:c r="L242" s="54" t="n">
        <x:v>240.47</x:v>
      </x:c>
      <x:c r="M242" s="55" t="n">
        <x:v>0.0902</x:v>
      </x:c>
      <x:c r="N242" s="54" t="n">
        <x:f>ROUND(J242*K242,2)</x:f>
        <x:v>519.92</x:v>
      </x:c>
      <x:c r="O242" s="54" t="n">
        <x:f>ROUND(N242*(1-M242),2)</x:f>
        <x:v>473.02</x:v>
      </x:c>
      <x:c r="P242" s="54" t="n">
        <x:f>ROUND(J242*L242,2)</x:f>
        <x:v>240.47</x:v>
      </x:c>
      <x:c r="Q242" s="54" t="n">
        <x:f>ROUND(O242-P242,2)</x:f>
        <x:v>232.55</x:v>
      </x:c>
      <x:c r="R242" s="55" t="n">
        <x:f>IF(O242=0,0,ROUND(Q242/O242,4))</x:f>
        <x:v>0.4916</x:v>
      </x:c>
      <x:c r="S242" s="53" t="n">
        <x:v>11</x:v>
      </x:c>
      <x:c r="T242" t="str">
        <x:v>Entregue com atraso</x:v>
      </x:c>
      <x:c r="U242" t="n">
        <x:v>5</x:v>
      </x:c>
      <x:c r="V242" t="str"/>
    </x:row>
    <x:row r="243">
      <x:c r="A243" s="52" t="n">
        <x:v>46153</x:v>
      </x:c>
      <x:c r="B243" t="str">
        <x:v>PED-100242</x:v>
      </x:c>
      <x:c r="C243" t="str">
        <x:v>Cliente 086</x:v>
      </x:c>
      <x:c r="D243" t="str">
        <x:v>PR</x:v>
      </x:c>
      <x:c r="E243" t="str">
        <x:v>Sul</x:v>
      </x:c>
      <x:c r="F243" t="str">
        <x:v>Loja</x:v>
      </x:c>
      <x:c r="G243" t="str">
        <x:v>Tecnologia</x:v>
      </x:c>
      <x:c r="H243" t="str">
        <x:v>Headset Office</x:v>
      </x:c>
      <x:c r="I243" t="str">
        <x:v>Isabela</x:v>
      </x:c>
      <x:c r="J243" s="53" t="n">
        <x:v>5</x:v>
      </x:c>
      <x:c r="K243" s="54" t="n">
        <x:v>384.48</x:v>
      </x:c>
      <x:c r="L243" s="54" t="n">
        <x:v>214.45</x:v>
      </x:c>
      <x:c r="M243" s="55" t="n">
        <x:v>0.0766</x:v>
      </x:c>
      <x:c r="N243" s="54" t="n">
        <x:f>ROUND(J243*K243,2)</x:f>
        <x:v>1922.4</x:v>
      </x:c>
      <x:c r="O243" s="54" t="n">
        <x:f>ROUND(N243*(1-M243),2)</x:f>
        <x:v>1775.14</x:v>
      </x:c>
      <x:c r="P243" s="54" t="n">
        <x:f>ROUND(J243*L243,2)</x:f>
        <x:v>1072.25</x:v>
      </x:c>
      <x:c r="Q243" s="54" t="n">
        <x:f>ROUND(O243-P243,2)</x:f>
        <x:v>702.89</x:v>
      </x:c>
      <x:c r="R243" s="55" t="n">
        <x:f>IF(O243=0,0,ROUND(Q243/O243,4))</x:f>
        <x:v>0.396</x:v>
      </x:c>
      <x:c r="S243" s="53" t="n">
        <x:v>6</x:v>
      </x:c>
      <x:c r="T243" t="str">
        <x:v>Entregue</x:v>
      </x:c>
      <x:c r="U243" t="n">
        <x:v>2</x:v>
      </x:c>
      <x:c r="V243" t="str"/>
    </x:row>
    <x:row r="244">
      <x:c r="A244" s="52" t="n">
        <x:v>46059</x:v>
      </x:c>
      <x:c r="B244" t="str">
        <x:v>PED-100243</x:v>
      </x:c>
      <x:c r="C244" t="str">
        <x:v>Cliente 035</x:v>
      </x:c>
      <x:c r="D244" t="str">
        <x:v>ES</x:v>
      </x:c>
      <x:c r="E244" t="str">
        <x:v>Sudeste</x:v>
      </x:c>
      <x:c r="F244" t="str">
        <x:v>Loja</x:v>
      </x:c>
      <x:c r="G244" t="str">
        <x:v>Acessórios</x:v>
      </x:c>
      <x:c r="H244" t="str">
        <x:v>Webcam HD</x:v>
      </x:c>
      <x:c r="I244" t="str">
        <x:v>Carla</x:v>
      </x:c>
      <x:c r="J244" s="53" t="n">
        <x:v>8</x:v>
      </x:c>
      <x:c r="K244" s="54" t="n">
        <x:v>479.71</x:v>
      </x:c>
      <x:c r="L244" s="54" t="n">
        <x:v>232.93</x:v>
      </x:c>
      <x:c r="M244" s="55" t="n">
        <x:v>0.1098</x:v>
      </x:c>
      <x:c r="N244" s="54" t="n">
        <x:f>ROUND(J244*K244,2)</x:f>
        <x:v>3837.68</x:v>
      </x:c>
      <x:c r="O244" s="54" t="n">
        <x:f>ROUND(N244*(1-M244),2)</x:f>
        <x:v>3416.3</x:v>
      </x:c>
      <x:c r="P244" s="54" t="n">
        <x:f>ROUND(J244*L244,2)</x:f>
        <x:v>1863.44</x:v>
      </x:c>
      <x:c r="Q244" s="54" t="n">
        <x:f>ROUND(O244-P244,2)</x:f>
        <x:v>1552.86</x:v>
      </x:c>
      <x:c r="R244" s="55" t="n">
        <x:f>IF(O244=0,0,ROUND(Q244/O244,4))</x:f>
        <x:v>0.4545</x:v>
      </x:c>
      <x:c r="S244" s="53" t="n">
        <x:v>11</x:v>
      </x:c>
      <x:c r="T244" t="str">
        <x:v>Entregue com atraso</x:v>
      </x:c>
      <x:c r="U244" t="n">
        <x:v>4</x:v>
      </x:c>
      <x:c r="V244" t="str"/>
    </x:row>
    <x:row r="245">
      <x:c r="A245" s="52" t="n">
        <x:v>46232</x:v>
      </x:c>
      <x:c r="B245" t="str">
        <x:v>PED-100244</x:v>
      </x:c>
      <x:c r="C245" t="str">
        <x:v>Cliente 092</x:v>
      </x:c>
      <x:c r="D245" t="str">
        <x:v>PA</x:v>
      </x:c>
      <x:c r="E245" t="str">
        <x:v>Norte</x:v>
      </x:c>
      <x:c r="F245" t="str">
        <x:v>E-commerce</x:v>
      </x:c>
      <x:c r="G245" t="str">
        <x:v>Acessórios</x:v>
      </x:c>
      <x:c r="H245" t="str">
        <x:v>Webcam HD</x:v>
      </x:c>
      <x:c r="I245" t="str">
        <x:v>Felipe</x:v>
      </x:c>
      <x:c r="J245" s="53" t="n">
        <x:v>2</x:v>
      </x:c>
      <x:c r="K245" s="54" t="n">
        <x:v>491.07</x:v>
      </x:c>
      <x:c r="L245" s="54" t="n">
        <x:v>259.83</x:v>
      </x:c>
      <x:c r="M245" s="55" t="n">
        <x:v>0</x:v>
      </x:c>
      <x:c r="N245" s="54" t="n">
        <x:f>ROUND(J245*K245,2)</x:f>
        <x:v>982.14</x:v>
      </x:c>
      <x:c r="O245" s="54" t="n">
        <x:f>ROUND(N245*(1-M245),2)</x:f>
        <x:v>982.14</x:v>
      </x:c>
      <x:c r="P245" s="54" t="n">
        <x:f>ROUND(J245*L245,2)</x:f>
        <x:v>519.66</x:v>
      </x:c>
      <x:c r="Q245" s="54" t="n">
        <x:f>ROUND(O245-P245,2)</x:f>
        <x:v>462.48</x:v>
      </x:c>
      <x:c r="R245" s="55" t="n">
        <x:f>IF(O245=0,0,ROUND(Q245/O245,4))</x:f>
        <x:v>0.4709</x:v>
      </x:c>
      <x:c r="S245" s="53" t="n">
        <x:v>8</x:v>
      </x:c>
      <x:c r="T245" t="str">
        <x:v>Entregue</x:v>
      </x:c>
      <x:c r="U245" t="n">
        <x:v>2</x:v>
      </x:c>
      <x:c r="V245" t="str"/>
    </x:row>
    <x:row r="246">
      <x:c r="A246" s="52" t="n">
        <x:v>46167</x:v>
      </x:c>
      <x:c r="B246" t="str">
        <x:v>PED-100245</x:v>
      </x:c>
      <x:c r="C246" t="str">
        <x:v>Cliente 118</x:v>
      </x:c>
      <x:c r="D246" t="str">
        <x:v>AM</x:v>
      </x:c>
      <x:c r="E246" t="str">
        <x:v>Norte</x:v>
      </x:c>
      <x:c r="F246" t="str">
        <x:v>Marketplace</x:v>
      </x:c>
      <x:c r="G246" t="str">
        <x:v>Tecnologia</x:v>
      </x:c>
      <x:c r="H246" t="str">
        <x:v>Monitor 27</x:v>
      </x:c>
      <x:c r="I246" t="str">
        <x:v>Elaine</x:v>
      </x:c>
      <x:c r="J246" s="53" t="n">
        <x:v>6</x:v>
      </x:c>
      <x:c r="K246" s="54" t="n">
        <x:v>1653.46</x:v>
      </x:c>
      <x:c r="L246" s="54" t="n">
        <x:v>1151.68</x:v>
      </x:c>
      <x:c r="M246" s="55" t="n">
        <x:v>0.035</x:v>
      </x:c>
      <x:c r="N246" s="54" t="n">
        <x:f>ROUND(J246*K246,2)</x:f>
        <x:v>9920.76</x:v>
      </x:c>
      <x:c r="O246" s="54" t="n">
        <x:f>ROUND(N246*(1-M246),2)</x:f>
        <x:v>9573.53</x:v>
      </x:c>
      <x:c r="P246" s="54" t="n">
        <x:f>ROUND(J246*L246,2)</x:f>
        <x:v>6910.08</x:v>
      </x:c>
      <x:c r="Q246" s="54" t="n">
        <x:f>ROUND(O246-P246,2)</x:f>
        <x:v>2663.45</x:v>
      </x:c>
      <x:c r="R246" s="55" t="n">
        <x:f>IF(O246=0,0,ROUND(Q246/O246,4))</x:f>
        <x:v>0.2782</x:v>
      </x:c>
      <x:c r="S246" s="53" t="n">
        <x:v>7</x:v>
      </x:c>
      <x:c r="T246" t="str">
        <x:v>Entregue</x:v>
      </x:c>
      <x:c r="U246" t="n">
        <x:v>2</x:v>
      </x:c>
      <x:c r="V246" t="str"/>
    </x:row>
    <x:row r="247">
      <x:c r="A247" s="52" t="n">
        <x:v>46072</x:v>
      </x:c>
      <x:c r="B247" t="str">
        <x:v>PED-100246</x:v>
      </x:c>
      <x:c r="C247" t="str">
        <x:v>Cliente 077</x:v>
      </x:c>
      <x:c r="D247" t="str">
        <x:v>SP</x:v>
      </x:c>
      <x:c r="E247" t="str">
        <x:v>Sudeste</x:v>
      </x:c>
      <x:c r="F247" t="str">
        <x:v>Marketplace</x:v>
      </x:c>
      <x:c r="G247" t="str">
        <x:v>Escritório</x:v>
      </x:c>
      <x:c r="H247" t="str">
        <x:v>Cadeira Ergonômica</x:v>
      </x:c>
      <x:c r="I247" t="str">
        <x:v>Diego</x:v>
      </x:c>
      <x:c r="J247" s="53" t="n">
        <x:v>3</x:v>
      </x:c>
      <x:c r="K247" s="54" t="n">
        <x:v>2260.8</x:v>
      </x:c>
      <x:c r="L247" s="54" t="n">
        <x:v>1464.82</x:v>
      </x:c>
      <x:c r="M247" s="55" t="n">
        <x:v>0.035</x:v>
      </x:c>
      <x:c r="N247" s="54" t="n">
        <x:f>ROUND(J247*K247,2)</x:f>
        <x:v>6782.4</x:v>
      </x:c>
      <x:c r="O247" s="54" t="n">
        <x:f>ROUND(N247*(1-M247),2)</x:f>
        <x:v>6545.02</x:v>
      </x:c>
      <x:c r="P247" s="54" t="n">
        <x:f>ROUND(J247*L247,2)</x:f>
        <x:v>4394.46</x:v>
      </x:c>
      <x:c r="Q247" s="54" t="n">
        <x:f>ROUND(O247-P247,2)</x:f>
        <x:v>2150.56</x:v>
      </x:c>
      <x:c r="R247" s="55" t="n">
        <x:f>IF(O247=0,0,ROUND(Q247/O247,4))</x:f>
        <x:v>0.3286</x:v>
      </x:c>
      <x:c r="S247" s="53" t="n">
        <x:v>14</x:v>
      </x:c>
      <x:c r="T247" t="str">
        <x:v>Entregue com atraso</x:v>
      </x:c>
      <x:c r="U247" t="n">
        <x:v>3</x:v>
      </x:c>
      <x:c r="V247" t="str"/>
    </x:row>
    <x:row r="248">
      <x:c r="A248" s="52" t="n">
        <x:v>46025</x:v>
      </x:c>
      <x:c r="B248" t="str">
        <x:v>PED-100247</x:v>
      </x:c>
      <x:c r="C248" t="str">
        <x:v>Cliente 016</x:v>
      </x:c>
      <x:c r="D248" t="str">
        <x:v>PA</x:v>
      </x:c>
      <x:c r="E248" t="str">
        <x:v>Norte</x:v>
      </x:c>
      <x:c r="F248" t="str">
        <x:v>Televendas</x:v>
      </x:c>
      <x:c r="G248" t="str">
        <x:v>Tecnologia</x:v>
      </x:c>
      <x:c r="H248" t="str">
        <x:v>Headset Office</x:v>
      </x:c>
      <x:c r="I248" t="str">
        <x:v>Carla</x:v>
      </x:c>
      <x:c r="J248" s="53" t="n">
        <x:v>5</x:v>
      </x:c>
      <x:c r="K248" s="54" t="n">
        <x:v>374</x:v>
      </x:c>
      <x:c r="L248" s="54" t="n">
        <x:v>216.24</x:v>
      </x:c>
      <x:c r="M248" s="55" t="n">
        <x:v>0</x:v>
      </x:c>
      <x:c r="N248" s="54" t="n">
        <x:f>ROUND(J248*K248,2)</x:f>
        <x:v>1870</x:v>
      </x:c>
      <x:c r="O248" s="54" t="n">
        <x:f>ROUND(N248*(1-M248),2)</x:f>
        <x:v>1870</x:v>
      </x:c>
      <x:c r="P248" s="54" t="n">
        <x:f>ROUND(J248*L248,2)</x:f>
        <x:v>1081.2</x:v>
      </x:c>
      <x:c r="Q248" s="54" t="n">
        <x:f>ROUND(O248-P248,2)</x:f>
        <x:v>788.8</x:v>
      </x:c>
      <x:c r="R248" s="55" t="n">
        <x:f>IF(O248=0,0,ROUND(Q248/O248,4))</x:f>
        <x:v>0.4218</x:v>
      </x:c>
      <x:c r="S248" s="53" t="n">
        <x:v>11</x:v>
      </x:c>
      <x:c r="T248" t="str">
        <x:v>Entregue com atraso</x:v>
      </x:c>
      <x:c r="U248" t="n">
        <x:v>3</x:v>
      </x:c>
      <x:c r="V248" t="str"/>
    </x:row>
    <x:row r="249">
      <x:c r="A249" s="52" t="n">
        <x:v>46176</x:v>
      </x:c>
      <x:c r="B249" t="str">
        <x:v>PED-100248</x:v>
      </x:c>
      <x:c r="C249" t="str">
        <x:v>Cliente 071</x:v>
      </x:c>
      <x:c r="D249" t="str">
        <x:v>RS</x:v>
      </x:c>
      <x:c r="E249" t="str">
        <x:v>Sul</x:v>
      </x:c>
      <x:c r="F249" t="str">
        <x:v>Marketplace</x:v>
      </x:c>
      <x:c r="G249" t="str">
        <x:v>Tecnologia</x:v>
      </x:c>
      <x:c r="H249" t="str">
        <x:v>Notebook Pro</x:v>
      </x:c>
      <x:c r="I249" t="str">
        <x:v>Felipe</x:v>
      </x:c>
      <x:c r="J249" s="53" t="n">
        <x:v>6</x:v>
      </x:c>
      <x:c r="K249" s="54" t="n">
        <x:v>6181.22</x:v>
      </x:c>
      <x:c r="L249" s="54" t="n">
        <x:v>4469.38</x:v>
      </x:c>
      <x:c r="M249" s="55" t="n">
        <x:v>0.1183</x:v>
      </x:c>
      <x:c r="N249" s="54" t="n">
        <x:f>ROUND(J249*K249,2)</x:f>
        <x:v>37087.32</x:v>
      </x:c>
      <x:c r="O249" s="54" t="n">
        <x:f>ROUND(N249*(1-M249),2)</x:f>
        <x:v>32699.89</x:v>
      </x:c>
      <x:c r="P249" s="54" t="n">
        <x:f>ROUND(J249*L249,2)</x:f>
        <x:v>26816.28</x:v>
      </x:c>
      <x:c r="Q249" s="54" t="n">
        <x:f>ROUND(O249-P249,2)</x:f>
        <x:v>5883.61</x:v>
      </x:c>
      <x:c r="R249" s="55" t="n">
        <x:f>IF(O249=0,0,ROUND(Q249/O249,4))</x:f>
        <x:v>0.1799</x:v>
      </x:c>
      <x:c r="S249" s="53" t="n">
        <x:v>3</x:v>
      </x:c>
      <x:c r="T249" t="str">
        <x:v>Entregue</x:v>
      </x:c>
      <x:c r="U249" t="n">
        <x:v>3</x:v>
      </x:c>
      <x:c r="V249" t="str"/>
    </x:row>
    <x:row r="250">
      <x:c r="A250" s="52" t="n">
        <x:v>46047</x:v>
      </x:c>
      <x:c r="B250" t="str">
        <x:v>PED-100249</x:v>
      </x:c>
      <x:c r="C250" t="str">
        <x:v>Cliente 112</x:v>
      </x:c>
      <x:c r="D250" t="str">
        <x:v>PR</x:v>
      </x:c>
      <x:c r="E250" t="str">
        <x:v>Sul</x:v>
      </x:c>
      <x:c r="F250" t="str">
        <x:v>Loja</x:v>
      </x:c>
      <x:c r="G250" t="str">
        <x:v>Tecnologia</x:v>
      </x:c>
      <x:c r="H250" t="str">
        <x:v>Notebook Pro</x:v>
      </x:c>
      <x:c r="I250" t="str">
        <x:v>Ana</x:v>
      </x:c>
      <x:c r="J250" s="53" t="n">
        <x:v>3</x:v>
      </x:c>
      <x:c r="K250" s="54" t="n">
        <x:v>5904.74</x:v>
      </x:c>
      <x:c r="L250" s="54" t="n">
        <x:v>4420.86</x:v>
      </x:c>
      <x:c r="M250" s="55" t="n">
        <x:v>0.1026</x:v>
      </x:c>
      <x:c r="N250" s="54" t="n">
        <x:f>ROUND(J250*K250,2)</x:f>
        <x:v>17714.22</x:v>
      </x:c>
      <x:c r="O250" s="54" t="n">
        <x:f>ROUND(N250*(1-M250),2)</x:f>
        <x:v>15896.74</x:v>
      </x:c>
      <x:c r="P250" s="54" t="n">
        <x:f>ROUND(J250*L250,2)</x:f>
        <x:v>13262.58</x:v>
      </x:c>
      <x:c r="Q250" s="54" t="n">
        <x:f>ROUND(O250-P250,2)</x:f>
        <x:v>2634.16</x:v>
      </x:c>
      <x:c r="R250" s="55" t="n">
        <x:f>IF(O250=0,0,ROUND(Q250/O250,4))</x:f>
        <x:v>0.1657</x:v>
      </x:c>
      <x:c r="S250" s="53" t="n">
        <x:v>3</x:v>
      </x:c>
      <x:c r="T250" t="str">
        <x:v>Entregue</x:v>
      </x:c>
      <x:c r="U250" t="n">
        <x:v>4</x:v>
      </x:c>
      <x:c r="V250" t="str"/>
    </x:row>
    <x:row r="251">
      <x:c r="A251" s="52" t="n">
        <x:v>46185</x:v>
      </x:c>
      <x:c r="B251" t="str">
        <x:v>PED-100250</x:v>
      </x:c>
      <x:c r="C251" t="str">
        <x:v>Cliente 040</x:v>
      </x:c>
      <x:c r="D251" t="str">
        <x:v>PR</x:v>
      </x:c>
      <x:c r="E251" t="str">
        <x:v>Sul</x:v>
      </x:c>
      <x:c r="F251" t="str">
        <x:v>Marketplace</x:v>
      </x:c>
      <x:c r="G251" t="str">
        <x:v>Tecnologia</x:v>
      </x:c>
      <x:c r="H251" t="str">
        <x:v>Monitor 27</x:v>
      </x:c>
      <x:c r="I251" t="str">
        <x:v>Diego</x:v>
      </x:c>
      <x:c r="J251" s="53" t="n">
        <x:v>5</x:v>
      </x:c>
      <x:c r="K251" s="54" t="n">
        <x:v>1620.89</x:v>
      </x:c>
      <x:c r="L251" s="54" t="n">
        <x:v>1076.61</x:v>
      </x:c>
      <x:c r="M251" s="55" t="n">
        <x:v>0.035</x:v>
      </x:c>
      <x:c r="N251" s="54" t="n">
        <x:f>ROUND(J251*K251,2)</x:f>
        <x:v>8104.45</x:v>
      </x:c>
      <x:c r="O251" s="54" t="n">
        <x:f>ROUND(N251*(1-M251),2)</x:f>
        <x:v>7820.79</x:v>
      </x:c>
      <x:c r="P251" s="54" t="n">
        <x:f>ROUND(J251*L251,2)</x:f>
        <x:v>5383.05</x:v>
      </x:c>
      <x:c r="Q251" s="54" t="n">
        <x:f>ROUND(O251-P251,2)</x:f>
        <x:v>2437.74</x:v>
      </x:c>
      <x:c r="R251" s="55" t="n">
        <x:f>IF(O251=0,0,ROUND(Q251/O251,4))</x:f>
        <x:v>0.3117</x:v>
      </x:c>
      <x:c r="S251" s="53" t="n">
        <x:v>5</x:v>
      </x:c>
      <x:c r="T251" t="str">
        <x:v>Entregue</x:v>
      </x:c>
      <x:c r="U251" t="n">
        <x:v>5</x:v>
      </x:c>
      <x:c r="V251" t="str"/>
    </x:row>
    <x:row r="252">
      <x:c r="A252" s="52" t="n">
        <x:v>46217</x:v>
      </x:c>
      <x:c r="B252" t="str">
        <x:v>PED-100251</x:v>
      </x:c>
      <x:c r="C252" t="str">
        <x:v>Cliente 064</x:v>
      </x:c>
      <x:c r="D252" t="str">
        <x:v>PE</x:v>
      </x:c>
      <x:c r="E252" t="str">
        <x:v>Nordeste</x:v>
      </x:c>
      <x:c r="F252" t="str">
        <x:v>Loja</x:v>
      </x:c>
      <x:c r="G252" t="str">
        <x:v>Casa</x:v>
      </x:c>
      <x:c r="H252" t="str">
        <x:v>Purificador</x:v>
      </x:c>
      <x:c r="I252" t="str">
        <x:v>Henrique</x:v>
      </x:c>
      <x:c r="J252" s="53" t="n">
        <x:v>3</x:v>
      </x:c>
      <x:c r="K252" s="54" t="n">
        <x:v>1241.97</x:v>
      </x:c>
      <x:c r="L252" s="54" t="n">
        <x:v>829.23</x:v>
      </x:c>
      <x:c r="M252" s="55" t="n">
        <x:v>0</x:v>
      </x:c>
      <x:c r="N252" s="54" t="n">
        <x:f>ROUND(J252*K252,2)</x:f>
        <x:v>3725.91</x:v>
      </x:c>
      <x:c r="O252" s="54" t="n">
        <x:f>ROUND(N252*(1-M252),2)</x:f>
        <x:v>3725.91</x:v>
      </x:c>
      <x:c r="P252" s="54" t="n">
        <x:f>ROUND(J252*L252,2)</x:f>
        <x:v>2487.69</x:v>
      </x:c>
      <x:c r="Q252" s="54" t="n">
        <x:f>ROUND(O252-P252,2)</x:f>
        <x:v>1238.22</x:v>
      </x:c>
      <x:c r="R252" s="55" t="n">
        <x:f>IF(O252=0,0,ROUND(Q252/O252,4))</x:f>
        <x:v>0.3323</x:v>
      </x:c>
      <x:c r="S252" s="53" t="n">
        <x:v>2</x:v>
      </x:c>
      <x:c r="T252" t="str">
        <x:v>Entregue</x:v>
      </x:c>
      <x:c r="U252" t="n">
        <x:v>5</x:v>
      </x:c>
      <x:c r="V252" t="str"/>
    </x:row>
    <x:row r="253">
      <x:c r="A253" s="52" t="n">
        <x:v>46068</x:v>
      </x:c>
      <x:c r="B253" t="str">
        <x:v>PED-100252</x:v>
      </x:c>
      <x:c r="C253" t="str">
        <x:v>Cliente 113</x:v>
      </x:c>
      <x:c r="D253" t="str">
        <x:v>CE</x:v>
      </x:c>
      <x:c r="E253" t="str">
        <x:v>Nordeste</x:v>
      </x:c>
      <x:c r="F253" t="str">
        <x:v>E-commerce</x:v>
      </x:c>
      <x:c r="G253" t="str">
        <x:v>Acessórios</x:v>
      </x:c>
      <x:c r="H253" t="str">
        <x:v>Hub USB-C</x:v>
      </x:c>
      <x:c r="I253" t="str">
        <x:v>João</x:v>
      </x:c>
      <x:c r="J253" s="53" t="n">
        <x:v>6</x:v>
      </x:c>
      <x:c r="K253" s="54" t="n">
        <x:v>324.12</x:v>
      </x:c>
      <x:c r="L253" s="54" t="n">
        <x:v>142.75</x:v>
      </x:c>
      <x:c r="M253" s="55" t="n">
        <x:v>0.0689</x:v>
      </x:c>
      <x:c r="N253" s="54" t="n">
        <x:f>ROUND(J253*K253,2)</x:f>
        <x:v>1944.72</x:v>
      </x:c>
      <x:c r="O253" s="54" t="n">
        <x:f>ROUND(N253*(1-M253),2)</x:f>
        <x:v>1810.73</x:v>
      </x:c>
      <x:c r="P253" s="54" t="n">
        <x:f>ROUND(J253*L253,2)</x:f>
        <x:v>856.5</x:v>
      </x:c>
      <x:c r="Q253" s="54" t="n">
        <x:f>ROUND(O253-P253,2)</x:f>
        <x:v>954.23</x:v>
      </x:c>
      <x:c r="R253" s="55" t="n">
        <x:f>IF(O253=0,0,ROUND(Q253/O253,4))</x:f>
        <x:v>0.527</x:v>
      </x:c>
      <x:c r="S253" s="53" t="n">
        <x:v>3</x:v>
      </x:c>
      <x:c r="T253" t="str">
        <x:v>Entregue</x:v>
      </x:c>
      <x:c r="U253" t="n">
        <x:v>4</x:v>
      </x:c>
      <x:c r="V253" t="str"/>
    </x:row>
    <x:row r="254">
      <x:c r="A254" s="52" t="n">
        <x:v>46122</x:v>
      </x:c>
      <x:c r="B254" t="str">
        <x:v>PED-100253</x:v>
      </x:c>
      <x:c r="C254" t="str">
        <x:v>Cliente 096</x:v>
      </x:c>
      <x:c r="D254" t="str">
        <x:v>MA</x:v>
      </x:c>
      <x:c r="E254" t="str">
        <x:v>Nordeste</x:v>
      </x:c>
      <x:c r="F254" t="str">
        <x:v>Loja</x:v>
      </x:c>
      <x:c r="G254" t="str">
        <x:v>Escritório</x:v>
      </x:c>
      <x:c r="H254" t="str">
        <x:v>Mesa Ajustável</x:v>
      </x:c>
      <x:c r="I254" t="str">
        <x:v>Carla</x:v>
      </x:c>
      <x:c r="J254" s="53" t="n">
        <x:v>5</x:v>
      </x:c>
      <x:c r="K254" s="54" t="n">
        <x:v>2933</x:v>
      </x:c>
      <x:c r="L254" s="54" t="n">
        <x:v>1909.64</x:v>
      </x:c>
      <x:c r="M254" s="55" t="n">
        <x:v>0.087</x:v>
      </x:c>
      <x:c r="N254" s="54" t="n">
        <x:f>ROUND(J254*K254,2)</x:f>
        <x:v>14665</x:v>
      </x:c>
      <x:c r="O254" s="54" t="n">
        <x:f>ROUND(N254*(1-M254),2)</x:f>
        <x:v>13389.15</x:v>
      </x:c>
      <x:c r="P254" s="54" t="n">
        <x:f>ROUND(J254*L254,2)</x:f>
        <x:v>9548.2</x:v>
      </x:c>
      <x:c r="Q254" s="54" t="n">
        <x:f>ROUND(O254-P254,2)</x:f>
        <x:v>3840.95</x:v>
      </x:c>
      <x:c r="R254" s="55" t="n">
        <x:f>IF(O254=0,0,ROUND(Q254/O254,4))</x:f>
        <x:v>0.2869</x:v>
      </x:c>
      <x:c r="S254" s="53" t="n">
        <x:v>12</x:v>
      </x:c>
      <x:c r="T254" t="str">
        <x:v>Entregue com atraso</x:v>
      </x:c>
      <x:c r="U254" t="n">
        <x:v>3</x:v>
      </x:c>
      <x:c r="V254" t="str"/>
    </x:row>
    <x:row r="255">
      <x:c r="A255" s="52" t="n">
        <x:v>46084</x:v>
      </x:c>
      <x:c r="B255" t="str">
        <x:v>PED-100254</x:v>
      </x:c>
      <x:c r="C255" t="str">
        <x:v>Cliente 050</x:v>
      </x:c>
      <x:c r="D255" t="str">
        <x:v>CE</x:v>
      </x:c>
      <x:c r="E255" t="str">
        <x:v>Nordeste</x:v>
      </x:c>
      <x:c r="F255" t="str">
        <x:v>Loja</x:v>
      </x:c>
      <x:c r="G255" t="str">
        <x:v>Acessórios</x:v>
      </x:c>
      <x:c r="H255" t="str">
        <x:v>Mochila Executiva</x:v>
      </x:c>
      <x:c r="I255" t="str">
        <x:v>Elaine</x:v>
      </x:c>
      <x:c r="J255" s="53" t="n">
        <x:v>8</x:v>
      </x:c>
      <x:c r="K255" s="54" t="n">
        <x:v>441.6</x:v>
      </x:c>
      <x:c r="L255" s="54" t="n">
        <x:v>202.69</x:v>
      </x:c>
      <x:c r="M255" s="55" t="n">
        <x:v>0</x:v>
      </x:c>
      <x:c r="N255" s="54" t="n">
        <x:f>ROUND(J255*K255,2)</x:f>
        <x:v>3532.8</x:v>
      </x:c>
      <x:c r="O255" s="54" t="n">
        <x:f>ROUND(N255*(1-M255),2)</x:f>
        <x:v>3532.8</x:v>
      </x:c>
      <x:c r="P255" s="54" t="n">
        <x:f>ROUND(J255*L255,2)</x:f>
        <x:v>1621.52</x:v>
      </x:c>
      <x:c r="Q255" s="54" t="n">
        <x:f>ROUND(O255-P255,2)</x:f>
        <x:v>1911.28</x:v>
      </x:c>
      <x:c r="R255" s="55" t="n">
        <x:f>IF(O255=0,0,ROUND(Q255/O255,4))</x:f>
        <x:v>0.541</x:v>
      </x:c>
      <x:c r="S255" s="53" t="n">
        <x:v>14</x:v>
      </x:c>
      <x:c r="T255" t="str">
        <x:v>Entregue com atraso</x:v>
      </x:c>
      <x:c r="U255" t="n">
        <x:v>3</x:v>
      </x:c>
      <x:c r="V255" t="str"/>
    </x:row>
    <x:row r="256">
      <x:c r="A256" s="52" t="n">
        <x:v>46065</x:v>
      </x:c>
      <x:c r="B256" t="str">
        <x:v>PED-100255</x:v>
      </x:c>
      <x:c r="C256" t="str">
        <x:v>Cliente 086</x:v>
      </x:c>
      <x:c r="D256" t="str">
        <x:v>PA</x:v>
      </x:c>
      <x:c r="E256" t="str">
        <x:v>Norte</x:v>
      </x:c>
      <x:c r="F256" t="str">
        <x:v>Televendas</x:v>
      </x:c>
      <x:c r="G256" t="str">
        <x:v>Escritório</x:v>
      </x:c>
      <x:c r="H256" t="str">
        <x:v>Mesa Ajustável</x:v>
      </x:c>
      <x:c r="I256" t="str">
        <x:v>João</x:v>
      </x:c>
      <x:c r="J256" s="53" t="n">
        <x:v>7</x:v>
      </x:c>
      <x:c r="K256" s="54" t="n">
        <x:v>2729.89</x:v>
      </x:c>
      <x:c r="L256" s="54" t="n">
        <x:v>1927.76</x:v>
      </x:c>
      <x:c r="M256" s="55" t="n">
        <x:v>0.0985</x:v>
      </x:c>
      <x:c r="N256" s="54" t="n">
        <x:f>ROUND(J256*K256,2)</x:f>
        <x:v>19109.23</x:v>
      </x:c>
      <x:c r="O256" s="54" t="n">
        <x:f>ROUND(N256*(1-M256),2)</x:f>
        <x:v>17226.97</x:v>
      </x:c>
      <x:c r="P256" s="54" t="n">
        <x:f>ROUND(J256*L256,2)</x:f>
        <x:v>13494.32</x:v>
      </x:c>
      <x:c r="Q256" s="54" t="n">
        <x:f>ROUND(O256-P256,2)</x:f>
        <x:v>3732.65</x:v>
      </x:c>
      <x:c r="R256" s="55" t="n">
        <x:f>IF(O256=0,0,ROUND(Q256/O256,4))</x:f>
        <x:v>0.2167</x:v>
      </x:c>
      <x:c r="S256" s="53" t="n">
        <x:v>11</x:v>
      </x:c>
      <x:c r="T256" t="str">
        <x:v>Entregue com atraso</x:v>
      </x:c>
      <x:c r="U256" t="n">
        <x:v>3</x:v>
      </x:c>
      <x:c r="V256" t="str"/>
    </x:row>
    <x:row r="257">
      <x:c r="A257" s="52" t="n">
        <x:v>46133</x:v>
      </x:c>
      <x:c r="B257" t="str">
        <x:v>PED-100256</x:v>
      </x:c>
      <x:c r="C257" t="str">
        <x:v>Cliente 113</x:v>
      </x:c>
      <x:c r="D257" t="str">
        <x:v>RS</x:v>
      </x:c>
      <x:c r="E257" t="str">
        <x:v>Sul</x:v>
      </x:c>
      <x:c r="F257" t="str">
        <x:v>Televendas</x:v>
      </x:c>
      <x:c r="G257" t="str">
        <x:v>Acessórios</x:v>
      </x:c>
      <x:c r="H257" t="str">
        <x:v>Webcam HD</x:v>
      </x:c>
      <x:c r="I257" t="str">
        <x:v>Gabriela</x:v>
      </x:c>
      <x:c r="J257" s="53" t="n">
        <x:v>3</x:v>
      </x:c>
      <x:c r="K257" s="54" t="n">
        <x:v>524.11</x:v>
      </x:c>
      <x:c r="L257" s="54" t="n">
        <x:v>236.58</x:v>
      </x:c>
      <x:c r="M257" s="55" t="n">
        <x:v>0.0549</x:v>
      </x:c>
      <x:c r="N257" s="54" t="n">
        <x:f>ROUND(J257*K257,2)</x:f>
        <x:v>1572.33</x:v>
      </x:c>
      <x:c r="O257" s="54" t="n">
        <x:f>ROUND(N257*(1-M257),2)</x:f>
        <x:v>1486.01</x:v>
      </x:c>
      <x:c r="P257" s="54" t="n">
        <x:f>ROUND(J257*L257,2)</x:f>
        <x:v>709.74</x:v>
      </x:c>
      <x:c r="Q257" s="54" t="n">
        <x:f>ROUND(O257-P257,2)</x:f>
        <x:v>776.27</x:v>
      </x:c>
      <x:c r="R257" s="55" t="n">
        <x:f>IF(O257=0,0,ROUND(Q257/O257,4))</x:f>
        <x:v>0.5224</x:v>
      </x:c>
      <x:c r="S257" s="53" t="n">
        <x:v>5</x:v>
      </x:c>
      <x:c r="T257" t="str">
        <x:v>Entregue</x:v>
      </x:c>
      <x:c r="U257" t="n">
        <x:v>5</x:v>
      </x:c>
      <x:c r="V257" t="str"/>
    </x:row>
    <x:row r="258">
      <x:c r="A258" s="52" t="n">
        <x:v>46220</x:v>
      </x:c>
      <x:c r="B258" t="str">
        <x:v>PED-100257</x:v>
      </x:c>
      <x:c r="C258" t="str">
        <x:v>Cliente 069</x:v>
      </x:c>
      <x:c r="D258" t="str">
        <x:v>BA</x:v>
      </x:c>
      <x:c r="E258" t="str">
        <x:v>Nordeste</x:v>
      </x:c>
      <x:c r="F258" t="str">
        <x:v>Televendas</x:v>
      </x:c>
      <x:c r="G258" t="str">
        <x:v>Casa</x:v>
      </x:c>
      <x:c r="H258" t="str">
        <x:v>Aspirador Robô</x:v>
      </x:c>
      <x:c r="I258" t="str">
        <x:v>Bruno</x:v>
      </x:c>
      <x:c r="J258" s="53" t="n">
        <x:v>6</x:v>
      </x:c>
      <x:c r="K258" s="54" t="n">
        <x:v>1907.29</x:v>
      </x:c>
      <x:c r="L258" s="54" t="n">
        <x:v>1262.23</x:v>
      </x:c>
      <x:c r="M258" s="55" t="n">
        <x:v>0.1109</x:v>
      </x:c>
      <x:c r="N258" s="54" t="n">
        <x:f>ROUND(J258*K258,2)</x:f>
        <x:v>11443.74</x:v>
      </x:c>
      <x:c r="O258" s="54" t="n">
        <x:f>ROUND(N258*(1-M258),2)</x:f>
        <x:v>10174.63</x:v>
      </x:c>
      <x:c r="P258" s="54" t="n">
        <x:f>ROUND(J258*L258,2)</x:f>
        <x:v>7573.38</x:v>
      </x:c>
      <x:c r="Q258" s="54" t="n">
        <x:f>ROUND(O258-P258,2)</x:f>
        <x:v>2601.25</x:v>
      </x:c>
      <x:c r="R258" s="55" t="n">
        <x:f>IF(O258=0,0,ROUND(Q258/O258,4))</x:f>
        <x:v>0.2557</x:v>
      </x:c>
      <x:c r="S258" s="53" t="n">
        <x:v>14</x:v>
      </x:c>
      <x:c r="T258" t="str">
        <x:v>Cancelado</x:v>
      </x:c>
      <x:c r="U258"/>
      <x:c r="V258" t="str"/>
    </x:row>
    <x:row r="259">
      <x:c r="A259" s="52" t="n">
        <x:v>46048</x:v>
      </x:c>
      <x:c r="B259" t="str">
        <x:v>PED-100258</x:v>
      </x:c>
      <x:c r="C259" t="str">
        <x:v>Cliente 059</x:v>
      </x:c>
      <x:c r="D259" t="str">
        <x:v>PR</x:v>
      </x:c>
      <x:c r="E259" t="str">
        <x:v>Sul</x:v>
      </x:c>
      <x:c r="F259" t="str">
        <x:v>E-commerce</x:v>
      </x:c>
      <x:c r="G259" t="str">
        <x:v>Casa</x:v>
      </x:c>
      <x:c r="H259" t="str">
        <x:v>Cafeteira Smart</x:v>
      </x:c>
      <x:c r="I259" t="str">
        <x:v>Ana</x:v>
      </x:c>
      <x:c r="J259" s="53" t="n">
        <x:v>2</x:v>
      </x:c>
      <x:c r="K259" s="54" t="n">
        <x:v>785.9</x:v>
      </x:c>
      <x:c r="L259" s="54" t="n">
        <x:v>477.08</x:v>
      </x:c>
      <x:c r="M259" s="55" t="n">
        <x:v>0.0826</x:v>
      </x:c>
      <x:c r="N259" s="54" t="n">
        <x:f>ROUND(J259*K259,2)</x:f>
        <x:v>1571.8</x:v>
      </x:c>
      <x:c r="O259" s="54" t="n">
        <x:f>ROUND(N259*(1-M259),2)</x:f>
        <x:v>1441.97</x:v>
      </x:c>
      <x:c r="P259" s="54" t="n">
        <x:f>ROUND(J259*L259,2)</x:f>
        <x:v>954.16</x:v>
      </x:c>
      <x:c r="Q259" s="54" t="n">
        <x:f>ROUND(O259-P259,2)</x:f>
        <x:v>487.81</x:v>
      </x:c>
      <x:c r="R259" s="55" t="n">
        <x:f>IF(O259=0,0,ROUND(Q259/O259,4))</x:f>
        <x:v>0.3383</x:v>
      </x:c>
      <x:c r="S259" s="53" t="n">
        <x:v>10</x:v>
      </x:c>
      <x:c r="T259" t="str">
        <x:v>Entregue</x:v>
      </x:c>
      <x:c r="U259" t="n">
        <x:v>4</x:v>
      </x:c>
      <x:c r="V259" t="str"/>
    </x:row>
    <x:row r="260">
      <x:c r="A260" s="52" t="n">
        <x:v>46158</x:v>
      </x:c>
      <x:c r="B260" t="str">
        <x:v>PED-100259</x:v>
      </x:c>
      <x:c r="C260" t="str">
        <x:v>Cliente 045</x:v>
      </x:c>
      <x:c r="D260" t="str">
        <x:v>ES</x:v>
      </x:c>
      <x:c r="E260" t="str">
        <x:v>Sudeste</x:v>
      </x:c>
      <x:c r="F260" t="str">
        <x:v>Televendas</x:v>
      </x:c>
      <x:c r="G260" t="str">
        <x:v>Tecnologia</x:v>
      </x:c>
      <x:c r="H260" t="str">
        <x:v>Headset Office</x:v>
      </x:c>
      <x:c r="I260" t="str">
        <x:v>Elaine</x:v>
      </x:c>
      <x:c r="J260" s="53" t="n">
        <x:v>5</x:v>
      </x:c>
      <x:c r="K260" s="54" t="n">
        <x:v>374.76</x:v>
      </x:c>
      <x:c r="L260" s="54" t="n">
        <x:v>215.24</x:v>
      </x:c>
      <x:c r="M260" s="55" t="n">
        <x:v>0.1282</x:v>
      </x:c>
      <x:c r="N260" s="54" t="n">
        <x:f>ROUND(J260*K260,2)</x:f>
        <x:v>1873.8</x:v>
      </x:c>
      <x:c r="O260" s="54" t="n">
        <x:f>ROUND(N260*(1-M260),2)</x:f>
        <x:v>1633.58</x:v>
      </x:c>
      <x:c r="P260" s="54" t="n">
        <x:f>ROUND(J260*L260,2)</x:f>
        <x:v>1076.2</x:v>
      </x:c>
      <x:c r="Q260" s="54" t="n">
        <x:f>ROUND(O260-P260,2)</x:f>
        <x:v>557.38</x:v>
      </x:c>
      <x:c r="R260" s="55" t="n">
        <x:f>IF(O260=0,0,ROUND(Q260/O260,4))</x:f>
        <x:v>0.3412</x:v>
      </x:c>
      <x:c r="S260" s="53" t="n">
        <x:v>11</x:v>
      </x:c>
      <x:c r="T260" t="str">
        <x:v>Entregue com atraso</x:v>
      </x:c>
      <x:c r="U260" t="n">
        <x:v>3</x:v>
      </x:c>
      <x:c r="V260" t="str"/>
    </x:row>
    <x:row r="261">
      <x:c r="A261" s="52" t="n">
        <x:v>46152</x:v>
      </x:c>
      <x:c r="B261" t="str">
        <x:v>PED-100260</x:v>
      </x:c>
      <x:c r="C261" t="str">
        <x:v>Cliente 049</x:v>
      </x:c>
      <x:c r="D261" t="str">
        <x:v>ES</x:v>
      </x:c>
      <x:c r="E261" t="str">
        <x:v>Sudeste</x:v>
      </x:c>
      <x:c r="F261" t="str">
        <x:v>Loja</x:v>
      </x:c>
      <x:c r="G261" t="str">
        <x:v>Tecnologia</x:v>
      </x:c>
      <x:c r="H261" t="str">
        <x:v>Monitor 27</x:v>
      </x:c>
      <x:c r="I261" t="str">
        <x:v>Henrique</x:v>
      </x:c>
      <x:c r="J261" s="53" t="n">
        <x:v>5</x:v>
      </x:c>
      <x:c r="K261" s="54" t="n">
        <x:v>1614.83</x:v>
      </x:c>
      <x:c r="L261" s="54" t="n">
        <x:v>1107.28</x:v>
      </x:c>
      <x:c r="M261" s="55" t="n">
        <x:v>0</x:v>
      </x:c>
      <x:c r="N261" s="54" t="n">
        <x:f>ROUND(J261*K261,2)</x:f>
        <x:v>8074.15</x:v>
      </x:c>
      <x:c r="O261" s="54" t="n">
        <x:f>ROUND(N261*(1-M261),2)</x:f>
        <x:v>8074.15</x:v>
      </x:c>
      <x:c r="P261" s="54" t="n">
        <x:f>ROUND(J261*L261,2)</x:f>
        <x:v>5536.4</x:v>
      </x:c>
      <x:c r="Q261" s="54" t="n">
        <x:f>ROUND(O261-P261,2)</x:f>
        <x:v>2537.75</x:v>
      </x:c>
      <x:c r="R261" s="55" t="n">
        <x:f>IF(O261=0,0,ROUND(Q261/O261,4))</x:f>
        <x:v>0.3143</x:v>
      </x:c>
      <x:c r="S261" s="53" t="n">
        <x:v>13</x:v>
      </x:c>
      <x:c r="T261" t="str">
        <x:v>Entregue com atraso</x:v>
      </x:c>
      <x:c r="U261" t="n">
        <x:v>4</x:v>
      </x:c>
      <x:c r="V261" t="str"/>
    </x:row>
    <x:row r="262">
      <x:c r="A262" s="52" t="n">
        <x:v>46177</x:v>
      </x:c>
      <x:c r="B262" t="str">
        <x:v>PED-100261</x:v>
      </x:c>
      <x:c r="C262" t="str">
        <x:v>Cliente 011</x:v>
      </x:c>
      <x:c r="D262" t="str">
        <x:v>MA</x:v>
      </x:c>
      <x:c r="E262" t="str">
        <x:v>Nordeste</x:v>
      </x:c>
      <x:c r="F262" t="str">
        <x:v>Marketplace</x:v>
      </x:c>
      <x:c r="G262" t="str">
        <x:v>Tecnologia</x:v>
      </x:c>
      <x:c r="H262" t="str">
        <x:v>Notebook Pro</x:v>
      </x:c>
      <x:c r="I262" t="str">
        <x:v>Gabriela</x:v>
      </x:c>
      <x:c r="J262" s="53" t="n">
        <x:v>1</x:v>
      </x:c>
      <x:c r="K262" s="54" t="n">
        <x:v>5614.94</x:v>
      </x:c>
      <x:c r="L262" s="54" t="n">
        <x:v>4541.22</x:v>
      </x:c>
      <x:c r="M262" s="55" t="n">
        <x:v>0.0955</x:v>
      </x:c>
      <x:c r="N262" s="54" t="n">
        <x:f>ROUND(J262*K262,2)</x:f>
        <x:v>5614.94</x:v>
      </x:c>
      <x:c r="O262" s="54" t="n">
        <x:f>ROUND(N262*(1-M262),2)</x:f>
        <x:v>5078.71</x:v>
      </x:c>
      <x:c r="P262" s="54" t="n">
        <x:f>ROUND(J262*L262,2)</x:f>
        <x:v>4541.22</x:v>
      </x:c>
      <x:c r="Q262" s="54" t="n">
        <x:f>ROUND(O262-P262,2)</x:f>
        <x:v>537.49</x:v>
      </x:c>
      <x:c r="R262" s="55" t="n">
        <x:f>IF(O262=0,0,ROUND(Q262/O262,4))</x:f>
        <x:v>0.1058</x:v>
      </x:c>
      <x:c r="S262" s="53" t="n">
        <x:v>12</x:v>
      </x:c>
      <x:c r="T262" t="str">
        <x:v>Entregue com atraso</x:v>
      </x:c>
      <x:c r="U262" t="n">
        <x:v>5</x:v>
      </x:c>
      <x:c r="V262" t="str"/>
    </x:row>
    <x:row r="263">
      <x:c r="A263" s="52" t="n">
        <x:v>46178</x:v>
      </x:c>
      <x:c r="B263" t="str">
        <x:v>PED-100262</x:v>
      </x:c>
      <x:c r="C263" t="str">
        <x:v>Cliente 032</x:v>
      </x:c>
      <x:c r="D263" t="str">
        <x:v>PE</x:v>
      </x:c>
      <x:c r="E263" t="str">
        <x:v>Nordeste</x:v>
      </x:c>
      <x:c r="F263" t="str">
        <x:v>Televendas</x:v>
      </x:c>
      <x:c r="G263" t="str">
        <x:v>Tecnologia</x:v>
      </x:c>
      <x:c r="H263" t="str">
        <x:v>Headset Office</x:v>
      </x:c>
      <x:c r="I263" t="str">
        <x:v>Bruno</x:v>
      </x:c>
      <x:c r="J263" s="53" t="n">
        <x:v>6</x:v>
      </x:c>
      <x:c r="K263" s="54" t="n">
        <x:v>404.33</x:v>
      </x:c>
      <x:c r="L263" s="54" t="n">
        <x:v>224.26</x:v>
      </x:c>
      <x:c r="M263" s="55" t="n">
        <x:v>0</x:v>
      </x:c>
      <x:c r="N263" s="54" t="n">
        <x:f>ROUND(J263*K263,2)</x:f>
        <x:v>2425.98</x:v>
      </x:c>
      <x:c r="O263" s="54" t="n">
        <x:f>ROUND(N263*(1-M263),2)</x:f>
        <x:v>2425.98</x:v>
      </x:c>
      <x:c r="P263" s="54" t="n">
        <x:f>ROUND(J263*L263,2)</x:f>
        <x:v>1345.56</x:v>
      </x:c>
      <x:c r="Q263" s="54" t="n">
        <x:f>ROUND(O263-P263,2)</x:f>
        <x:v>1080.42</x:v>
      </x:c>
      <x:c r="R263" s="55" t="n">
        <x:f>IF(O263=0,0,ROUND(Q263/O263,4))</x:f>
        <x:v>0.4454</x:v>
      </x:c>
      <x:c r="S263" s="53" t="n">
        <x:v>7</x:v>
      </x:c>
      <x:c r="T263" t="str">
        <x:v>Entregue</x:v>
      </x:c>
      <x:c r="U263" t="n">
        <x:v>4</x:v>
      </x:c>
      <x:c r="V263" t="str"/>
    </x:row>
    <x:row r="264">
      <x:c r="A264" s="52" t="n">
        <x:v>46113</x:v>
      </x:c>
      <x:c r="B264" t="str">
        <x:v>PED-100263</x:v>
      </x:c>
      <x:c r="C264" t="str">
        <x:v>Cliente 112</x:v>
      </x:c>
      <x:c r="D264" t="str">
        <x:v>PA</x:v>
      </x:c>
      <x:c r="E264" t="str">
        <x:v>Norte</x:v>
      </x:c>
      <x:c r="F264" t="str">
        <x:v>Televendas</x:v>
      </x:c>
      <x:c r="G264" t="str">
        <x:v>Acessórios</x:v>
      </x:c>
      <x:c r="H264" t="str">
        <x:v>Webcam HD</x:v>
      </x:c>
      <x:c r="I264" t="str">
        <x:v>Henrique</x:v>
      </x:c>
      <x:c r="J264" s="53" t="n">
        <x:v>3</x:v>
      </x:c>
      <x:c r="K264" s="54" t="n">
        <x:v>503.78</x:v>
      </x:c>
      <x:c r="L264" s="54" t="n">
        <x:v>242.44</x:v>
      </x:c>
      <x:c r="M264" s="55" t="n">
        <x:v>0.127</x:v>
      </x:c>
      <x:c r="N264" s="54" t="n">
        <x:f>ROUND(J264*K264,2)</x:f>
        <x:v>1511.34</x:v>
      </x:c>
      <x:c r="O264" s="54" t="n">
        <x:f>ROUND(N264*(1-M264),2)</x:f>
        <x:v>1319.4</x:v>
      </x:c>
      <x:c r="P264" s="54" t="n">
        <x:f>ROUND(J264*L264,2)</x:f>
        <x:v>727.32</x:v>
      </x:c>
      <x:c r="Q264" s="54" t="n">
        <x:f>ROUND(O264-P264,2)</x:f>
        <x:v>592.08</x:v>
      </x:c>
      <x:c r="R264" s="55" t="n">
        <x:f>IF(O264=0,0,ROUND(Q264/O264,4))</x:f>
        <x:v>0.4487</x:v>
      </x:c>
      <x:c r="S264" s="53" t="n">
        <x:v>3</x:v>
      </x:c>
      <x:c r="T264" t="str">
        <x:v>Entregue</x:v>
      </x:c>
      <x:c r="U264" t="n">
        <x:v>3</x:v>
      </x:c>
      <x:c r="V264" t="str"/>
    </x:row>
    <x:row r="265">
      <x:c r="A265" s="52" t="n">
        <x:v>46166</x:v>
      </x:c>
      <x:c r="B265" t="str">
        <x:v>PED-100264</x:v>
      </x:c>
      <x:c r="C265" t="str">
        <x:v>Cliente 054</x:v>
      </x:c>
      <x:c r="D265" t="str">
        <x:v>PA</x:v>
      </x:c>
      <x:c r="E265" t="str">
        <x:v>Norte</x:v>
      </x:c>
      <x:c r="F265" t="str">
        <x:v>Televendas</x:v>
      </x:c>
      <x:c r="G265" t="str">
        <x:v>Casa</x:v>
      </x:c>
      <x:c r="H265" t="str">
        <x:v>Aspirador Robô</x:v>
      </x:c>
      <x:c r="I265" t="str">
        <x:v>Ana</x:v>
      </x:c>
      <x:c r="J265" s="53" t="n">
        <x:v>2</x:v>
      </x:c>
      <x:c r="K265" s="54" t="n">
        <x:v>1859.71</x:v>
      </x:c>
      <x:c r="L265" s="54" t="n">
        <x:v>1273.39</x:v>
      </x:c>
      <x:c r="M265" s="55" t="n">
        <x:v>0.0939</x:v>
      </x:c>
      <x:c r="N265" s="54" t="n">
        <x:f>ROUND(J265*K265,2)</x:f>
        <x:v>3719.42</x:v>
      </x:c>
      <x:c r="O265" s="54" t="n">
        <x:f>ROUND(N265*(1-M265),2)</x:f>
        <x:v>3370.17</x:v>
      </x:c>
      <x:c r="P265" s="54" t="n">
        <x:f>ROUND(J265*L265,2)</x:f>
        <x:v>2546.78</x:v>
      </x:c>
      <x:c r="Q265" s="54" t="n">
        <x:f>ROUND(O265-P265,2)</x:f>
        <x:v>823.39</x:v>
      </x:c>
      <x:c r="R265" s="55" t="n">
        <x:f>IF(O265=0,0,ROUND(Q265/O265,4))</x:f>
        <x:v>0.2443</x:v>
      </x:c>
      <x:c r="S265" s="53" t="n">
        <x:v>7</x:v>
      </x:c>
      <x:c r="T265" t="str">
        <x:v>Entregue</x:v>
      </x:c>
      <x:c r="U265" t="n">
        <x:v>4</x:v>
      </x:c>
      <x:c r="V265" t="str"/>
    </x:row>
    <x:row r="266">
      <x:c r="A266" s="52" t="n">
        <x:v>46085</x:v>
      </x:c>
      <x:c r="B266" t="str">
        <x:v>PED-100265</x:v>
      </x:c>
      <x:c r="C266" t="str">
        <x:v>Cliente 015</x:v>
      </x:c>
      <x:c r="D266" t="str">
        <x:v>ES</x:v>
      </x:c>
      <x:c r="E266" t="str">
        <x:v>Sudeste</x:v>
      </x:c>
      <x:c r="F266" t="str">
        <x:v>E-commerce</x:v>
      </x:c>
      <x:c r="G266" t="str">
        <x:v>Escritório</x:v>
      </x:c>
      <x:c r="H266" t="str">
        <x:v>Cadeira Ergonômica</x:v>
      </x:c>
      <x:c r="I266" t="str">
        <x:v>Felipe</x:v>
      </x:c>
      <x:c r="J266" s="53" t="n">
        <x:v>8</x:v>
      </x:c>
      <x:c r="K266" s="54" t="n">
        <x:v>2168.19</x:v>
      </x:c>
      <x:c r="L266" s="54" t="n">
        <x:v>1373.39</x:v>
      </x:c>
      <x:c r="M266" s="55" t="n">
        <x:v>0.1039</x:v>
      </x:c>
      <x:c r="N266" s="54" t="n">
        <x:f>ROUND(J266*K266,2)</x:f>
        <x:v>17345.52</x:v>
      </x:c>
      <x:c r="O266" s="54" t="n">
        <x:f>ROUND(N266*(1-M266),2)</x:f>
        <x:v>15543.32</x:v>
      </x:c>
      <x:c r="P266" s="54" t="n">
        <x:f>ROUND(J266*L266,2)</x:f>
        <x:v>10987.12</x:v>
      </x:c>
      <x:c r="Q266" s="54" t="n">
        <x:f>ROUND(O266-P266,2)</x:f>
        <x:v>4556.2</x:v>
      </x:c>
      <x:c r="R266" s="55" t="n">
        <x:f>IF(O266=0,0,ROUND(Q266/O266,4))</x:f>
        <x:v>0.2931</x:v>
      </x:c>
      <x:c r="S266" s="53" t="n">
        <x:v>10</x:v>
      </x:c>
      <x:c r="T266" t="str">
        <x:v>Entregue</x:v>
      </x:c>
      <x:c r="U266" t="n">
        <x:v>3</x:v>
      </x:c>
      <x:c r="V266" t="str"/>
    </x:row>
    <x:row r="267">
      <x:c r="A267" s="52" t="n">
        <x:v>46178</x:v>
      </x:c>
      <x:c r="B267" t="str">
        <x:v>PED-100266</x:v>
      </x:c>
      <x:c r="C267" t="str">
        <x:v>Cliente 097</x:v>
      </x:c>
      <x:c r="D267" t="str">
        <x:v>MG</x:v>
      </x:c>
      <x:c r="E267" t="str">
        <x:v>Sudeste</x:v>
      </x:c>
      <x:c r="F267" t="str">
        <x:v>E-commerce</x:v>
      </x:c>
      <x:c r="G267" t="str">
        <x:v>Escritório</x:v>
      </x:c>
      <x:c r="H267" t="str">
        <x:v>Cadeira Ergonômica</x:v>
      </x:c>
      <x:c r="I267" t="str">
        <x:v>Carla</x:v>
      </x:c>
      <x:c r="J267" s="53" t="n">
        <x:v>3</x:v>
      </x:c>
      <x:c r="K267" s="54" t="n">
        <x:v>2157.31</x:v>
      </x:c>
      <x:c r="L267" s="54" t="n">
        <x:v>1410.3</x:v>
      </x:c>
      <x:c r="M267" s="55" t="n">
        <x:v>0.0931</x:v>
      </x:c>
      <x:c r="N267" s="54" t="n">
        <x:f>ROUND(J267*K267,2)</x:f>
        <x:v>6471.93</x:v>
      </x:c>
      <x:c r="O267" s="54" t="n">
        <x:f>ROUND(N267*(1-M267),2)</x:f>
        <x:v>5869.39</x:v>
      </x:c>
      <x:c r="P267" s="54" t="n">
        <x:f>ROUND(J267*L267,2)</x:f>
        <x:v>4230.9</x:v>
      </x:c>
      <x:c r="Q267" s="54" t="n">
        <x:f>ROUND(O267-P267,2)</x:f>
        <x:v>1638.49</x:v>
      </x:c>
      <x:c r="R267" s="55" t="n">
        <x:f>IF(O267=0,0,ROUND(Q267/O267,4))</x:f>
        <x:v>0.2792</x:v>
      </x:c>
      <x:c r="S267" s="53" t="n">
        <x:v>10</x:v>
      </x:c>
      <x:c r="T267" t="str">
        <x:v>Entregue</x:v>
      </x:c>
      <x:c r="U267" t="n">
        <x:v>3</x:v>
      </x:c>
      <x:c r="V267" t="str"/>
    </x:row>
    <x:row r="268">
      <x:c r="A268" s="52" t="n">
        <x:v>46117</x:v>
      </x:c>
      <x:c r="B268" t="str">
        <x:v>PED-100267</x:v>
      </x:c>
      <x:c r="C268" t="str">
        <x:v>Cliente 109</x:v>
      </x:c>
      <x:c r="D268" t="str">
        <x:v>PA</x:v>
      </x:c>
      <x:c r="E268" t="str">
        <x:v>Norte</x:v>
      </x:c>
      <x:c r="F268" t="str">
        <x:v>E-commerce</x:v>
      </x:c>
      <x:c r="G268" t="str">
        <x:v>Casa</x:v>
      </x:c>
      <x:c r="H268" t="str">
        <x:v>Aspirador Robô</x:v>
      </x:c>
      <x:c r="I268" t="str">
        <x:v>Gabriela</x:v>
      </x:c>
      <x:c r="J268" s="53" t="n">
        <x:v>5</x:v>
      </x:c>
      <x:c r="K268" s="54" t="n">
        <x:v>1949.75</x:v>
      </x:c>
      <x:c r="L268" s="54" t="n">
        <x:v>1252.59</x:v>
      </x:c>
      <x:c r="M268" s="55" t="n">
        <x:v>0.0986</x:v>
      </x:c>
      <x:c r="N268" s="54" t="n">
        <x:f>ROUND(J268*K268,2)</x:f>
        <x:v>9748.75</x:v>
      </x:c>
      <x:c r="O268" s="54" t="n">
        <x:f>ROUND(N268*(1-M268),2)</x:f>
        <x:v>8787.52</x:v>
      </x:c>
      <x:c r="P268" s="54" t="n">
        <x:f>ROUND(J268*L268,2)</x:f>
        <x:v>6262.95</x:v>
      </x:c>
      <x:c r="Q268" s="54" t="n">
        <x:f>ROUND(O268-P268,2)</x:f>
        <x:v>2524.57</x:v>
      </x:c>
      <x:c r="R268" s="55" t="n">
        <x:f>IF(O268=0,0,ROUND(Q268/O268,4))</x:f>
        <x:v>0.2873</x:v>
      </x:c>
      <x:c r="S268" s="53" t="n">
        <x:v>10</x:v>
      </x:c>
      <x:c r="T268" t="str">
        <x:v>Entregue</x:v>
      </x:c>
      <x:c r="U268" t="n">
        <x:v>4</x:v>
      </x:c>
      <x:c r="V268" t="str"/>
    </x:row>
    <x:row r="269">
      <x:c r="A269" s="52" t="n">
        <x:v>46137</x:v>
      </x:c>
      <x:c r="B269" t="str">
        <x:v>PED-100268</x:v>
      </x:c>
      <x:c r="C269" t="str">
        <x:v>Cliente 107</x:v>
      </x:c>
      <x:c r="D269" t="str">
        <x:v>MA</x:v>
      </x:c>
      <x:c r="E269" t="str">
        <x:v>Nordeste</x:v>
      </x:c>
      <x:c r="F269" t="str">
        <x:v>E-commerce</x:v>
      </x:c>
      <x:c r="G269" t="str">
        <x:v>Tecnologia</x:v>
      </x:c>
      <x:c r="H269" t="str">
        <x:v>Notebook Pro</x:v>
      </x:c>
      <x:c r="I269" t="str">
        <x:v>Elaine</x:v>
      </x:c>
      <x:c r="J269" s="53" t="n">
        <x:v>4</x:v>
      </x:c>
      <x:c r="K269" s="54" t="n">
        <x:v>5605.62</x:v>
      </x:c>
      <x:c r="L269" s="54" t="n">
        <x:v>4368.23</x:v>
      </x:c>
      <x:c r="M269" s="55" t="n">
        <x:v>0</x:v>
      </x:c>
      <x:c r="N269" s="54" t="n">
        <x:f>ROUND(J269*K269,2)</x:f>
        <x:v>22422.48</x:v>
      </x:c>
      <x:c r="O269" s="54" t="n">
        <x:f>ROUND(N269*(1-M269),2)</x:f>
        <x:v>22422.48</x:v>
      </x:c>
      <x:c r="P269" s="54" t="n">
        <x:f>ROUND(J269*L269,2)</x:f>
        <x:v>17472.92</x:v>
      </x:c>
      <x:c r="Q269" s="54" t="n">
        <x:f>ROUND(O269-P269,2)</x:f>
        <x:v>4949.56</x:v>
      </x:c>
      <x:c r="R269" s="55" t="n">
        <x:f>IF(O269=0,0,ROUND(Q269/O269,4))</x:f>
        <x:v>0.2207</x:v>
      </x:c>
      <x:c r="S269" s="53" t="n">
        <x:v>5</x:v>
      </x:c>
      <x:c r="T269" t="str">
        <x:v>Entregue</x:v>
      </x:c>
      <x:c r="U269" t="n">
        <x:v>2</x:v>
      </x:c>
      <x:c r="V269" t="str"/>
    </x:row>
    <x:row r="270">
      <x:c r="A270" s="52" t="n">
        <x:v>46189</x:v>
      </x:c>
      <x:c r="B270" t="str">
        <x:v>PED-100269</x:v>
      </x:c>
      <x:c r="C270" t="str">
        <x:v>Cliente 006</x:v>
      </x:c>
      <x:c r="D270" t="str">
        <x:v>CE</x:v>
      </x:c>
      <x:c r="E270" t="str">
        <x:v>Nordeste</x:v>
      </x:c>
      <x:c r="F270" t="str">
        <x:v>E-commerce</x:v>
      </x:c>
      <x:c r="G270" t="str">
        <x:v>Casa</x:v>
      </x:c>
      <x:c r="H270" t="str">
        <x:v>Aspirador Robô</x:v>
      </x:c>
      <x:c r="I270" t="str">
        <x:v>Felipe</x:v>
      </x:c>
      <x:c r="J270" s="53" t="n">
        <x:v>6</x:v>
      </x:c>
      <x:c r="K270" s="54" t="n">
        <x:v>1900.61</x:v>
      </x:c>
      <x:c r="L270" s="54" t="n">
        <x:v>1250.69</x:v>
      </x:c>
      <x:c r="M270" s="55" t="n">
        <x:v>0</x:v>
      </x:c>
      <x:c r="N270" s="54" t="n">
        <x:f>ROUND(J270*K270,2)</x:f>
        <x:v>11403.66</x:v>
      </x:c>
      <x:c r="O270" s="54" t="n">
        <x:f>ROUND(N270*(1-M270),2)</x:f>
        <x:v>11403.66</x:v>
      </x:c>
      <x:c r="P270" s="54" t="n">
        <x:f>ROUND(J270*L270,2)</x:f>
        <x:v>7504.14</x:v>
      </x:c>
      <x:c r="Q270" s="54" t="n">
        <x:f>ROUND(O270-P270,2)</x:f>
        <x:v>3899.52</x:v>
      </x:c>
      <x:c r="R270" s="55" t="n">
        <x:f>IF(O270=0,0,ROUND(Q270/O270,4))</x:f>
        <x:v>0.342</x:v>
      </x:c>
      <x:c r="S270" s="53" t="n">
        <x:v>14</x:v>
      </x:c>
      <x:c r="T270" t="str">
        <x:v>Entregue com atraso</x:v>
      </x:c>
      <x:c r="U270" t="n">
        <x:v>2</x:v>
      </x:c>
      <x:c r="V270" t="str"/>
    </x:row>
    <x:row r="271">
      <x:c r="A271" s="52" t="n">
        <x:v>46189</x:v>
      </x:c>
      <x:c r="B271" t="str">
        <x:v>PED-100270</x:v>
      </x:c>
      <x:c r="C271" t="str">
        <x:v>Cliente 007</x:v>
      </x:c>
      <x:c r="D271" t="str">
        <x:v>CE</x:v>
      </x:c>
      <x:c r="E271" t="str">
        <x:v>Nordeste</x:v>
      </x:c>
      <x:c r="F271" t="str">
        <x:v>Loja</x:v>
      </x:c>
      <x:c r="G271" t="str">
        <x:v>Escritório</x:v>
      </x:c>
      <x:c r="H271" t="str">
        <x:v>Mesa Ajustável</x:v>
      </x:c>
      <x:c r="I271" t="str">
        <x:v>Carla</x:v>
      </x:c>
      <x:c r="J271" s="53" t="n">
        <x:v>5</x:v>
      </x:c>
      <x:c r="K271" s="54" t="n">
        <x:v>2905.78</x:v>
      </x:c>
      <x:c r="L271" s="54" t="n">
        <x:v>1849.43</x:v>
      </x:c>
      <x:c r="M271" s="55" t="n">
        <x:v>0.1216</x:v>
      </x:c>
      <x:c r="N271" s="54" t="n">
        <x:f>ROUND(J271*K271,2)</x:f>
        <x:v>14528.9</x:v>
      </x:c>
      <x:c r="O271" s="54" t="n">
        <x:f>ROUND(N271*(1-M271),2)</x:f>
        <x:v>12762.19</x:v>
      </x:c>
      <x:c r="P271" s="54" t="n">
        <x:f>ROUND(J271*L271,2)</x:f>
        <x:v>9247.15</x:v>
      </x:c>
      <x:c r="Q271" s="54" t="n">
        <x:f>ROUND(O271-P271,2)</x:f>
        <x:v>3515.04</x:v>
      </x:c>
      <x:c r="R271" s="55" t="n">
        <x:f>IF(O271=0,0,ROUND(Q271/O271,4))</x:f>
        <x:v>0.2754</x:v>
      </x:c>
      <x:c r="S271" s="53" t="n">
        <x:v>3</x:v>
      </x:c>
      <x:c r="T271" t="str">
        <x:v>Entregue</x:v>
      </x:c>
      <x:c r="U271" t="n">
        <x:v>4</x:v>
      </x:c>
      <x:c r="V271" t="str"/>
    </x:row>
    <x:row r="272">
      <x:c r="A272" s="52" t="n">
        <x:v>46166</x:v>
      </x:c>
      <x:c r="B272" t="str">
        <x:v>PED-100271</x:v>
      </x:c>
      <x:c r="C272" t="str">
        <x:v>Cliente 110</x:v>
      </x:c>
      <x:c r="D272" t="str">
        <x:v>PA</x:v>
      </x:c>
      <x:c r="E272" t="str">
        <x:v>Norte</x:v>
      </x:c>
      <x:c r="F272" t="str">
        <x:v>E-commerce</x:v>
      </x:c>
      <x:c r="G272" t="str">
        <x:v>Acessórios</x:v>
      </x:c>
      <x:c r="H272" t="str">
        <x:v>Hub USB-C</x:v>
      </x:c>
      <x:c r="I272" t="str">
        <x:v>Diego</x:v>
      </x:c>
      <x:c r="J272" s="53" t="n">
        <x:v>7</x:v>
      </x:c>
      <x:c r="K272" s="54" t="n">
        <x:v>319.93</x:v>
      </x:c>
      <x:c r="L272" s="54" t="n">
        <x:v>141.18</x:v>
      </x:c>
      <x:c r="M272" s="55" t="n">
        <x:v>0</x:v>
      </x:c>
      <x:c r="N272" s="54" t="n">
        <x:f>ROUND(J272*K272,2)</x:f>
        <x:v>2239.51</x:v>
      </x:c>
      <x:c r="O272" s="54" t="n">
        <x:f>ROUND(N272*(1-M272),2)</x:f>
        <x:v>2239.51</x:v>
      </x:c>
      <x:c r="P272" s="54" t="n">
        <x:f>ROUND(J272*L272,2)</x:f>
        <x:v>988.26</x:v>
      </x:c>
      <x:c r="Q272" s="54" t="n">
        <x:f>ROUND(O272-P272,2)</x:f>
        <x:v>1251.25</x:v>
      </x:c>
      <x:c r="R272" s="55" t="n">
        <x:f>IF(O272=0,0,ROUND(Q272/O272,4))</x:f>
        <x:v>0.5587</x:v>
      </x:c>
      <x:c r="S272" s="53" t="n">
        <x:v>12</x:v>
      </x:c>
      <x:c r="T272" t="str">
        <x:v>Entregue com atraso</x:v>
      </x:c>
      <x:c r="U272" t="n">
        <x:v>5</x:v>
      </x:c>
      <x:c r="V272" t="str"/>
    </x:row>
    <x:row r="273">
      <x:c r="A273" s="52" t="n">
        <x:v>46186</x:v>
      </x:c>
      <x:c r="B273" t="str">
        <x:v>PED-100272</x:v>
      </x:c>
      <x:c r="C273" t="str">
        <x:v>Cliente 059</x:v>
      </x:c>
      <x:c r="D273" t="str">
        <x:v>PR</x:v>
      </x:c>
      <x:c r="E273" t="str">
        <x:v>Sul</x:v>
      </x:c>
      <x:c r="F273" t="str">
        <x:v>Televendas</x:v>
      </x:c>
      <x:c r="G273" t="str">
        <x:v>Tecnologia</x:v>
      </x:c>
      <x:c r="H273" t="str">
        <x:v>Notebook Pro</x:v>
      </x:c>
      <x:c r="I273" t="str">
        <x:v>Isabela</x:v>
      </x:c>
      <x:c r="J273" s="53" t="n">
        <x:v>2</x:v>
      </x:c>
      <x:c r="K273" s="54" t="n">
        <x:v>6166.38</x:v>
      </x:c>
      <x:c r="L273" s="54" t="n">
        <x:v>4211.33</x:v>
      </x:c>
      <x:c r="M273" s="55" t="n">
        <x:v>0</x:v>
      </x:c>
      <x:c r="N273" s="54" t="n">
        <x:f>ROUND(J273*K273,2)</x:f>
        <x:v>12332.76</x:v>
      </x:c>
      <x:c r="O273" s="54" t="n">
        <x:f>ROUND(N273*(1-M273),2)</x:f>
        <x:v>12332.76</x:v>
      </x:c>
      <x:c r="P273" s="54" t="n">
        <x:f>ROUND(J273*L273,2)</x:f>
        <x:v>8422.66</x:v>
      </x:c>
      <x:c r="Q273" s="54" t="n">
        <x:f>ROUND(O273-P273,2)</x:f>
        <x:v>3910.1</x:v>
      </x:c>
      <x:c r="R273" s="55" t="n">
        <x:f>IF(O273=0,0,ROUND(Q273/O273,4))</x:f>
        <x:v>0.317</x:v>
      </x:c>
      <x:c r="S273" s="53" t="n">
        <x:v>6</x:v>
      </x:c>
      <x:c r="T273" t="str">
        <x:v>Entregue</x:v>
      </x:c>
      <x:c r="U273" t="n">
        <x:v>4</x:v>
      </x:c>
      <x:c r="V273" t="str"/>
    </x:row>
    <x:row r="274">
      <x:c r="A274" s="52" t="n">
        <x:v>46084</x:v>
      </x:c>
      <x:c r="B274" t="str">
        <x:v>PED-100273</x:v>
      </x:c>
      <x:c r="C274" t="str">
        <x:v>Cliente 053</x:v>
      </x:c>
      <x:c r="D274" t="str">
        <x:v>MA</x:v>
      </x:c>
      <x:c r="E274" t="str">
        <x:v>Nordeste</x:v>
      </x:c>
      <x:c r="F274" t="str">
        <x:v>Marketplace</x:v>
      </x:c>
      <x:c r="G274" t="str">
        <x:v>Casa</x:v>
      </x:c>
      <x:c r="H274" t="str">
        <x:v>Cafeteira Smart</x:v>
      </x:c>
      <x:c r="I274" t="str">
        <x:v>João</x:v>
      </x:c>
      <x:c r="J274" s="53" t="n">
        <x:v>5</x:v>
      </x:c>
      <x:c r="K274" s="54" t="n">
        <x:v>814.53</x:v>
      </x:c>
      <x:c r="L274" s="54" t="n">
        <x:v>453.8</x:v>
      </x:c>
      <x:c r="M274" s="55" t="n">
        <x:v>0.035</x:v>
      </x:c>
      <x:c r="N274" s="54" t="n">
        <x:f>ROUND(J274*K274,2)</x:f>
        <x:v>4072.65</x:v>
      </x:c>
      <x:c r="O274" s="54" t="n">
        <x:f>ROUND(N274*(1-M274),2)</x:f>
        <x:v>3930.11</x:v>
      </x:c>
      <x:c r="P274" s="54" t="n">
        <x:f>ROUND(J274*L274,2)</x:f>
        <x:v>2269</x:v>
      </x:c>
      <x:c r="Q274" s="54" t="n">
        <x:f>ROUND(O274-P274,2)</x:f>
        <x:v>1661.11</x:v>
      </x:c>
      <x:c r="R274" s="55" t="n">
        <x:f>IF(O274=0,0,ROUND(Q274/O274,4))</x:f>
        <x:v>0.4227</x:v>
      </x:c>
      <x:c r="S274" s="53" t="n">
        <x:v>10</x:v>
      </x:c>
      <x:c r="T274" t="str">
        <x:v>Entregue</x:v>
      </x:c>
      <x:c r="U274" t="n">
        <x:v>5</x:v>
      </x:c>
      <x:c r="V274" t="str"/>
    </x:row>
    <x:row r="275">
      <x:c r="A275" s="52" t="n">
        <x:v>46119</x:v>
      </x:c>
      <x:c r="B275" t="str">
        <x:v>PED-100274</x:v>
      </x:c>
      <x:c r="C275" t="str">
        <x:v>Cliente 117</x:v>
      </x:c>
      <x:c r="D275" t="str">
        <x:v>MT</x:v>
      </x:c>
      <x:c r="E275" t="str">
        <x:v>Centro-Oeste</x:v>
      </x:c>
      <x:c r="F275" t="str">
        <x:v>Marketplace</x:v>
      </x:c>
      <x:c r="G275" t="str">
        <x:v>Tecnologia</x:v>
      </x:c>
      <x:c r="H275" t="str">
        <x:v>Monitor 27</x:v>
      </x:c>
      <x:c r="I275" t="str">
        <x:v>Diego</x:v>
      </x:c>
      <x:c r="J275" s="53" t="n">
        <x:v>5</x:v>
      </x:c>
      <x:c r="K275" s="54" t="n">
        <x:v>1698.44</x:v>
      </x:c>
      <x:c r="L275" s="54" t="n">
        <x:v>1060.24</x:v>
      </x:c>
      <x:c r="M275" s="55" t="n">
        <x:v>0.0416</x:v>
      </x:c>
      <x:c r="N275" s="54" t="n">
        <x:f>ROUND(J275*K275,2)</x:f>
        <x:v>8492.2</x:v>
      </x:c>
      <x:c r="O275" s="54" t="n">
        <x:f>ROUND(N275*(1-M275),2)</x:f>
        <x:v>8138.92</x:v>
      </x:c>
      <x:c r="P275" s="54" t="n">
        <x:f>ROUND(J275*L275,2)</x:f>
        <x:v>5301.2</x:v>
      </x:c>
      <x:c r="Q275" s="54" t="n">
        <x:f>ROUND(O275-P275,2)</x:f>
        <x:v>2837.72</x:v>
      </x:c>
      <x:c r="R275" s="55" t="n">
        <x:f>IF(O275=0,0,ROUND(Q275/O275,4))</x:f>
        <x:v>0.3487</x:v>
      </x:c>
      <x:c r="S275" s="53" t="n">
        <x:v>12</x:v>
      </x:c>
      <x:c r="T275" t="str">
        <x:v>Entregue com atraso</x:v>
      </x:c>
      <x:c r="U275" t="n">
        <x:v>2</x:v>
      </x:c>
      <x:c r="V275" t="str"/>
    </x:row>
    <x:row r="276">
      <x:c r="A276" s="52" t="n">
        <x:v>46192</x:v>
      </x:c>
      <x:c r="B276" t="str">
        <x:v>PED-100275</x:v>
      </x:c>
      <x:c r="C276" t="str">
        <x:v>Cliente 086</x:v>
      </x:c>
      <x:c r="D276" t="str">
        <x:v>PA</x:v>
      </x:c>
      <x:c r="E276" t="str">
        <x:v>Norte</x:v>
      </x:c>
      <x:c r="F276" t="str">
        <x:v>Televendas</x:v>
      </x:c>
      <x:c r="G276" t="str">
        <x:v>Casa</x:v>
      </x:c>
      <x:c r="H276" t="str">
        <x:v>Cafeteira Smart</x:v>
      </x:c>
      <x:c r="I276" t="str">
        <x:v>Elaine</x:v>
      </x:c>
      <x:c r="J276" s="53" t="n">
        <x:v>4</x:v>
      </x:c>
      <x:c r="K276" s="54" t="n">
        <x:v>773.57</x:v>
      </x:c>
      <x:c r="L276" s="54" t="n">
        <x:v>453.11</x:v>
      </x:c>
      <x:c r="M276" s="55" t="n">
        <x:v>0.0328</x:v>
      </x:c>
      <x:c r="N276" s="54" t="n">
        <x:f>ROUND(J276*K276,2)</x:f>
        <x:v>3094.28</x:v>
      </x:c>
      <x:c r="O276" s="54" t="n">
        <x:f>ROUND(N276*(1-M276),2)</x:f>
        <x:v>2992.79</x:v>
      </x:c>
      <x:c r="P276" s="54" t="n">
        <x:f>ROUND(J276*L276,2)</x:f>
        <x:v>1812.44</x:v>
      </x:c>
      <x:c r="Q276" s="54" t="n">
        <x:f>ROUND(O276-P276,2)</x:f>
        <x:v>1180.35</x:v>
      </x:c>
      <x:c r="R276" s="55" t="n">
        <x:f>IF(O276=0,0,ROUND(Q276/O276,4))</x:f>
        <x:v>0.3944</x:v>
      </x:c>
      <x:c r="S276" s="53" t="n">
        <x:v>6</x:v>
      </x:c>
      <x:c r="T276" t="str">
        <x:v>Entregue</x:v>
      </x:c>
      <x:c r="U276" t="n">
        <x:v>4</x:v>
      </x:c>
      <x:c r="V276" t="str"/>
    </x:row>
    <x:row r="277">
      <x:c r="A277" s="52" t="n">
        <x:v>46062</x:v>
      </x:c>
      <x:c r="B277" t="str">
        <x:v>PED-100276</x:v>
      </x:c>
      <x:c r="C277" t="str">
        <x:v>Cliente 034</x:v>
      </x:c>
      <x:c r="D277" t="str">
        <x:v>SP</x:v>
      </x:c>
      <x:c r="E277" t="str">
        <x:v>Sudeste</x:v>
      </x:c>
      <x:c r="F277" t="str">
        <x:v>E-commerce</x:v>
      </x:c>
      <x:c r="G277" t="str">
        <x:v>Escritório</x:v>
      </x:c>
      <x:c r="H277" t="str">
        <x:v>Luminária LED</x:v>
      </x:c>
      <x:c r="I277" t="str">
        <x:v>João</x:v>
      </x:c>
      <x:c r="J277" s="53" t="n">
        <x:v>5</x:v>
      </x:c>
      <x:c r="K277" s="54" t="n">
        <x:v>274.86</x:v>
      </x:c>
      <x:c r="L277" s="54" t="n">
        <x:v>118.62</x:v>
      </x:c>
      <x:c r="M277" s="55" t="n">
        <x:v>0.0845</x:v>
      </x:c>
      <x:c r="N277" s="54" t="n">
        <x:f>ROUND(J277*K277,2)</x:f>
        <x:v>1374.3</x:v>
      </x:c>
      <x:c r="O277" s="54" t="n">
        <x:f>ROUND(N277*(1-M277),2)</x:f>
        <x:v>1258.17</x:v>
      </x:c>
      <x:c r="P277" s="54" t="n">
        <x:f>ROUND(J277*L277,2)</x:f>
        <x:v>593.1</x:v>
      </x:c>
      <x:c r="Q277" s="54" t="n">
        <x:f>ROUND(O277-P277,2)</x:f>
        <x:v>665.07</x:v>
      </x:c>
      <x:c r="R277" s="55" t="n">
        <x:f>IF(O277=0,0,ROUND(Q277/O277,4))</x:f>
        <x:v>0.5286</x:v>
      </x:c>
      <x:c r="S277" s="53" t="n">
        <x:v>3</x:v>
      </x:c>
      <x:c r="T277" t="str">
        <x:v>Entregue</x:v>
      </x:c>
      <x:c r="U277" t="n">
        <x:v>3</x:v>
      </x:c>
      <x:c r="V277" t="str"/>
    </x:row>
    <x:row r="278">
      <x:c r="A278" s="52" t="n">
        <x:v>46229</x:v>
      </x:c>
      <x:c r="B278" t="str">
        <x:v>PED-100277</x:v>
      </x:c>
      <x:c r="C278" t="str">
        <x:v>Cliente 018</x:v>
      </x:c>
      <x:c r="D278" t="str">
        <x:v>GO</x:v>
      </x:c>
      <x:c r="E278" t="str">
        <x:v>Centro-Oeste</x:v>
      </x:c>
      <x:c r="F278" t="str">
        <x:v>Loja</x:v>
      </x:c>
      <x:c r="G278" t="str">
        <x:v>Acessórios</x:v>
      </x:c>
      <x:c r="H278" t="str">
        <x:v>Hub USB-C</x:v>
      </x:c>
      <x:c r="I278" t="str">
        <x:v>João</x:v>
      </x:c>
      <x:c r="J278" s="53" t="n">
        <x:v>1</x:v>
      </x:c>
      <x:c r="K278" s="54" t="n">
        <x:v>318.94</x:v>
      </x:c>
      <x:c r="L278" s="54" t="n">
        <x:v>135.26</x:v>
      </x:c>
      <x:c r="M278" s="55" t="n">
        <x:v>0.0053</x:v>
      </x:c>
      <x:c r="N278" s="54" t="n">
        <x:f>ROUND(J278*K278,2)</x:f>
        <x:v>318.94</x:v>
      </x:c>
      <x:c r="O278" s="54" t="n">
        <x:f>ROUND(N278*(1-M278),2)</x:f>
        <x:v>317.25</x:v>
      </x:c>
      <x:c r="P278" s="54" t="n">
        <x:f>ROUND(J278*L278,2)</x:f>
        <x:v>135.26</x:v>
      </x:c>
      <x:c r="Q278" s="54" t="n">
        <x:f>ROUND(O278-P278,2)</x:f>
        <x:v>181.99</x:v>
      </x:c>
      <x:c r="R278" s="55" t="n">
        <x:f>IF(O278=0,0,ROUND(Q278/O278,4))</x:f>
        <x:v>0.5736</x:v>
      </x:c>
      <x:c r="S278" s="53" t="n">
        <x:v>8</x:v>
      </x:c>
      <x:c r="T278" t="str">
        <x:v>Entregue</x:v>
      </x:c>
      <x:c r="U278" t="n">
        <x:v>5</x:v>
      </x:c>
      <x:c r="V278" t="str"/>
    </x:row>
    <x:row r="279">
      <x:c r="A279" s="52" t="n">
        <x:v>46152</x:v>
      </x:c>
      <x:c r="B279" t="str">
        <x:v>PED-100278</x:v>
      </x:c>
      <x:c r="C279" t="str">
        <x:v>Cliente 067</x:v>
      </x:c>
      <x:c r="D279" t="str">
        <x:v>BA</x:v>
      </x:c>
      <x:c r="E279" t="str">
        <x:v>Nordeste</x:v>
      </x:c>
      <x:c r="F279" t="str">
        <x:v>Televendas</x:v>
      </x:c>
      <x:c r="G279" t="str">
        <x:v>Tecnologia</x:v>
      </x:c>
      <x:c r="H279" t="str">
        <x:v>Notebook Pro</x:v>
      </x:c>
      <x:c r="I279" t="str">
        <x:v>Felipe</x:v>
      </x:c>
      <x:c r="J279" s="53" t="n">
        <x:v>4</x:v>
      </x:c>
      <x:c r="K279" s="54" t="n">
        <x:v>6073.8</x:v>
      </x:c>
      <x:c r="L279" s="54" t="n">
        <x:v>4405.05</x:v>
      </x:c>
      <x:c r="M279" s="55" t="n">
        <x:v>0.0295</x:v>
      </x:c>
      <x:c r="N279" s="54" t="n">
        <x:f>ROUND(J279*K279,2)</x:f>
        <x:v>24295.2</x:v>
      </x:c>
      <x:c r="O279" s="54" t="n">
        <x:f>ROUND(N279*(1-M279),2)</x:f>
        <x:v>23578.49</x:v>
      </x:c>
      <x:c r="P279" s="54" t="n">
        <x:f>ROUND(J279*L279,2)</x:f>
        <x:v>17620.2</x:v>
      </x:c>
      <x:c r="Q279" s="54" t="n">
        <x:f>ROUND(O279-P279,2)</x:f>
        <x:v>5958.29</x:v>
      </x:c>
      <x:c r="R279" s="55" t="n">
        <x:f>IF(O279=0,0,ROUND(Q279/O279,4))</x:f>
        <x:v>0.2527</x:v>
      </x:c>
      <x:c r="S279" s="53" t="n">
        <x:v>13</x:v>
      </x:c>
      <x:c r="T279" t="str">
        <x:v>Entregue com atraso</x:v>
      </x:c>
      <x:c r="U279" t="n">
        <x:v>4</x:v>
      </x:c>
      <x:c r="V279" t="str"/>
    </x:row>
    <x:row r="280">
      <x:c r="A280" s="52" t="n">
        <x:v>46094</x:v>
      </x:c>
      <x:c r="B280" t="str">
        <x:v>PED-100279</x:v>
      </x:c>
      <x:c r="C280" t="str">
        <x:v>Cliente 009</x:v>
      </x:c>
      <x:c r="D280" t="str">
        <x:v>ES</x:v>
      </x:c>
      <x:c r="E280" t="str">
        <x:v>Sudeste</x:v>
      </x:c>
      <x:c r="F280" t="str">
        <x:v>Televendas</x:v>
      </x:c>
      <x:c r="G280" t="str">
        <x:v>Acessórios</x:v>
      </x:c>
      <x:c r="H280" t="str">
        <x:v>Hub USB-C</x:v>
      </x:c>
      <x:c r="I280" t="str">
        <x:v>Elaine</x:v>
      </x:c>
      <x:c r="J280" s="53" t="n">
        <x:v>7</x:v>
      </x:c>
      <x:c r="K280" s="54" t="n">
        <x:v>319.08</x:v>
      </x:c>
      <x:c r="L280" s="54" t="n">
        <x:v>132.01</x:v>
      </x:c>
      <x:c r="M280" s="55" t="n">
        <x:v>0.1011</x:v>
      </x:c>
      <x:c r="N280" s="54" t="n">
        <x:f>ROUND(J280*K280,2)</x:f>
        <x:v>2233.56</x:v>
      </x:c>
      <x:c r="O280" s="54" t="n">
        <x:f>ROUND(N280*(1-M280),2)</x:f>
        <x:v>2007.75</x:v>
      </x:c>
      <x:c r="P280" s="54" t="n">
        <x:f>ROUND(J280*L280,2)</x:f>
        <x:v>924.07</x:v>
      </x:c>
      <x:c r="Q280" s="54" t="n">
        <x:f>ROUND(O280-P280,2)</x:f>
        <x:v>1083.68</x:v>
      </x:c>
      <x:c r="R280" s="55" t="n">
        <x:f>IF(O280=0,0,ROUND(Q280/O280,4))</x:f>
        <x:v>0.5397</x:v>
      </x:c>
      <x:c r="S280" s="53" t="n">
        <x:v>11</x:v>
      </x:c>
      <x:c r="T280" t="str">
        <x:v>Entregue com atraso</x:v>
      </x:c>
      <x:c r="U280" t="n">
        <x:v>5</x:v>
      </x:c>
      <x:c r="V280" t="str"/>
    </x:row>
    <x:row r="281">
      <x:c r="A281" s="52" t="n">
        <x:v>46168</x:v>
      </x:c>
      <x:c r="B281" t="str">
        <x:v>PED-100280</x:v>
      </x:c>
      <x:c r="C281" t="str">
        <x:v>Cliente 014</x:v>
      </x:c>
      <x:c r="D281" t="str">
        <x:v>MA</x:v>
      </x:c>
      <x:c r="E281" t="str">
        <x:v>Nordeste</x:v>
      </x:c>
      <x:c r="F281" t="str">
        <x:v>Televendas</x:v>
      </x:c>
      <x:c r="G281" t="str">
        <x:v>Casa</x:v>
      </x:c>
      <x:c r="H281" t="str">
        <x:v>Aspirador Robô</x:v>
      </x:c>
      <x:c r="I281" t="str">
        <x:v>Felipe</x:v>
      </x:c>
      <x:c r="J281" s="53" t="n">
        <x:v>3</x:v>
      </x:c>
      <x:c r="K281" s="54" t="n">
        <x:v>1953.21</x:v>
      </x:c>
      <x:c r="L281" s="54" t="n">
        <x:v>1225.79</x:v>
      </x:c>
      <x:c r="M281" s="55" t="n">
        <x:v>0.1061</x:v>
      </x:c>
      <x:c r="N281" s="54" t="n">
        <x:f>ROUND(J281*K281,2)</x:f>
        <x:v>5859.63</x:v>
      </x:c>
      <x:c r="O281" s="54" t="n">
        <x:f>ROUND(N281*(1-M281),2)</x:f>
        <x:v>5237.92</x:v>
      </x:c>
      <x:c r="P281" s="54" t="n">
        <x:f>ROUND(J281*L281,2)</x:f>
        <x:v>3677.37</x:v>
      </x:c>
      <x:c r="Q281" s="54" t="n">
        <x:f>ROUND(O281-P281,2)</x:f>
        <x:v>1560.55</x:v>
      </x:c>
      <x:c r="R281" s="55" t="n">
        <x:f>IF(O281=0,0,ROUND(Q281/O281,4))</x:f>
        <x:v>0.2979</x:v>
      </x:c>
      <x:c r="S281" s="53" t="n">
        <x:v>7</x:v>
      </x:c>
      <x:c r="T281" t="str">
        <x:v>Entregue</x:v>
      </x:c>
      <x:c r="U281" t="n">
        <x:v>3</x:v>
      </x:c>
      <x:c r="V281" t="str"/>
    </x:row>
    <x:row r="282">
      <x:c r="A282" s="52" t="n">
        <x:v>46193</x:v>
      </x:c>
      <x:c r="B282" t="str">
        <x:v>PED-100281</x:v>
      </x:c>
      <x:c r="C282" t="str">
        <x:v>Cliente 052</x:v>
      </x:c>
      <x:c r="D282" t="str">
        <x:v>DF</x:v>
      </x:c>
      <x:c r="E282" t="str">
        <x:v>Centro-Oeste</x:v>
      </x:c>
      <x:c r="F282" t="str">
        <x:v>E-commerce</x:v>
      </x:c>
      <x:c r="G282" t="str">
        <x:v>Acessórios</x:v>
      </x:c>
      <x:c r="H282" t="str">
        <x:v>Webcam HD</x:v>
      </x:c>
      <x:c r="I282" t="str">
        <x:v>Carla</x:v>
      </x:c>
      <x:c r="J282" s="53" t="n">
        <x:v>4</x:v>
      </x:c>
      <x:c r="K282" s="54" t="n">
        <x:v>487.15</x:v>
      </x:c>
      <x:c r="L282" s="54" t="n">
        <x:v>233.63</x:v>
      </x:c>
      <x:c r="M282" s="55" t="n">
        <x:v>0.0263</x:v>
      </x:c>
      <x:c r="N282" s="54" t="n">
        <x:f>ROUND(J282*K282,2)</x:f>
        <x:v>1948.6</x:v>
      </x:c>
      <x:c r="O282" s="54" t="n">
        <x:f>ROUND(N282*(1-M282),2)</x:f>
        <x:v>1897.35</x:v>
      </x:c>
      <x:c r="P282" s="54" t="n">
        <x:f>ROUND(J282*L282,2)</x:f>
        <x:v>934.52</x:v>
      </x:c>
      <x:c r="Q282" s="54" t="n">
        <x:f>ROUND(O282-P282,2)</x:f>
        <x:v>962.83</x:v>
      </x:c>
      <x:c r="R282" s="55" t="n">
        <x:f>IF(O282=0,0,ROUND(Q282/O282,4))</x:f>
        <x:v>0.5075</x:v>
      </x:c>
      <x:c r="S282" s="53" t="n">
        <x:v>7</x:v>
      </x:c>
      <x:c r="T282" t="str">
        <x:v>Entregue</x:v>
      </x:c>
      <x:c r="U282" t="n">
        <x:v>5</x:v>
      </x:c>
      <x:c r="V282" t="str"/>
    </x:row>
    <x:row r="283">
      <x:c r="A283" s="52" t="n">
        <x:v>46190</x:v>
      </x:c>
      <x:c r="B283" t="str">
        <x:v>PED-100282</x:v>
      </x:c>
      <x:c r="C283" t="str">
        <x:v>Cliente 052</x:v>
      </x:c>
      <x:c r="D283" t="str">
        <x:v>BA</x:v>
      </x:c>
      <x:c r="E283" t="str">
        <x:v>Nordeste</x:v>
      </x:c>
      <x:c r="F283" t="str">
        <x:v>Loja</x:v>
      </x:c>
      <x:c r="G283" t="str">
        <x:v>Acessórios</x:v>
      </x:c>
      <x:c r="H283" t="str">
        <x:v>Hub USB-C</x:v>
      </x:c>
      <x:c r="I283" t="str">
        <x:v>João</x:v>
      </x:c>
      <x:c r="J283" s="53" t="n">
        <x:v>4</x:v>
      </x:c>
      <x:c r="K283" s="54" t="n">
        <x:v>328.21</x:v>
      </x:c>
      <x:c r="L283" s="54" t="n">
        <x:v>142.18</x:v>
      </x:c>
      <x:c r="M283" s="55" t="n">
        <x:v>0.1119</x:v>
      </x:c>
      <x:c r="N283" s="54" t="n">
        <x:f>ROUND(J283*K283,2)</x:f>
        <x:v>1312.84</x:v>
      </x:c>
      <x:c r="O283" s="54" t="n">
        <x:f>ROUND(N283*(1-M283),2)</x:f>
        <x:v>1165.93</x:v>
      </x:c>
      <x:c r="P283" s="54" t="n">
        <x:f>ROUND(J283*L283,2)</x:f>
        <x:v>568.72</x:v>
      </x:c>
      <x:c r="Q283" s="54" t="n">
        <x:f>ROUND(O283-P283,2)</x:f>
        <x:v>597.21</x:v>
      </x:c>
      <x:c r="R283" s="55" t="n">
        <x:f>IF(O283=0,0,ROUND(Q283/O283,4))</x:f>
        <x:v>0.5122</x:v>
      </x:c>
      <x:c r="S283" s="53" t="n">
        <x:v>6</x:v>
      </x:c>
      <x:c r="T283" t="str">
        <x:v>Entregue</x:v>
      </x:c>
      <x:c r="U283" t="n">
        <x:v>3</x:v>
      </x:c>
      <x:c r="V283" t="str"/>
    </x:row>
    <x:row r="284">
      <x:c r="A284" s="52" t="n">
        <x:v>46052</x:v>
      </x:c>
      <x:c r="B284" t="str">
        <x:v>PED-100283</x:v>
      </x:c>
      <x:c r="C284" t="str">
        <x:v>Cliente 035</x:v>
      </x:c>
      <x:c r="D284" t="str">
        <x:v>MA</x:v>
      </x:c>
      <x:c r="E284" t="str">
        <x:v>Nordeste</x:v>
      </x:c>
      <x:c r="F284" t="str">
        <x:v>Televendas</x:v>
      </x:c>
      <x:c r="G284" t="str">
        <x:v>Escritório</x:v>
      </x:c>
      <x:c r="H284" t="str">
        <x:v>Cadeira Ergonômica</x:v>
      </x:c>
      <x:c r="I284" t="str">
        <x:v>Diego</x:v>
      </x:c>
      <x:c r="J284" s="53" t="n">
        <x:v>8</x:v>
      </x:c>
      <x:c r="K284" s="54" t="n">
        <x:v>2317.8</x:v>
      </x:c>
      <x:c r="L284" s="54" t="n">
        <x:v>1522.62</x:v>
      </x:c>
      <x:c r="M284" s="55" t="n">
        <x:v>0.0809</x:v>
      </x:c>
      <x:c r="N284" s="54" t="n">
        <x:f>ROUND(J284*K284,2)</x:f>
        <x:v>18542.4</x:v>
      </x:c>
      <x:c r="O284" s="54" t="n">
        <x:f>ROUND(N284*(1-M284),2)</x:f>
        <x:v>17042.32</x:v>
      </x:c>
      <x:c r="P284" s="54" t="n">
        <x:f>ROUND(J284*L284,2)</x:f>
        <x:v>12180.96</x:v>
      </x:c>
      <x:c r="Q284" s="54" t="n">
        <x:f>ROUND(O284-P284,2)</x:f>
        <x:v>4861.36</x:v>
      </x:c>
      <x:c r="R284" s="55" t="n">
        <x:f>IF(O284=0,0,ROUND(Q284/O284,4))</x:f>
        <x:v>0.2853</x:v>
      </x:c>
      <x:c r="S284" s="53" t="n">
        <x:v>11</x:v>
      </x:c>
      <x:c r="T284" t="str">
        <x:v>Entregue com atraso</x:v>
      </x:c>
      <x:c r="U284" t="n">
        <x:v>3</x:v>
      </x:c>
      <x:c r="V284" t="str"/>
    </x:row>
    <x:row r="285">
      <x:c r="A285" s="52" t="n">
        <x:v>46039</x:v>
      </x:c>
      <x:c r="B285" t="str">
        <x:v>PED-100284</x:v>
      </x:c>
      <x:c r="C285" t="str">
        <x:v>Cliente 072</x:v>
      </x:c>
      <x:c r="D285" t="str">
        <x:v>BA</x:v>
      </x:c>
      <x:c r="E285" t="str">
        <x:v>Nordeste</x:v>
      </x:c>
      <x:c r="F285" t="str">
        <x:v>E-commerce</x:v>
      </x:c>
      <x:c r="G285" t="str">
        <x:v>Acessórios</x:v>
      </x:c>
      <x:c r="H285" t="str">
        <x:v>Webcam HD</x:v>
      </x:c>
      <x:c r="I285" t="str">
        <x:v>Felipe</x:v>
      </x:c>
      <x:c r="J285" s="53" t="n">
        <x:v>1</x:v>
      </x:c>
      <x:c r="K285" s="54" t="n">
        <x:v>540.08</x:v>
      </x:c>
      <x:c r="L285" s="54" t="n">
        <x:v>246.08</x:v>
      </x:c>
      <x:c r="M285" s="55" t="n">
        <x:v>0.0762</x:v>
      </x:c>
      <x:c r="N285" s="54" t="n">
        <x:f>ROUND(J285*K285,2)</x:f>
        <x:v>540.08</x:v>
      </x:c>
      <x:c r="O285" s="54" t="n">
        <x:f>ROUND(N285*(1-M285),2)</x:f>
        <x:v>498.93</x:v>
      </x:c>
      <x:c r="P285" s="54" t="n">
        <x:f>ROUND(J285*L285,2)</x:f>
        <x:v>246.08</x:v>
      </x:c>
      <x:c r="Q285" s="54" t="n">
        <x:f>ROUND(O285-P285,2)</x:f>
        <x:v>252.85</x:v>
      </x:c>
      <x:c r="R285" s="55" t="n">
        <x:f>IF(O285=0,0,ROUND(Q285/O285,4))</x:f>
        <x:v>0.5068</x:v>
      </x:c>
      <x:c r="S285" s="53" t="n">
        <x:v>11</x:v>
      </x:c>
      <x:c r="T285" t="str">
        <x:v>Entregue com atraso</x:v>
      </x:c>
      <x:c r="U285" t="n">
        <x:v>4</x:v>
      </x:c>
      <x:c r="V285" t="str"/>
    </x:row>
    <x:row r="286">
      <x:c r="A286" s="52" t="n">
        <x:v>46132</x:v>
      </x:c>
      <x:c r="B286" t="str">
        <x:v>PED-100285</x:v>
      </x:c>
      <x:c r="C286" t="str">
        <x:v>Cliente 105</x:v>
      </x:c>
      <x:c r="D286" t="str">
        <x:v>PR</x:v>
      </x:c>
      <x:c r="E286" t="str">
        <x:v>Sul</x:v>
      </x:c>
      <x:c r="F286" t="str">
        <x:v>Marketplace</x:v>
      </x:c>
      <x:c r="G286" t="str">
        <x:v>Escritório</x:v>
      </x:c>
      <x:c r="H286" t="str">
        <x:v>Luminária LED</x:v>
      </x:c>
      <x:c r="I286" t="str">
        <x:v>Isabela</x:v>
      </x:c>
      <x:c r="J286" s="53" t="n">
        <x:v>2</x:v>
      </x:c>
      <x:c r="K286" s="54" t="n">
        <x:v>273.21</x:v>
      </x:c>
      <x:c r="L286" s="54" t="n">
        <x:v>117.3</x:v>
      </x:c>
      <x:c r="M286" s="55" t="n">
        <x:v>0.035</x:v>
      </x:c>
      <x:c r="N286" s="54" t="n">
        <x:f>ROUND(J286*K286,2)</x:f>
        <x:v>546.42</x:v>
      </x:c>
      <x:c r="O286" s="54" t="n">
        <x:f>ROUND(N286*(1-M286),2)</x:f>
        <x:v>527.3</x:v>
      </x:c>
      <x:c r="P286" s="54" t="n">
        <x:f>ROUND(J286*L286,2)</x:f>
        <x:v>234.6</x:v>
      </x:c>
      <x:c r="Q286" s="54" t="n">
        <x:f>ROUND(O286-P286,2)</x:f>
        <x:v>292.7</x:v>
      </x:c>
      <x:c r="R286" s="55" t="n">
        <x:f>IF(O286=0,0,ROUND(Q286/O286,4))</x:f>
        <x:v>0.5551</x:v>
      </x:c>
      <x:c r="S286" s="53" t="n">
        <x:v>6</x:v>
      </x:c>
      <x:c r="T286" t="str">
        <x:v>Entregue</x:v>
      </x:c>
      <x:c r="U286" t="n">
        <x:v>5</x:v>
      </x:c>
      <x:c r="V286" t="str"/>
    </x:row>
    <x:row r="287">
      <x:c r="A287" s="52" t="n">
        <x:v>46211</x:v>
      </x:c>
      <x:c r="B287" t="str">
        <x:v>PED-100286</x:v>
      </x:c>
      <x:c r="C287" t="str">
        <x:v>Cliente 071</x:v>
      </x:c>
      <x:c r="D287" t="str">
        <x:v>SP</x:v>
      </x:c>
      <x:c r="E287" t="str">
        <x:v>Sudeste</x:v>
      </x:c>
      <x:c r="F287" t="str">
        <x:v>Loja</x:v>
      </x:c>
      <x:c r="G287" t="str">
        <x:v>Acessórios</x:v>
      </x:c>
      <x:c r="H287" t="str">
        <x:v>Mochila Executiva</x:v>
      </x:c>
      <x:c r="I287" t="str">
        <x:v>Gabriela</x:v>
      </x:c>
      <x:c r="J287" s="53" t="n">
        <x:v>5</x:v>
      </x:c>
      <x:c r="K287" s="54" t="n">
        <x:v>411.32</x:v>
      </x:c>
      <x:c r="L287" s="54" t="n">
        <x:v>188.08</x:v>
      </x:c>
      <x:c r="M287" s="55" t="n">
        <x:v>0</x:v>
      </x:c>
      <x:c r="N287" s="54" t="n">
        <x:f>ROUND(J287*K287,2)</x:f>
        <x:v>2056.6</x:v>
      </x:c>
      <x:c r="O287" s="54" t="n">
        <x:f>ROUND(N287*(1-M287),2)</x:f>
        <x:v>2056.6</x:v>
      </x:c>
      <x:c r="P287" s="54" t="n">
        <x:f>ROUND(J287*L287,2)</x:f>
        <x:v>940.4</x:v>
      </x:c>
      <x:c r="Q287" s="54" t="n">
        <x:f>ROUND(O287-P287,2)</x:f>
        <x:v>1116.2</x:v>
      </x:c>
      <x:c r="R287" s="55" t="n">
        <x:f>IF(O287=0,0,ROUND(Q287/O287,4))</x:f>
        <x:v>0.5427</x:v>
      </x:c>
      <x:c r="S287" s="53" t="n">
        <x:v>12</x:v>
      </x:c>
      <x:c r="T287" t="str">
        <x:v>Entregue com atraso</x:v>
      </x:c>
      <x:c r="U287" t="n">
        <x:v>4</x:v>
      </x:c>
      <x:c r="V287" t="str"/>
    </x:row>
    <x:row r="288">
      <x:c r="A288" s="52" t="n">
        <x:v>46123</x:v>
      </x:c>
      <x:c r="B288" t="str">
        <x:v>PED-100287</x:v>
      </x:c>
      <x:c r="C288" t="str">
        <x:v>Cliente 055</x:v>
      </x:c>
      <x:c r="D288" t="str">
        <x:v>DF</x:v>
      </x:c>
      <x:c r="E288" t="str">
        <x:v>Centro-Oeste</x:v>
      </x:c>
      <x:c r="F288" t="str">
        <x:v>Loja</x:v>
      </x:c>
      <x:c r="G288" t="str">
        <x:v>Escritório</x:v>
      </x:c>
      <x:c r="H288" t="str">
        <x:v>Mesa Ajustável</x:v>
      </x:c>
      <x:c r="I288" t="str">
        <x:v>João</x:v>
      </x:c>
      <x:c r="J288" s="53" t="n">
        <x:v>5</x:v>
      </x:c>
      <x:c r="K288" s="54" t="n">
        <x:v>2762.78</x:v>
      </x:c>
      <x:c r="L288" s="54" t="n">
        <x:v>1829.35</x:v>
      </x:c>
      <x:c r="M288" s="55" t="n">
        <x:v>0</x:v>
      </x:c>
      <x:c r="N288" s="54" t="n">
        <x:f>ROUND(J288*K288,2)</x:f>
        <x:v>13813.9</x:v>
      </x:c>
      <x:c r="O288" s="54" t="n">
        <x:f>ROUND(N288*(1-M288),2)</x:f>
        <x:v>13813.9</x:v>
      </x:c>
      <x:c r="P288" s="54" t="n">
        <x:f>ROUND(J288*L288,2)</x:f>
        <x:v>9146.75</x:v>
      </x:c>
      <x:c r="Q288" s="54" t="n">
        <x:f>ROUND(O288-P288,2)</x:f>
        <x:v>4667.15</x:v>
      </x:c>
      <x:c r="R288" s="55" t="n">
        <x:f>IF(O288=0,0,ROUND(Q288/O288,4))</x:f>
        <x:v>0.3379</x:v>
      </x:c>
      <x:c r="S288" s="53" t="n">
        <x:v>5</x:v>
      </x:c>
      <x:c r="T288" t="str">
        <x:v>Entregue</x:v>
      </x:c>
      <x:c r="U288" t="n">
        <x:v>5</x:v>
      </x:c>
      <x:c r="V288" t="str"/>
    </x:row>
    <x:row r="289">
      <x:c r="A289" s="52" t="n">
        <x:v>46137</x:v>
      </x:c>
      <x:c r="B289" t="str">
        <x:v>PED-100288</x:v>
      </x:c>
      <x:c r="C289" t="str">
        <x:v>Cliente 040</x:v>
      </x:c>
      <x:c r="D289" t="str">
        <x:v>RS</x:v>
      </x:c>
      <x:c r="E289" t="str">
        <x:v>Sul</x:v>
      </x:c>
      <x:c r="F289" t="str">
        <x:v>Televendas</x:v>
      </x:c>
      <x:c r="G289" t="str">
        <x:v>Escritório</x:v>
      </x:c>
      <x:c r="H289" t="str">
        <x:v>Mesa Ajustável</x:v>
      </x:c>
      <x:c r="I289" t="str">
        <x:v>Ana</x:v>
      </x:c>
      <x:c r="J289" s="53" t="n">
        <x:v>8</x:v>
      </x:c>
      <x:c r="K289" s="54" t="n">
        <x:v>2886.86</x:v>
      </x:c>
      <x:c r="L289" s="54" t="n">
        <x:v>1897.93</x:v>
      </x:c>
      <x:c r="M289" s="55" t="n">
        <x:v>0</x:v>
      </x:c>
      <x:c r="N289" s="54" t="n">
        <x:f>ROUND(J289*K289,2)</x:f>
        <x:v>23094.88</x:v>
      </x:c>
      <x:c r="O289" s="54" t="n">
        <x:f>ROUND(N289*(1-M289),2)</x:f>
        <x:v>23094.88</x:v>
      </x:c>
      <x:c r="P289" s="54" t="n">
        <x:f>ROUND(J289*L289,2)</x:f>
        <x:v>15183.44</x:v>
      </x:c>
      <x:c r="Q289" s="54" t="n">
        <x:f>ROUND(O289-P289,2)</x:f>
        <x:v>7911.44</x:v>
      </x:c>
      <x:c r="R289" s="55" t="n">
        <x:f>IF(O289=0,0,ROUND(Q289/O289,4))</x:f>
        <x:v>0.3426</x:v>
      </x:c>
      <x:c r="S289" s="53" t="n">
        <x:v>10</x:v>
      </x:c>
      <x:c r="T289" t="str">
        <x:v>Entregue</x:v>
      </x:c>
      <x:c r="U289" t="n">
        <x:v>5</x:v>
      </x:c>
      <x:c r="V289" t="str"/>
    </x:row>
    <x:row r="290">
      <x:c r="A290" s="52" t="n">
        <x:v>46170</x:v>
      </x:c>
      <x:c r="B290" t="str">
        <x:v>PED-100289</x:v>
      </x:c>
      <x:c r="C290" t="str">
        <x:v>Cliente 078</x:v>
      </x:c>
      <x:c r="D290" t="str">
        <x:v>MA</x:v>
      </x:c>
      <x:c r="E290" t="str">
        <x:v>Nordeste</x:v>
      </x:c>
      <x:c r="F290" t="str">
        <x:v>Loja</x:v>
      </x:c>
      <x:c r="G290" t="str">
        <x:v>Acessórios</x:v>
      </x:c>
      <x:c r="H290" t="str">
        <x:v>Hub USB-C</x:v>
      </x:c>
      <x:c r="I290" t="str">
        <x:v>Isabela</x:v>
      </x:c>
      <x:c r="J290" s="53" t="n">
        <x:v>7</x:v>
      </x:c>
      <x:c r="K290" s="54" t="n">
        <x:v>304.44</x:v>
      </x:c>
      <x:c r="L290" s="54" t="n">
        <x:v>146.37</x:v>
      </x:c>
      <x:c r="M290" s="55" t="n">
        <x:v>0</x:v>
      </x:c>
      <x:c r="N290" s="54" t="n">
        <x:f>ROUND(J290*K290,2)</x:f>
        <x:v>2131.08</x:v>
      </x:c>
      <x:c r="O290" s="54" t="n">
        <x:f>ROUND(N290*(1-M290),2)</x:f>
        <x:v>2131.08</x:v>
      </x:c>
      <x:c r="P290" s="54" t="n">
        <x:f>ROUND(J290*L290,2)</x:f>
        <x:v>1024.59</x:v>
      </x:c>
      <x:c r="Q290" s="54" t="n">
        <x:f>ROUND(O290-P290,2)</x:f>
        <x:v>1106.49</x:v>
      </x:c>
      <x:c r="R290" s="55" t="n">
        <x:f>IF(O290=0,0,ROUND(Q290/O290,4))</x:f>
        <x:v>0.5192</x:v>
      </x:c>
      <x:c r="S290" s="53" t="n">
        <x:v>7</x:v>
      </x:c>
      <x:c r="T290" t="str">
        <x:v>Entregue</x:v>
      </x:c>
      <x:c r="U290" t="n">
        <x:v>5</x:v>
      </x:c>
      <x:c r="V290" t="str"/>
    </x:row>
    <x:row r="291">
      <x:c r="A291" s="52" t="n">
        <x:v>46040</x:v>
      </x:c>
      <x:c r="B291" t="str">
        <x:v>PED-100290</x:v>
      </x:c>
      <x:c r="C291" t="str">
        <x:v>Cliente 057</x:v>
      </x:c>
      <x:c r="D291" t="str">
        <x:v>PA</x:v>
      </x:c>
      <x:c r="E291" t="str">
        <x:v>Norte</x:v>
      </x:c>
      <x:c r="F291" t="str">
        <x:v>Marketplace</x:v>
      </x:c>
      <x:c r="G291" t="str">
        <x:v>Casa</x:v>
      </x:c>
      <x:c r="H291" t="str">
        <x:v>Aspirador Robô</x:v>
      </x:c>
      <x:c r="I291" t="str">
        <x:v>João</x:v>
      </x:c>
      <x:c r="J291" s="53" t="n">
        <x:v>2</x:v>
      </x:c>
      <x:c r="K291" s="54" t="n">
        <x:v>1897.19</x:v>
      </x:c>
      <x:c r="L291" s="54" t="n">
        <x:v>1237.65</x:v>
      </x:c>
      <x:c r="M291" s="55" t="n">
        <x:v>0.035</x:v>
      </x:c>
      <x:c r="N291" s="54" t="n">
        <x:f>ROUND(J291*K291,2)</x:f>
        <x:v>3794.38</x:v>
      </x:c>
      <x:c r="O291" s="54" t="n">
        <x:f>ROUND(N291*(1-M291),2)</x:f>
        <x:v>3661.58</x:v>
      </x:c>
      <x:c r="P291" s="54" t="n">
        <x:f>ROUND(J291*L291,2)</x:f>
        <x:v>2475.3</x:v>
      </x:c>
      <x:c r="Q291" s="54" t="n">
        <x:f>ROUND(O291-P291,2)</x:f>
        <x:v>1186.28</x:v>
      </x:c>
      <x:c r="R291" s="55" t="n">
        <x:f>IF(O291=0,0,ROUND(Q291/O291,4))</x:f>
        <x:v>0.324</x:v>
      </x:c>
      <x:c r="S291" s="53" t="n">
        <x:v>10</x:v>
      </x:c>
      <x:c r="T291" t="str">
        <x:v>Entregue</x:v>
      </x:c>
      <x:c r="U291" t="n">
        <x:v>4</x:v>
      </x:c>
      <x:c r="V291" t="str"/>
    </x:row>
    <x:row r="292">
      <x:c r="A292" s="52" t="n">
        <x:v>46069</x:v>
      </x:c>
      <x:c r="B292" t="str">
        <x:v>PED-100291</x:v>
      </x:c>
      <x:c r="C292" t="str">
        <x:v>Cliente 105</x:v>
      </x:c>
      <x:c r="D292" t="str">
        <x:v>CE</x:v>
      </x:c>
      <x:c r="E292" t="str">
        <x:v>Nordeste</x:v>
      </x:c>
      <x:c r="F292" t="str">
        <x:v>Loja</x:v>
      </x:c>
      <x:c r="G292" t="str">
        <x:v>Tecnologia</x:v>
      </x:c>
      <x:c r="H292" t="str">
        <x:v>Monitor 27</x:v>
      </x:c>
      <x:c r="I292" t="str">
        <x:v>Felipe</x:v>
      </x:c>
      <x:c r="J292" s="53" t="n">
        <x:v>4</x:v>
      </x:c>
      <x:c r="K292" s="54" t="n">
        <x:v>1598.04</x:v>
      </x:c>
      <x:c r="L292" s="54" t="n">
        <x:v>1162.49</x:v>
      </x:c>
      <x:c r="M292" s="55" t="n">
        <x:v>0</x:v>
      </x:c>
      <x:c r="N292" s="54" t="n">
        <x:f>ROUND(J292*K292,2)</x:f>
        <x:v>6392.16</x:v>
      </x:c>
      <x:c r="O292" s="54" t="n">
        <x:f>ROUND(N292*(1-M292),2)</x:f>
        <x:v>6392.16</x:v>
      </x:c>
      <x:c r="P292" s="54" t="n">
        <x:f>ROUND(J292*L292,2)</x:f>
        <x:v>4649.96</x:v>
      </x:c>
      <x:c r="Q292" s="54" t="n">
        <x:f>ROUND(O292-P292,2)</x:f>
        <x:v>1742.2</x:v>
      </x:c>
      <x:c r="R292" s="55" t="n">
        <x:f>IF(O292=0,0,ROUND(Q292/O292,4))</x:f>
        <x:v>0.2726</x:v>
      </x:c>
      <x:c r="S292" s="53" t="n">
        <x:v>11</x:v>
      </x:c>
      <x:c r="T292" t="str">
        <x:v>Entregue com atraso</x:v>
      </x:c>
      <x:c r="U292" t="n">
        <x:v>4</x:v>
      </x:c>
      <x:c r="V292" t="str"/>
    </x:row>
    <x:row r="293">
      <x:c r="A293" s="52" t="n">
        <x:v>46179</x:v>
      </x:c>
      <x:c r="B293" t="str">
        <x:v>PED-100292</x:v>
      </x:c>
      <x:c r="C293" t="str">
        <x:v>Cliente 087</x:v>
      </x:c>
      <x:c r="D293" t="str">
        <x:v>SP</x:v>
      </x:c>
      <x:c r="E293" t="str">
        <x:v>Sudeste</x:v>
      </x:c>
      <x:c r="F293" t="str">
        <x:v>Marketplace</x:v>
      </x:c>
      <x:c r="G293" t="str">
        <x:v>Casa</x:v>
      </x:c>
      <x:c r="H293" t="str">
        <x:v>Purificador</x:v>
      </x:c>
      <x:c r="I293" t="str">
        <x:v>Carla</x:v>
      </x:c>
      <x:c r="J293" s="53" t="n">
        <x:v>1</x:v>
      </x:c>
      <x:c r="K293" s="54" t="n">
        <x:v>1256.7</x:v>
      </x:c>
      <x:c r="L293" s="54" t="n">
        <x:v>744.18</x:v>
      </x:c>
      <x:c r="M293" s="55" t="n">
        <x:v>0.1637</x:v>
      </x:c>
      <x:c r="N293" s="54" t="n">
        <x:f>ROUND(J293*K293,2)</x:f>
        <x:v>1256.7</x:v>
      </x:c>
      <x:c r="O293" s="54" t="n">
        <x:f>ROUND(N293*(1-M293),2)</x:f>
        <x:v>1050.98</x:v>
      </x:c>
      <x:c r="P293" s="54" t="n">
        <x:f>ROUND(J293*L293,2)</x:f>
        <x:v>744.18</x:v>
      </x:c>
      <x:c r="Q293" s="54" t="n">
        <x:f>ROUND(O293-P293,2)</x:f>
        <x:v>306.8</x:v>
      </x:c>
      <x:c r="R293" s="55" t="n">
        <x:f>IF(O293=0,0,ROUND(Q293/O293,4))</x:f>
        <x:v>0.2919</x:v>
      </x:c>
      <x:c r="S293" s="53" t="n">
        <x:v>14</x:v>
      </x:c>
      <x:c r="T293" t="str">
        <x:v>Entregue com atraso</x:v>
      </x:c>
      <x:c r="U293" t="n">
        <x:v>2</x:v>
      </x:c>
      <x:c r="V293" t="str"/>
    </x:row>
    <x:row r="294">
      <x:c r="A294" s="52" t="n">
        <x:v>46190</x:v>
      </x:c>
      <x:c r="B294" t="str">
        <x:v>PED-100293</x:v>
      </x:c>
      <x:c r="C294" t="str">
        <x:v>Cliente 041</x:v>
      </x:c>
      <x:c r="D294" t="str">
        <x:v>PA</x:v>
      </x:c>
      <x:c r="E294" t="str">
        <x:v>Norte</x:v>
      </x:c>
      <x:c r="F294" t="str">
        <x:v>Marketplace</x:v>
      </x:c>
      <x:c r="G294" t="str">
        <x:v>Escritório</x:v>
      </x:c>
      <x:c r="H294" t="str">
        <x:v>Luminária LED</x:v>
      </x:c>
      <x:c r="I294" t="str">
        <x:v>Diego</x:v>
      </x:c>
      <x:c r="J294" s="53" t="n">
        <x:v>3</x:v>
      </x:c>
      <x:c r="K294" s="54" t="n">
        <x:v>250.27</x:v>
      </x:c>
      <x:c r="L294" s="54" t="n">
        <x:v>123.38</x:v>
      </x:c>
      <x:c r="M294" s="55" t="n">
        <x:v>0.035</x:v>
      </x:c>
      <x:c r="N294" s="54" t="n">
        <x:f>ROUND(J294*K294,2)</x:f>
        <x:v>750.81</x:v>
      </x:c>
      <x:c r="O294" s="54" t="n">
        <x:f>ROUND(N294*(1-M294),2)</x:f>
        <x:v>724.53</x:v>
      </x:c>
      <x:c r="P294" s="54" t="n">
        <x:f>ROUND(J294*L294,2)</x:f>
        <x:v>370.14</x:v>
      </x:c>
      <x:c r="Q294" s="54" t="n">
        <x:f>ROUND(O294-P294,2)</x:f>
        <x:v>354.39</x:v>
      </x:c>
      <x:c r="R294" s="55" t="n">
        <x:f>IF(O294=0,0,ROUND(Q294/O294,4))</x:f>
        <x:v>0.4891</x:v>
      </x:c>
      <x:c r="S294" s="53" t="n">
        <x:v>28</x:v>
      </x:c>
      <x:c r="T294" t="str">
        <x:v>Entregue com atraso</x:v>
      </x:c>
      <x:c r="U294" t="n">
        <x:v>1</x:v>
      </x:c>
      <x:c r="V294" t="str">
        <x:v>Ocorrência logística</x:v>
      </x:c>
    </x:row>
    <x:row r="295">
      <x:c r="A295" s="52" t="n">
        <x:v>46149</x:v>
      </x:c>
      <x:c r="B295" t="str">
        <x:v>PED-100294</x:v>
      </x:c>
      <x:c r="C295" t="str">
        <x:v>Cliente 061</x:v>
      </x:c>
      <x:c r="D295" t="str">
        <x:v>ES</x:v>
      </x:c>
      <x:c r="E295" t="str">
        <x:v>Sudeste</x:v>
      </x:c>
      <x:c r="F295" t="str">
        <x:v>Loja</x:v>
      </x:c>
      <x:c r="G295" t="str">
        <x:v>Acessórios</x:v>
      </x:c>
      <x:c r="H295" t="str">
        <x:v>Webcam HD</x:v>
      </x:c>
      <x:c r="I295" t="str">
        <x:v>João</x:v>
      </x:c>
      <x:c r="J295" s="53" t="n">
        <x:v>6</x:v>
      </x:c>
      <x:c r="K295" s="54" t="n">
        <x:v>491.26</x:v>
      </x:c>
      <x:c r="L295" s="54" t="n">
        <x:v>231.81</x:v>
      </x:c>
      <x:c r="M295" s="55" t="n">
        <x:v>0</x:v>
      </x:c>
      <x:c r="N295" s="54" t="n">
        <x:f>ROUND(J295*K295,2)</x:f>
        <x:v>2947.56</x:v>
      </x:c>
      <x:c r="O295" s="54" t="n">
        <x:f>ROUND(N295*(1-M295),2)</x:f>
        <x:v>2947.56</x:v>
      </x:c>
      <x:c r="P295" s="54" t="n">
        <x:f>ROUND(J295*L295,2)</x:f>
        <x:v>1390.86</x:v>
      </x:c>
      <x:c r="Q295" s="54" t="n">
        <x:f>ROUND(O295-P295,2)</x:f>
        <x:v>1556.7</x:v>
      </x:c>
      <x:c r="R295" s="55" t="n">
        <x:f>IF(O295=0,0,ROUND(Q295/O295,4))</x:f>
        <x:v>0.5281</x:v>
      </x:c>
      <x:c r="S295" s="53" t="n">
        <x:v>14</x:v>
      </x:c>
      <x:c r="T295" t="str">
        <x:v>Entregue com atraso</x:v>
      </x:c>
      <x:c r="U295" t="n">
        <x:v>3</x:v>
      </x:c>
      <x:c r="V295" t="str"/>
    </x:row>
    <x:row r="296">
      <x:c r="A296" s="52" t="n">
        <x:v>46034</x:v>
      </x:c>
      <x:c r="B296" t="str">
        <x:v>PED-100295</x:v>
      </x:c>
      <x:c r="C296" t="str">
        <x:v>Cliente 079</x:v>
      </x:c>
      <x:c r="D296" t="str">
        <x:v>PE</x:v>
      </x:c>
      <x:c r="E296" t="str">
        <x:v>Nordeste</x:v>
      </x:c>
      <x:c r="F296" t="str">
        <x:v>Loja</x:v>
      </x:c>
      <x:c r="G296" t="str">
        <x:v>Casa</x:v>
      </x:c>
      <x:c r="H296" t="str">
        <x:v>Purificador</x:v>
      </x:c>
      <x:c r="I296" t="str">
        <x:v>Isabela</x:v>
      </x:c>
      <x:c r="J296" s="53" t="n">
        <x:v>3</x:v>
      </x:c>
      <x:c r="K296" s="54" t="n">
        <x:v>1224.51</x:v>
      </x:c>
      <x:c r="L296" s="54" t="n">
        <x:v>819.92</x:v>
      </x:c>
      <x:c r="M296" s="55" t="n">
        <x:v>0</x:v>
      </x:c>
      <x:c r="N296" s="54" t="n">
        <x:f>ROUND(J296*K296,2)</x:f>
        <x:v>3673.53</x:v>
      </x:c>
      <x:c r="O296" s="54" t="n">
        <x:f>ROUND(N296*(1-M296),2)</x:f>
        <x:v>3673.53</x:v>
      </x:c>
      <x:c r="P296" s="54" t="n">
        <x:f>ROUND(J296*L296,2)</x:f>
        <x:v>2459.76</x:v>
      </x:c>
      <x:c r="Q296" s="54" t="n">
        <x:f>ROUND(O296-P296,2)</x:f>
        <x:v>1213.77</x:v>
      </x:c>
      <x:c r="R296" s="55" t="n">
        <x:f>IF(O296=0,0,ROUND(Q296/O296,4))</x:f>
        <x:v>0.3304</x:v>
      </x:c>
      <x:c r="S296" s="53" t="n">
        <x:v>3</x:v>
      </x:c>
      <x:c r="T296" t="str">
        <x:v>Entregue</x:v>
      </x:c>
      <x:c r="U296" t="n">
        <x:v>4</x:v>
      </x:c>
      <x:c r="V296" t="str"/>
    </x:row>
    <x:row r="297">
      <x:c r="A297" s="52" t="n">
        <x:v>46176</x:v>
      </x:c>
      <x:c r="B297" t="str">
        <x:v>PED-100296</x:v>
      </x:c>
      <x:c r="C297" t="str">
        <x:v>Cliente 066</x:v>
      </x:c>
      <x:c r="D297" t="str">
        <x:v>MT</x:v>
      </x:c>
      <x:c r="E297" t="str">
        <x:v>Centro-Oeste</x:v>
      </x:c>
      <x:c r="F297" t="str">
        <x:v>E-commerce</x:v>
      </x:c>
      <x:c r="G297" t="str">
        <x:v>Escritório</x:v>
      </x:c>
      <x:c r="H297" t="str">
        <x:v>Luminária LED</x:v>
      </x:c>
      <x:c r="I297" t="str">
        <x:v>Gabriela</x:v>
      </x:c>
      <x:c r="J297" s="53" t="n">
        <x:v>3</x:v>
      </x:c>
      <x:c r="K297" s="54" t="n">
        <x:v>263.04</x:v>
      </x:c>
      <x:c r="L297" s="54" t="n">
        <x:v>116.95</x:v>
      </x:c>
      <x:c r="M297" s="55" t="n">
        <x:v>0.0281</x:v>
      </x:c>
      <x:c r="N297" s="54" t="n">
        <x:f>ROUND(J297*K297,2)</x:f>
        <x:v>789.12</x:v>
      </x:c>
      <x:c r="O297" s="54" t="n">
        <x:f>ROUND(N297*(1-M297),2)</x:f>
        <x:v>766.95</x:v>
      </x:c>
      <x:c r="P297" s="54" t="n">
        <x:f>ROUND(J297*L297,2)</x:f>
        <x:v>350.85</x:v>
      </x:c>
      <x:c r="Q297" s="54" t="n">
        <x:f>ROUND(O297-P297,2)</x:f>
        <x:v>416.1</x:v>
      </x:c>
      <x:c r="R297" s="55" t="n">
        <x:f>IF(O297=0,0,ROUND(Q297/O297,4))</x:f>
        <x:v>0.5425</x:v>
      </x:c>
      <x:c r="S297" s="53" t="n">
        <x:v>2</x:v>
      </x:c>
      <x:c r="T297" t="str">
        <x:v>Cancelado</x:v>
      </x:c>
      <x:c r="U297"/>
      <x:c r="V297" t="str"/>
    </x:row>
    <x:row r="298">
      <x:c r="A298" s="52" t="n">
        <x:v>46168</x:v>
      </x:c>
      <x:c r="B298" t="str">
        <x:v>PED-100297</x:v>
      </x:c>
      <x:c r="C298" t="str">
        <x:v>Cliente 046</x:v>
      </x:c>
      <x:c r="D298" t="str">
        <x:v>ES</x:v>
      </x:c>
      <x:c r="E298" t="str">
        <x:v>Sudeste</x:v>
      </x:c>
      <x:c r="F298" t="str">
        <x:v>Televendas</x:v>
      </x:c>
      <x:c r="G298" t="str">
        <x:v>Escritório</x:v>
      </x:c>
      <x:c r="H298" t="str">
        <x:v>Luminária LED</x:v>
      </x:c>
      <x:c r="I298" t="str">
        <x:v>Gabriela</x:v>
      </x:c>
      <x:c r="J298" s="53" t="n">
        <x:v>1</x:v>
      </x:c>
      <x:c r="K298" s="54" t="n">
        <x:v>257.69</x:v>
      </x:c>
      <x:c r="L298" s="54" t="n">
        <x:v>117.92</x:v>
      </x:c>
      <x:c r="M298" s="55" t="n">
        <x:v>0</x:v>
      </x:c>
      <x:c r="N298" s="54" t="n">
        <x:f>ROUND(J298*K298,2)</x:f>
        <x:v>257.69</x:v>
      </x:c>
      <x:c r="O298" s="54" t="n">
        <x:f>ROUND(N298*(1-M298),2)</x:f>
        <x:v>257.69</x:v>
      </x:c>
      <x:c r="P298" s="54" t="n">
        <x:f>ROUND(J298*L298,2)</x:f>
        <x:v>117.92</x:v>
      </x:c>
      <x:c r="Q298" s="54" t="n">
        <x:f>ROUND(O298-P298,2)</x:f>
        <x:v>139.77</x:v>
      </x:c>
      <x:c r="R298" s="55" t="n">
        <x:f>IF(O298=0,0,ROUND(Q298/O298,4))</x:f>
        <x:v>0.5424</x:v>
      </x:c>
      <x:c r="S298" s="53" t="n">
        <x:v>13</x:v>
      </x:c>
      <x:c r="T298" t="str">
        <x:v>Entregue com atraso</x:v>
      </x:c>
      <x:c r="U298" t="n">
        <x:v>2</x:v>
      </x:c>
      <x:c r="V298" t="str"/>
    </x:row>
    <x:row r="299">
      <x:c r="A299" s="52" t="n">
        <x:v>46129</x:v>
      </x:c>
      <x:c r="B299" t="str">
        <x:v>PED-100298</x:v>
      </x:c>
      <x:c r="C299" t="str">
        <x:v>Cliente 029</x:v>
      </x:c>
      <x:c r="D299" t="str">
        <x:v>SP</x:v>
      </x:c>
      <x:c r="E299" t="str">
        <x:v>Sudeste</x:v>
      </x:c>
      <x:c r="F299" t="str">
        <x:v>Marketplace</x:v>
      </x:c>
      <x:c r="G299" t="str">
        <x:v>Acessórios</x:v>
      </x:c>
      <x:c r="H299" t="str">
        <x:v>Webcam HD</x:v>
      </x:c>
      <x:c r="I299" t="str">
        <x:v>Carla</x:v>
      </x:c>
      <x:c r="J299" s="53" t="n">
        <x:v>1</x:v>
      </x:c>
      <x:c r="K299" s="54" t="n">
        <x:v>513.1</x:v>
      </x:c>
      <x:c r="L299" s="54" t="n">
        <x:v>249.44</x:v>
      </x:c>
      <x:c r="M299" s="55" t="n">
        <x:v>0.0706</x:v>
      </x:c>
      <x:c r="N299" s="54" t="n">
        <x:f>ROUND(J299*K299,2)</x:f>
        <x:v>513.1</x:v>
      </x:c>
      <x:c r="O299" s="54" t="n">
        <x:f>ROUND(N299*(1-M299),2)</x:f>
        <x:v>476.88</x:v>
      </x:c>
      <x:c r="P299" s="54" t="n">
        <x:f>ROUND(J299*L299,2)</x:f>
        <x:v>249.44</x:v>
      </x:c>
      <x:c r="Q299" s="54" t="n">
        <x:f>ROUND(O299-P299,2)</x:f>
        <x:v>227.44</x:v>
      </x:c>
      <x:c r="R299" s="55" t="n">
        <x:f>IF(O299=0,0,ROUND(Q299/O299,4))</x:f>
        <x:v>0.4769</x:v>
      </x:c>
      <x:c r="S299" s="53" t="n">
        <x:v>8</x:v>
      </x:c>
      <x:c r="T299" t="str">
        <x:v>Entregue</x:v>
      </x:c>
      <x:c r="U299" t="n">
        <x:v>4</x:v>
      </x:c>
      <x:c r="V299" t="str"/>
    </x:row>
    <x:row r="300">
      <x:c r="A300" s="52" t="n">
        <x:v>46191</x:v>
      </x:c>
      <x:c r="B300" t="str">
        <x:v>PED-100299</x:v>
      </x:c>
      <x:c r="C300" t="str">
        <x:v>Cliente 111</x:v>
      </x:c>
      <x:c r="D300" t="str">
        <x:v>RJ</x:v>
      </x:c>
      <x:c r="E300" t="str">
        <x:v>Sudeste</x:v>
      </x:c>
      <x:c r="F300" t="str">
        <x:v>Televendas</x:v>
      </x:c>
      <x:c r="G300" t="str">
        <x:v>Escritório</x:v>
      </x:c>
      <x:c r="H300" t="str">
        <x:v>Mesa Ajustável</x:v>
      </x:c>
      <x:c r="I300" t="str">
        <x:v>Bruno</x:v>
      </x:c>
      <x:c r="J300" s="53" t="n">
        <x:v>2</x:v>
      </x:c>
      <x:c r="K300" s="54" t="n">
        <x:v>2683.6</x:v>
      </x:c>
      <x:c r="L300" s="54" t="n">
        <x:v>1779.29</x:v>
      </x:c>
      <x:c r="M300" s="55" t="n">
        <x:v>0</x:v>
      </x:c>
      <x:c r="N300" s="54" t="n">
        <x:f>ROUND(J300*K300,2)</x:f>
        <x:v>5367.2</x:v>
      </x:c>
      <x:c r="O300" s="54" t="n">
        <x:f>ROUND(N300*(1-M300),2)</x:f>
        <x:v>5367.2</x:v>
      </x:c>
      <x:c r="P300" s="54" t="n">
        <x:f>ROUND(J300*L300,2)</x:f>
        <x:v>3558.58</x:v>
      </x:c>
      <x:c r="Q300" s="54" t="n">
        <x:f>ROUND(O300-P300,2)</x:f>
        <x:v>1808.62</x:v>
      </x:c>
      <x:c r="R300" s="55" t="n">
        <x:f>IF(O300=0,0,ROUND(Q300/O300,4))</x:f>
        <x:v>0.337</x:v>
      </x:c>
      <x:c r="S300" s="53" t="n">
        <x:v>11</x:v>
      </x:c>
      <x:c r="T300" t="str">
        <x:v>Entregue com atraso</x:v>
      </x:c>
      <x:c r="U300" t="n">
        <x:v>4</x:v>
      </x:c>
      <x:c r="V300" t="str"/>
    </x:row>
    <x:row r="301">
      <x:c r="A301" s="52" t="n">
        <x:v>46205</x:v>
      </x:c>
      <x:c r="B301" t="str">
        <x:v>PED-100300</x:v>
      </x:c>
      <x:c r="C301" t="str">
        <x:v>Cliente 067</x:v>
      </x:c>
      <x:c r="D301" t="str">
        <x:v>RS</x:v>
      </x:c>
      <x:c r="E301" t="str">
        <x:v>Sul</x:v>
      </x:c>
      <x:c r="F301" t="str">
        <x:v>Televendas</x:v>
      </x:c>
      <x:c r="G301" t="str">
        <x:v>Escritório</x:v>
      </x:c>
      <x:c r="H301" t="str">
        <x:v>Cadeira Ergonômica</x:v>
      </x:c>
      <x:c r="I301" t="str">
        <x:v>Carla</x:v>
      </x:c>
      <x:c r="J301" s="53" t="n">
        <x:v>8</x:v>
      </x:c>
      <x:c r="K301" s="54" t="n">
        <x:v>2284.81</x:v>
      </x:c>
      <x:c r="L301" s="54" t="n">
        <x:v>1472.39</x:v>
      </x:c>
      <x:c r="M301" s="55" t="n">
        <x:v>0</x:v>
      </x:c>
      <x:c r="N301" s="54" t="n">
        <x:f>ROUND(J301*K301,2)</x:f>
        <x:v>18278.48</x:v>
      </x:c>
      <x:c r="O301" s="54" t="n">
        <x:f>ROUND(N301*(1-M301),2)</x:f>
        <x:v>18278.48</x:v>
      </x:c>
      <x:c r="P301" s="54" t="n">
        <x:f>ROUND(J301*L301,2)</x:f>
        <x:v>11779.12</x:v>
      </x:c>
      <x:c r="Q301" s="54" t="n">
        <x:f>ROUND(O301-P301,2)</x:f>
        <x:v>6499.36</x:v>
      </x:c>
      <x:c r="R301" s="55" t="n">
        <x:f>IF(O301=0,0,ROUND(Q301/O301,4))</x:f>
        <x:v>0.3556</x:v>
      </x:c>
      <x:c r="S301" s="53" t="n">
        <x:v>13</x:v>
      </x:c>
      <x:c r="T301" t="str">
        <x:v>Entregue com atraso</x:v>
      </x:c>
      <x:c r="U301" t="n">
        <x:v>4</x:v>
      </x:c>
      <x:c r="V301" t="str"/>
    </x:row>
    <x:row r="302">
      <x:c r="A302" s="52" t="n">
        <x:v>46072</x:v>
      </x:c>
      <x:c r="B302" t="str">
        <x:v>PED-100301</x:v>
      </x:c>
      <x:c r="C302" t="str">
        <x:v>Cliente 001</x:v>
      </x:c>
      <x:c r="D302" t="str">
        <x:v>MA</x:v>
      </x:c>
      <x:c r="E302" t="str">
        <x:v>Nordeste</x:v>
      </x:c>
      <x:c r="F302" t="str">
        <x:v>Loja</x:v>
      </x:c>
      <x:c r="G302" t="str">
        <x:v>Tecnologia</x:v>
      </x:c>
      <x:c r="H302" t="str">
        <x:v>Monitor 27</x:v>
      </x:c>
      <x:c r="I302" t="str">
        <x:v>Henrique</x:v>
      </x:c>
      <x:c r="J302" s="53" t="n">
        <x:v>4</x:v>
      </x:c>
      <x:c r="K302" s="54" t="n">
        <x:v>1755.12</x:v>
      </x:c>
      <x:c r="L302" s="54" t="n">
        <x:v>1159.28</x:v>
      </x:c>
      <x:c r="M302" s="55" t="n">
        <x:v>0</x:v>
      </x:c>
      <x:c r="N302" s="54" t="n">
        <x:f>ROUND(J302*K302,2)</x:f>
        <x:v>7020.48</x:v>
      </x:c>
      <x:c r="O302" s="54" t="n">
        <x:f>ROUND(N302*(1-M302),2)</x:f>
        <x:v>7020.48</x:v>
      </x:c>
      <x:c r="P302" s="54" t="n">
        <x:f>ROUND(J302*L302,2)</x:f>
        <x:v>4637.12</x:v>
      </x:c>
      <x:c r="Q302" s="54" t="n">
        <x:f>ROUND(O302-P302,2)</x:f>
        <x:v>2383.36</x:v>
      </x:c>
      <x:c r="R302" s="55" t="n">
        <x:f>IF(O302=0,0,ROUND(Q302/O302,4))</x:f>
        <x:v>0.3395</x:v>
      </x:c>
      <x:c r="S302" s="53" t="n">
        <x:v>4</x:v>
      </x:c>
      <x:c r="T302" t="str">
        <x:v>Entregue</x:v>
      </x:c>
      <x:c r="U302" t="n">
        <x:v>3</x:v>
      </x:c>
      <x:c r="V302" t="str"/>
    </x:row>
    <x:row r="303">
      <x:c r="A303" s="52" t="n">
        <x:v>46157</x:v>
      </x:c>
      <x:c r="B303" t="str">
        <x:v>PED-100302</x:v>
      </x:c>
      <x:c r="C303" t="str">
        <x:v>Cliente 109</x:v>
      </x:c>
      <x:c r="D303" t="str">
        <x:v>PR</x:v>
      </x:c>
      <x:c r="E303" t="str">
        <x:v>Sul</x:v>
      </x:c>
      <x:c r="F303" t="str">
        <x:v>Televendas</x:v>
      </x:c>
      <x:c r="G303" t="str">
        <x:v>Tecnologia</x:v>
      </x:c>
      <x:c r="H303" t="str">
        <x:v>Headset Office</x:v>
      </x:c>
      <x:c r="I303" t="str">
        <x:v>Bruno</x:v>
      </x:c>
      <x:c r="J303" s="53" t="n">
        <x:v>7</x:v>
      </x:c>
      <x:c r="K303" s="54" t="n">
        <x:v>379.63</x:v>
      </x:c>
      <x:c r="L303" s="54" t="n">
        <x:v>204.77</x:v>
      </x:c>
      <x:c r="M303" s="55" t="n">
        <x:v>0</x:v>
      </x:c>
      <x:c r="N303" s="54" t="n">
        <x:f>ROUND(J303*K303,2)</x:f>
        <x:v>2657.41</x:v>
      </x:c>
      <x:c r="O303" s="54" t="n">
        <x:f>ROUND(N303*(1-M303),2)</x:f>
        <x:v>2657.41</x:v>
      </x:c>
      <x:c r="P303" s="54" t="n">
        <x:f>ROUND(J303*L303,2)</x:f>
        <x:v>1433.39</x:v>
      </x:c>
      <x:c r="Q303" s="54" t="n">
        <x:f>ROUND(O303-P303,2)</x:f>
        <x:v>1224.02</x:v>
      </x:c>
      <x:c r="R303" s="55" t="n">
        <x:f>IF(O303=0,0,ROUND(Q303/O303,4))</x:f>
        <x:v>0.4606</x:v>
      </x:c>
      <x:c r="S303" s="53" t="n">
        <x:v>12</x:v>
      </x:c>
      <x:c r="T303" t="str">
        <x:v>Entregue com atraso</x:v>
      </x:c>
      <x:c r="U303" t="n">
        <x:v>2</x:v>
      </x:c>
      <x:c r="V303" t="str"/>
    </x:row>
    <x:row r="304">
      <x:c r="A304" s="52" t="n">
        <x:v>46060</x:v>
      </x:c>
      <x:c r="B304" t="str">
        <x:v>PED-100303</x:v>
      </x:c>
      <x:c r="C304" t="str">
        <x:v>Cliente 106</x:v>
      </x:c>
      <x:c r="D304" t="str">
        <x:v>BA</x:v>
      </x:c>
      <x:c r="E304" t="str">
        <x:v>Nordeste</x:v>
      </x:c>
      <x:c r="F304" t="str">
        <x:v>Loja</x:v>
      </x:c>
      <x:c r="G304" t="str">
        <x:v>Escritório</x:v>
      </x:c>
      <x:c r="H304" t="str">
        <x:v>Mesa Ajustável</x:v>
      </x:c>
      <x:c r="I304" t="str">
        <x:v>Felipe</x:v>
      </x:c>
      <x:c r="J304" s="53" t="n">
        <x:v>5</x:v>
      </x:c>
      <x:c r="K304" s="54" t="n">
        <x:v>2837.98</x:v>
      </x:c>
      <x:c r="L304" s="54" t="n">
        <x:v>1904.37</x:v>
      </x:c>
      <x:c r="M304" s="55" t="n">
        <x:v>0</x:v>
      </x:c>
      <x:c r="N304" s="54" t="n">
        <x:f>ROUND(J304*K304,2)</x:f>
        <x:v>14189.9</x:v>
      </x:c>
      <x:c r="O304" s="54" t="n">
        <x:f>ROUND(N304*(1-M304),2)</x:f>
        <x:v>14189.9</x:v>
      </x:c>
      <x:c r="P304" s="54" t="n">
        <x:f>ROUND(J304*L304,2)</x:f>
        <x:v>9521.85</x:v>
      </x:c>
      <x:c r="Q304" s="54" t="n">
        <x:f>ROUND(O304-P304,2)</x:f>
        <x:v>4668.05</x:v>
      </x:c>
      <x:c r="R304" s="55" t="n">
        <x:f>IF(O304=0,0,ROUND(Q304/O304,4))</x:f>
        <x:v>0.329</x:v>
      </x:c>
      <x:c r="S304" s="53" t="n">
        <x:v>7</x:v>
      </x:c>
      <x:c r="T304" t="str">
        <x:v>Entregue</x:v>
      </x:c>
      <x:c r="U304" t="n">
        <x:v>3</x:v>
      </x:c>
      <x:c r="V304" t="str"/>
    </x:row>
    <x:row r="305">
      <x:c r="A305" s="52" t="n">
        <x:v>46083</x:v>
      </x:c>
      <x:c r="B305" t="str">
        <x:v>PED-100304</x:v>
      </x:c>
      <x:c r="C305" t="str">
        <x:v>Cliente 113</x:v>
      </x:c>
      <x:c r="D305" t="str">
        <x:v>PE</x:v>
      </x:c>
      <x:c r="E305" t="str">
        <x:v>Nordeste</x:v>
      </x:c>
      <x:c r="F305" t="str">
        <x:v>E-commerce</x:v>
      </x:c>
      <x:c r="G305" t="str">
        <x:v>Acessórios</x:v>
      </x:c>
      <x:c r="H305" t="str">
        <x:v>Hub USB-C</x:v>
      </x:c>
      <x:c r="I305" t="str">
        <x:v>João</x:v>
      </x:c>
      <x:c r="J305" s="53" t="n">
        <x:v>3</x:v>
      </x:c>
      <x:c r="K305" s="54" t="n">
        <x:v>314.53</x:v>
      </x:c>
      <x:c r="L305" s="54" t="n">
        <x:v>143.6</x:v>
      </x:c>
      <x:c r="M305" s="55" t="n">
        <x:v>0.0933</x:v>
      </x:c>
      <x:c r="N305" s="54" t="n">
        <x:f>ROUND(J305*K305,2)</x:f>
        <x:v>943.59</x:v>
      </x:c>
      <x:c r="O305" s="54" t="n">
        <x:f>ROUND(N305*(1-M305),2)</x:f>
        <x:v>855.55</x:v>
      </x:c>
      <x:c r="P305" s="54" t="n">
        <x:f>ROUND(J305*L305,2)</x:f>
        <x:v>430.8</x:v>
      </x:c>
      <x:c r="Q305" s="54" t="n">
        <x:f>ROUND(O305-P305,2)</x:f>
        <x:v>424.75</x:v>
      </x:c>
      <x:c r="R305" s="55" t="n">
        <x:f>IF(O305=0,0,ROUND(Q305/O305,4))</x:f>
        <x:v>0.4965</x:v>
      </x:c>
      <x:c r="S305" s="53" t="n">
        <x:v>4</x:v>
      </x:c>
      <x:c r="T305" t="str">
        <x:v>Entregue</x:v>
      </x:c>
      <x:c r="U305" t="n">
        <x:v>5</x:v>
      </x:c>
      <x:c r="V305" t="str"/>
    </x:row>
    <x:row r="306">
      <x:c r="A306" s="52" t="n">
        <x:v>46076</x:v>
      </x:c>
      <x:c r="B306" t="str">
        <x:v>PED-100305</x:v>
      </x:c>
      <x:c r="C306" t="str">
        <x:v>Cliente 001</x:v>
      </x:c>
      <x:c r="D306" t="str">
        <x:v>CE</x:v>
      </x:c>
      <x:c r="E306" t="str">
        <x:v>Nordeste</x:v>
      </x:c>
      <x:c r="F306" t="str">
        <x:v>E-commerce</x:v>
      </x:c>
      <x:c r="G306" t="str">
        <x:v>Acessórios</x:v>
      </x:c>
      <x:c r="H306" t="str">
        <x:v>Mochila Executiva</x:v>
      </x:c>
      <x:c r="I306" t="str">
        <x:v>Felipe</x:v>
      </x:c>
      <x:c r="J306" s="53" t="n">
        <x:v>7</x:v>
      </x:c>
      <x:c r="K306" s="54" t="n">
        <x:v>444.23</x:v>
      </x:c>
      <x:c r="L306" s="54" t="n">
        <x:v>190.22</x:v>
      </x:c>
      <x:c r="M306" s="55" t="n">
        <x:v>0.0181</x:v>
      </x:c>
      <x:c r="N306" s="54" t="n">
        <x:f>ROUND(J306*K306,2)</x:f>
        <x:v>3109.61</x:v>
      </x:c>
      <x:c r="O306" s="54" t="n">
        <x:f>ROUND(N306*(1-M306),2)</x:f>
        <x:v>3053.33</x:v>
      </x:c>
      <x:c r="P306" s="54" t="n">
        <x:f>ROUND(J306*L306,2)</x:f>
        <x:v>1331.54</x:v>
      </x:c>
      <x:c r="Q306" s="54" t="n">
        <x:f>ROUND(O306-P306,2)</x:f>
        <x:v>1721.79</x:v>
      </x:c>
      <x:c r="R306" s="55" t="n">
        <x:f>IF(O306=0,0,ROUND(Q306/O306,4))</x:f>
        <x:v>0.5639</x:v>
      </x:c>
      <x:c r="S306" s="53" t="n">
        <x:v>8</x:v>
      </x:c>
      <x:c r="T306" t="str">
        <x:v>Entregue</x:v>
      </x:c>
      <x:c r="U306" t="n">
        <x:v>4</x:v>
      </x:c>
      <x:c r="V306" t="str"/>
    </x:row>
    <x:row r="307">
      <x:c r="A307" s="52" t="n">
        <x:v>46127</x:v>
      </x:c>
      <x:c r="B307" t="str">
        <x:v>PED-100306</x:v>
      </x:c>
      <x:c r="C307" t="str">
        <x:v>Cliente 042</x:v>
      </x:c>
      <x:c r="D307" t="str">
        <x:v>AM</x:v>
      </x:c>
      <x:c r="E307" t="str">
        <x:v>Norte</x:v>
      </x:c>
      <x:c r="F307" t="str">
        <x:v>Loja</x:v>
      </x:c>
      <x:c r="G307" t="str">
        <x:v>Tecnologia</x:v>
      </x:c>
      <x:c r="H307" t="str">
        <x:v>Notebook Pro</x:v>
      </x:c>
      <x:c r="I307" t="str">
        <x:v>Bruno</x:v>
      </x:c>
      <x:c r="J307" s="53" t="n">
        <x:v>1</x:v>
      </x:c>
      <x:c r="K307" s="54" t="n">
        <x:v>5679.88</x:v>
      </x:c>
      <x:c r="L307" s="54" t="n">
        <x:v>4534.78</x:v>
      </x:c>
      <x:c r="M307" s="55" t="n">
        <x:v>0</x:v>
      </x:c>
      <x:c r="N307" s="54" t="n">
        <x:f>ROUND(J307*K307,2)</x:f>
        <x:v>5679.88</x:v>
      </x:c>
      <x:c r="O307" s="54" t="n">
        <x:f>ROUND(N307*(1-M307),2)</x:f>
        <x:v>5679.88</x:v>
      </x:c>
      <x:c r="P307" s="54" t="n">
        <x:f>ROUND(J307*L307,2)</x:f>
        <x:v>4534.78</x:v>
      </x:c>
      <x:c r="Q307" s="54" t="n">
        <x:f>ROUND(O307-P307,2)</x:f>
        <x:v>1145.1</x:v>
      </x:c>
      <x:c r="R307" s="55" t="n">
        <x:f>IF(O307=0,0,ROUND(Q307/O307,4))</x:f>
        <x:v>0.2016</x:v>
      </x:c>
      <x:c r="S307" s="53" t="n">
        <x:v>13</x:v>
      </x:c>
      <x:c r="T307" t="str">
        <x:v>Entregue com atraso</x:v>
      </x:c>
      <x:c r="U307" t="n">
        <x:v>3</x:v>
      </x:c>
      <x:c r="V307" t="str"/>
    </x:row>
    <x:row r="308">
      <x:c r="A308" s="52" t="n">
        <x:v>46229</x:v>
      </x:c>
      <x:c r="B308" t="str">
        <x:v>PED-100307</x:v>
      </x:c>
      <x:c r="C308" t="str">
        <x:v>Cliente 045</x:v>
      </x:c>
      <x:c r="D308" t="str">
        <x:v>RJ</x:v>
      </x:c>
      <x:c r="E308" t="str">
        <x:v>Sudeste</x:v>
      </x:c>
      <x:c r="F308" t="str">
        <x:v>E-commerce</x:v>
      </x:c>
      <x:c r="G308" t="str">
        <x:v>Casa</x:v>
      </x:c>
      <x:c r="H308" t="str">
        <x:v>Cafeteira Smart</x:v>
      </x:c>
      <x:c r="I308" t="str">
        <x:v>Elaine</x:v>
      </x:c>
      <x:c r="J308" s="53" t="n">
        <x:v>6</x:v>
      </x:c>
      <x:c r="K308" s="54" t="n">
        <x:v>766.68</x:v>
      </x:c>
      <x:c r="L308" s="54" t="n">
        <x:v>450.6</x:v>
      </x:c>
      <x:c r="M308" s="55" t="n">
        <x:v>0.0482</x:v>
      </x:c>
      <x:c r="N308" s="54" t="n">
        <x:f>ROUND(J308*K308,2)</x:f>
        <x:v>4600.08</x:v>
      </x:c>
      <x:c r="O308" s="54" t="n">
        <x:f>ROUND(N308*(1-M308),2)</x:f>
        <x:v>4378.36</x:v>
      </x:c>
      <x:c r="P308" s="54" t="n">
        <x:f>ROUND(J308*L308,2)</x:f>
        <x:v>2703.6</x:v>
      </x:c>
      <x:c r="Q308" s="54" t="n">
        <x:f>ROUND(O308-P308,2)</x:f>
        <x:v>1674.76</x:v>
      </x:c>
      <x:c r="R308" s="55" t="n">
        <x:f>IF(O308=0,0,ROUND(Q308/O308,4))</x:f>
        <x:v>0.3825</x:v>
      </x:c>
      <x:c r="S308" s="53" t="n">
        <x:v>11</x:v>
      </x:c>
      <x:c r="T308" t="str">
        <x:v>Entregue com atraso</x:v>
      </x:c>
      <x:c r="U308" t="n">
        <x:v>4</x:v>
      </x:c>
      <x:c r="V308" t="str"/>
    </x:row>
    <x:row r="309">
      <x:c r="A309" s="52" t="n">
        <x:v>46063</x:v>
      </x:c>
      <x:c r="B309" t="str">
        <x:v>PED-100308</x:v>
      </x:c>
      <x:c r="C309" t="str">
        <x:v>Cliente 104</x:v>
      </x:c>
      <x:c r="D309" t="str">
        <x:v>GO</x:v>
      </x:c>
      <x:c r="E309" t="str">
        <x:v>Centro-Oeste</x:v>
      </x:c>
      <x:c r="F309" t="str">
        <x:v>Televendas</x:v>
      </x:c>
      <x:c r="G309" t="str">
        <x:v>Tecnologia</x:v>
      </x:c>
      <x:c r="H309" t="str">
        <x:v>Notebook Pro</x:v>
      </x:c>
      <x:c r="I309" t="str">
        <x:v>Felipe</x:v>
      </x:c>
      <x:c r="J309" s="53" t="n">
        <x:v>3</x:v>
      </x:c>
      <x:c r="K309" s="54" t="n">
        <x:v>5964.34</x:v>
      </x:c>
      <x:c r="L309" s="54" t="n">
        <x:v>4483.09</x:v>
      </x:c>
      <x:c r="M309" s="55" t="n">
        <x:v>0</x:v>
      </x:c>
      <x:c r="N309" s="54" t="n">
        <x:f>ROUND(J309*K309,2)</x:f>
        <x:v>17893.02</x:v>
      </x:c>
      <x:c r="O309" s="54" t="n">
        <x:f>ROUND(N309*(1-M309),2)</x:f>
        <x:v>17893.02</x:v>
      </x:c>
      <x:c r="P309" s="54" t="n">
        <x:f>ROUND(J309*L309,2)</x:f>
        <x:v>13449.27</x:v>
      </x:c>
      <x:c r="Q309" s="54" t="n">
        <x:f>ROUND(O309-P309,2)</x:f>
        <x:v>4443.75</x:v>
      </x:c>
      <x:c r="R309" s="55" t="n">
        <x:f>IF(O309=0,0,ROUND(Q309/O309,4))</x:f>
        <x:v>0.2484</x:v>
      </x:c>
      <x:c r="S309" s="53" t="n">
        <x:v>10</x:v>
      </x:c>
      <x:c r="T309" t="str">
        <x:v>Entregue</x:v>
      </x:c>
      <x:c r="U309" t="n">
        <x:v>2</x:v>
      </x:c>
      <x:c r="V309" t="str"/>
    </x:row>
    <x:row r="310">
      <x:c r="A310" s="52" t="n">
        <x:v>46135</x:v>
      </x:c>
      <x:c r="B310" t="str">
        <x:v>PED-100309</x:v>
      </x:c>
      <x:c r="C310" t="str">
        <x:v>Cliente 046</x:v>
      </x:c>
      <x:c r="D310" t="str">
        <x:v>ES</x:v>
      </x:c>
      <x:c r="E310" t="str">
        <x:v>Sudeste</x:v>
      </x:c>
      <x:c r="F310" t="str">
        <x:v>Loja</x:v>
      </x:c>
      <x:c r="G310" t="str">
        <x:v>Tecnologia</x:v>
      </x:c>
      <x:c r="H310" t="str">
        <x:v>Headset Office</x:v>
      </x:c>
      <x:c r="I310" t="str">
        <x:v>João</x:v>
      </x:c>
      <x:c r="J310" s="53" t="n">
        <x:v>1</x:v>
      </x:c>
      <x:c r="K310" s="54" t="n">
        <x:v>377.44</x:v>
      </x:c>
      <x:c r="L310" s="54" t="n">
        <x:v>213.65</x:v>
      </x:c>
      <x:c r="M310" s="55" t="n">
        <x:v>0</x:v>
      </x:c>
      <x:c r="N310" s="54" t="n">
        <x:f>ROUND(J310*K310,2)</x:f>
        <x:v>377.44</x:v>
      </x:c>
      <x:c r="O310" s="54" t="n">
        <x:f>ROUND(N310*(1-M310),2)</x:f>
        <x:v>377.44</x:v>
      </x:c>
      <x:c r="P310" s="54" t="n">
        <x:f>ROUND(J310*L310,2)</x:f>
        <x:v>213.65</x:v>
      </x:c>
      <x:c r="Q310" s="54" t="n">
        <x:f>ROUND(O310-P310,2)</x:f>
        <x:v>163.79</x:v>
      </x:c>
      <x:c r="R310" s="55" t="n">
        <x:f>IF(O310=0,0,ROUND(Q310/O310,4))</x:f>
        <x:v>0.4339</x:v>
      </x:c>
      <x:c r="S310" s="53" t="n">
        <x:v>6</x:v>
      </x:c>
      <x:c r="T310" t="str">
        <x:v>Entregue</x:v>
      </x:c>
      <x:c r="U310" t="n">
        <x:v>2</x:v>
      </x:c>
      <x:c r="V310" t="str"/>
    </x:row>
    <x:row r="311">
      <x:c r="A311" s="52" t="n">
        <x:v>46024</x:v>
      </x:c>
      <x:c r="B311" t="str">
        <x:v>PED-100310</x:v>
      </x:c>
      <x:c r="C311" t="str">
        <x:v>Cliente 044</x:v>
      </x:c>
      <x:c r="D311" t="str">
        <x:v>AM</x:v>
      </x:c>
      <x:c r="E311" t="str">
        <x:v>Norte</x:v>
      </x:c>
      <x:c r="F311" t="str">
        <x:v>Loja</x:v>
      </x:c>
      <x:c r="G311" t="str">
        <x:v>Tecnologia</x:v>
      </x:c>
      <x:c r="H311" t="str">
        <x:v>Monitor 27</x:v>
      </x:c>
      <x:c r="I311" t="str">
        <x:v>Bruno</x:v>
      </x:c>
      <x:c r="J311" s="53" t="n">
        <x:v>2</x:v>
      </x:c>
      <x:c r="K311" s="54" t="n">
        <x:v>1750.5</x:v>
      </x:c>
      <x:c r="L311" s="54" t="n">
        <x:v>1095.46</x:v>
      </x:c>
      <x:c r="M311" s="55" t="n">
        <x:v>0.0429</x:v>
      </x:c>
      <x:c r="N311" s="54" t="n">
        <x:f>ROUND(J311*K311,2)</x:f>
        <x:v>3501</x:v>
      </x:c>
      <x:c r="O311" s="54" t="n">
        <x:f>ROUND(N311*(1-M311),2)</x:f>
        <x:v>3350.81</x:v>
      </x:c>
      <x:c r="P311" s="54" t="n">
        <x:f>ROUND(J311*L311,2)</x:f>
        <x:v>2190.92</x:v>
      </x:c>
      <x:c r="Q311" s="54" t="n">
        <x:f>ROUND(O311-P311,2)</x:f>
        <x:v>1159.89</x:v>
      </x:c>
      <x:c r="R311" s="55" t="n">
        <x:f>IF(O311=0,0,ROUND(Q311/O311,4))</x:f>
        <x:v>0.3462</x:v>
      </x:c>
      <x:c r="S311" s="53" t="n">
        <x:v>6</x:v>
      </x:c>
      <x:c r="T311" t="str">
        <x:v>Entregue</x:v>
      </x:c>
      <x:c r="U311" t="n">
        <x:v>3</x:v>
      </x:c>
      <x:c r="V311" t="str"/>
    </x:row>
    <x:row r="312">
      <x:c r="A312" s="52" t="n">
        <x:v>46185</x:v>
      </x:c>
      <x:c r="B312" t="str">
        <x:v>PED-100311</x:v>
      </x:c>
      <x:c r="C312" t="str">
        <x:v>Cliente 047</x:v>
      </x:c>
      <x:c r="D312" t="str">
        <x:v>GO</x:v>
      </x:c>
      <x:c r="E312" t="str">
        <x:v>Centro-Oeste</x:v>
      </x:c>
      <x:c r="F312" t="str">
        <x:v>Televendas</x:v>
      </x:c>
      <x:c r="G312" t="str">
        <x:v>Acessórios</x:v>
      </x:c>
      <x:c r="H312" t="str">
        <x:v>Hub USB-C</x:v>
      </x:c>
      <x:c r="I312" t="str">
        <x:v>João</x:v>
      </x:c>
      <x:c r="J312" s="53" t="n">
        <x:v>1</x:v>
      </x:c>
      <x:c r="K312" s="54" t="n">
        <x:v>300.98</x:v>
      </x:c>
      <x:c r="L312" s="54" t="n">
        <x:v>131.82</x:v>
      </x:c>
      <x:c r="M312" s="55" t="n">
        <x:v>0.0223</x:v>
      </x:c>
      <x:c r="N312" s="54" t="n">
        <x:f>ROUND(J312*K312,2)</x:f>
        <x:v>300.98</x:v>
      </x:c>
      <x:c r="O312" s="54" t="n">
        <x:f>ROUND(N312*(1-M312),2)</x:f>
        <x:v>294.27</x:v>
      </x:c>
      <x:c r="P312" s="54" t="n">
        <x:f>ROUND(J312*L312,2)</x:f>
        <x:v>131.82</x:v>
      </x:c>
      <x:c r="Q312" s="54" t="n">
        <x:f>ROUND(O312-P312,2)</x:f>
        <x:v>162.45</x:v>
      </x:c>
      <x:c r="R312" s="55" t="n">
        <x:f>IF(O312=0,0,ROUND(Q312/O312,4))</x:f>
        <x:v>0.552</x:v>
      </x:c>
      <x:c r="S312" s="53" t="n">
        <x:v>2</x:v>
      </x:c>
      <x:c r="T312" t="str">
        <x:v>Entregue</x:v>
      </x:c>
      <x:c r="U312" t="n">
        <x:v>4</x:v>
      </x:c>
      <x:c r="V312" t="str"/>
    </x:row>
    <x:row r="313">
      <x:c r="A313" s="52" t="n">
        <x:v>46193</x:v>
      </x:c>
      <x:c r="B313" t="str">
        <x:v>PED-100312</x:v>
      </x:c>
      <x:c r="C313" t="str">
        <x:v>Cliente 088</x:v>
      </x:c>
      <x:c r="D313" t="str">
        <x:v>MT</x:v>
      </x:c>
      <x:c r="E313" t="str">
        <x:v>Centro-Oeste</x:v>
      </x:c>
      <x:c r="F313" t="str">
        <x:v>Loja</x:v>
      </x:c>
      <x:c r="G313" t="str">
        <x:v>Acessórios</x:v>
      </x:c>
      <x:c r="H313" t="str">
        <x:v>Hub USB-C</x:v>
      </x:c>
      <x:c r="I313" t="str">
        <x:v>Carla</x:v>
      </x:c>
      <x:c r="J313" s="53" t="n">
        <x:v>5</x:v>
      </x:c>
      <x:c r="K313" s="54" t="n">
        <x:v>323.62</x:v>
      </x:c>
      <x:c r="L313" s="54" t="n">
        <x:v>139.5</x:v>
      </x:c>
      <x:c r="M313" s="55" t="n">
        <x:v>0.0988</x:v>
      </x:c>
      <x:c r="N313" s="54" t="n">
        <x:f>ROUND(J313*K313,2)</x:f>
        <x:v>1618.1</x:v>
      </x:c>
      <x:c r="O313" s="54" t="n">
        <x:f>ROUND(N313*(1-M313),2)</x:f>
        <x:v>1458.23</x:v>
      </x:c>
      <x:c r="P313" s="54" t="n">
        <x:f>ROUND(J313*L313,2)</x:f>
        <x:v>697.5</x:v>
      </x:c>
      <x:c r="Q313" s="54" t="n">
        <x:f>ROUND(O313-P313,2)</x:f>
        <x:v>760.73</x:v>
      </x:c>
      <x:c r="R313" s="55" t="n">
        <x:f>IF(O313=0,0,ROUND(Q313/O313,4))</x:f>
        <x:v>0.5217</x:v>
      </x:c>
      <x:c r="S313" s="53" t="n">
        <x:v>13</x:v>
      </x:c>
      <x:c r="T313" t="str">
        <x:v>Entregue com atraso</x:v>
      </x:c>
      <x:c r="U313" t="n">
        <x:v>4</x:v>
      </x:c>
      <x:c r="V313" t="str"/>
    </x:row>
    <x:row r="314">
      <x:c r="A314" s="52" t="n">
        <x:v>46069</x:v>
      </x:c>
      <x:c r="B314" t="str">
        <x:v>PED-100313</x:v>
      </x:c>
      <x:c r="C314" t="str">
        <x:v>Cliente 009</x:v>
      </x:c>
      <x:c r="D314" t="str">
        <x:v>BA</x:v>
      </x:c>
      <x:c r="E314" t="str">
        <x:v>Nordeste</x:v>
      </x:c>
      <x:c r="F314" t="str">
        <x:v>Marketplace</x:v>
      </x:c>
      <x:c r="G314" t="str">
        <x:v>Tecnologia</x:v>
      </x:c>
      <x:c r="H314" t="str">
        <x:v>Notebook Pro</x:v>
      </x:c>
      <x:c r="I314" t="str">
        <x:v>Isabela</x:v>
      </x:c>
      <x:c r="J314" s="53" t="n">
        <x:v>2</x:v>
      </x:c>
      <x:c r="K314" s="54" t="n">
        <x:v>6054</x:v>
      </x:c>
      <x:c r="L314" s="54" t="n">
        <x:v>4437.3</x:v>
      </x:c>
      <x:c r="M314" s="55" t="n">
        <x:v>0.035</x:v>
      </x:c>
      <x:c r="N314" s="54" t="n">
        <x:f>ROUND(J314*K314,2)</x:f>
        <x:v>12108</x:v>
      </x:c>
      <x:c r="O314" s="54" t="n">
        <x:f>ROUND(N314*(1-M314),2)</x:f>
        <x:v>11684.22</x:v>
      </x:c>
      <x:c r="P314" s="54" t="n">
        <x:f>ROUND(J314*L314,2)</x:f>
        <x:v>8874.6</x:v>
      </x:c>
      <x:c r="Q314" s="54" t="n">
        <x:f>ROUND(O314-P314,2)</x:f>
        <x:v>2809.62</x:v>
      </x:c>
      <x:c r="R314" s="55" t="n">
        <x:f>IF(O314=0,0,ROUND(Q314/O314,4))</x:f>
        <x:v>0.2405</x:v>
      </x:c>
      <x:c r="S314" s="53" t="n">
        <x:v>5</x:v>
      </x:c>
      <x:c r="T314" t="str">
        <x:v>Entregue</x:v>
      </x:c>
      <x:c r="U314" t="n">
        <x:v>3</x:v>
      </x:c>
      <x:c r="V314" t="str"/>
    </x:row>
    <x:row r="315">
      <x:c r="A315" s="52" t="n">
        <x:v>46125</x:v>
      </x:c>
      <x:c r="B315" t="str">
        <x:v>PED-100314</x:v>
      </x:c>
      <x:c r="C315" t="str">
        <x:v>Cliente 102</x:v>
      </x:c>
      <x:c r="D315" t="str">
        <x:v>MT</x:v>
      </x:c>
      <x:c r="E315" t="str">
        <x:v>Centro-Oeste</x:v>
      </x:c>
      <x:c r="F315" t="str">
        <x:v>Televendas</x:v>
      </x:c>
      <x:c r="G315" t="str">
        <x:v>Casa</x:v>
      </x:c>
      <x:c r="H315" t="str">
        <x:v>Cafeteira Smart</x:v>
      </x:c>
      <x:c r="I315" t="str">
        <x:v>Diego</x:v>
      </x:c>
      <x:c r="J315" s="53" t="n">
        <x:v>4</x:v>
      </x:c>
      <x:c r="K315" s="54" t="n">
        <x:v>831.24</x:v>
      </x:c>
      <x:c r="L315" s="54" t="n">
        <x:v>459.33</x:v>
      </x:c>
      <x:c r="M315" s="55" t="n">
        <x:v>0.0421</x:v>
      </x:c>
      <x:c r="N315" s="54" t="n">
        <x:f>ROUND(J315*K315,2)</x:f>
        <x:v>3324.96</x:v>
      </x:c>
      <x:c r="O315" s="54" t="n">
        <x:f>ROUND(N315*(1-M315),2)</x:f>
        <x:v>3184.98</x:v>
      </x:c>
      <x:c r="P315" s="54" t="n">
        <x:f>ROUND(J315*L315,2)</x:f>
        <x:v>1837.32</x:v>
      </x:c>
      <x:c r="Q315" s="54" t="n">
        <x:f>ROUND(O315-P315,2)</x:f>
        <x:v>1347.66</x:v>
      </x:c>
      <x:c r="R315" s="55" t="n">
        <x:f>IF(O315=0,0,ROUND(Q315/O315,4))</x:f>
        <x:v>0.4231</x:v>
      </x:c>
      <x:c r="S315" s="53" t="n">
        <x:v>5</x:v>
      </x:c>
      <x:c r="T315" t="str">
        <x:v>Entregue</x:v>
      </x:c>
      <x:c r="U315" t="n">
        <x:v>4</x:v>
      </x:c>
      <x:c r="V315" t="str"/>
    </x:row>
    <x:row r="316">
      <x:c r="A316" s="52" t="n">
        <x:v>46075</x:v>
      </x:c>
      <x:c r="B316" t="str">
        <x:v>PED-100315</x:v>
      </x:c>
      <x:c r="C316" t="str">
        <x:v>Cliente 076</x:v>
      </x:c>
      <x:c r="D316" t="str">
        <x:v>RJ</x:v>
      </x:c>
      <x:c r="E316" t="str">
        <x:v>Sudeste</x:v>
      </x:c>
      <x:c r="F316" t="str">
        <x:v>Loja</x:v>
      </x:c>
      <x:c r="G316" t="str">
        <x:v>Acessórios</x:v>
      </x:c>
      <x:c r="H316" t="str">
        <x:v>Hub USB-C</x:v>
      </x:c>
      <x:c r="I316" t="str">
        <x:v>Elaine</x:v>
      </x:c>
      <x:c r="J316" s="53" t="n">
        <x:v>2</x:v>
      </x:c>
      <x:c r="K316" s="54" t="n">
        <x:v>313.37</x:v>
      </x:c>
      <x:c r="L316" s="54" t="n">
        <x:v>137.01</x:v>
      </x:c>
      <x:c r="M316" s="55" t="n">
        <x:v>0.1194</x:v>
      </x:c>
      <x:c r="N316" s="54" t="n">
        <x:f>ROUND(J316*K316,2)</x:f>
        <x:v>626.74</x:v>
      </x:c>
      <x:c r="O316" s="54" t="n">
        <x:f>ROUND(N316*(1-M316),2)</x:f>
        <x:v>551.91</x:v>
      </x:c>
      <x:c r="P316" s="54" t="n">
        <x:f>ROUND(J316*L316,2)</x:f>
        <x:v>274.02</x:v>
      </x:c>
      <x:c r="Q316" s="54" t="n">
        <x:f>ROUND(O316-P316,2)</x:f>
        <x:v>277.89</x:v>
      </x:c>
      <x:c r="R316" s="55" t="n">
        <x:f>IF(O316=0,0,ROUND(Q316/O316,4))</x:f>
        <x:v>0.5035</x:v>
      </x:c>
      <x:c r="S316" s="53" t="n">
        <x:v>13</x:v>
      </x:c>
      <x:c r="T316" t="str">
        <x:v>Entregue com atraso</x:v>
      </x:c>
      <x:c r="U316" t="n">
        <x:v>3</x:v>
      </x:c>
      <x:c r="V316" t="str"/>
    </x:row>
    <x:row r="317">
      <x:c r="A317" s="52" t="n">
        <x:v>46221</x:v>
      </x:c>
      <x:c r="B317" t="str">
        <x:v>PED-100316</x:v>
      </x:c>
      <x:c r="C317" t="str">
        <x:v>Cliente 112</x:v>
      </x:c>
      <x:c r="D317" t="str">
        <x:v>MG</x:v>
      </x:c>
      <x:c r="E317" t="str">
        <x:v>Sudeste</x:v>
      </x:c>
      <x:c r="F317" t="str">
        <x:v>Televendas</x:v>
      </x:c>
      <x:c r="G317" t="str">
        <x:v>Escritório</x:v>
      </x:c>
      <x:c r="H317" t="str">
        <x:v>Cadeira Ergonômica</x:v>
      </x:c>
      <x:c r="I317" t="str">
        <x:v>Isabela</x:v>
      </x:c>
      <x:c r="J317" s="53" t="n">
        <x:v>2</x:v>
      </x:c>
      <x:c r="K317" s="54" t="n">
        <x:v>2204.9</x:v>
      </x:c>
      <x:c r="L317" s="54" t="n">
        <x:v>1356.08</x:v>
      </x:c>
      <x:c r="M317" s="55" t="n">
        <x:v>0.1161</x:v>
      </x:c>
      <x:c r="N317" s="54" t="n">
        <x:f>ROUND(J317*K317,2)</x:f>
        <x:v>4409.8</x:v>
      </x:c>
      <x:c r="O317" s="54" t="n">
        <x:f>ROUND(N317*(1-M317),2)</x:f>
        <x:v>3897.82</x:v>
      </x:c>
      <x:c r="P317" s="54" t="n">
        <x:f>ROUND(J317*L317,2)</x:f>
        <x:v>2712.16</x:v>
      </x:c>
      <x:c r="Q317" s="54" t="n">
        <x:f>ROUND(O317-P317,2)</x:f>
        <x:v>1185.66</x:v>
      </x:c>
      <x:c r="R317" s="55" t="n">
        <x:f>IF(O317=0,0,ROUND(Q317/O317,4))</x:f>
        <x:v>0.3042</x:v>
      </x:c>
      <x:c r="S317" s="53" t="n">
        <x:v>13</x:v>
      </x:c>
      <x:c r="T317" t="str">
        <x:v>Entregue com atraso</x:v>
      </x:c>
      <x:c r="U317" t="n">
        <x:v>2</x:v>
      </x:c>
      <x:c r="V317" t="str"/>
    </x:row>
    <x:row r="318">
      <x:c r="A318" s="52" t="n">
        <x:v>46077</x:v>
      </x:c>
      <x:c r="B318" t="str">
        <x:v>PED-100317</x:v>
      </x:c>
      <x:c r="C318" t="str">
        <x:v>Cliente 042</x:v>
      </x:c>
      <x:c r="D318" t="str">
        <x:v>RS</x:v>
      </x:c>
      <x:c r="E318" t="str">
        <x:v>Sul</x:v>
      </x:c>
      <x:c r="F318" t="str">
        <x:v>Loja</x:v>
      </x:c>
      <x:c r="G318" t="str">
        <x:v>Escritório</x:v>
      </x:c>
      <x:c r="H318" t="str">
        <x:v>Mesa Ajustável</x:v>
      </x:c>
      <x:c r="I318" t="str">
        <x:v>Carla</x:v>
      </x:c>
      <x:c r="J318" s="53" t="n">
        <x:v>3</x:v>
      </x:c>
      <x:c r="K318" s="54" t="n">
        <x:v>2925.12</x:v>
      </x:c>
      <x:c r="L318" s="54" t="n">
        <x:v>1814.65</x:v>
      </x:c>
      <x:c r="M318" s="55" t="n">
        <x:v>0.0536</x:v>
      </x:c>
      <x:c r="N318" s="54" t="n">
        <x:f>ROUND(J318*K318,2)</x:f>
        <x:v>8775.36</x:v>
      </x:c>
      <x:c r="O318" s="54" t="n">
        <x:f>ROUND(N318*(1-M318),2)</x:f>
        <x:v>8305</x:v>
      </x:c>
      <x:c r="P318" s="54" t="n">
        <x:f>ROUND(J318*L318,2)</x:f>
        <x:v>5443.95</x:v>
      </x:c>
      <x:c r="Q318" s="54" t="n">
        <x:f>ROUND(O318-P318,2)</x:f>
        <x:v>2861.05</x:v>
      </x:c>
      <x:c r="R318" s="55" t="n">
        <x:f>IF(O318=0,0,ROUND(Q318/O318,4))</x:f>
        <x:v>0.3445</x:v>
      </x:c>
      <x:c r="S318" s="53" t="n">
        <x:v>14</x:v>
      </x:c>
      <x:c r="T318" t="str">
        <x:v>Entregue com atraso</x:v>
      </x:c>
      <x:c r="U318" t="n">
        <x:v>4</x:v>
      </x:c>
      <x:c r="V318" t="str"/>
    </x:row>
    <x:row r="319">
      <x:c r="A319" s="52" t="n">
        <x:v>46195</x:v>
      </x:c>
      <x:c r="B319" t="str">
        <x:v>PED-100318</x:v>
      </x:c>
      <x:c r="C319" t="str">
        <x:v>Cliente 112</x:v>
      </x:c>
      <x:c r="D319" t="str">
        <x:v>RJ</x:v>
      </x:c>
      <x:c r="E319" t="str">
        <x:v>Sudeste</x:v>
      </x:c>
      <x:c r="F319" t="str">
        <x:v>Marketplace</x:v>
      </x:c>
      <x:c r="G319" t="str">
        <x:v>Casa</x:v>
      </x:c>
      <x:c r="H319" t="str">
        <x:v>Aspirador Robô</x:v>
      </x:c>
      <x:c r="I319" t="str">
        <x:v>Bruno</x:v>
      </x:c>
      <x:c r="J319" s="53" t="n">
        <x:v>4</x:v>
      </x:c>
      <x:c r="K319" s="54" t="n">
        <x:v>1967.05</x:v>
      </x:c>
      <x:c r="L319" s="54" t="n">
        <x:v>1225.83</x:v>
      </x:c>
      <x:c r="M319" s="55" t="n">
        <x:v>0.035</x:v>
      </x:c>
      <x:c r="N319" s="54" t="n">
        <x:f>ROUND(J319*K319,2)</x:f>
        <x:v>7868.2</x:v>
      </x:c>
      <x:c r="O319" s="54" t="n">
        <x:f>ROUND(N319*(1-M319),2)</x:f>
        <x:v>7592.81</x:v>
      </x:c>
      <x:c r="P319" s="54" t="n">
        <x:f>ROUND(J319*L319,2)</x:f>
        <x:v>4903.32</x:v>
      </x:c>
      <x:c r="Q319" s="54" t="n">
        <x:f>ROUND(O319-P319,2)</x:f>
        <x:v>2689.49</x:v>
      </x:c>
      <x:c r="R319" s="55" t="n">
        <x:f>IF(O319=0,0,ROUND(Q319/O319,4))</x:f>
        <x:v>0.3542</x:v>
      </x:c>
      <x:c r="S319" s="53" t="n">
        <x:v>14</x:v>
      </x:c>
      <x:c r="T319" t="str">
        <x:v>Entregue com atraso</x:v>
      </x:c>
      <x:c r="U319" t="n">
        <x:v>4</x:v>
      </x:c>
      <x:c r="V319" t="str"/>
    </x:row>
    <x:row r="320">
      <x:c r="A320" s="52" t="n">
        <x:v>46162</x:v>
      </x:c>
      <x:c r="B320" t="str">
        <x:v>PED-100319</x:v>
      </x:c>
      <x:c r="C320" t="str">
        <x:v>Cliente 067</x:v>
      </x:c>
      <x:c r="D320" t="str">
        <x:v>GO</x:v>
      </x:c>
      <x:c r="E320" t="str">
        <x:v>Centro-Oeste</x:v>
      </x:c>
      <x:c r="F320" t="str">
        <x:v>Marketplace</x:v>
      </x:c>
      <x:c r="G320" t="str">
        <x:v>Escritório</x:v>
      </x:c>
      <x:c r="H320" t="str">
        <x:v>Cadeira Ergonômica</x:v>
      </x:c>
      <x:c r="I320" t="str">
        <x:v>Bruno</x:v>
      </x:c>
      <x:c r="J320" s="53" t="n">
        <x:v>4</x:v>
      </x:c>
      <x:c r="K320" s="54" t="n">
        <x:v>2205.41</x:v>
      </x:c>
      <x:c r="L320" s="54" t="n">
        <x:v>1383.5</x:v>
      </x:c>
      <x:c r="M320" s="55" t="n">
        <x:v>0.035</x:v>
      </x:c>
      <x:c r="N320" s="54" t="n">
        <x:f>ROUND(J320*K320,2)</x:f>
        <x:v>8821.64</x:v>
      </x:c>
      <x:c r="O320" s="54" t="n">
        <x:f>ROUND(N320*(1-M320),2)</x:f>
        <x:v>8512.88</x:v>
      </x:c>
      <x:c r="P320" s="54" t="n">
        <x:f>ROUND(J320*L320,2)</x:f>
        <x:v>5534</x:v>
      </x:c>
      <x:c r="Q320" s="54" t="n">
        <x:f>ROUND(O320-P320,2)</x:f>
        <x:v>2978.88</x:v>
      </x:c>
      <x:c r="R320" s="55" t="n">
        <x:f>IF(O320=0,0,ROUND(Q320/O320,4))</x:f>
        <x:v>0.3499</x:v>
      </x:c>
      <x:c r="S320" s="53" t="n">
        <x:v>12</x:v>
      </x:c>
      <x:c r="T320" t="str">
        <x:v>Entregue com atraso</x:v>
      </x:c>
      <x:c r="U320" t="n">
        <x:v>3</x:v>
      </x:c>
      <x:c r="V320" t="str"/>
    </x:row>
    <x:row r="321">
      <x:c r="A321" s="52" t="n">
        <x:v>46084</x:v>
      </x:c>
      <x:c r="B321" t="str">
        <x:v>PED-100320</x:v>
      </x:c>
      <x:c r="C321" t="str">
        <x:v>Cliente 115</x:v>
      </x:c>
      <x:c r="D321" t="str">
        <x:v>MA</x:v>
      </x:c>
      <x:c r="E321" t="str">
        <x:v>Nordeste</x:v>
      </x:c>
      <x:c r="F321" t="str">
        <x:v>E-commerce</x:v>
      </x:c>
      <x:c r="G321" t="str">
        <x:v>Acessórios</x:v>
      </x:c>
      <x:c r="H321" t="str">
        <x:v>Webcam HD</x:v>
      </x:c>
      <x:c r="I321" t="str">
        <x:v>João</x:v>
      </x:c>
      <x:c r="J321" s="53" t="n">
        <x:v>5</x:v>
      </x:c>
      <x:c r="K321" s="54" t="n">
        <x:v>514.52</x:v>
      </x:c>
      <x:c r="L321" s="54" t="n">
        <x:v>257.31</x:v>
      </x:c>
      <x:c r="M321" s="55" t="n">
        <x:v>0</x:v>
      </x:c>
      <x:c r="N321" s="54" t="n">
        <x:f>ROUND(J321*K321,2)</x:f>
        <x:v>2572.6</x:v>
      </x:c>
      <x:c r="O321" s="54" t="n">
        <x:f>ROUND(N321*(1-M321),2)</x:f>
        <x:v>2572.6</x:v>
      </x:c>
      <x:c r="P321" s="54" t="n">
        <x:f>ROUND(J321*L321,2)</x:f>
        <x:v>1286.55</x:v>
      </x:c>
      <x:c r="Q321" s="54" t="n">
        <x:f>ROUND(O321-P321,2)</x:f>
        <x:v>1286.05</x:v>
      </x:c>
      <x:c r="R321" s="55" t="n">
        <x:f>IF(O321=0,0,ROUND(Q321/O321,4))</x:f>
        <x:v>0.4999</x:v>
      </x:c>
      <x:c r="S321" s="53" t="n">
        <x:v>9</x:v>
      </x:c>
      <x:c r="T321" t="str">
        <x:v>Entregue</x:v>
      </x:c>
      <x:c r="U321" t="n">
        <x:v>4</x:v>
      </x:c>
      <x:c r="V321" t="str"/>
    </x:row>
    <x:row r="322">
      <x:c r="A322" s="52" t="n">
        <x:v>46200</x:v>
      </x:c>
      <x:c r="B322" t="str">
        <x:v>PED-100321</x:v>
      </x:c>
      <x:c r="C322" t="str">
        <x:v>Cliente 005</x:v>
      </x:c>
      <x:c r="D322" t="str">
        <x:v>PA</x:v>
      </x:c>
      <x:c r="E322" t="str">
        <x:v>Norte</x:v>
      </x:c>
      <x:c r="F322" t="str">
        <x:v>Televendas</x:v>
      </x:c>
      <x:c r="G322" t="str">
        <x:v>Acessórios</x:v>
      </x:c>
      <x:c r="H322" t="str">
        <x:v>Hub USB-C</x:v>
      </x:c>
      <x:c r="I322" t="str">
        <x:v>Carla</x:v>
      </x:c>
      <x:c r="J322" s="53" t="n">
        <x:v>3</x:v>
      </x:c>
      <x:c r="K322" s="54" t="n">
        <x:v>336.51</x:v>
      </x:c>
      <x:c r="L322" s="54" t="n">
        <x:v>145.25</x:v>
      </x:c>
      <x:c r="M322" s="55" t="n">
        <x:v>0.1048</x:v>
      </x:c>
      <x:c r="N322" s="54" t="n">
        <x:f>ROUND(J322*K322,2)</x:f>
        <x:v>1009.53</x:v>
      </x:c>
      <x:c r="O322" s="54" t="n">
        <x:f>ROUND(N322*(1-M322),2)</x:f>
        <x:v>903.73</x:v>
      </x:c>
      <x:c r="P322" s="54" t="n">
        <x:f>ROUND(J322*L322,2)</x:f>
        <x:v>435.75</x:v>
      </x:c>
      <x:c r="Q322" s="54" t="n">
        <x:f>ROUND(O322-P322,2)</x:f>
        <x:v>467.98</x:v>
      </x:c>
      <x:c r="R322" s="55" t="n">
        <x:f>IF(O322=0,0,ROUND(Q322/O322,4))</x:f>
        <x:v>0.5178</x:v>
      </x:c>
      <x:c r="S322" s="53" t="n">
        <x:v>4</x:v>
      </x:c>
      <x:c r="T322" t="str">
        <x:v>Entregue</x:v>
      </x:c>
      <x:c r="U322" t="n">
        <x:v>3</x:v>
      </x:c>
      <x:c r="V322" t="str"/>
    </x:row>
    <x:row r="323">
      <x:c r="A323" s="52" t="n">
        <x:v>46136</x:v>
      </x:c>
      <x:c r="B323" t="str">
        <x:v>PED-100322</x:v>
      </x:c>
      <x:c r="C323" t="str">
        <x:v>Cliente 009</x:v>
      </x:c>
      <x:c r="D323" t="str">
        <x:v>RJ</x:v>
      </x:c>
      <x:c r="E323" t="str">
        <x:v>Sudeste</x:v>
      </x:c>
      <x:c r="F323" t="str">
        <x:v>Marketplace</x:v>
      </x:c>
      <x:c r="G323" t="str">
        <x:v>Tecnologia</x:v>
      </x:c>
      <x:c r="H323" t="str">
        <x:v>Headset Office</x:v>
      </x:c>
      <x:c r="I323" t="str">
        <x:v>Ana</x:v>
      </x:c>
      <x:c r="J323" s="53" t="n">
        <x:v>5</x:v>
      </x:c>
      <x:c r="K323" s="54" t="n">
        <x:v>411.29</x:v>
      </x:c>
      <x:c r="L323" s="54" t="n">
        <x:v>204.6</x:v>
      </x:c>
      <x:c r="M323" s="55" t="n">
        <x:v>0.035</x:v>
      </x:c>
      <x:c r="N323" s="54" t="n">
        <x:f>ROUND(J323*K323,2)</x:f>
        <x:v>2056.45</x:v>
      </x:c>
      <x:c r="O323" s="54" t="n">
        <x:f>ROUND(N323*(1-M323),2)</x:f>
        <x:v>1984.47</x:v>
      </x:c>
      <x:c r="P323" s="54" t="n">
        <x:f>ROUND(J323*L323,2)</x:f>
        <x:v>1023</x:v>
      </x:c>
      <x:c r="Q323" s="54" t="n">
        <x:f>ROUND(O323-P323,2)</x:f>
        <x:v>961.47</x:v>
      </x:c>
      <x:c r="R323" s="55" t="n">
        <x:f>IF(O323=0,0,ROUND(Q323/O323,4))</x:f>
        <x:v>0.4845</x:v>
      </x:c>
      <x:c r="S323" s="53" t="n">
        <x:v>3</x:v>
      </x:c>
      <x:c r="T323" t="str">
        <x:v>Entregue</x:v>
      </x:c>
      <x:c r="U323" t="n">
        <x:v>2</x:v>
      </x:c>
      <x:c r="V323" t="str"/>
    </x:row>
    <x:row r="324">
      <x:c r="A324" s="52" t="n">
        <x:v>46128</x:v>
      </x:c>
      <x:c r="B324" t="str">
        <x:v>PED-100323</x:v>
      </x:c>
      <x:c r="C324" t="str">
        <x:v>Cliente 008</x:v>
      </x:c>
      <x:c r="D324" t="str">
        <x:v>PA</x:v>
      </x:c>
      <x:c r="E324" t="str">
        <x:v>Norte</x:v>
      </x:c>
      <x:c r="F324" t="str">
        <x:v>Loja</x:v>
      </x:c>
      <x:c r="G324" t="str">
        <x:v>Escritório</x:v>
      </x:c>
      <x:c r="H324" t="str">
        <x:v>Cadeira Ergonômica</x:v>
      </x:c>
      <x:c r="I324" t="str">
        <x:v>Ana</x:v>
      </x:c>
      <x:c r="J324" s="53" t="n">
        <x:v>5</x:v>
      </x:c>
      <x:c r="K324" s="54" t="n">
        <x:v>2125.28</x:v>
      </x:c>
      <x:c r="L324" s="54" t="n">
        <x:v>1476.36</x:v>
      </x:c>
      <x:c r="M324" s="55" t="n">
        <x:v>0</x:v>
      </x:c>
      <x:c r="N324" s="54" t="n">
        <x:f>ROUND(J324*K324,2)</x:f>
        <x:v>10626.4</x:v>
      </x:c>
      <x:c r="O324" s="54" t="n">
        <x:f>ROUND(N324*(1-M324),2)</x:f>
        <x:v>10626.4</x:v>
      </x:c>
      <x:c r="P324" s="54" t="n">
        <x:f>ROUND(J324*L324,2)</x:f>
        <x:v>7381.8</x:v>
      </x:c>
      <x:c r="Q324" s="54" t="n">
        <x:f>ROUND(O324-P324,2)</x:f>
        <x:v>3244.6</x:v>
      </x:c>
      <x:c r="R324" s="55" t="n">
        <x:f>IF(O324=0,0,ROUND(Q324/O324,4))</x:f>
        <x:v>0.3053</x:v>
      </x:c>
      <x:c r="S324" s="53" t="n">
        <x:v>9</x:v>
      </x:c>
      <x:c r="T324" t="str">
        <x:v>Entregue</x:v>
      </x:c>
      <x:c r="U324" t="n">
        <x:v>4</x:v>
      </x:c>
      <x:c r="V324" t="str"/>
    </x:row>
    <x:row r="325">
      <x:c r="A325" s="52" t="n">
        <x:v>46085</x:v>
      </x:c>
      <x:c r="B325" t="str">
        <x:v>PED-100324</x:v>
      </x:c>
      <x:c r="C325" t="str">
        <x:v>Cliente 094</x:v>
      </x:c>
      <x:c r="D325" t="str">
        <x:v>RJ</x:v>
      </x:c>
      <x:c r="E325" t="str">
        <x:v>Sudeste</x:v>
      </x:c>
      <x:c r="F325" t="str">
        <x:v>Televendas</x:v>
      </x:c>
      <x:c r="G325" t="str">
        <x:v>Acessórios</x:v>
      </x:c>
      <x:c r="H325" t="str">
        <x:v>Mochila Executiva</x:v>
      </x:c>
      <x:c r="I325" t="str">
        <x:v>Bruno</x:v>
      </x:c>
      <x:c r="J325" s="53" t="n">
        <x:v>6</x:v>
      </x:c>
      <x:c r="K325" s="54" t="n">
        <x:v>444.09</x:v>
      </x:c>
      <x:c r="L325" s="54" t="n">
        <x:v>183.35</x:v>
      </x:c>
      <x:c r="M325" s="55" t="n">
        <x:v>0.0058</x:v>
      </x:c>
      <x:c r="N325" s="54" t="n">
        <x:f>ROUND(J325*K325,2)</x:f>
        <x:v>2664.54</x:v>
      </x:c>
      <x:c r="O325" s="54" t="n">
        <x:f>ROUND(N325*(1-M325),2)</x:f>
        <x:v>2649.09</x:v>
      </x:c>
      <x:c r="P325" s="54" t="n">
        <x:f>ROUND(J325*L325,2)</x:f>
        <x:v>1100.1</x:v>
      </x:c>
      <x:c r="Q325" s="54" t="n">
        <x:f>ROUND(O325-P325,2)</x:f>
        <x:v>1548.99</x:v>
      </x:c>
      <x:c r="R325" s="55" t="n">
        <x:f>IF(O325=0,0,ROUND(Q325/O325,4))</x:f>
        <x:v>0.5847</x:v>
      </x:c>
      <x:c r="S325" s="53" t="n">
        <x:v>6</x:v>
      </x:c>
      <x:c r="T325" t="str">
        <x:v>Entregue</x:v>
      </x:c>
      <x:c r="U325" t="n">
        <x:v>2</x:v>
      </x:c>
      <x:c r="V325" t="str"/>
    </x:row>
    <x:row r="326">
      <x:c r="A326" s="52" t="n">
        <x:v>46170</x:v>
      </x:c>
      <x:c r="B326" t="str">
        <x:v>PED-100325</x:v>
      </x:c>
      <x:c r="C326" t="str">
        <x:v>Cliente 004</x:v>
      </x:c>
      <x:c r="D326" t="str">
        <x:v>CE</x:v>
      </x:c>
      <x:c r="E326" t="str">
        <x:v>Nordeste</x:v>
      </x:c>
      <x:c r="F326" t="str">
        <x:v>E-commerce</x:v>
      </x:c>
      <x:c r="G326" t="str">
        <x:v>Casa</x:v>
      </x:c>
      <x:c r="H326" t="str">
        <x:v>Purificador</x:v>
      </x:c>
      <x:c r="I326" t="str">
        <x:v>Isabela</x:v>
      </x:c>
      <x:c r="J326" s="53" t="n">
        <x:v>2</x:v>
      </x:c>
      <x:c r="K326" s="54" t="n">
        <x:v>1301.65</x:v>
      </x:c>
      <x:c r="L326" s="54" t="n">
        <x:v>774.93</x:v>
      </x:c>
      <x:c r="M326" s="55" t="n">
        <x:v>0.0291</x:v>
      </x:c>
      <x:c r="N326" s="54" t="n">
        <x:f>ROUND(J326*K326,2)</x:f>
        <x:v>2603.3</x:v>
      </x:c>
      <x:c r="O326" s="54" t="n">
        <x:f>ROUND(N326*(1-M326),2)</x:f>
        <x:v>2527.54</x:v>
      </x:c>
      <x:c r="P326" s="54" t="n">
        <x:f>ROUND(J326*L326,2)</x:f>
        <x:v>1549.86</x:v>
      </x:c>
      <x:c r="Q326" s="54" t="n">
        <x:f>ROUND(O326-P326,2)</x:f>
        <x:v>977.68</x:v>
      </x:c>
      <x:c r="R326" s="55" t="n">
        <x:f>IF(O326=0,0,ROUND(Q326/O326,4))</x:f>
        <x:v>0.3868</x:v>
      </x:c>
      <x:c r="S326" s="53" t="n">
        <x:v>11</x:v>
      </x:c>
      <x:c r="T326" t="str">
        <x:v>Entregue com atraso</x:v>
      </x:c>
      <x:c r="U326" t="n">
        <x:v>3</x:v>
      </x:c>
      <x:c r="V326" t="str"/>
    </x:row>
    <x:row r="327">
      <x:c r="A327" s="52" t="n">
        <x:v>46102</x:v>
      </x:c>
      <x:c r="B327" t="str">
        <x:v>PED-100326</x:v>
      </x:c>
      <x:c r="C327" t="str">
        <x:v>Cliente 051</x:v>
      </x:c>
      <x:c r="D327" t="str">
        <x:v>PA</x:v>
      </x:c>
      <x:c r="E327" t="str">
        <x:v>Norte</x:v>
      </x:c>
      <x:c r="F327" t="str">
        <x:v>Marketplace</x:v>
      </x:c>
      <x:c r="G327" t="str">
        <x:v>Escritório</x:v>
      </x:c>
      <x:c r="H327" t="str">
        <x:v>Mesa Ajustável</x:v>
      </x:c>
      <x:c r="I327" t="str">
        <x:v>Felipe</x:v>
      </x:c>
      <x:c r="J327" s="53" t="n">
        <x:v>1</x:v>
      </x:c>
      <x:c r="K327" s="54" t="n">
        <x:v>2722.74</x:v>
      </x:c>
      <x:c r="L327" s="54" t="n">
        <x:v>1954.22</x:v>
      </x:c>
      <x:c r="M327" s="55" t="n">
        <x:v>0.0638</x:v>
      </x:c>
      <x:c r="N327" s="54" t="n">
        <x:f>ROUND(J327*K327,2)</x:f>
        <x:v>2722.74</x:v>
      </x:c>
      <x:c r="O327" s="54" t="n">
        <x:f>ROUND(N327*(1-M327),2)</x:f>
        <x:v>2549.03</x:v>
      </x:c>
      <x:c r="P327" s="54" t="n">
        <x:f>ROUND(J327*L327,2)</x:f>
        <x:v>1954.22</x:v>
      </x:c>
      <x:c r="Q327" s="54" t="n">
        <x:f>ROUND(O327-P327,2)</x:f>
        <x:v>594.81</x:v>
      </x:c>
      <x:c r="R327" s="55" t="n">
        <x:f>IF(O327=0,0,ROUND(Q327/O327,4))</x:f>
        <x:v>0.2333</x:v>
      </x:c>
      <x:c r="S327" s="53" t="n">
        <x:v>5</x:v>
      </x:c>
      <x:c r="T327" t="str">
        <x:v>Entregue</x:v>
      </x:c>
      <x:c r="U327" t="n">
        <x:v>2</x:v>
      </x:c>
      <x:c r="V327" t="str"/>
    </x:row>
    <x:row r="328">
      <x:c r="A328" s="52" t="n">
        <x:v>46049</x:v>
      </x:c>
      <x:c r="B328" t="str">
        <x:v>PED-100327</x:v>
      </x:c>
      <x:c r="C328" t="str">
        <x:v>Cliente 106</x:v>
      </x:c>
      <x:c r="D328" t="str">
        <x:v>MA</x:v>
      </x:c>
      <x:c r="E328" t="str">
        <x:v>Nordeste</x:v>
      </x:c>
      <x:c r="F328" t="str">
        <x:v>E-commerce</x:v>
      </x:c>
      <x:c r="G328" t="str">
        <x:v>Acessórios</x:v>
      </x:c>
      <x:c r="H328" t="str">
        <x:v>Mochila Executiva</x:v>
      </x:c>
      <x:c r="I328" t="str">
        <x:v>Bruno</x:v>
      </x:c>
      <x:c r="J328" s="53" t="n">
        <x:v>1</x:v>
      </x:c>
      <x:c r="K328" s="54" t="n">
        <x:v>417.6</x:v>
      </x:c>
      <x:c r="L328" s="54" t="n">
        <x:v>191.09</x:v>
      </x:c>
      <x:c r="M328" s="55" t="n">
        <x:v>0.047</x:v>
      </x:c>
      <x:c r="N328" s="54" t="n">
        <x:f>ROUND(J328*K328,2)</x:f>
        <x:v>417.6</x:v>
      </x:c>
      <x:c r="O328" s="54" t="n">
        <x:f>ROUND(N328*(1-M328),2)</x:f>
        <x:v>397.97</x:v>
      </x:c>
      <x:c r="P328" s="54" t="n">
        <x:f>ROUND(J328*L328,2)</x:f>
        <x:v>191.09</x:v>
      </x:c>
      <x:c r="Q328" s="54" t="n">
        <x:f>ROUND(O328-P328,2)</x:f>
        <x:v>206.88</x:v>
      </x:c>
      <x:c r="R328" s="55" t="n">
        <x:f>IF(O328=0,0,ROUND(Q328/O328,4))</x:f>
        <x:v>0.5198</x:v>
      </x:c>
      <x:c r="S328" s="53" t="n">
        <x:v>9</x:v>
      </x:c>
      <x:c r="T328" t="str">
        <x:v>Entregue</x:v>
      </x:c>
      <x:c r="U328" t="n">
        <x:v>2</x:v>
      </x:c>
      <x:c r="V328" t="str"/>
    </x:row>
    <x:row r="329">
      <x:c r="A329" s="52" t="n">
        <x:v>46217</x:v>
      </x:c>
      <x:c r="B329" t="str">
        <x:v>PED-100328</x:v>
      </x:c>
      <x:c r="C329" t="str">
        <x:v>Cliente 107</x:v>
      </x:c>
      <x:c r="D329" t="str">
        <x:v>PE</x:v>
      </x:c>
      <x:c r="E329" t="str">
        <x:v>Nordeste</x:v>
      </x:c>
      <x:c r="F329" t="str">
        <x:v>E-commerce</x:v>
      </x:c>
      <x:c r="G329" t="str">
        <x:v>Tecnologia</x:v>
      </x:c>
      <x:c r="H329" t="str">
        <x:v>Headset Office</x:v>
      </x:c>
      <x:c r="I329" t="str">
        <x:v>Diego</x:v>
      </x:c>
      <x:c r="J329" s="53" t="n">
        <x:v>3</x:v>
      </x:c>
      <x:c r="K329" s="54" t="n">
        <x:v>374.88</x:v>
      </x:c>
      <x:c r="L329" s="54" t="n">
        <x:v>209.02</x:v>
      </x:c>
      <x:c r="M329" s="55" t="n">
        <x:v>0.1083</x:v>
      </x:c>
      <x:c r="N329" s="54" t="n">
        <x:f>ROUND(J329*K329,2)</x:f>
        <x:v>1124.64</x:v>
      </x:c>
      <x:c r="O329" s="54" t="n">
        <x:f>ROUND(N329*(1-M329),2)</x:f>
        <x:v>1002.84</x:v>
      </x:c>
      <x:c r="P329" s="54" t="n">
        <x:f>ROUND(J329*L329,2)</x:f>
        <x:v>627.06</x:v>
      </x:c>
      <x:c r="Q329" s="54" t="n">
        <x:f>ROUND(O329-P329,2)</x:f>
        <x:v>375.78</x:v>
      </x:c>
      <x:c r="R329" s="55" t="n">
        <x:f>IF(O329=0,0,ROUND(Q329/O329,4))</x:f>
        <x:v>0.3747</x:v>
      </x:c>
      <x:c r="S329" s="53" t="n">
        <x:v>12</x:v>
      </x:c>
      <x:c r="T329" t="str">
        <x:v>Cancelado</x:v>
      </x:c>
      <x:c r="U329"/>
      <x:c r="V329" t="str"/>
    </x:row>
    <x:row r="330">
      <x:c r="A330" s="52" t="n">
        <x:v>46229</x:v>
      </x:c>
      <x:c r="B330" t="str">
        <x:v>PED-100329</x:v>
      </x:c>
      <x:c r="C330" t="str">
        <x:v>Cliente 059</x:v>
      </x:c>
      <x:c r="D330" t="str">
        <x:v>RJ</x:v>
      </x:c>
      <x:c r="E330" t="str">
        <x:v>Sudeste</x:v>
      </x:c>
      <x:c r="F330" t="str">
        <x:v>Televendas</x:v>
      </x:c>
      <x:c r="G330" t="str">
        <x:v>Casa</x:v>
      </x:c>
      <x:c r="H330" t="str">
        <x:v>Cafeteira Smart</x:v>
      </x:c>
      <x:c r="I330" t="str">
        <x:v>Elaine</x:v>
      </x:c>
      <x:c r="J330" s="53" t="n">
        <x:v>7</x:v>
      </x:c>
      <x:c r="K330" s="54" t="n">
        <x:v>781.19</x:v>
      </x:c>
      <x:c r="L330" s="54" t="n">
        <x:v>466.26</x:v>
      </x:c>
      <x:c r="M330" s="55" t="n">
        <x:v>0.1112</x:v>
      </x:c>
      <x:c r="N330" s="54" t="n">
        <x:f>ROUND(J330*K330,2)</x:f>
        <x:v>5468.33</x:v>
      </x:c>
      <x:c r="O330" s="54" t="n">
        <x:f>ROUND(N330*(1-M330),2)</x:f>
        <x:v>4860.25</x:v>
      </x:c>
      <x:c r="P330" s="54" t="n">
        <x:f>ROUND(J330*L330,2)</x:f>
        <x:v>3263.82</x:v>
      </x:c>
      <x:c r="Q330" s="54" t="n">
        <x:f>ROUND(O330-P330,2)</x:f>
        <x:v>1596.43</x:v>
      </x:c>
      <x:c r="R330" s="55" t="n">
        <x:f>IF(O330=0,0,ROUND(Q330/O330,4))</x:f>
        <x:v>0.3285</x:v>
      </x:c>
      <x:c r="S330" s="53" t="n">
        <x:v>7</x:v>
      </x:c>
      <x:c r="T330" t="str">
        <x:v>Entregue</x:v>
      </x:c>
      <x:c r="U330" t="n">
        <x:v>2</x:v>
      </x:c>
      <x:c r="V330" t="str"/>
    </x:row>
    <x:row r="331">
      <x:c r="A331" s="52" t="n">
        <x:v>46200</x:v>
      </x:c>
      <x:c r="B331" t="str">
        <x:v>PED-100330</x:v>
      </x:c>
      <x:c r="C331" t="str">
        <x:v>Cliente 073</x:v>
      </x:c>
      <x:c r="D331" t="str">
        <x:v>MA</x:v>
      </x:c>
      <x:c r="E331" t="str">
        <x:v>Nordeste</x:v>
      </x:c>
      <x:c r="F331" t="str">
        <x:v>Marketplace</x:v>
      </x:c>
      <x:c r="G331" t="str">
        <x:v>Escritório</x:v>
      </x:c>
      <x:c r="H331" t="str">
        <x:v>Cadeira Ergonômica</x:v>
      </x:c>
      <x:c r="I331" t="str">
        <x:v>Bruno</x:v>
      </x:c>
      <x:c r="J331" s="53" t="n">
        <x:v>6</x:v>
      </x:c>
      <x:c r="K331" s="54" t="n">
        <x:v>2068.65</x:v>
      </x:c>
      <x:c r="L331" s="54" t="n">
        <x:v>1415.89</x:v>
      </x:c>
      <x:c r="M331" s="55" t="n">
        <x:v>0.0397</x:v>
      </x:c>
      <x:c r="N331" s="54" t="n">
        <x:f>ROUND(J331*K331,2)</x:f>
        <x:v>12411.9</x:v>
      </x:c>
      <x:c r="O331" s="54" t="n">
        <x:f>ROUND(N331*(1-M331),2)</x:f>
        <x:v>11919.15</x:v>
      </x:c>
      <x:c r="P331" s="54" t="n">
        <x:f>ROUND(J331*L331,2)</x:f>
        <x:v>8495.34</x:v>
      </x:c>
      <x:c r="Q331" s="54" t="n">
        <x:f>ROUND(O331-P331,2)</x:f>
        <x:v>3423.81</x:v>
      </x:c>
      <x:c r="R331" s="55" t="n">
        <x:f>IF(O331=0,0,ROUND(Q331/O331,4))</x:f>
        <x:v>0.2873</x:v>
      </x:c>
      <x:c r="S331" s="53" t="n">
        <x:v>11</x:v>
      </x:c>
      <x:c r="T331" t="str">
        <x:v>Entregue com atraso</x:v>
      </x:c>
      <x:c r="U331" t="n">
        <x:v>3</x:v>
      </x:c>
      <x:c r="V331" t="str"/>
    </x:row>
    <x:row r="332">
      <x:c r="A332" s="52" t="n">
        <x:v>46074</x:v>
      </x:c>
      <x:c r="B332" t="str">
        <x:v>PED-100331</x:v>
      </x:c>
      <x:c r="C332" t="str">
        <x:v>Cliente 012</x:v>
      </x:c>
      <x:c r="D332" t="str">
        <x:v>DF</x:v>
      </x:c>
      <x:c r="E332" t="str">
        <x:v>Centro-Oeste</x:v>
      </x:c>
      <x:c r="F332" t="str">
        <x:v>Marketplace</x:v>
      </x:c>
      <x:c r="G332" t="str">
        <x:v>Escritório</x:v>
      </x:c>
      <x:c r="H332" t="str">
        <x:v>Mesa Ajustável</x:v>
      </x:c>
      <x:c r="I332" t="str">
        <x:v>Isabela</x:v>
      </x:c>
      <x:c r="J332" s="53" t="n">
        <x:v>4</x:v>
      </x:c>
      <x:c r="K332" s="54" t="n">
        <x:v>2717.11</x:v>
      </x:c>
      <x:c r="L332" s="54" t="n">
        <x:v>1802.49</x:v>
      </x:c>
      <x:c r="M332" s="55" t="n">
        <x:v>0.1177</x:v>
      </x:c>
      <x:c r="N332" s="54" t="n">
        <x:f>ROUND(J332*K332,2)</x:f>
        <x:v>10868.44</x:v>
      </x:c>
      <x:c r="O332" s="54" t="n">
        <x:f>ROUND(N332*(1-M332),2)</x:f>
        <x:v>9589.22</x:v>
      </x:c>
      <x:c r="P332" s="54" t="n">
        <x:f>ROUND(J332*L332,2)</x:f>
        <x:v>7209.96</x:v>
      </x:c>
      <x:c r="Q332" s="54" t="n">
        <x:f>ROUND(O332-P332,2)</x:f>
        <x:v>2379.26</x:v>
      </x:c>
      <x:c r="R332" s="55" t="n">
        <x:f>IF(O332=0,0,ROUND(Q332/O332,4))</x:f>
        <x:v>0.2481</x:v>
      </x:c>
      <x:c r="S332" s="53" t="n">
        <x:v>3</x:v>
      </x:c>
      <x:c r="T332" t="str">
        <x:v>Entregue</x:v>
      </x:c>
      <x:c r="U332" t="n">
        <x:v>2</x:v>
      </x:c>
      <x:c r="V332" t="str"/>
    </x:row>
    <x:row r="333">
      <x:c r="A333" s="52" t="n">
        <x:v>46225</x:v>
      </x:c>
      <x:c r="B333" t="str">
        <x:v>PED-100332</x:v>
      </x:c>
      <x:c r="C333" t="str">
        <x:v>Cliente 068</x:v>
      </x:c>
      <x:c r="D333" t="str">
        <x:v>PE</x:v>
      </x:c>
      <x:c r="E333" t="str">
        <x:v>Nordeste</x:v>
      </x:c>
      <x:c r="F333" t="str">
        <x:v>E-commerce</x:v>
      </x:c>
      <x:c r="G333" t="str">
        <x:v>Acessórios</x:v>
      </x:c>
      <x:c r="H333" t="str">
        <x:v>Mochila Executiva</x:v>
      </x:c>
      <x:c r="I333" t="str">
        <x:v>Ana</x:v>
      </x:c>
      <x:c r="J333" s="53" t="n">
        <x:v>3</x:v>
      </x:c>
      <x:c r="K333" s="54" t="n">
        <x:v>426.72</x:v>
      </x:c>
      <x:c r="L333" s="54" t="n">
        <x:v>203.54</x:v>
      </x:c>
      <x:c r="M333" s="55" t="n">
        <x:v>0.0052</x:v>
      </x:c>
      <x:c r="N333" s="54" t="n">
        <x:f>ROUND(J333*K333,2)</x:f>
        <x:v>1280.16</x:v>
      </x:c>
      <x:c r="O333" s="54" t="n">
        <x:f>ROUND(N333*(1-M333),2)</x:f>
        <x:v>1273.5</x:v>
      </x:c>
      <x:c r="P333" s="54" t="n">
        <x:f>ROUND(J333*L333,2)</x:f>
        <x:v>610.62</x:v>
      </x:c>
      <x:c r="Q333" s="54" t="n">
        <x:f>ROUND(O333-P333,2)</x:f>
        <x:v>662.88</x:v>
      </x:c>
      <x:c r="R333" s="55" t="n">
        <x:f>IF(O333=0,0,ROUND(Q333/O333,4))</x:f>
        <x:v>0.5205</x:v>
      </x:c>
      <x:c r="S333" s="53" t="n">
        <x:v>5</x:v>
      </x:c>
      <x:c r="T333" t="str">
        <x:v>Entregue</x:v>
      </x:c>
      <x:c r="U333" t="n">
        <x:v>2</x:v>
      </x:c>
      <x:c r="V333" t="str"/>
    </x:row>
    <x:row r="334">
      <x:c r="A334" s="52" t="n">
        <x:v>46051</x:v>
      </x:c>
      <x:c r="B334" t="str">
        <x:v>PED-100333</x:v>
      </x:c>
      <x:c r="C334" t="str">
        <x:v>Cliente 017</x:v>
      </x:c>
      <x:c r="D334" t="str">
        <x:v>ES</x:v>
      </x:c>
      <x:c r="E334" t="str">
        <x:v>Sudeste</x:v>
      </x:c>
      <x:c r="F334" t="str">
        <x:v>Marketplace</x:v>
      </x:c>
      <x:c r="G334" t="str">
        <x:v>Acessórios</x:v>
      </x:c>
      <x:c r="H334" t="str">
        <x:v>Hub USB-C</x:v>
      </x:c>
      <x:c r="I334" t="str">
        <x:v>Isabela</x:v>
      </x:c>
      <x:c r="J334" s="53" t="n">
        <x:v>8</x:v>
      </x:c>
      <x:c r="K334" s="54" t="n">
        <x:v>336.66</x:v>
      </x:c>
      <x:c r="L334" s="54" t="n">
        <x:v>130.5</x:v>
      </x:c>
      <x:c r="M334" s="55" t="n">
        <x:v>0.1616</x:v>
      </x:c>
      <x:c r="N334" s="54" t="n">
        <x:f>ROUND(J334*K334,2)</x:f>
        <x:v>2693.28</x:v>
      </x:c>
      <x:c r="O334" s="54" t="n">
        <x:f>ROUND(N334*(1-M334),2)</x:f>
        <x:v>2258.05</x:v>
      </x:c>
      <x:c r="P334" s="54" t="n">
        <x:f>ROUND(J334*L334,2)</x:f>
        <x:v>1044</x:v>
      </x:c>
      <x:c r="Q334" s="54" t="n">
        <x:f>ROUND(O334-P334,2)</x:f>
        <x:v>1214.05</x:v>
      </x:c>
      <x:c r="R334" s="55" t="n">
        <x:f>IF(O334=0,0,ROUND(Q334/O334,4))</x:f>
        <x:v>0.5377</x:v>
      </x:c>
      <x:c r="S334" s="53" t="n">
        <x:v>11</x:v>
      </x:c>
      <x:c r="T334" t="str">
        <x:v>Entregue com atraso</x:v>
      </x:c>
      <x:c r="U334" t="n">
        <x:v>4</x:v>
      </x:c>
      <x:c r="V334" t="str"/>
    </x:row>
    <x:row r="335">
      <x:c r="A335" s="52" t="n">
        <x:v>46229</x:v>
      </x:c>
      <x:c r="B335" t="str">
        <x:v>PED-100334</x:v>
      </x:c>
      <x:c r="C335" t="str">
        <x:v>Cliente 023</x:v>
      </x:c>
      <x:c r="D335" t="str">
        <x:v>RS</x:v>
      </x:c>
      <x:c r="E335" t="str">
        <x:v>Sul</x:v>
      </x:c>
      <x:c r="F335" t="str">
        <x:v>E-commerce</x:v>
      </x:c>
      <x:c r="G335" t="str">
        <x:v>Casa</x:v>
      </x:c>
      <x:c r="H335" t="str">
        <x:v>Aspirador Robô</x:v>
      </x:c>
      <x:c r="I335" t="str">
        <x:v>Isabela</x:v>
      </x:c>
      <x:c r="J335" s="53" t="n">
        <x:v>4</x:v>
      </x:c>
      <x:c r="K335" s="54" t="n">
        <x:v>1788.63</x:v>
      </x:c>
      <x:c r="L335" s="54" t="n">
        <x:v>1218.85</x:v>
      </x:c>
      <x:c r="M335" s="55" t="n">
        <x:v>0.0405</x:v>
      </x:c>
      <x:c r="N335" s="54" t="n">
        <x:f>ROUND(J335*K335,2)</x:f>
        <x:v>7154.52</x:v>
      </x:c>
      <x:c r="O335" s="54" t="n">
        <x:f>ROUND(N335*(1-M335),2)</x:f>
        <x:v>6864.76</x:v>
      </x:c>
      <x:c r="P335" s="54" t="n">
        <x:f>ROUND(J335*L335,2)</x:f>
        <x:v>4875.4</x:v>
      </x:c>
      <x:c r="Q335" s="54" t="n">
        <x:f>ROUND(O335-P335,2)</x:f>
        <x:v>1989.36</x:v>
      </x:c>
      <x:c r="R335" s="55" t="n">
        <x:f>IF(O335=0,0,ROUND(Q335/O335,4))</x:f>
        <x:v>0.2898</x:v>
      </x:c>
      <x:c r="S335" s="53" t="n">
        <x:v>11</x:v>
      </x:c>
      <x:c r="T335" t="str">
        <x:v>Entregue com atraso</x:v>
      </x:c>
      <x:c r="U335" t="n">
        <x:v>5</x:v>
      </x:c>
      <x:c r="V335" t="str"/>
    </x:row>
    <x:row r="336">
      <x:c r="A336" s="52" t="n">
        <x:v>46156</x:v>
      </x:c>
      <x:c r="B336" t="str">
        <x:v>PED-100335</x:v>
      </x:c>
      <x:c r="C336" t="str">
        <x:v>Cliente 020</x:v>
      </x:c>
      <x:c r="D336" t="str">
        <x:v>DF</x:v>
      </x:c>
      <x:c r="E336" t="str">
        <x:v>Centro-Oeste</x:v>
      </x:c>
      <x:c r="F336" t="str">
        <x:v>E-commerce</x:v>
      </x:c>
      <x:c r="G336" t="str">
        <x:v>Acessórios</x:v>
      </x:c>
      <x:c r="H336" t="str">
        <x:v>Mochila Executiva</x:v>
      </x:c>
      <x:c r="I336" t="str">
        <x:v>Gabriela</x:v>
      </x:c>
      <x:c r="J336" s="53" t="n">
        <x:v>2</x:v>
      </x:c>
      <x:c r="K336" s="54" t="n">
        <x:v>437.87</x:v>
      </x:c>
      <x:c r="L336" s="54" t="n">
        <x:v>192.29</x:v>
      </x:c>
      <x:c r="M336" s="55" t="n">
        <x:v>0.0818</x:v>
      </x:c>
      <x:c r="N336" s="54" t="n">
        <x:f>ROUND(J336*K336,2)</x:f>
        <x:v>875.74</x:v>
      </x:c>
      <x:c r="O336" s="54" t="n">
        <x:f>ROUND(N336*(1-M336),2)</x:f>
        <x:v>804.1</x:v>
      </x:c>
      <x:c r="P336" s="54" t="n">
        <x:f>ROUND(J336*L336,2)</x:f>
        <x:v>384.58</x:v>
      </x:c>
      <x:c r="Q336" s="54" t="n">
        <x:f>ROUND(O336-P336,2)</x:f>
        <x:v>419.52</x:v>
      </x:c>
      <x:c r="R336" s="55" t="n">
        <x:f>IF(O336=0,0,ROUND(Q336/O336,4))</x:f>
        <x:v>0.5217</x:v>
      </x:c>
      <x:c r="S336" s="53" t="n">
        <x:v>11</x:v>
      </x:c>
      <x:c r="T336" t="str">
        <x:v>Entregue com atraso</x:v>
      </x:c>
      <x:c r="U336" t="n">
        <x:v>5</x:v>
      </x:c>
      <x:c r="V336" t="str"/>
    </x:row>
    <x:row r="337">
      <x:c r="A337" s="52" t="n">
        <x:v>46234</x:v>
      </x:c>
      <x:c r="B337" t="str">
        <x:v>PED-100336</x:v>
      </x:c>
      <x:c r="C337" t="str">
        <x:v>Cliente 018</x:v>
      </x:c>
      <x:c r="D337" t="str">
        <x:v>MT</x:v>
      </x:c>
      <x:c r="E337" t="str">
        <x:v>Centro-Oeste</x:v>
      </x:c>
      <x:c r="F337" t="str">
        <x:v>Televendas</x:v>
      </x:c>
      <x:c r="G337" t="str">
        <x:v>Acessórios</x:v>
      </x:c>
      <x:c r="H337" t="str">
        <x:v>Hub USB-C</x:v>
      </x:c>
      <x:c r="I337" t="str">
        <x:v>Elaine</x:v>
      </x:c>
      <x:c r="J337" s="53" t="n">
        <x:v>5</x:v>
      </x:c>
      <x:c r="K337" s="54" t="n">
        <x:v>333.08</x:v>
      </x:c>
      <x:c r="L337" s="54" t="n">
        <x:v>131.26</x:v>
      </x:c>
      <x:c r="M337" s="55" t="n">
        <x:v>0</x:v>
      </x:c>
      <x:c r="N337" s="54" t="n">
        <x:f>ROUND(J337*K337,2)</x:f>
        <x:v>1665.4</x:v>
      </x:c>
      <x:c r="O337" s="54" t="n">
        <x:f>ROUND(N337*(1-M337),2)</x:f>
        <x:v>1665.4</x:v>
      </x:c>
      <x:c r="P337" s="54" t="n">
        <x:f>ROUND(J337*L337,2)</x:f>
        <x:v>656.3</x:v>
      </x:c>
      <x:c r="Q337" s="54" t="n">
        <x:f>ROUND(O337-P337,2)</x:f>
        <x:v>1009.1</x:v>
      </x:c>
      <x:c r="R337" s="55" t="n">
        <x:f>IF(O337=0,0,ROUND(Q337/O337,4))</x:f>
        <x:v>0.6059</x:v>
      </x:c>
      <x:c r="S337" s="53" t="n">
        <x:v>12</x:v>
      </x:c>
      <x:c r="T337" t="str">
        <x:v>Entregue com atraso</x:v>
      </x:c>
      <x:c r="U337" t="n">
        <x:v>3</x:v>
      </x:c>
      <x:c r="V337" t="str"/>
    </x:row>
    <x:row r="338">
      <x:c r="A338" s="52" t="n">
        <x:v>46195</x:v>
      </x:c>
      <x:c r="B338" t="str">
        <x:v>PED-100337</x:v>
      </x:c>
      <x:c r="C338" t="str">
        <x:v>Cliente 090</x:v>
      </x:c>
      <x:c r="D338" t="str">
        <x:v>MA</x:v>
      </x:c>
      <x:c r="E338" t="str">
        <x:v>Nordeste</x:v>
      </x:c>
      <x:c r="F338" t="str">
        <x:v>Televendas</x:v>
      </x:c>
      <x:c r="G338" t="str">
        <x:v>Escritório</x:v>
      </x:c>
      <x:c r="H338" t="str">
        <x:v>Luminária LED</x:v>
      </x:c>
      <x:c r="I338" t="str">
        <x:v>João</x:v>
      </x:c>
      <x:c r="J338" s="53" t="n">
        <x:v>3</x:v>
      </x:c>
      <x:c r="K338" s="54" t="n">
        <x:v>247.83</x:v>
      </x:c>
      <x:c r="L338" s="54" t="n">
        <x:v>120.27</x:v>
      </x:c>
      <x:c r="M338" s="55" t="n">
        <x:v>0.0597</x:v>
      </x:c>
      <x:c r="N338" s="54" t="n">
        <x:f>ROUND(J338*K338,2)</x:f>
        <x:v>743.49</x:v>
      </x:c>
      <x:c r="O338" s="54" t="n">
        <x:f>ROUND(N338*(1-M338),2)</x:f>
        <x:v>699.1</x:v>
      </x:c>
      <x:c r="P338" s="54" t="n">
        <x:f>ROUND(J338*L338,2)</x:f>
        <x:v>360.81</x:v>
      </x:c>
      <x:c r="Q338" s="54" t="n">
        <x:f>ROUND(O338-P338,2)</x:f>
        <x:v>338.29</x:v>
      </x:c>
      <x:c r="R338" s="55" t="n">
        <x:f>IF(O338=0,0,ROUND(Q338/O338,4))</x:f>
        <x:v>0.4839</x:v>
      </x:c>
      <x:c r="S338" s="53" t="n">
        <x:v>3</x:v>
      </x:c>
      <x:c r="T338" t="str">
        <x:v>Entregue</x:v>
      </x:c>
      <x:c r="U338" t="n">
        <x:v>3</x:v>
      </x:c>
      <x:c r="V338" t="str"/>
    </x:row>
    <x:row r="339">
      <x:c r="A339" s="52" t="n">
        <x:v>46173</x:v>
      </x:c>
      <x:c r="B339" t="str">
        <x:v>PED-100338</x:v>
      </x:c>
      <x:c r="C339" t="str">
        <x:v>Cliente 034</x:v>
      </x:c>
      <x:c r="D339" t="str">
        <x:v>PR</x:v>
      </x:c>
      <x:c r="E339" t="str">
        <x:v>Sul</x:v>
      </x:c>
      <x:c r="F339" t="str">
        <x:v>Loja</x:v>
      </x:c>
      <x:c r="G339" t="str">
        <x:v>Casa</x:v>
      </x:c>
      <x:c r="H339" t="str">
        <x:v>Aspirador Robô</x:v>
      </x:c>
      <x:c r="I339" t="str">
        <x:v>Isabela</x:v>
      </x:c>
      <x:c r="J339" s="53" t="n">
        <x:v>1</x:v>
      </x:c>
      <x:c r="K339" s="54" t="n">
        <x:v>1943.56</x:v>
      </x:c>
      <x:c r="L339" s="54" t="n">
        <x:v>1149.53</x:v>
      </x:c>
      <x:c r="M339" s="55" t="n">
        <x:v>0</x:v>
      </x:c>
      <x:c r="N339" s="54" t="n">
        <x:f>ROUND(J339*K339,2)</x:f>
        <x:v>1943.56</x:v>
      </x:c>
      <x:c r="O339" s="54" t="n">
        <x:f>ROUND(N339*(1-M339),2)</x:f>
        <x:v>1943.56</x:v>
      </x:c>
      <x:c r="P339" s="54" t="n">
        <x:f>ROUND(J339*L339,2)</x:f>
        <x:v>1149.53</x:v>
      </x:c>
      <x:c r="Q339" s="54" t="n">
        <x:f>ROUND(O339-P339,2)</x:f>
        <x:v>794.03</x:v>
      </x:c>
      <x:c r="R339" s="55" t="n">
        <x:f>IF(O339=0,0,ROUND(Q339/O339,4))</x:f>
        <x:v>0.4085</x:v>
      </x:c>
      <x:c r="S339" s="53" t="n">
        <x:v>4</x:v>
      </x:c>
      <x:c r="T339" t="str">
        <x:v>Entregue</x:v>
      </x:c>
      <x:c r="U339" t="n">
        <x:v>3</x:v>
      </x:c>
      <x:c r="V339" t="str"/>
    </x:row>
    <x:row r="340">
      <x:c r="A340" s="52" t="n">
        <x:v>46150</x:v>
      </x:c>
      <x:c r="B340" t="str">
        <x:v>PED-100339</x:v>
      </x:c>
      <x:c r="C340" t="str">
        <x:v>Cliente 043</x:v>
      </x:c>
      <x:c r="D340" t="str">
        <x:v>MA</x:v>
      </x:c>
      <x:c r="E340" t="str">
        <x:v>Nordeste</x:v>
      </x:c>
      <x:c r="F340" t="str">
        <x:v>Loja</x:v>
      </x:c>
      <x:c r="G340" t="str">
        <x:v>Casa</x:v>
      </x:c>
      <x:c r="H340" t="str">
        <x:v>Cafeteira Smart</x:v>
      </x:c>
      <x:c r="I340" t="str">
        <x:v>João</x:v>
      </x:c>
      <x:c r="J340" s="53" t="n">
        <x:v>5</x:v>
      </x:c>
      <x:c r="K340" s="54" t="n">
        <x:v>756.13</x:v>
      </x:c>
      <x:c r="L340" s="54" t="n">
        <x:v>457.29</x:v>
      </x:c>
      <x:c r="M340" s="55" t="n">
        <x:v>0</x:v>
      </x:c>
      <x:c r="N340" s="54" t="n">
        <x:f>ROUND(J340*K340,2)</x:f>
        <x:v>3780.65</x:v>
      </x:c>
      <x:c r="O340" s="54" t="n">
        <x:f>ROUND(N340*(1-M340),2)</x:f>
        <x:v>3780.65</x:v>
      </x:c>
      <x:c r="P340" s="54" t="n">
        <x:f>ROUND(J340*L340,2)</x:f>
        <x:v>2286.45</x:v>
      </x:c>
      <x:c r="Q340" s="54" t="n">
        <x:f>ROUND(O340-P340,2)</x:f>
        <x:v>1494.2</x:v>
      </x:c>
      <x:c r="R340" s="55" t="n">
        <x:f>IF(O340=0,0,ROUND(Q340/O340,4))</x:f>
        <x:v>0.3952</x:v>
      </x:c>
      <x:c r="S340" s="53" t="n">
        <x:v>10</x:v>
      </x:c>
      <x:c r="T340" t="str">
        <x:v>Entregue</x:v>
      </x:c>
      <x:c r="U340" t="n">
        <x:v>5</x:v>
      </x:c>
      <x:c r="V340" t="str"/>
    </x:row>
    <x:row r="341">
      <x:c r="A341" s="52" t="n">
        <x:v>46148</x:v>
      </x:c>
      <x:c r="B341" t="str">
        <x:v>PED-100340</x:v>
      </x:c>
      <x:c r="C341" t="str">
        <x:v>Cliente 011</x:v>
      </x:c>
      <x:c r="D341" t="str">
        <x:v>ES</x:v>
      </x:c>
      <x:c r="E341" t="str">
        <x:v>Sudeste</x:v>
      </x:c>
      <x:c r="F341" t="str">
        <x:v>Televendas</x:v>
      </x:c>
      <x:c r="G341" t="str">
        <x:v>Tecnologia</x:v>
      </x:c>
      <x:c r="H341" t="str">
        <x:v>Monitor 27</x:v>
      </x:c>
      <x:c r="I341" t="str">
        <x:v>Elaine</x:v>
      </x:c>
      <x:c r="J341" s="53" t="n">
        <x:v>3</x:v>
      </x:c>
      <x:c r="K341" s="54" t="n">
        <x:v>1708.93</x:v>
      </x:c>
      <x:c r="L341" s="54" t="n">
        <x:v>1046.19</x:v>
      </x:c>
      <x:c r="M341" s="55" t="n">
        <x:v>0.1078</x:v>
      </x:c>
      <x:c r="N341" s="54" t="n">
        <x:f>ROUND(J341*K341,2)</x:f>
        <x:v>5126.79</x:v>
      </x:c>
      <x:c r="O341" s="54" t="n">
        <x:f>ROUND(N341*(1-M341),2)</x:f>
        <x:v>4574.12</x:v>
      </x:c>
      <x:c r="P341" s="54" t="n">
        <x:f>ROUND(J341*L341,2)</x:f>
        <x:v>3138.57</x:v>
      </x:c>
      <x:c r="Q341" s="54" t="n">
        <x:f>ROUND(O341-P341,2)</x:f>
        <x:v>1435.55</x:v>
      </x:c>
      <x:c r="R341" s="55" t="n">
        <x:f>IF(O341=0,0,ROUND(Q341/O341,4))</x:f>
        <x:v>0.3138</x:v>
      </x:c>
      <x:c r="S341" s="53" t="n">
        <x:v>7</x:v>
      </x:c>
      <x:c r="T341" t="str">
        <x:v>Entregue</x:v>
      </x:c>
      <x:c r="U341" t="n">
        <x:v>2</x:v>
      </x:c>
      <x:c r="V341" t="str"/>
    </x:row>
    <x:row r="342">
      <x:c r="A342" s="52" t="n">
        <x:v>46212</x:v>
      </x:c>
      <x:c r="B342" t="str">
        <x:v>PED-100341</x:v>
      </x:c>
      <x:c r="C342" t="str">
        <x:v>Cliente 017</x:v>
      </x:c>
      <x:c r="D342" t="str">
        <x:v>RJ</x:v>
      </x:c>
      <x:c r="E342" t="str">
        <x:v>Sudeste</x:v>
      </x:c>
      <x:c r="F342" t="str">
        <x:v>Loja</x:v>
      </x:c>
      <x:c r="G342" t="str">
        <x:v>Escritório</x:v>
      </x:c>
      <x:c r="H342" t="str">
        <x:v>Mesa Ajustável</x:v>
      </x:c>
      <x:c r="I342" t="str">
        <x:v>Gabriela</x:v>
      </x:c>
      <x:c r="J342" s="53" t="n">
        <x:v>2</x:v>
      </x:c>
      <x:c r="K342" s="54" t="n">
        <x:v>2866.82</x:v>
      </x:c>
      <x:c r="L342" s="54" t="n">
        <x:v>1884.46</x:v>
      </x:c>
      <x:c r="M342" s="55" t="n">
        <x:v>0</x:v>
      </x:c>
      <x:c r="N342" s="54" t="n">
        <x:f>ROUND(J342*K342,2)</x:f>
        <x:v>5733.64</x:v>
      </x:c>
      <x:c r="O342" s="54" t="n">
        <x:f>ROUND(N342*(1-M342),2)</x:f>
        <x:v>5733.64</x:v>
      </x:c>
      <x:c r="P342" s="54" t="n">
        <x:f>ROUND(J342*L342,2)</x:f>
        <x:v>3768.92</x:v>
      </x:c>
      <x:c r="Q342" s="54" t="n">
        <x:f>ROUND(O342-P342,2)</x:f>
        <x:v>1964.72</x:v>
      </x:c>
      <x:c r="R342" s="55" t="n">
        <x:f>IF(O342=0,0,ROUND(Q342/O342,4))</x:f>
        <x:v>0.3427</x:v>
      </x:c>
      <x:c r="S342" s="53" t="n">
        <x:v>5</x:v>
      </x:c>
      <x:c r="T342" t="str">
        <x:v>Entregue</x:v>
      </x:c>
      <x:c r="U342" t="n">
        <x:v>4</x:v>
      </x:c>
      <x:c r="V342" t="str"/>
    </x:row>
    <x:row r="343">
      <x:c r="A343" s="52" t="n">
        <x:v>46024</x:v>
      </x:c>
      <x:c r="B343" t="str">
        <x:v>PED-100342</x:v>
      </x:c>
      <x:c r="C343" t="str">
        <x:v>Cliente 038</x:v>
      </x:c>
      <x:c r="D343" t="str">
        <x:v>GO</x:v>
      </x:c>
      <x:c r="E343" t="str">
        <x:v>Centro-Oeste</x:v>
      </x:c>
      <x:c r="F343" t="str">
        <x:v>Televendas</x:v>
      </x:c>
      <x:c r="G343" t="str">
        <x:v>Casa</x:v>
      </x:c>
      <x:c r="H343" t="str">
        <x:v>Cafeteira Smart</x:v>
      </x:c>
      <x:c r="I343" t="str">
        <x:v>Diego</x:v>
      </x:c>
      <x:c r="J343" s="53" t="n">
        <x:v>2</x:v>
      </x:c>
      <x:c r="K343" s="54" t="n">
        <x:v>809.38</x:v>
      </x:c>
      <x:c r="L343" s="54" t="n">
        <x:v>474.04</x:v>
      </x:c>
      <x:c r="M343" s="55" t="n">
        <x:v>0.0113</x:v>
      </x:c>
      <x:c r="N343" s="54" t="n">
        <x:f>ROUND(J343*K343,2)</x:f>
        <x:v>1618.76</x:v>
      </x:c>
      <x:c r="O343" s="54" t="n">
        <x:f>ROUND(N343*(1-M343),2)</x:f>
        <x:v>1600.47</x:v>
      </x:c>
      <x:c r="P343" s="54" t="n">
        <x:f>ROUND(J343*L343,2)</x:f>
        <x:v>948.08</x:v>
      </x:c>
      <x:c r="Q343" s="54" t="n">
        <x:f>ROUND(O343-P343,2)</x:f>
        <x:v>652.39</x:v>
      </x:c>
      <x:c r="R343" s="55" t="n">
        <x:f>IF(O343=0,0,ROUND(Q343/O343,4))</x:f>
        <x:v>0.4076</x:v>
      </x:c>
      <x:c r="S343" s="53" t="n">
        <x:v>3</x:v>
      </x:c>
      <x:c r="T343" t="str">
        <x:v>Entregue</x:v>
      </x:c>
      <x:c r="U343" t="n">
        <x:v>5</x:v>
      </x:c>
      <x:c r="V343" t="str"/>
    </x:row>
    <x:row r="344">
      <x:c r="A344" s="52" t="n">
        <x:v>46109</x:v>
      </x:c>
      <x:c r="B344" t="str">
        <x:v>PED-100343</x:v>
      </x:c>
      <x:c r="C344" t="str">
        <x:v>Cliente 065</x:v>
      </x:c>
      <x:c r="D344" t="str">
        <x:v>CE</x:v>
      </x:c>
      <x:c r="E344" t="str">
        <x:v>Nordeste</x:v>
      </x:c>
      <x:c r="F344" t="str">
        <x:v>Loja</x:v>
      </x:c>
      <x:c r="G344" t="str">
        <x:v>Acessórios</x:v>
      </x:c>
      <x:c r="H344" t="str">
        <x:v>Hub USB-C</x:v>
      </x:c>
      <x:c r="I344" t="str">
        <x:v>Felipe</x:v>
      </x:c>
      <x:c r="J344" s="53" t="n">
        <x:v>3</x:v>
      </x:c>
      <x:c r="K344" s="54" t="n">
        <x:v>321.08</x:v>
      </x:c>
      <x:c r="L344" s="54" t="n">
        <x:v>145.07</x:v>
      </x:c>
      <x:c r="M344" s="55" t="n">
        <x:v>0.0196</x:v>
      </x:c>
      <x:c r="N344" s="54" t="n">
        <x:f>ROUND(J344*K344,2)</x:f>
        <x:v>963.24</x:v>
      </x:c>
      <x:c r="O344" s="54" t="n">
        <x:f>ROUND(N344*(1-M344),2)</x:f>
        <x:v>944.36</x:v>
      </x:c>
      <x:c r="P344" s="54" t="n">
        <x:f>ROUND(J344*L344,2)</x:f>
        <x:v>435.21</x:v>
      </x:c>
      <x:c r="Q344" s="54" t="n">
        <x:f>ROUND(O344-P344,2)</x:f>
        <x:v>509.15</x:v>
      </x:c>
      <x:c r="R344" s="55" t="n">
        <x:f>IF(O344=0,0,ROUND(Q344/O344,4))</x:f>
        <x:v>0.5391</x:v>
      </x:c>
      <x:c r="S344" s="53" t="n">
        <x:v>10</x:v>
      </x:c>
      <x:c r="T344" t="str">
        <x:v>Entregue</x:v>
      </x:c>
      <x:c r="U344" t="n">
        <x:v>5</x:v>
      </x:c>
      <x:c r="V344" t="str"/>
    </x:row>
    <x:row r="345">
      <x:c r="A345" s="52" t="n">
        <x:v>46115</x:v>
      </x:c>
      <x:c r="B345" t="str">
        <x:v>PED-100344</x:v>
      </x:c>
      <x:c r="C345" t="str">
        <x:v>Cliente 053</x:v>
      </x:c>
      <x:c r="D345" t="str">
        <x:v>RJ</x:v>
      </x:c>
      <x:c r="E345" t="str">
        <x:v>Sudeste</x:v>
      </x:c>
      <x:c r="F345" t="str">
        <x:v>Marketplace</x:v>
      </x:c>
      <x:c r="G345" t="str">
        <x:v>Casa</x:v>
      </x:c>
      <x:c r="H345" t="str">
        <x:v>Aspirador Robô</x:v>
      </x:c>
      <x:c r="I345" t="str">
        <x:v>Felipe</x:v>
      </x:c>
      <x:c r="J345" s="53" t="n">
        <x:v>3</x:v>
      </x:c>
      <x:c r="K345" s="54" t="n">
        <x:v>1951.02</x:v>
      </x:c>
      <x:c r="L345" s="54" t="n">
        <x:v>1172.58</x:v>
      </x:c>
      <x:c r="M345" s="55" t="n">
        <x:v>0.0943</x:v>
      </x:c>
      <x:c r="N345" s="54" t="n">
        <x:f>ROUND(J345*K345,2)</x:f>
        <x:v>5853.06</x:v>
      </x:c>
      <x:c r="O345" s="54" t="n">
        <x:f>ROUND(N345*(1-M345),2)</x:f>
        <x:v>5301.12</x:v>
      </x:c>
      <x:c r="P345" s="54" t="n">
        <x:f>ROUND(J345*L345,2)</x:f>
        <x:v>3517.74</x:v>
      </x:c>
      <x:c r="Q345" s="54" t="n">
        <x:f>ROUND(O345-P345,2)</x:f>
        <x:v>1783.38</x:v>
      </x:c>
      <x:c r="R345" s="55" t="n">
        <x:f>IF(O345=0,0,ROUND(Q345/O345,4))</x:f>
        <x:v>0.3364</x:v>
      </x:c>
      <x:c r="S345" s="53" t="n">
        <x:v>4</x:v>
      </x:c>
      <x:c r="T345" t="str">
        <x:v>Entregue</x:v>
      </x:c>
      <x:c r="U345" t="n">
        <x:v>4</x:v>
      </x:c>
      <x:c r="V345" t="str"/>
    </x:row>
    <x:row r="346">
      <x:c r="A346" s="52" t="n">
        <x:v>46129</x:v>
      </x:c>
      <x:c r="B346" t="str">
        <x:v>PED-100345</x:v>
      </x:c>
      <x:c r="C346" t="str">
        <x:v>Cliente 055</x:v>
      </x:c>
      <x:c r="D346" t="str">
        <x:v>DF</x:v>
      </x:c>
      <x:c r="E346" t="str">
        <x:v>Centro-Oeste</x:v>
      </x:c>
      <x:c r="F346" t="str">
        <x:v>E-commerce</x:v>
      </x:c>
      <x:c r="G346" t="str">
        <x:v>Acessórios</x:v>
      </x:c>
      <x:c r="H346" t="str">
        <x:v>Hub USB-C</x:v>
      </x:c>
      <x:c r="I346" t="str">
        <x:v>Elaine</x:v>
      </x:c>
      <x:c r="J346" s="53" t="n">
        <x:v>3</x:v>
      </x:c>
      <x:c r="K346" s="54" t="n">
        <x:v>302.42</x:v>
      </x:c>
      <x:c r="L346" s="54" t="n">
        <x:v>136.36</x:v>
      </x:c>
      <x:c r="M346" s="55" t="n">
        <x:v>0</x:v>
      </x:c>
      <x:c r="N346" s="54" t="n">
        <x:f>ROUND(J346*K346,2)</x:f>
        <x:v>907.26</x:v>
      </x:c>
      <x:c r="O346" s="54" t="n">
        <x:f>ROUND(N346*(1-M346),2)</x:f>
        <x:v>907.26</x:v>
      </x:c>
      <x:c r="P346" s="54" t="n">
        <x:f>ROUND(J346*L346,2)</x:f>
        <x:v>409.08</x:v>
      </x:c>
      <x:c r="Q346" s="54" t="n">
        <x:f>ROUND(O346-P346,2)</x:f>
        <x:v>498.18</x:v>
      </x:c>
      <x:c r="R346" s="55" t="n">
        <x:f>IF(O346=0,0,ROUND(Q346/O346,4))</x:f>
        <x:v>0.5491</x:v>
      </x:c>
      <x:c r="S346" s="53" t="n">
        <x:v>13</x:v>
      </x:c>
      <x:c r="T346" t="str">
        <x:v>Entregue com atraso</x:v>
      </x:c>
      <x:c r="U346" t="n">
        <x:v>4</x:v>
      </x:c>
      <x:c r="V346" t="str"/>
    </x:row>
    <x:row r="347">
      <x:c r="A347" s="52" t="n">
        <x:v>46137</x:v>
      </x:c>
      <x:c r="B347" t="str">
        <x:v>PED-100346</x:v>
      </x:c>
      <x:c r="C347" t="str">
        <x:v>Cliente 061</x:v>
      </x:c>
      <x:c r="D347" t="str">
        <x:v>MG</x:v>
      </x:c>
      <x:c r="E347" t="str">
        <x:v>Sudeste</x:v>
      </x:c>
      <x:c r="F347" t="str">
        <x:v>Televendas</x:v>
      </x:c>
      <x:c r="G347" t="str">
        <x:v>Casa</x:v>
      </x:c>
      <x:c r="H347" t="str">
        <x:v>Purificador</x:v>
      </x:c>
      <x:c r="I347" t="str">
        <x:v>Elaine</x:v>
      </x:c>
      <x:c r="J347" s="53" t="n">
        <x:v>8</x:v>
      </x:c>
      <x:c r="K347" s="54" t="n">
        <x:v>1286.18</x:v>
      </x:c>
      <x:c r="L347" s="54" t="n">
        <x:v>782.83</x:v>
      </x:c>
      <x:c r="M347" s="55" t="n">
        <x:v>0.0294</x:v>
      </x:c>
      <x:c r="N347" s="54" t="n">
        <x:f>ROUND(J347*K347,2)</x:f>
        <x:v>10289.44</x:v>
      </x:c>
      <x:c r="O347" s="54" t="n">
        <x:f>ROUND(N347*(1-M347),2)</x:f>
        <x:v>9986.93</x:v>
      </x:c>
      <x:c r="P347" s="54" t="n">
        <x:f>ROUND(J347*L347,2)</x:f>
        <x:v>6262.64</x:v>
      </x:c>
      <x:c r="Q347" s="54" t="n">
        <x:f>ROUND(O347-P347,2)</x:f>
        <x:v>3724.29</x:v>
      </x:c>
      <x:c r="R347" s="55" t="n">
        <x:f>IF(O347=0,0,ROUND(Q347/O347,4))</x:f>
        <x:v>0.3729</x:v>
      </x:c>
      <x:c r="S347" s="53" t="n">
        <x:v>8</x:v>
      </x:c>
      <x:c r="T347" t="str">
        <x:v>Entregue</x:v>
      </x:c>
      <x:c r="U347" t="n">
        <x:v>2</x:v>
      </x:c>
      <x:c r="V347" t="str"/>
    </x:row>
    <x:row r="348">
      <x:c r="A348" s="52" t="n">
        <x:v>46122</x:v>
      </x:c>
      <x:c r="B348" t="str">
        <x:v>PED-100347</x:v>
      </x:c>
      <x:c r="C348" t="str">
        <x:v>Cliente 036</x:v>
      </x:c>
      <x:c r="D348" t="str">
        <x:v>SC</x:v>
      </x:c>
      <x:c r="E348" t="str">
        <x:v>Sul</x:v>
      </x:c>
      <x:c r="F348" t="str">
        <x:v>Marketplace</x:v>
      </x:c>
      <x:c r="G348" t="str">
        <x:v>Tecnologia</x:v>
      </x:c>
      <x:c r="H348" t="str">
        <x:v>Notebook Pro</x:v>
      </x:c>
      <x:c r="I348" t="str">
        <x:v>Henrique</x:v>
      </x:c>
      <x:c r="J348" s="53" t="n">
        <x:v>3</x:v>
      </x:c>
      <x:c r="K348" s="54" t="n">
        <x:v>5960.58</x:v>
      </x:c>
      <x:c r="L348" s="54" t="n">
        <x:v>4360.8</x:v>
      </x:c>
      <x:c r="M348" s="55" t="n">
        <x:v>0.0907</x:v>
      </x:c>
      <x:c r="N348" s="54" t="n">
        <x:f>ROUND(J348*K348,2)</x:f>
        <x:v>17881.74</x:v>
      </x:c>
      <x:c r="O348" s="54" t="n">
        <x:f>ROUND(N348*(1-M348),2)</x:f>
        <x:v>16259.87</x:v>
      </x:c>
      <x:c r="P348" s="54" t="n">
        <x:f>ROUND(J348*L348,2)</x:f>
        <x:v>13082.4</x:v>
      </x:c>
      <x:c r="Q348" s="54" t="n">
        <x:f>ROUND(O348-P348,2)</x:f>
        <x:v>3177.47</x:v>
      </x:c>
      <x:c r="R348" s="55" t="n">
        <x:f>IF(O348=0,0,ROUND(Q348/O348,4))</x:f>
        <x:v>0.1954</x:v>
      </x:c>
      <x:c r="S348" s="53" t="n">
        <x:v>10</x:v>
      </x:c>
      <x:c r="T348" t="str">
        <x:v>Entregue</x:v>
      </x:c>
      <x:c r="U348" t="n">
        <x:v>2</x:v>
      </x:c>
      <x:c r="V348" t="str"/>
    </x:row>
    <x:row r="349">
      <x:c r="A349" s="52" t="n">
        <x:v>46159</x:v>
      </x:c>
      <x:c r="B349" t="str">
        <x:v>PED-100348</x:v>
      </x:c>
      <x:c r="C349" t="str">
        <x:v>Cliente 108</x:v>
      </x:c>
      <x:c r="D349" t="str">
        <x:v>CE</x:v>
      </x:c>
      <x:c r="E349" t="str">
        <x:v>Nordeste</x:v>
      </x:c>
      <x:c r="F349" t="str">
        <x:v>E-commerce</x:v>
      </x:c>
      <x:c r="G349" t="str">
        <x:v>Tecnologia</x:v>
      </x:c>
      <x:c r="H349" t="str">
        <x:v>Notebook Pro</x:v>
      </x:c>
      <x:c r="I349" t="str">
        <x:v>Bruno</x:v>
      </x:c>
      <x:c r="J349" s="53" t="n">
        <x:v>8</x:v>
      </x:c>
      <x:c r="K349" s="54" t="n">
        <x:v>5879.79</x:v>
      </x:c>
      <x:c r="L349" s="54" t="n">
        <x:v>4438.42</x:v>
      </x:c>
      <x:c r="M349" s="55" t="n">
        <x:v>0</x:v>
      </x:c>
      <x:c r="N349" s="54" t="n">
        <x:f>ROUND(J349*K349,2)</x:f>
        <x:v>47038.32</x:v>
      </x:c>
      <x:c r="O349" s="54" t="n">
        <x:f>ROUND(N349*(1-M349),2)</x:f>
        <x:v>47038.32</x:v>
      </x:c>
      <x:c r="P349" s="54" t="n">
        <x:f>ROUND(J349*L349,2)</x:f>
        <x:v>35507.36</x:v>
      </x:c>
      <x:c r="Q349" s="54" t="n">
        <x:f>ROUND(O349-P349,2)</x:f>
        <x:v>11530.96</x:v>
      </x:c>
      <x:c r="R349" s="55" t="n">
        <x:f>IF(O349=0,0,ROUND(Q349/O349,4))</x:f>
        <x:v>0.2451</x:v>
      </x:c>
      <x:c r="S349" s="53" t="n">
        <x:v>2</x:v>
      </x:c>
      <x:c r="T349" t="str">
        <x:v>Entregue</x:v>
      </x:c>
      <x:c r="U349" t="n">
        <x:v>5</x:v>
      </x:c>
      <x:c r="V349" t="str"/>
    </x:row>
    <x:row r="350">
      <x:c r="A350" s="52" t="n">
        <x:v>46190</x:v>
      </x:c>
      <x:c r="B350" t="str">
        <x:v>PED-100349</x:v>
      </x:c>
      <x:c r="C350" t="str">
        <x:v>Cliente 046</x:v>
      </x:c>
      <x:c r="D350" t="str">
        <x:v>MA</x:v>
      </x:c>
      <x:c r="E350" t="str">
        <x:v>Nordeste</x:v>
      </x:c>
      <x:c r="F350" t="str">
        <x:v>Televendas</x:v>
      </x:c>
      <x:c r="G350" t="str">
        <x:v>Tecnologia</x:v>
      </x:c>
      <x:c r="H350" t="str">
        <x:v>Notebook Pro</x:v>
      </x:c>
      <x:c r="I350" t="str">
        <x:v>Isabela</x:v>
      </x:c>
      <x:c r="J350" s="53" t="n">
        <x:v>1</x:v>
      </x:c>
      <x:c r="K350" s="54" t="n">
        <x:v>5835.21</x:v>
      </x:c>
      <x:c r="L350" s="54" t="n">
        <x:v>4394.45</x:v>
      </x:c>
      <x:c r="M350" s="55" t="n">
        <x:v>0.0116</x:v>
      </x:c>
      <x:c r="N350" s="54" t="n">
        <x:f>ROUND(J350*K350,2)</x:f>
        <x:v>5835.21</x:v>
      </x:c>
      <x:c r="O350" s="54" t="n">
        <x:f>ROUND(N350*(1-M350),2)</x:f>
        <x:v>5767.52</x:v>
      </x:c>
      <x:c r="P350" s="54" t="n">
        <x:f>ROUND(J350*L350,2)</x:f>
        <x:v>4394.45</x:v>
      </x:c>
      <x:c r="Q350" s="54" t="n">
        <x:f>ROUND(O350-P350,2)</x:f>
        <x:v>1373.07</x:v>
      </x:c>
      <x:c r="R350" s="55" t="n">
        <x:f>IF(O350=0,0,ROUND(Q350/O350,4))</x:f>
        <x:v>0.2381</x:v>
      </x:c>
      <x:c r="S350" s="53" t="n">
        <x:v>11</x:v>
      </x:c>
      <x:c r="T350" t="str">
        <x:v>Entregue com atraso</x:v>
      </x:c>
      <x:c r="U350" t="n">
        <x:v>3</x:v>
      </x:c>
      <x:c r="V350" t="str"/>
    </x:row>
    <x:row r="351">
      <x:c r="A351" s="52" t="n">
        <x:v>46102</x:v>
      </x:c>
      <x:c r="B351" t="str">
        <x:v>PED-100350</x:v>
      </x:c>
      <x:c r="C351" t="str">
        <x:v>Cliente 042</x:v>
      </x:c>
      <x:c r="D351" t="str">
        <x:v>PE</x:v>
      </x:c>
      <x:c r="E351" t="str">
        <x:v>Nordeste</x:v>
      </x:c>
      <x:c r="F351" t="str">
        <x:v>E-commerce</x:v>
      </x:c>
      <x:c r="G351" t="str">
        <x:v>Acessórios</x:v>
      </x:c>
      <x:c r="H351" t="str">
        <x:v>Hub USB-C</x:v>
      </x:c>
      <x:c r="I351" t="str">
        <x:v>Henrique</x:v>
      </x:c>
      <x:c r="J351" s="53" t="n">
        <x:v>5</x:v>
      </x:c>
      <x:c r="K351" s="54" t="n">
        <x:v>320.77</x:v>
      </x:c>
      <x:c r="L351" s="54" t="n">
        <x:v>143.35</x:v>
      </x:c>
      <x:c r="M351" s="55" t="n">
        <x:v>0</x:v>
      </x:c>
      <x:c r="N351" s="54" t="n">
        <x:f>ROUND(J351*K351,2)</x:f>
        <x:v>1603.85</x:v>
      </x:c>
      <x:c r="O351" s="54" t="n">
        <x:f>ROUND(N351*(1-M351),2)</x:f>
        <x:v>1603.85</x:v>
      </x:c>
      <x:c r="P351" s="54" t="n">
        <x:f>ROUND(J351*L351,2)</x:f>
        <x:v>716.75</x:v>
      </x:c>
      <x:c r="Q351" s="54" t="n">
        <x:f>ROUND(O351-P351,2)</x:f>
        <x:v>887.1</x:v>
      </x:c>
      <x:c r="R351" s="55" t="n">
        <x:f>IF(O351=0,0,ROUND(Q351/O351,4))</x:f>
        <x:v>0.5531</x:v>
      </x:c>
      <x:c r="S351" s="53" t="n">
        <x:v>11</x:v>
      </x:c>
      <x:c r="T351" t="str">
        <x:v>Entregue com atraso</x:v>
      </x:c>
      <x:c r="U351" t="n">
        <x:v>4</x:v>
      </x:c>
      <x:c r="V351" t="str"/>
    </x:row>
    <x:row r="352">
      <x:c r="A352" s="52" t="n">
        <x:v>46205</x:v>
      </x:c>
      <x:c r="B352" t="str">
        <x:v>PED-100351</x:v>
      </x:c>
      <x:c r="C352" t="str">
        <x:v>Cliente 034</x:v>
      </x:c>
      <x:c r="D352" t="str">
        <x:v>PR</x:v>
      </x:c>
      <x:c r="E352" t="str">
        <x:v>Sul</x:v>
      </x:c>
      <x:c r="F352" t="str">
        <x:v>Marketplace</x:v>
      </x:c>
      <x:c r="G352" t="str">
        <x:v>Tecnologia</x:v>
      </x:c>
      <x:c r="H352" t="str">
        <x:v>Notebook Pro</x:v>
      </x:c>
      <x:c r="I352" t="str">
        <x:v>Elaine</x:v>
      </x:c>
      <x:c r="J352" s="53" t="n">
        <x:v>7</x:v>
      </x:c>
      <x:c r="K352" s="54" t="n">
        <x:v>6063.96</x:v>
      </x:c>
      <x:c r="L352" s="54" t="n">
        <x:v>4522.72</x:v>
      </x:c>
      <x:c r="M352" s="55" t="n">
        <x:v>0.0671</x:v>
      </x:c>
      <x:c r="N352" s="54" t="n">
        <x:f>ROUND(J352*K352,2)</x:f>
        <x:v>42447.72</x:v>
      </x:c>
      <x:c r="O352" s="54" t="n">
        <x:f>ROUND(N352*(1-M352),2)</x:f>
        <x:v>39599.48</x:v>
      </x:c>
      <x:c r="P352" s="54" t="n">
        <x:f>ROUND(J352*L352,2)</x:f>
        <x:v>31659.04</x:v>
      </x:c>
      <x:c r="Q352" s="54" t="n">
        <x:f>ROUND(O352-P352,2)</x:f>
        <x:v>7940.44</x:v>
      </x:c>
      <x:c r="R352" s="55" t="n">
        <x:f>IF(O352=0,0,ROUND(Q352/O352,4))</x:f>
        <x:v>0.2005</x:v>
      </x:c>
      <x:c r="S352" s="53" t="n">
        <x:v>9</x:v>
      </x:c>
      <x:c r="T352" t="str">
        <x:v>Entregue</x:v>
      </x:c>
      <x:c r="U352" t="n">
        <x:v>4</x:v>
      </x:c>
      <x:c r="V352" t="str"/>
    </x:row>
    <x:row r="353">
      <x:c r="A353" s="52" t="n">
        <x:v>46048</x:v>
      </x:c>
      <x:c r="B353" t="str">
        <x:v>PED-100352</x:v>
      </x:c>
      <x:c r="C353" t="str">
        <x:v>Cliente 003</x:v>
      </x:c>
      <x:c r="D353" t="str">
        <x:v>CE</x:v>
      </x:c>
      <x:c r="E353" t="str">
        <x:v>Nordeste</x:v>
      </x:c>
      <x:c r="F353" t="str">
        <x:v>E-commerce</x:v>
      </x:c>
      <x:c r="G353" t="str">
        <x:v>Tecnologia</x:v>
      </x:c>
      <x:c r="H353" t="str">
        <x:v>Monitor 27</x:v>
      </x:c>
      <x:c r="I353" t="str">
        <x:v>Felipe</x:v>
      </x:c>
      <x:c r="J353" s="53" t="n">
        <x:v>4</x:v>
      </x:c>
      <x:c r="K353" s="54" t="n">
        <x:v>1721.92</x:v>
      </x:c>
      <x:c r="L353" s="54" t="n">
        <x:v>1159.82</x:v>
      </x:c>
      <x:c r="M353" s="55" t="n">
        <x:v>0</x:v>
      </x:c>
      <x:c r="N353" s="54" t="n">
        <x:f>ROUND(J353*K353,2)</x:f>
        <x:v>6887.68</x:v>
      </x:c>
      <x:c r="O353" s="54" t="n">
        <x:f>ROUND(N353*(1-M353),2)</x:f>
        <x:v>6887.68</x:v>
      </x:c>
      <x:c r="P353" s="54" t="n">
        <x:f>ROUND(J353*L353,2)</x:f>
        <x:v>4639.28</x:v>
      </x:c>
      <x:c r="Q353" s="54" t="n">
        <x:f>ROUND(O353-P353,2)</x:f>
        <x:v>2248.4</x:v>
      </x:c>
      <x:c r="R353" s="55" t="n">
        <x:f>IF(O353=0,0,ROUND(Q353/O353,4))</x:f>
        <x:v>0.3264</x:v>
      </x:c>
      <x:c r="S353" s="53" t="n">
        <x:v>3</x:v>
      </x:c>
      <x:c r="T353" t="str">
        <x:v>Entregue</x:v>
      </x:c>
      <x:c r="U353" t="n">
        <x:v>5</x:v>
      </x:c>
      <x:c r="V353" t="str"/>
    </x:row>
    <x:row r="354">
      <x:c r="A354" s="52" t="n">
        <x:v>46045</x:v>
      </x:c>
      <x:c r="B354" t="str">
        <x:v>PED-100353</x:v>
      </x:c>
      <x:c r="C354" t="str">
        <x:v>Cliente 116</x:v>
      </x:c>
      <x:c r="D354" t="str">
        <x:v>SC</x:v>
      </x:c>
      <x:c r="E354" t="str">
        <x:v>Sul</x:v>
      </x:c>
      <x:c r="F354" t="str">
        <x:v>Televendas</x:v>
      </x:c>
      <x:c r="G354" t="str">
        <x:v>Casa</x:v>
      </x:c>
      <x:c r="H354" t="str">
        <x:v>Cafeteira Smart</x:v>
      </x:c>
      <x:c r="I354" t="str">
        <x:v>Bruno</x:v>
      </x:c>
      <x:c r="J354" s="53" t="n">
        <x:v>1</x:v>
      </x:c>
      <x:c r="K354" s="54" t="n">
        <x:v>822.07</x:v>
      </x:c>
      <x:c r="L354" s="54" t="n">
        <x:v>473.45</x:v>
      </x:c>
      <x:c r="M354" s="55" t="n">
        <x:v>0.1219</x:v>
      </x:c>
      <x:c r="N354" s="54" t="n">
        <x:f>ROUND(J354*K354,2)</x:f>
        <x:v>822.07</x:v>
      </x:c>
      <x:c r="O354" s="54" t="n">
        <x:f>ROUND(N354*(1-M354),2)</x:f>
        <x:v>721.86</x:v>
      </x:c>
      <x:c r="P354" s="54" t="n">
        <x:f>ROUND(J354*L354,2)</x:f>
        <x:v>473.45</x:v>
      </x:c>
      <x:c r="Q354" s="54" t="n">
        <x:f>ROUND(O354-P354,2)</x:f>
        <x:v>248.41</x:v>
      </x:c>
      <x:c r="R354" s="55" t="n">
        <x:f>IF(O354=0,0,ROUND(Q354/O354,4))</x:f>
        <x:v>0.3441</x:v>
      </x:c>
      <x:c r="S354" s="53" t="n">
        <x:v>7</x:v>
      </x:c>
      <x:c r="T354" t="str">
        <x:v>Entregue</x:v>
      </x:c>
      <x:c r="U354" t="n">
        <x:v>2</x:v>
      </x:c>
      <x:c r="V354" t="str"/>
    </x:row>
    <x:row r="355">
      <x:c r="A355" s="52" t="n">
        <x:v>46170</x:v>
      </x:c>
      <x:c r="B355" t="str">
        <x:v>PED-100354</x:v>
      </x:c>
      <x:c r="C355" t="str">
        <x:v>Cliente 074</x:v>
      </x:c>
      <x:c r="D355" t="str">
        <x:v>RJ</x:v>
      </x:c>
      <x:c r="E355" t="str">
        <x:v>Sudeste</x:v>
      </x:c>
      <x:c r="F355" t="str">
        <x:v>Loja</x:v>
      </x:c>
      <x:c r="G355" t="str">
        <x:v>Casa</x:v>
      </x:c>
      <x:c r="H355" t="str">
        <x:v>Cafeteira Smart</x:v>
      </x:c>
      <x:c r="I355" t="str">
        <x:v>Diego</x:v>
      </x:c>
      <x:c r="J355" s="53" t="n">
        <x:v>2</x:v>
      </x:c>
      <x:c r="K355" s="54" t="n">
        <x:v>816.04</x:v>
      </x:c>
      <x:c r="L355" s="54" t="n">
        <x:v>471.87</x:v>
      </x:c>
      <x:c r="M355" s="55" t="n">
        <x:v>0</x:v>
      </x:c>
      <x:c r="N355" s="54" t="n">
        <x:f>ROUND(J355*K355,2)</x:f>
        <x:v>1632.08</x:v>
      </x:c>
      <x:c r="O355" s="54" t="n">
        <x:f>ROUND(N355*(1-M355),2)</x:f>
        <x:v>1632.08</x:v>
      </x:c>
      <x:c r="P355" s="54" t="n">
        <x:f>ROUND(J355*L355,2)</x:f>
        <x:v>943.74</x:v>
      </x:c>
      <x:c r="Q355" s="54" t="n">
        <x:f>ROUND(O355-P355,2)</x:f>
        <x:v>688.34</x:v>
      </x:c>
      <x:c r="R355" s="55" t="n">
        <x:f>IF(O355=0,0,ROUND(Q355/O355,4))</x:f>
        <x:v>0.4218</x:v>
      </x:c>
      <x:c r="S355" s="53" t="n">
        <x:v>9</x:v>
      </x:c>
      <x:c r="T355" t="str">
        <x:v>Entregue</x:v>
      </x:c>
      <x:c r="U355" t="n">
        <x:v>4</x:v>
      </x:c>
      <x:c r="V355" t="str"/>
    </x:row>
    <x:row r="356">
      <x:c r="A356" s="52" t="n">
        <x:v>46105</x:v>
      </x:c>
      <x:c r="B356" t="str">
        <x:v>PED-100355</x:v>
      </x:c>
      <x:c r="C356" t="str">
        <x:v>Cliente 060</x:v>
      </x:c>
      <x:c r="D356" t="str">
        <x:v>DF</x:v>
      </x:c>
      <x:c r="E356" t="str">
        <x:v>Centro-Oeste</x:v>
      </x:c>
      <x:c r="F356" t="str">
        <x:v>Loja</x:v>
      </x:c>
      <x:c r="G356" t="str">
        <x:v>Escritório</x:v>
      </x:c>
      <x:c r="H356" t="str">
        <x:v>Cadeira Ergonômica</x:v>
      </x:c>
      <x:c r="I356" t="str">
        <x:v>Ana</x:v>
      </x:c>
      <x:c r="J356" s="53" t="n">
        <x:v>1</x:v>
      </x:c>
      <x:c r="K356" s="54" t="n">
        <x:v>2286.51</x:v>
      </x:c>
      <x:c r="L356" s="54" t="n">
        <x:v>1418.69</x:v>
      </x:c>
      <x:c r="M356" s="55" t="n">
        <x:v>0.0936</x:v>
      </x:c>
      <x:c r="N356" s="54" t="n">
        <x:f>ROUND(J356*K356,2)</x:f>
        <x:v>2286.51</x:v>
      </x:c>
      <x:c r="O356" s="54" t="n">
        <x:f>ROUND(N356*(1-M356),2)</x:f>
        <x:v>2072.49</x:v>
      </x:c>
      <x:c r="P356" s="54" t="n">
        <x:f>ROUND(J356*L356,2)</x:f>
        <x:v>1418.69</x:v>
      </x:c>
      <x:c r="Q356" s="54" t="n">
        <x:f>ROUND(O356-P356,2)</x:f>
        <x:v>653.8</x:v>
      </x:c>
      <x:c r="R356" s="55" t="n">
        <x:f>IF(O356=0,0,ROUND(Q356/O356,4))</x:f>
        <x:v>0.3155</x:v>
      </x:c>
      <x:c r="S356" s="53" t="n">
        <x:v>14</x:v>
      </x:c>
      <x:c r="T356" t="str">
        <x:v>Entregue com atraso</x:v>
      </x:c>
      <x:c r="U356" t="n">
        <x:v>2</x:v>
      </x:c>
      <x:c r="V356" t="str"/>
    </x:row>
    <x:row r="357">
      <x:c r="A357" s="52" t="n">
        <x:v>46060</x:v>
      </x:c>
      <x:c r="B357" t="str">
        <x:v>PED-100356</x:v>
      </x:c>
      <x:c r="C357" t="str">
        <x:v>Cliente 016</x:v>
      </x:c>
      <x:c r="D357" t="str">
        <x:v>PE</x:v>
      </x:c>
      <x:c r="E357" t="str">
        <x:v>Nordeste</x:v>
      </x:c>
      <x:c r="F357" t="str">
        <x:v>Televendas</x:v>
      </x:c>
      <x:c r="G357" t="str">
        <x:v>Escritório</x:v>
      </x:c>
      <x:c r="H357" t="str">
        <x:v>Luminária LED</x:v>
      </x:c>
      <x:c r="I357" t="str">
        <x:v>Carla</x:v>
      </x:c>
      <x:c r="J357" s="53" t="n">
        <x:v>8</x:v>
      </x:c>
      <x:c r="K357" s="54" t="n">
        <x:v>248.18</x:v>
      </x:c>
      <x:c r="L357" s="54" t="n">
        <x:v>122.97</x:v>
      </x:c>
      <x:c r="M357" s="55" t="n">
        <x:v>0</x:v>
      </x:c>
      <x:c r="N357" s="54" t="n">
        <x:f>ROUND(J357*K357,2)</x:f>
        <x:v>1985.44</x:v>
      </x:c>
      <x:c r="O357" s="54" t="n">
        <x:f>ROUND(N357*(1-M357),2)</x:f>
        <x:v>1985.44</x:v>
      </x:c>
      <x:c r="P357" s="54" t="n">
        <x:f>ROUND(J357*L357,2)</x:f>
        <x:v>983.76</x:v>
      </x:c>
      <x:c r="Q357" s="54" t="n">
        <x:f>ROUND(O357-P357,2)</x:f>
        <x:v>1001.68</x:v>
      </x:c>
      <x:c r="R357" s="55" t="n">
        <x:f>IF(O357=0,0,ROUND(Q357/O357,4))</x:f>
        <x:v>0.5045</x:v>
      </x:c>
      <x:c r="S357" s="53" t="n">
        <x:v>3</x:v>
      </x:c>
      <x:c r="T357" t="str">
        <x:v>Entregue</x:v>
      </x:c>
      <x:c r="U357" t="n">
        <x:v>4</x:v>
      </x:c>
      <x:c r="V357" t="str"/>
    </x:row>
    <x:row r="358">
      <x:c r="A358" s="52" t="n">
        <x:v>46142</x:v>
      </x:c>
      <x:c r="B358" t="str">
        <x:v>PED-100357</x:v>
      </x:c>
      <x:c r="C358" t="str">
        <x:v>Cliente 103</x:v>
      </x:c>
      <x:c r="D358" t="str">
        <x:v>RS</x:v>
      </x:c>
      <x:c r="E358" t="str">
        <x:v>Sul</x:v>
      </x:c>
      <x:c r="F358" t="str">
        <x:v>Televendas</x:v>
      </x:c>
      <x:c r="G358" t="str">
        <x:v>Acessórios</x:v>
      </x:c>
      <x:c r="H358" t="str">
        <x:v>Webcam HD</x:v>
      </x:c>
      <x:c r="I358" t="str">
        <x:v>Isabela</x:v>
      </x:c>
      <x:c r="J358" s="53" t="n">
        <x:v>6</x:v>
      </x:c>
      <x:c r="K358" s="54" t="n">
        <x:v>502.5</x:v>
      </x:c>
      <x:c r="L358" s="54" t="n">
        <x:v>240.79</x:v>
      </x:c>
      <x:c r="M358" s="55" t="n">
        <x:v>0</x:v>
      </x:c>
      <x:c r="N358" s="54" t="n">
        <x:f>ROUND(J358*K358,2)</x:f>
        <x:v>3015</x:v>
      </x:c>
      <x:c r="O358" s="54" t="n">
        <x:f>ROUND(N358*(1-M358),2)</x:f>
        <x:v>3015</x:v>
      </x:c>
      <x:c r="P358" s="54" t="n">
        <x:f>ROUND(J358*L358,2)</x:f>
        <x:v>1444.74</x:v>
      </x:c>
      <x:c r="Q358" s="54" t="n">
        <x:f>ROUND(O358-P358,2)</x:f>
        <x:v>1570.26</x:v>
      </x:c>
      <x:c r="R358" s="55" t="n">
        <x:f>IF(O358=0,0,ROUND(Q358/O358,4))</x:f>
        <x:v>0.5208</x:v>
      </x:c>
      <x:c r="S358" s="53" t="n">
        <x:v>11</x:v>
      </x:c>
      <x:c r="T358" t="str">
        <x:v>Entregue com atraso</x:v>
      </x:c>
      <x:c r="U358" t="n">
        <x:v>3</x:v>
      </x:c>
      <x:c r="V358" t="str"/>
    </x:row>
    <x:row r="359">
      <x:c r="A359" s="52" t="n">
        <x:v>46049</x:v>
      </x:c>
      <x:c r="B359" t="str">
        <x:v>PED-100358</x:v>
      </x:c>
      <x:c r="C359" t="str">
        <x:v>Cliente 015</x:v>
      </x:c>
      <x:c r="D359" t="str">
        <x:v>RJ</x:v>
      </x:c>
      <x:c r="E359" t="str">
        <x:v>Sudeste</x:v>
      </x:c>
      <x:c r="F359" t="str">
        <x:v>Loja</x:v>
      </x:c>
      <x:c r="G359" t="str">
        <x:v>Casa</x:v>
      </x:c>
      <x:c r="H359" t="str">
        <x:v>Cafeteira Smart</x:v>
      </x:c>
      <x:c r="I359" t="str">
        <x:v>Bruno</x:v>
      </x:c>
      <x:c r="J359" s="53" t="n">
        <x:v>3</x:v>
      </x:c>
      <x:c r="K359" s="54" t="n">
        <x:v>742.8</x:v>
      </x:c>
      <x:c r="L359" s="54" t="n">
        <x:v>444.56</x:v>
      </x:c>
      <x:c r="M359" s="55" t="n">
        <x:v>0</x:v>
      </x:c>
      <x:c r="N359" s="54" t="n">
        <x:f>ROUND(J359*K359,2)</x:f>
        <x:v>2228.4</x:v>
      </x:c>
      <x:c r="O359" s="54" t="n">
        <x:f>ROUND(N359*(1-M359),2)</x:f>
        <x:v>2228.4</x:v>
      </x:c>
      <x:c r="P359" s="54" t="n">
        <x:f>ROUND(J359*L359,2)</x:f>
        <x:v>1333.68</x:v>
      </x:c>
      <x:c r="Q359" s="54" t="n">
        <x:f>ROUND(O359-P359,2)</x:f>
        <x:v>894.72</x:v>
      </x:c>
      <x:c r="R359" s="55" t="n">
        <x:f>IF(O359=0,0,ROUND(Q359/O359,4))</x:f>
        <x:v>0.4015</x:v>
      </x:c>
      <x:c r="S359" s="53" t="n">
        <x:v>7</x:v>
      </x:c>
      <x:c r="T359" t="str">
        <x:v>Entregue</x:v>
      </x:c>
      <x:c r="U359" t="n">
        <x:v>2</x:v>
      </x:c>
      <x:c r="V359" t="str"/>
    </x:row>
    <x:row r="360">
      <x:c r="A360" s="52" t="n">
        <x:v>46057</x:v>
      </x:c>
      <x:c r="B360" t="str">
        <x:v>PED-100359</x:v>
      </x:c>
      <x:c r="C360" t="str">
        <x:v>Cliente 095</x:v>
      </x:c>
      <x:c r="D360" t="str">
        <x:v>DF</x:v>
      </x:c>
      <x:c r="E360" t="str">
        <x:v>Centro-Oeste</x:v>
      </x:c>
      <x:c r="F360" t="str">
        <x:v>Loja</x:v>
      </x:c>
      <x:c r="G360" t="str">
        <x:v>Tecnologia</x:v>
      </x:c>
      <x:c r="H360" t="str">
        <x:v>Notebook Pro</x:v>
      </x:c>
      <x:c r="I360" t="str">
        <x:v>Isabela</x:v>
      </x:c>
      <x:c r="J360" s="53" t="n">
        <x:v>7</x:v>
      </x:c>
      <x:c r="K360" s="54" t="n">
        <x:v>5929.99</x:v>
      </x:c>
      <x:c r="L360" s="54" t="n">
        <x:v>4423.29</x:v>
      </x:c>
      <x:c r="M360" s="55" t="n">
        <x:v>0</x:v>
      </x:c>
      <x:c r="N360" s="54" t="n">
        <x:f>ROUND(J360*K360,2)</x:f>
        <x:v>41509.93</x:v>
      </x:c>
      <x:c r="O360" s="54" t="n">
        <x:f>ROUND(N360*(1-M360),2)</x:f>
        <x:v>41509.93</x:v>
      </x:c>
      <x:c r="P360" s="54" t="n">
        <x:f>ROUND(J360*L360,2)</x:f>
        <x:v>30963.03</x:v>
      </x:c>
      <x:c r="Q360" s="54" t="n">
        <x:f>ROUND(O360-P360,2)</x:f>
        <x:v>10546.9</x:v>
      </x:c>
      <x:c r="R360" s="55" t="n">
        <x:f>IF(O360=0,0,ROUND(Q360/O360,4))</x:f>
        <x:v>0.2541</x:v>
      </x:c>
      <x:c r="S360" s="53" t="n">
        <x:v>5</x:v>
      </x:c>
      <x:c r="T360" t="str">
        <x:v>Entregue</x:v>
      </x:c>
      <x:c r="U360" t="n">
        <x:v>3</x:v>
      </x:c>
      <x:c r="V360" t="str"/>
    </x:row>
    <x:row r="361">
      <x:c r="A361" s="52" t="n">
        <x:v>46198</x:v>
      </x:c>
      <x:c r="B361" t="str">
        <x:v>PED-100360</x:v>
      </x:c>
      <x:c r="C361" t="str">
        <x:v>Cliente 061</x:v>
      </x:c>
      <x:c r="D361" t="str">
        <x:v>MA</x:v>
      </x:c>
      <x:c r="E361" t="str">
        <x:v>Nordeste</x:v>
      </x:c>
      <x:c r="F361" t="str">
        <x:v>Marketplace</x:v>
      </x:c>
      <x:c r="G361" t="str">
        <x:v>Escritório</x:v>
      </x:c>
      <x:c r="H361" t="str">
        <x:v>Mesa Ajustável</x:v>
      </x:c>
      <x:c r="I361" t="str">
        <x:v>Henrique</x:v>
      </x:c>
      <x:c r="J361" s="53" t="n">
        <x:v>3</x:v>
      </x:c>
      <x:c r="K361" s="54" t="n">
        <x:v>2660.14</x:v>
      </x:c>
      <x:c r="L361" s="54" t="n">
        <x:v>1936.98</x:v>
      </x:c>
      <x:c r="M361" s="55" t="n">
        <x:v>0.1102</x:v>
      </x:c>
      <x:c r="N361" s="54" t="n">
        <x:f>ROUND(J361*K361,2)</x:f>
        <x:v>7980.42</x:v>
      </x:c>
      <x:c r="O361" s="54" t="n">
        <x:f>ROUND(N361*(1-M361),2)</x:f>
        <x:v>7100.98</x:v>
      </x:c>
      <x:c r="P361" s="54" t="n">
        <x:f>ROUND(J361*L361,2)</x:f>
        <x:v>5810.94</x:v>
      </x:c>
      <x:c r="Q361" s="54" t="n">
        <x:f>ROUND(O361-P361,2)</x:f>
        <x:v>1290.04</x:v>
      </x:c>
      <x:c r="R361" s="55" t="n">
        <x:f>IF(O361=0,0,ROUND(Q361/O361,4))</x:f>
        <x:v>0.1817</x:v>
      </x:c>
      <x:c r="S361" s="53" t="n">
        <x:v>11</x:v>
      </x:c>
      <x:c r="T361" t="str">
        <x:v>Entregue com atraso</x:v>
      </x:c>
      <x:c r="U361" t="n">
        <x:v>5</x:v>
      </x:c>
      <x:c r="V361" t="str"/>
    </x:row>
    <x:row r="362">
      <x:c r="A362" s="52" t="n">
        <x:v>46136</x:v>
      </x:c>
      <x:c r="B362" t="str">
        <x:v>PED-100361</x:v>
      </x:c>
      <x:c r="C362" t="str">
        <x:v>Cliente 074</x:v>
      </x:c>
      <x:c r="D362" t="str">
        <x:v>BA</x:v>
      </x:c>
      <x:c r="E362" t="str">
        <x:v>Nordeste</x:v>
      </x:c>
      <x:c r="F362" t="str">
        <x:v>Televendas</x:v>
      </x:c>
      <x:c r="G362" t="str">
        <x:v>Escritório</x:v>
      </x:c>
      <x:c r="H362" t="str">
        <x:v>Luminária LED</x:v>
      </x:c>
      <x:c r="I362" t="str">
        <x:v>Diego</x:v>
      </x:c>
      <x:c r="J362" s="53" t="n">
        <x:v>8</x:v>
      </x:c>
      <x:c r="K362" s="54" t="n">
        <x:v>252.09</x:v>
      </x:c>
      <x:c r="L362" s="54" t="n">
        <x:v>126.09</x:v>
      </x:c>
      <x:c r="M362" s="55" t="n">
        <x:v>0</x:v>
      </x:c>
      <x:c r="N362" s="54" t="n">
        <x:f>ROUND(J362*K362,2)</x:f>
        <x:v>2016.72</x:v>
      </x:c>
      <x:c r="O362" s="54" t="n">
        <x:f>ROUND(N362*(1-M362),2)</x:f>
        <x:v>2016.72</x:v>
      </x:c>
      <x:c r="P362" s="54" t="n">
        <x:f>ROUND(J362*L362,2)</x:f>
        <x:v>1008.72</x:v>
      </x:c>
      <x:c r="Q362" s="54" t="n">
        <x:f>ROUND(O362-P362,2)</x:f>
        <x:v>1008</x:v>
      </x:c>
      <x:c r="R362" s="55" t="n">
        <x:f>IF(O362=0,0,ROUND(Q362/O362,4))</x:f>
        <x:v>0.4998</x:v>
      </x:c>
      <x:c r="S362" s="53" t="n">
        <x:v>8</x:v>
      </x:c>
      <x:c r="T362" t="str">
        <x:v>Entregue</x:v>
      </x:c>
      <x:c r="U362" t="n">
        <x:v>5</x:v>
      </x:c>
      <x:c r="V362" t="str"/>
    </x:row>
    <x:row r="363">
      <x:c r="A363" s="52" t="n">
        <x:v>46163</x:v>
      </x:c>
      <x:c r="B363" t="str">
        <x:v>PED-100362</x:v>
      </x:c>
      <x:c r="C363" t="str">
        <x:v>Cliente 097</x:v>
      </x:c>
      <x:c r="D363" t="str">
        <x:v>PR</x:v>
      </x:c>
      <x:c r="E363" t="str">
        <x:v>Sul</x:v>
      </x:c>
      <x:c r="F363" t="str">
        <x:v>Marketplace</x:v>
      </x:c>
      <x:c r="G363" t="str">
        <x:v>Acessórios</x:v>
      </x:c>
      <x:c r="H363" t="str">
        <x:v>Webcam HD</x:v>
      </x:c>
      <x:c r="I363" t="str">
        <x:v>Elaine</x:v>
      </x:c>
      <x:c r="J363" s="53" t="n">
        <x:v>7</x:v>
      </x:c>
      <x:c r="K363" s="54" t="n">
        <x:v>486.06</x:v>
      </x:c>
      <x:c r="L363" s="54" t="n">
        <x:v>234.03</x:v>
      </x:c>
      <x:c r="M363" s="55" t="n">
        <x:v>0.1608</x:v>
      </x:c>
      <x:c r="N363" s="54" t="n">
        <x:f>ROUND(J363*K363,2)</x:f>
        <x:v>3402.42</x:v>
      </x:c>
      <x:c r="O363" s="54" t="n">
        <x:f>ROUND(N363*(1-M363),2)</x:f>
        <x:v>2855.31</x:v>
      </x:c>
      <x:c r="P363" s="54" t="n">
        <x:f>ROUND(J363*L363,2)</x:f>
        <x:v>1638.21</x:v>
      </x:c>
      <x:c r="Q363" s="54" t="n">
        <x:f>ROUND(O363-P363,2)</x:f>
        <x:v>1217.1</x:v>
      </x:c>
      <x:c r="R363" s="55" t="n">
        <x:f>IF(O363=0,0,ROUND(Q363/O363,4))</x:f>
        <x:v>0.4263</x:v>
      </x:c>
      <x:c r="S363" s="53" t="n">
        <x:v>12</x:v>
      </x:c>
      <x:c r="T363" t="str">
        <x:v>Entregue com atraso</x:v>
      </x:c>
      <x:c r="U363" t="n">
        <x:v>4</x:v>
      </x:c>
      <x:c r="V363" t="str"/>
    </x:row>
    <x:row r="364">
      <x:c r="A364" s="52" t="n">
        <x:v>46062</x:v>
      </x:c>
      <x:c r="B364" t="str">
        <x:v>PED-100363</x:v>
      </x:c>
      <x:c r="C364" t="str">
        <x:v>Cliente 088</x:v>
      </x:c>
      <x:c r="D364" t="str">
        <x:v>PR</x:v>
      </x:c>
      <x:c r="E364" t="str">
        <x:v>Sul</x:v>
      </x:c>
      <x:c r="F364" t="str">
        <x:v>Marketplace</x:v>
      </x:c>
      <x:c r="G364" t="str">
        <x:v>Acessórios</x:v>
      </x:c>
      <x:c r="H364" t="str">
        <x:v>Webcam HD</x:v>
      </x:c>
      <x:c r="I364" t="str">
        <x:v>Henrique</x:v>
      </x:c>
      <x:c r="J364" s="53" t="n">
        <x:v>8</x:v>
      </x:c>
      <x:c r="K364" s="54" t="n">
        <x:v>494.11</x:v>
      </x:c>
      <x:c r="L364" s="54" t="n">
        <x:v>249.91</x:v>
      </x:c>
      <x:c r="M364" s="55" t="n">
        <x:v>0.146</x:v>
      </x:c>
      <x:c r="N364" s="54" t="n">
        <x:f>ROUND(J364*K364,2)</x:f>
        <x:v>3952.88</x:v>
      </x:c>
      <x:c r="O364" s="54" t="n">
        <x:f>ROUND(N364*(1-M364),2)</x:f>
        <x:v>3375.76</x:v>
      </x:c>
      <x:c r="P364" s="54" t="n">
        <x:f>ROUND(J364*L364,2)</x:f>
        <x:v>1999.28</x:v>
      </x:c>
      <x:c r="Q364" s="54" t="n">
        <x:f>ROUND(O364-P364,2)</x:f>
        <x:v>1376.48</x:v>
      </x:c>
      <x:c r="R364" s="55" t="n">
        <x:f>IF(O364=0,0,ROUND(Q364/O364,4))</x:f>
        <x:v>0.4078</x:v>
      </x:c>
      <x:c r="S364" s="53" t="n">
        <x:v>5</x:v>
      </x:c>
      <x:c r="T364" t="str">
        <x:v>Entregue</x:v>
      </x:c>
      <x:c r="U364" t="n">
        <x:v>3</x:v>
      </x:c>
      <x:c r="V364" t="str"/>
    </x:row>
    <x:row r="365">
      <x:c r="A365" s="52" t="n">
        <x:v>46026</x:v>
      </x:c>
      <x:c r="B365" t="str">
        <x:v>PED-100364</x:v>
      </x:c>
      <x:c r="C365" t="str">
        <x:v>Cliente 105</x:v>
      </x:c>
      <x:c r="D365" t="str">
        <x:v>DF</x:v>
      </x:c>
      <x:c r="E365" t="str">
        <x:v>Centro-Oeste</x:v>
      </x:c>
      <x:c r="F365" t="str">
        <x:v>Marketplace</x:v>
      </x:c>
      <x:c r="G365" t="str">
        <x:v>Escritório</x:v>
      </x:c>
      <x:c r="H365" t="str">
        <x:v>Mesa Ajustável</x:v>
      </x:c>
      <x:c r="I365" t="str">
        <x:v>Henrique</x:v>
      </x:c>
      <x:c r="J365" s="53" t="n">
        <x:v>5</x:v>
      </x:c>
      <x:c r="K365" s="54" t="n">
        <x:v>2787.85</x:v>
      </x:c>
      <x:c r="L365" s="54" t="n">
        <x:v>1892.48</x:v>
      </x:c>
      <x:c r="M365" s="55" t="n">
        <x:v>0.1407</x:v>
      </x:c>
      <x:c r="N365" s="54" t="n">
        <x:f>ROUND(J365*K365,2)</x:f>
        <x:v>13939.25</x:v>
      </x:c>
      <x:c r="O365" s="54" t="n">
        <x:f>ROUND(N365*(1-M365),2)</x:f>
        <x:v>11978</x:v>
      </x:c>
      <x:c r="P365" s="54" t="n">
        <x:f>ROUND(J365*L365,2)</x:f>
        <x:v>9462.4</x:v>
      </x:c>
      <x:c r="Q365" s="54" t="n">
        <x:f>ROUND(O365-P365,2)</x:f>
        <x:v>2515.6</x:v>
      </x:c>
      <x:c r="R365" s="55" t="n">
        <x:f>IF(O365=0,0,ROUND(Q365/O365,4))</x:f>
        <x:v>0.21</x:v>
      </x:c>
      <x:c r="S365" s="53" t="n">
        <x:v>8</x:v>
      </x:c>
      <x:c r="T365" t="str">
        <x:v>Entregue</x:v>
      </x:c>
      <x:c r="U365" t="n">
        <x:v>3</x:v>
      </x:c>
      <x:c r="V365" t="str"/>
    </x:row>
    <x:row r="366">
      <x:c r="A366" s="52" t="n">
        <x:v>46053</x:v>
      </x:c>
      <x:c r="B366" t="str">
        <x:v>PED-100365</x:v>
      </x:c>
      <x:c r="C366" t="str">
        <x:v>Cliente 068</x:v>
      </x:c>
      <x:c r="D366" t="str">
        <x:v>PA</x:v>
      </x:c>
      <x:c r="E366" t="str">
        <x:v>Norte</x:v>
      </x:c>
      <x:c r="F366" t="str">
        <x:v>E-commerce</x:v>
      </x:c>
      <x:c r="G366" t="str">
        <x:v>Tecnologia</x:v>
      </x:c>
      <x:c r="H366" t="str">
        <x:v>Monitor 27</x:v>
      </x:c>
      <x:c r="I366" t="str">
        <x:v>Ana</x:v>
      </x:c>
      <x:c r="J366" s="53" t="n">
        <x:v>3</x:v>
      </x:c>
      <x:c r="K366" s="54" t="n">
        <x:v>1774.5</x:v>
      </x:c>
      <x:c r="L366" s="54" t="n">
        <x:v>1116.21</x:v>
      </x:c>
      <x:c r="M366" s="55" t="n">
        <x:v>0</x:v>
      </x:c>
      <x:c r="N366" s="54" t="n">
        <x:f>ROUND(J366*K366,2)</x:f>
        <x:v>5323.5</x:v>
      </x:c>
      <x:c r="O366" s="54" t="n">
        <x:f>ROUND(N366*(1-M366),2)</x:f>
        <x:v>5323.5</x:v>
      </x:c>
      <x:c r="P366" s="54" t="n">
        <x:f>ROUND(J366*L366,2)</x:f>
        <x:v>3348.63</x:v>
      </x:c>
      <x:c r="Q366" s="54" t="n">
        <x:f>ROUND(O366-P366,2)</x:f>
        <x:v>1974.87</x:v>
      </x:c>
      <x:c r="R366" s="55" t="n">
        <x:f>IF(O366=0,0,ROUND(Q366/O366,4))</x:f>
        <x:v>0.371</x:v>
      </x:c>
      <x:c r="S366" s="53" t="n">
        <x:v>3</x:v>
      </x:c>
      <x:c r="T366" t="str">
        <x:v>Entregue</x:v>
      </x:c>
      <x:c r="U366" t="n">
        <x:v>5</x:v>
      </x:c>
      <x:c r="V366" t="str"/>
    </x:row>
    <x:row r="367">
      <x:c r="A367" s="52" t="n">
        <x:v>46106</x:v>
      </x:c>
      <x:c r="B367" t="str">
        <x:v>PED-100366</x:v>
      </x:c>
      <x:c r="C367" t="str">
        <x:v>Cliente 026</x:v>
      </x:c>
      <x:c r="D367" t="str">
        <x:v>BA</x:v>
      </x:c>
      <x:c r="E367" t="str">
        <x:v>Nordeste</x:v>
      </x:c>
      <x:c r="F367" t="str">
        <x:v>Loja</x:v>
      </x:c>
      <x:c r="G367" t="str">
        <x:v>Tecnologia</x:v>
      </x:c>
      <x:c r="H367" t="str">
        <x:v>Headset Office</x:v>
      </x:c>
      <x:c r="I367" t="str">
        <x:v>João</x:v>
      </x:c>
      <x:c r="J367" s="53" t="n">
        <x:v>6</x:v>
      </x:c>
      <x:c r="K367" s="54" t="n">
        <x:v>406.3</x:v>
      </x:c>
      <x:c r="L367" s="54" t="n">
        <x:v>222.97</x:v>
      </x:c>
      <x:c r="M367" s="55" t="n">
        <x:v>0.1254</x:v>
      </x:c>
      <x:c r="N367" s="54" t="n">
        <x:f>ROUND(J367*K367,2)</x:f>
        <x:v>2437.8</x:v>
      </x:c>
      <x:c r="O367" s="54" t="n">
        <x:f>ROUND(N367*(1-M367),2)</x:f>
        <x:v>2132.1</x:v>
      </x:c>
      <x:c r="P367" s="54" t="n">
        <x:f>ROUND(J367*L367,2)</x:f>
        <x:v>1337.82</x:v>
      </x:c>
      <x:c r="Q367" s="54" t="n">
        <x:f>ROUND(O367-P367,2)</x:f>
        <x:v>794.28</x:v>
      </x:c>
      <x:c r="R367" s="55" t="n">
        <x:f>IF(O367=0,0,ROUND(Q367/O367,4))</x:f>
        <x:v>0.3725</x:v>
      </x:c>
      <x:c r="S367" s="53" t="n">
        <x:v>21</x:v>
      </x:c>
      <x:c r="T367" t="str">
        <x:v>Entregue com atraso</x:v>
      </x:c>
      <x:c r="U367" t="n">
        <x:v>1</x:v>
      </x:c>
      <x:c r="V367" t="str">
        <x:v>Ocorrência logística</x:v>
      </x:c>
    </x:row>
    <x:row r="368">
      <x:c r="A368" s="52" t="n">
        <x:v>46075</x:v>
      </x:c>
      <x:c r="B368" t="str">
        <x:v>PED-100367</x:v>
      </x:c>
      <x:c r="C368" t="str">
        <x:v>Cliente 016</x:v>
      </x:c>
      <x:c r="D368" t="str">
        <x:v>RJ</x:v>
      </x:c>
      <x:c r="E368" t="str">
        <x:v>Sudeste</x:v>
      </x:c>
      <x:c r="F368" t="str">
        <x:v>E-commerce</x:v>
      </x:c>
      <x:c r="G368" t="str">
        <x:v>Tecnologia</x:v>
      </x:c>
      <x:c r="H368" t="str">
        <x:v>Notebook Pro</x:v>
      </x:c>
      <x:c r="I368" t="str">
        <x:v>Diego</x:v>
      </x:c>
      <x:c r="J368" s="53" t="n">
        <x:v>2</x:v>
      </x:c>
      <x:c r="K368" s="54" t="n">
        <x:v>5919.83</x:v>
      </x:c>
      <x:c r="L368" s="54" t="n">
        <x:v>4237.23</x:v>
      </x:c>
      <x:c r="M368" s="55" t="n">
        <x:v>0.0186</x:v>
      </x:c>
      <x:c r="N368" s="54" t="n">
        <x:f>ROUND(J368*K368,2)</x:f>
        <x:v>11839.66</x:v>
      </x:c>
      <x:c r="O368" s="54" t="n">
        <x:f>ROUND(N368*(1-M368),2)</x:f>
        <x:v>11619.44</x:v>
      </x:c>
      <x:c r="P368" s="54" t="n">
        <x:f>ROUND(J368*L368,2)</x:f>
        <x:v>8474.46</x:v>
      </x:c>
      <x:c r="Q368" s="54" t="n">
        <x:f>ROUND(O368-P368,2)</x:f>
        <x:v>3144.98</x:v>
      </x:c>
      <x:c r="R368" s="55" t="n">
        <x:f>IF(O368=0,0,ROUND(Q368/O368,4))</x:f>
        <x:v>0.2707</x:v>
      </x:c>
      <x:c r="S368" s="53" t="n">
        <x:v>6</x:v>
      </x:c>
      <x:c r="T368" t="str">
        <x:v>Entregue</x:v>
      </x:c>
      <x:c r="U368" t="n">
        <x:v>5</x:v>
      </x:c>
      <x:c r="V368" t="str"/>
    </x:row>
    <x:row r="369">
      <x:c r="A369" s="52" t="n">
        <x:v>46059</x:v>
      </x:c>
      <x:c r="B369" t="str">
        <x:v>PED-100368</x:v>
      </x:c>
      <x:c r="C369" t="str">
        <x:v>Cliente 095</x:v>
      </x:c>
      <x:c r="D369" t="str">
        <x:v>SC</x:v>
      </x:c>
      <x:c r="E369" t="str">
        <x:v>Sul</x:v>
      </x:c>
      <x:c r="F369" t="str">
        <x:v>E-commerce</x:v>
      </x:c>
      <x:c r="G369" t="str">
        <x:v>Escritório</x:v>
      </x:c>
      <x:c r="H369" t="str">
        <x:v>Luminária LED</x:v>
      </x:c>
      <x:c r="I369" t="str">
        <x:v>Carla</x:v>
      </x:c>
      <x:c r="J369" s="53" t="n">
        <x:v>1</x:v>
      </x:c>
      <x:c r="K369" s="54" t="n">
        <x:v>266.04</x:v>
      </x:c>
      <x:c r="L369" s="54" t="n">
        <x:v>117.21</x:v>
      </x:c>
      <x:c r="M369" s="55" t="n">
        <x:v>0.035</x:v>
      </x:c>
      <x:c r="N369" s="54" t="n">
        <x:f>ROUND(J369*K369,2)</x:f>
        <x:v>266.04</x:v>
      </x:c>
      <x:c r="O369" s="54" t="n">
        <x:f>ROUND(N369*(1-M369),2)</x:f>
        <x:v>256.73</x:v>
      </x:c>
      <x:c r="P369" s="54" t="n">
        <x:f>ROUND(J369*L369,2)</x:f>
        <x:v>117.21</x:v>
      </x:c>
      <x:c r="Q369" s="54" t="n">
        <x:f>ROUND(O369-P369,2)</x:f>
        <x:v>139.52</x:v>
      </x:c>
      <x:c r="R369" s="55" t="n">
        <x:f>IF(O369=0,0,ROUND(Q369/O369,4))</x:f>
        <x:v>0.5435</x:v>
      </x:c>
      <x:c r="S369" s="53" t="n">
        <x:v>14</x:v>
      </x:c>
      <x:c r="T369" t="str">
        <x:v>Entregue com atraso</x:v>
      </x:c>
      <x:c r="U369" t="n">
        <x:v>5</x:v>
      </x:c>
      <x:c r="V369" t="str"/>
    </x:row>
    <x:row r="370">
      <x:c r="A370" s="52" t="n">
        <x:v>46065</x:v>
      </x:c>
      <x:c r="B370" t="str">
        <x:v>PED-100369</x:v>
      </x:c>
      <x:c r="C370" t="str">
        <x:v>Cliente 083</x:v>
      </x:c>
      <x:c r="D370" t="str">
        <x:v>MG</x:v>
      </x:c>
      <x:c r="E370" t="str">
        <x:v>Sudeste</x:v>
      </x:c>
      <x:c r="F370" t="str">
        <x:v>Televendas</x:v>
      </x:c>
      <x:c r="G370" t="str">
        <x:v>Escritório</x:v>
      </x:c>
      <x:c r="H370" t="str">
        <x:v>Cadeira Ergonômica</x:v>
      </x:c>
      <x:c r="I370" t="str">
        <x:v>Gabriela</x:v>
      </x:c>
      <x:c r="J370" s="53" t="n">
        <x:v>1</x:v>
      </x:c>
      <x:c r="K370" s="54" t="n">
        <x:v>2140.97</x:v>
      </x:c>
      <x:c r="L370" s="54" t="n">
        <x:v>1364.57</x:v>
      </x:c>
      <x:c r="M370" s="55" t="n">
        <x:v>0.0469</x:v>
      </x:c>
      <x:c r="N370" s="54" t="n">
        <x:f>ROUND(J370*K370,2)</x:f>
        <x:v>2140.97</x:v>
      </x:c>
      <x:c r="O370" s="54" t="n">
        <x:f>ROUND(N370*(1-M370),2)</x:f>
        <x:v>2040.56</x:v>
      </x:c>
      <x:c r="P370" s="54" t="n">
        <x:f>ROUND(J370*L370,2)</x:f>
        <x:v>1364.57</x:v>
      </x:c>
      <x:c r="Q370" s="54" t="n">
        <x:f>ROUND(O370-P370,2)</x:f>
        <x:v>675.99</x:v>
      </x:c>
      <x:c r="R370" s="55" t="n">
        <x:f>IF(O370=0,0,ROUND(Q370/O370,4))</x:f>
        <x:v>0.3313</x:v>
      </x:c>
      <x:c r="S370" s="53" t="n">
        <x:v>9</x:v>
      </x:c>
      <x:c r="T370" t="str">
        <x:v>Entregue</x:v>
      </x:c>
      <x:c r="U370" t="n">
        <x:v>4</x:v>
      </x:c>
      <x:c r="V370" t="str"/>
    </x:row>
    <x:row r="371">
      <x:c r="A371" s="52" t="n">
        <x:v>46129</x:v>
      </x:c>
      <x:c r="B371" t="str">
        <x:v>PED-100370</x:v>
      </x:c>
      <x:c r="C371" t="str">
        <x:v>Cliente 024</x:v>
      </x:c>
      <x:c r="D371" t="str">
        <x:v>SC</x:v>
      </x:c>
      <x:c r="E371" t="str">
        <x:v>Sul</x:v>
      </x:c>
      <x:c r="F371" t="str">
        <x:v>Televendas</x:v>
      </x:c>
      <x:c r="G371" t="str">
        <x:v>Tecnologia</x:v>
      </x:c>
      <x:c r="H371" t="str">
        <x:v>Monitor 27</x:v>
      </x:c>
      <x:c r="I371" t="str">
        <x:v>Carla</x:v>
      </x:c>
      <x:c r="J371" s="53" t="n">
        <x:v>1</x:v>
      </x:c>
      <x:c r="K371" s="54" t="n">
        <x:v>1717.86</x:v>
      </x:c>
      <x:c r="L371" s="54" t="n">
        <x:v>1123.39</x:v>
      </x:c>
      <x:c r="M371" s="55" t="n">
        <x:v>0</x:v>
      </x:c>
      <x:c r="N371" s="54" t="n">
        <x:f>ROUND(J371*K371,2)</x:f>
        <x:v>1717.86</x:v>
      </x:c>
      <x:c r="O371" s="54" t="n">
        <x:f>ROUND(N371*(1-M371),2)</x:f>
        <x:v>1717.86</x:v>
      </x:c>
      <x:c r="P371" s="54" t="n">
        <x:f>ROUND(J371*L371,2)</x:f>
        <x:v>1123.39</x:v>
      </x:c>
      <x:c r="Q371" s="54" t="n">
        <x:f>ROUND(O371-P371,2)</x:f>
        <x:v>594.47</x:v>
      </x:c>
      <x:c r="R371" s="55" t="n">
        <x:f>IF(O371=0,0,ROUND(Q371/O371,4))</x:f>
        <x:v>0.3461</x:v>
      </x:c>
      <x:c r="S371" s="53" t="n">
        <x:v>2</x:v>
      </x:c>
      <x:c r="T371" t="str">
        <x:v>Cancelado</x:v>
      </x:c>
      <x:c r="U371"/>
      <x:c r="V371" t="str"/>
    </x:row>
    <x:row r="372">
      <x:c r="A372" s="52" t="n">
        <x:v>46187</x:v>
      </x:c>
      <x:c r="B372" t="str">
        <x:v>PED-100371</x:v>
      </x:c>
      <x:c r="C372" t="str">
        <x:v>Cliente 087</x:v>
      </x:c>
      <x:c r="D372" t="str">
        <x:v>RJ</x:v>
      </x:c>
      <x:c r="E372" t="str">
        <x:v>Sudeste</x:v>
      </x:c>
      <x:c r="F372" t="str">
        <x:v>Televendas</x:v>
      </x:c>
      <x:c r="G372" t="str">
        <x:v>Casa</x:v>
      </x:c>
      <x:c r="H372" t="str">
        <x:v>Aspirador Robô</x:v>
      </x:c>
      <x:c r="I372" t="str">
        <x:v>Ana</x:v>
      </x:c>
      <x:c r="J372" s="53" t="n">
        <x:v>3</x:v>
      </x:c>
      <x:c r="K372" s="54" t="n">
        <x:v>1865.81</x:v>
      </x:c>
      <x:c r="L372" s="54" t="n">
        <x:v>1249.34</x:v>
      </x:c>
      <x:c r="M372" s="55" t="n">
        <x:v>0.0583</x:v>
      </x:c>
      <x:c r="N372" s="54" t="n">
        <x:f>ROUND(J372*K372,2)</x:f>
        <x:v>5597.43</x:v>
      </x:c>
      <x:c r="O372" s="54" t="n">
        <x:f>ROUND(N372*(1-M372),2)</x:f>
        <x:v>5271.1</x:v>
      </x:c>
      <x:c r="P372" s="54" t="n">
        <x:f>ROUND(J372*L372,2)</x:f>
        <x:v>3748.02</x:v>
      </x:c>
      <x:c r="Q372" s="54" t="n">
        <x:f>ROUND(O372-P372,2)</x:f>
        <x:v>1523.08</x:v>
      </x:c>
      <x:c r="R372" s="55" t="n">
        <x:f>IF(O372=0,0,ROUND(Q372/O372,4))</x:f>
        <x:v>0.2889</x:v>
      </x:c>
      <x:c r="S372" s="53" t="n">
        <x:v>5</x:v>
      </x:c>
      <x:c r="T372" t="str">
        <x:v>Entregue</x:v>
      </x:c>
      <x:c r="U372" t="n">
        <x:v>4</x:v>
      </x:c>
      <x:c r="V372" t="str"/>
    </x:row>
    <x:row r="373">
      <x:c r="A373" s="52" t="n">
        <x:v>46137</x:v>
      </x:c>
      <x:c r="B373" t="str">
        <x:v>PED-100372</x:v>
      </x:c>
      <x:c r="C373" t="str">
        <x:v>Cliente 038</x:v>
      </x:c>
      <x:c r="D373" t="str">
        <x:v>MA</x:v>
      </x:c>
      <x:c r="E373" t="str">
        <x:v>Nordeste</x:v>
      </x:c>
      <x:c r="F373" t="str">
        <x:v>Televendas</x:v>
      </x:c>
      <x:c r="G373" t="str">
        <x:v>Acessórios</x:v>
      </x:c>
      <x:c r="H373" t="str">
        <x:v>Mochila Executiva</x:v>
      </x:c>
      <x:c r="I373" t="str">
        <x:v>Felipe</x:v>
      </x:c>
      <x:c r="J373" s="53" t="n">
        <x:v>4</x:v>
      </x:c>
      <x:c r="K373" s="54" t="n">
        <x:v>419.08</x:v>
      </x:c>
      <x:c r="L373" s="54" t="n">
        <x:v>189.12</x:v>
      </x:c>
      <x:c r="M373" s="55" t="n">
        <x:v>0.0884</x:v>
      </x:c>
      <x:c r="N373" s="54" t="n">
        <x:f>ROUND(J373*K373,2)</x:f>
        <x:v>1676.32</x:v>
      </x:c>
      <x:c r="O373" s="54" t="n">
        <x:f>ROUND(N373*(1-M373),2)</x:f>
        <x:v>1528.13</x:v>
      </x:c>
      <x:c r="P373" s="54" t="n">
        <x:f>ROUND(J373*L373,2)</x:f>
        <x:v>756.48</x:v>
      </x:c>
      <x:c r="Q373" s="54" t="n">
        <x:f>ROUND(O373-P373,2)</x:f>
        <x:v>771.65</x:v>
      </x:c>
      <x:c r="R373" s="55" t="n">
        <x:f>IF(O373=0,0,ROUND(Q373/O373,4))</x:f>
        <x:v>0.505</x:v>
      </x:c>
      <x:c r="S373" s="53" t="n">
        <x:v>2</x:v>
      </x:c>
      <x:c r="T373" t="str">
        <x:v>Entregue</x:v>
      </x:c>
      <x:c r="U373" t="n">
        <x:v>2</x:v>
      </x:c>
      <x:c r="V373" t="str"/>
    </x:row>
    <x:row r="374">
      <x:c r="A374" s="52" t="n">
        <x:v>46113</x:v>
      </x:c>
      <x:c r="B374" t="str">
        <x:v>PED-100373</x:v>
      </x:c>
      <x:c r="C374" t="str">
        <x:v>Cliente 016</x:v>
      </x:c>
      <x:c r="D374" t="str">
        <x:v>CE</x:v>
      </x:c>
      <x:c r="E374" t="str">
        <x:v>Nordeste</x:v>
      </x:c>
      <x:c r="F374" t="str">
        <x:v>Marketplace</x:v>
      </x:c>
      <x:c r="G374" t="str">
        <x:v>Acessórios</x:v>
      </x:c>
      <x:c r="H374" t="str">
        <x:v>Webcam HD</x:v>
      </x:c>
      <x:c r="I374" t="str">
        <x:v>Henrique</x:v>
      </x:c>
      <x:c r="J374" s="53" t="n">
        <x:v>1</x:v>
      </x:c>
      <x:c r="K374" s="54" t="n">
        <x:v>504.79</x:v>
      </x:c>
      <x:c r="L374" s="54" t="n">
        <x:v>260.33</x:v>
      </x:c>
      <x:c r="M374" s="55" t="n">
        <x:v>0.1143</x:v>
      </x:c>
      <x:c r="N374" s="54" t="n">
        <x:f>ROUND(J374*K374,2)</x:f>
        <x:v>504.79</x:v>
      </x:c>
      <x:c r="O374" s="54" t="n">
        <x:f>ROUND(N374*(1-M374),2)</x:f>
        <x:v>447.09</x:v>
      </x:c>
      <x:c r="P374" s="54" t="n">
        <x:f>ROUND(J374*L374,2)</x:f>
        <x:v>260.33</x:v>
      </x:c>
      <x:c r="Q374" s="54" t="n">
        <x:f>ROUND(O374-P374,2)</x:f>
        <x:v>186.76</x:v>
      </x:c>
      <x:c r="R374" s="55" t="n">
        <x:f>IF(O374=0,0,ROUND(Q374/O374,4))</x:f>
        <x:v>0.4177</x:v>
      </x:c>
      <x:c r="S374" s="53" t="n">
        <x:v>10</x:v>
      </x:c>
      <x:c r="T374" t="str">
        <x:v>Entregue</x:v>
      </x:c>
      <x:c r="U374" t="n">
        <x:v>4</x:v>
      </x:c>
      <x:c r="V374" t="str"/>
    </x:row>
    <x:row r="375">
      <x:c r="A375" s="52" t="n">
        <x:v>46085</x:v>
      </x:c>
      <x:c r="B375" t="str">
        <x:v>PED-100374</x:v>
      </x:c>
      <x:c r="C375" t="str">
        <x:v>Cliente 054</x:v>
      </x:c>
      <x:c r="D375" t="str">
        <x:v>PR</x:v>
      </x:c>
      <x:c r="E375" t="str">
        <x:v>Sul</x:v>
      </x:c>
      <x:c r="F375" t="str">
        <x:v>E-commerce</x:v>
      </x:c>
      <x:c r="G375" t="str">
        <x:v>Acessórios</x:v>
      </x:c>
      <x:c r="H375" t="str">
        <x:v>Hub USB-C</x:v>
      </x:c>
      <x:c r="I375" t="str">
        <x:v>Isabela</x:v>
      </x:c>
      <x:c r="J375" s="53" t="n">
        <x:v>3</x:v>
      </x:c>
      <x:c r="K375" s="54" t="n">
        <x:v>308.65</x:v>
      </x:c>
      <x:c r="L375" s="54" t="n">
        <x:v>137.89</x:v>
      </x:c>
      <x:c r="M375" s="55" t="n">
        <x:v>0.0825</x:v>
      </x:c>
      <x:c r="N375" s="54" t="n">
        <x:f>ROUND(J375*K375,2)</x:f>
        <x:v>925.95</x:v>
      </x:c>
      <x:c r="O375" s="54" t="n">
        <x:f>ROUND(N375*(1-M375),2)</x:f>
        <x:v>849.56</x:v>
      </x:c>
      <x:c r="P375" s="54" t="n">
        <x:f>ROUND(J375*L375,2)</x:f>
        <x:v>413.67</x:v>
      </x:c>
      <x:c r="Q375" s="54" t="n">
        <x:f>ROUND(O375-P375,2)</x:f>
        <x:v>435.89</x:v>
      </x:c>
      <x:c r="R375" s="55" t="n">
        <x:f>IF(O375=0,0,ROUND(Q375/O375,4))</x:f>
        <x:v>0.5131</x:v>
      </x:c>
      <x:c r="S375" s="53" t="n">
        <x:v>11</x:v>
      </x:c>
      <x:c r="T375" t="str">
        <x:v>Entregue com atraso</x:v>
      </x:c>
      <x:c r="U375" t="n">
        <x:v>2</x:v>
      </x:c>
      <x:c r="V375" t="str"/>
    </x:row>
    <x:row r="376">
      <x:c r="A376" s="52" t="n">
        <x:v>46100</x:v>
      </x:c>
      <x:c r="B376" t="str">
        <x:v>PED-100375</x:v>
      </x:c>
      <x:c r="C376" t="str">
        <x:v>Cliente 036</x:v>
      </x:c>
      <x:c r="D376" t="str">
        <x:v>SC</x:v>
      </x:c>
      <x:c r="E376" t="str">
        <x:v>Sul</x:v>
      </x:c>
      <x:c r="F376" t="str">
        <x:v>Marketplace</x:v>
      </x:c>
      <x:c r="G376" t="str">
        <x:v>Acessórios</x:v>
      </x:c>
      <x:c r="H376" t="str">
        <x:v>Hub USB-C</x:v>
      </x:c>
      <x:c r="I376" t="str">
        <x:v>Felipe</x:v>
      </x:c>
      <x:c r="J376" s="53" t="n">
        <x:v>8</x:v>
      </x:c>
      <x:c r="K376" s="54" t="n">
        <x:v>332.34</x:v>
      </x:c>
      <x:c r="L376" s="54" t="n">
        <x:v>134.95</x:v>
      </x:c>
      <x:c r="M376" s="55" t="n">
        <x:v>0.099</x:v>
      </x:c>
      <x:c r="N376" s="54" t="n">
        <x:f>ROUND(J376*K376,2)</x:f>
        <x:v>2658.72</x:v>
      </x:c>
      <x:c r="O376" s="54" t="n">
        <x:f>ROUND(N376*(1-M376),2)</x:f>
        <x:v>2395.51</x:v>
      </x:c>
      <x:c r="P376" s="54" t="n">
        <x:f>ROUND(J376*L376,2)</x:f>
        <x:v>1079.6</x:v>
      </x:c>
      <x:c r="Q376" s="54" t="n">
        <x:f>ROUND(O376-P376,2)</x:f>
        <x:v>1315.91</x:v>
      </x:c>
      <x:c r="R376" s="55" t="n">
        <x:f>IF(O376=0,0,ROUND(Q376/O376,4))</x:f>
        <x:v>0.5493</x:v>
      </x:c>
      <x:c r="S376" s="53" t="n">
        <x:v>14</x:v>
      </x:c>
      <x:c r="T376" t="str">
        <x:v>Entregue com atraso</x:v>
      </x:c>
      <x:c r="U376" t="n">
        <x:v>2</x:v>
      </x:c>
      <x:c r="V376" t="str"/>
    </x:row>
    <x:row r="377">
      <x:c r="A377" s="52" t="n">
        <x:v>46093</x:v>
      </x:c>
      <x:c r="B377" t="str">
        <x:v>PED-100376</x:v>
      </x:c>
      <x:c r="C377" t="str">
        <x:v>Cliente 101</x:v>
      </x:c>
      <x:c r="D377" t="str">
        <x:v>SC</x:v>
      </x:c>
      <x:c r="E377" t="str">
        <x:v>Sul</x:v>
      </x:c>
      <x:c r="F377" t="str">
        <x:v>E-commerce</x:v>
      </x:c>
      <x:c r="G377" t="str">
        <x:v>Escritório</x:v>
      </x:c>
      <x:c r="H377" t="str">
        <x:v>Luminária LED</x:v>
      </x:c>
      <x:c r="I377" t="str">
        <x:v>Ana</x:v>
      </x:c>
      <x:c r="J377" s="53" t="n">
        <x:v>1</x:v>
      </x:c>
      <x:c r="K377" s="54" t="n">
        <x:v>250.67</x:v>
      </x:c>
      <x:c r="L377" s="54" t="n">
        <x:v>122.28</x:v>
      </x:c>
      <x:c r="M377" s="55" t="n">
        <x:v>0.1</x:v>
      </x:c>
      <x:c r="N377" s="54" t="n">
        <x:f>ROUND(J377*K377,2)</x:f>
        <x:v>250.67</x:v>
      </x:c>
      <x:c r="O377" s="54" t="n">
        <x:f>ROUND(N377*(1-M377),2)</x:f>
        <x:v>225.6</x:v>
      </x:c>
      <x:c r="P377" s="54" t="n">
        <x:f>ROUND(J377*L377,2)</x:f>
        <x:v>122.28</x:v>
      </x:c>
      <x:c r="Q377" s="54" t="n">
        <x:f>ROUND(O377-P377,2)</x:f>
        <x:v>103.32</x:v>
      </x:c>
      <x:c r="R377" s="55" t="n">
        <x:f>IF(O377=0,0,ROUND(Q377/O377,4))</x:f>
        <x:v>0.458</x:v>
      </x:c>
      <x:c r="S377" s="53" t="n">
        <x:v>9</x:v>
      </x:c>
      <x:c r="T377" t="str">
        <x:v>Entregue</x:v>
      </x:c>
      <x:c r="U377" t="n">
        <x:v>5</x:v>
      </x:c>
      <x:c r="V377" t="str"/>
    </x:row>
    <x:row r="378">
      <x:c r="A378" s="52" t="n">
        <x:v>46234</x:v>
      </x:c>
      <x:c r="B378" t="str">
        <x:v>PED-100377</x:v>
      </x:c>
      <x:c r="C378" t="str">
        <x:v>Cliente 005</x:v>
      </x:c>
      <x:c r="D378" t="str">
        <x:v>PE</x:v>
      </x:c>
      <x:c r="E378" t="str">
        <x:v>Nordeste</x:v>
      </x:c>
      <x:c r="F378" t="str">
        <x:v>E-commerce</x:v>
      </x:c>
      <x:c r="G378" t="str">
        <x:v>Acessórios</x:v>
      </x:c>
      <x:c r="H378" t="str">
        <x:v>Mochila Executiva</x:v>
      </x:c>
      <x:c r="I378" t="str">
        <x:v>João</x:v>
      </x:c>
      <x:c r="J378" s="53" t="n">
        <x:v>4</x:v>
      </x:c>
      <x:c r="K378" s="54" t="n">
        <x:v>427.75</x:v>
      </x:c>
      <x:c r="L378" s="54" t="n">
        <x:v>189.43</x:v>
      </x:c>
      <x:c r="M378" s="55" t="n">
        <x:v>0.0171</x:v>
      </x:c>
      <x:c r="N378" s="54" t="n">
        <x:f>ROUND(J378*K378,2)</x:f>
        <x:v>1711</x:v>
      </x:c>
      <x:c r="O378" s="54" t="n">
        <x:f>ROUND(N378*(1-M378),2)</x:f>
        <x:v>1681.74</x:v>
      </x:c>
      <x:c r="P378" s="54" t="n">
        <x:f>ROUND(J378*L378,2)</x:f>
        <x:v>757.72</x:v>
      </x:c>
      <x:c r="Q378" s="54" t="n">
        <x:f>ROUND(O378-P378,2)</x:f>
        <x:v>924.02</x:v>
      </x:c>
      <x:c r="R378" s="55" t="n">
        <x:f>IF(O378=0,0,ROUND(Q378/O378,4))</x:f>
        <x:v>0.5494</x:v>
      </x:c>
      <x:c r="S378" s="53" t="n">
        <x:v>13</x:v>
      </x:c>
      <x:c r="T378" t="str">
        <x:v>Entregue com atraso</x:v>
      </x:c>
      <x:c r="U378" t="n">
        <x:v>3</x:v>
      </x:c>
      <x:c r="V378" t="str"/>
    </x:row>
    <x:row r="379">
      <x:c r="A379" s="52" t="n">
        <x:v>46085</x:v>
      </x:c>
      <x:c r="B379" t="str">
        <x:v>PED-100378</x:v>
      </x:c>
      <x:c r="C379" t="str">
        <x:v>Cliente 011</x:v>
      </x:c>
      <x:c r="D379" t="str">
        <x:v>SC</x:v>
      </x:c>
      <x:c r="E379" t="str">
        <x:v>Sul</x:v>
      </x:c>
      <x:c r="F379" t="str">
        <x:v>E-commerce</x:v>
      </x:c>
      <x:c r="G379" t="str">
        <x:v>Tecnologia</x:v>
      </x:c>
      <x:c r="H379" t="str">
        <x:v>Monitor 27</x:v>
      </x:c>
      <x:c r="I379" t="str">
        <x:v>Felipe</x:v>
      </x:c>
      <x:c r="J379" s="53" t="n">
        <x:v>4</x:v>
      </x:c>
      <x:c r="K379" s="54" t="n">
        <x:v>1753.81</x:v>
      </x:c>
      <x:c r="L379" s="54" t="n">
        <x:v>1041.28</x:v>
      </x:c>
      <x:c r="M379" s="55" t="n">
        <x:v>0.0567</x:v>
      </x:c>
      <x:c r="N379" s="54" t="n">
        <x:f>ROUND(J379*K379,2)</x:f>
        <x:v>7015.24</x:v>
      </x:c>
      <x:c r="O379" s="54" t="n">
        <x:f>ROUND(N379*(1-M379),2)</x:f>
        <x:v>6617.48</x:v>
      </x:c>
      <x:c r="P379" s="54" t="n">
        <x:f>ROUND(J379*L379,2)</x:f>
        <x:v>4165.12</x:v>
      </x:c>
      <x:c r="Q379" s="54" t="n">
        <x:f>ROUND(O379-P379,2)</x:f>
        <x:v>2452.36</x:v>
      </x:c>
      <x:c r="R379" s="55" t="n">
        <x:f>IF(O379=0,0,ROUND(Q379/O379,4))</x:f>
        <x:v>0.3706</x:v>
      </x:c>
      <x:c r="S379" s="53" t="n">
        <x:v>2</x:v>
      </x:c>
      <x:c r="T379" t="str">
        <x:v>Entregue</x:v>
      </x:c>
      <x:c r="U379" t="n">
        <x:v>3</x:v>
      </x:c>
      <x:c r="V379" t="str"/>
    </x:row>
    <x:row r="380">
      <x:c r="A380" s="52" t="n">
        <x:v>46144</x:v>
      </x:c>
      <x:c r="B380" t="str">
        <x:v>PED-100379</x:v>
      </x:c>
      <x:c r="C380" t="str">
        <x:v>Cliente 031</x:v>
      </x:c>
      <x:c r="D380" t="str">
        <x:v>RJ</x:v>
      </x:c>
      <x:c r="E380" t="str">
        <x:v>Sudeste</x:v>
      </x:c>
      <x:c r="F380" t="str">
        <x:v>Televendas</x:v>
      </x:c>
      <x:c r="G380" t="str">
        <x:v>Acessórios</x:v>
      </x:c>
      <x:c r="H380" t="str">
        <x:v>Hub USB-C</x:v>
      </x:c>
      <x:c r="I380" t="str">
        <x:v>Gabriela</x:v>
      </x:c>
      <x:c r="J380" s="53" t="n">
        <x:v>6</x:v>
      </x:c>
      <x:c r="K380" s="54" t="n">
        <x:v>326.4</x:v>
      </x:c>
      <x:c r="L380" s="54" t="n">
        <x:v>135.01</x:v>
      </x:c>
      <x:c r="M380" s="55" t="n">
        <x:v>0</x:v>
      </x:c>
      <x:c r="N380" s="54" t="n">
        <x:f>ROUND(J380*K380,2)</x:f>
        <x:v>1958.4</x:v>
      </x:c>
      <x:c r="O380" s="54" t="n">
        <x:f>ROUND(N380*(1-M380),2)</x:f>
        <x:v>1958.4</x:v>
      </x:c>
      <x:c r="P380" s="54" t="n">
        <x:f>ROUND(J380*L380,2)</x:f>
        <x:v>810.06</x:v>
      </x:c>
      <x:c r="Q380" s="54" t="n">
        <x:f>ROUND(O380-P380,2)</x:f>
        <x:v>1148.34</x:v>
      </x:c>
      <x:c r="R380" s="55" t="n">
        <x:f>IF(O380=0,0,ROUND(Q380/O380,4))</x:f>
        <x:v>0.5864</x:v>
      </x:c>
      <x:c r="S380" s="53" t="n">
        <x:v>4</x:v>
      </x:c>
      <x:c r="T380" t="str">
        <x:v>Entregue</x:v>
      </x:c>
      <x:c r="U380" t="n">
        <x:v>2</x:v>
      </x:c>
      <x:c r="V380" t="str"/>
    </x:row>
    <x:row r="381">
      <x:c r="A381" s="52" t="n">
        <x:v>46206</x:v>
      </x:c>
      <x:c r="B381" t="str">
        <x:v>PED-100380</x:v>
      </x:c>
      <x:c r="C381" t="str">
        <x:v>Cliente 110</x:v>
      </x:c>
      <x:c r="D381" t="str">
        <x:v>MG</x:v>
      </x:c>
      <x:c r="E381" t="str">
        <x:v>Sudeste</x:v>
      </x:c>
      <x:c r="F381" t="str">
        <x:v>E-commerce</x:v>
      </x:c>
      <x:c r="G381" t="str">
        <x:v>Casa</x:v>
      </x:c>
      <x:c r="H381" t="str">
        <x:v>Aspirador Robô</x:v>
      </x:c>
      <x:c r="I381" t="str">
        <x:v>Carla</x:v>
      </x:c>
      <x:c r="J381" s="53" t="n">
        <x:v>4</x:v>
      </x:c>
      <x:c r="K381" s="54" t="n">
        <x:v>1862.25</x:v>
      </x:c>
      <x:c r="L381" s="54" t="n">
        <x:v>1229.58</x:v>
      </x:c>
      <x:c r="M381" s="55" t="n">
        <x:v>0</x:v>
      </x:c>
      <x:c r="N381" s="54" t="n">
        <x:f>ROUND(J381*K381,2)</x:f>
        <x:v>7449</x:v>
      </x:c>
      <x:c r="O381" s="54" t="n">
        <x:f>ROUND(N381*(1-M381),2)</x:f>
        <x:v>7449</x:v>
      </x:c>
      <x:c r="P381" s="54" t="n">
        <x:f>ROUND(J381*L381,2)</x:f>
        <x:v>4918.32</x:v>
      </x:c>
      <x:c r="Q381" s="54" t="n">
        <x:f>ROUND(O381-P381,2)</x:f>
        <x:v>2530.68</x:v>
      </x:c>
      <x:c r="R381" s="55" t="n">
        <x:f>IF(O381=0,0,ROUND(Q381/O381,4))</x:f>
        <x:v>0.3397</x:v>
      </x:c>
      <x:c r="S381" s="53" t="n">
        <x:v>8</x:v>
      </x:c>
      <x:c r="T381" t="str">
        <x:v>Cancelado</x:v>
      </x:c>
      <x:c r="U381"/>
      <x:c r="V381" t="str"/>
    </x:row>
    <x:row r="382">
      <x:c r="A382" s="52" t="n">
        <x:v>46040</x:v>
      </x:c>
      <x:c r="B382" t="str">
        <x:v>PED-100381</x:v>
      </x:c>
      <x:c r="C382" t="str">
        <x:v>Cliente 070</x:v>
      </x:c>
      <x:c r="D382" t="str">
        <x:v>DF</x:v>
      </x:c>
      <x:c r="E382" t="str">
        <x:v>Centro-Oeste</x:v>
      </x:c>
      <x:c r="F382" t="str">
        <x:v>E-commerce</x:v>
      </x:c>
      <x:c r="G382" t="str">
        <x:v>Tecnologia</x:v>
      </x:c>
      <x:c r="H382" t="str">
        <x:v>Monitor 27</x:v>
      </x:c>
      <x:c r="I382" t="str">
        <x:v>Gabriela</x:v>
      </x:c>
      <x:c r="J382" s="53" t="n">
        <x:v>2</x:v>
      </x:c>
      <x:c r="K382" s="54" t="n">
        <x:v>1661.56</x:v>
      </x:c>
      <x:c r="L382" s="54" t="n">
        <x:v>1082.85</x:v>
      </x:c>
      <x:c r="M382" s="55" t="n">
        <x:v>0</x:v>
      </x:c>
      <x:c r="N382" s="54" t="n">
        <x:f>ROUND(J382*K382,2)</x:f>
        <x:v>3323.12</x:v>
      </x:c>
      <x:c r="O382" s="54" t="n">
        <x:f>ROUND(N382*(1-M382),2)</x:f>
        <x:v>3323.12</x:v>
      </x:c>
      <x:c r="P382" s="54" t="n">
        <x:f>ROUND(J382*L382,2)</x:f>
        <x:v>2165.7</x:v>
      </x:c>
      <x:c r="Q382" s="54" t="n">
        <x:f>ROUND(O382-P382,2)</x:f>
        <x:v>1157.42</x:v>
      </x:c>
      <x:c r="R382" s="55" t="n">
        <x:f>IF(O382=0,0,ROUND(Q382/O382,4))</x:f>
        <x:v>0.3483</x:v>
      </x:c>
      <x:c r="S382" s="53" t="n">
        <x:v>4</x:v>
      </x:c>
      <x:c r="T382" t="str">
        <x:v>Entregue</x:v>
      </x:c>
      <x:c r="U382" t="n">
        <x:v>2</x:v>
      </x:c>
      <x:c r="V382" t="str"/>
    </x:row>
    <x:row r="383">
      <x:c r="A383" s="52" t="n">
        <x:v>46087</x:v>
      </x:c>
      <x:c r="B383" t="str">
        <x:v>PED-100382</x:v>
      </x:c>
      <x:c r="C383" t="str">
        <x:v>Cliente 118</x:v>
      </x:c>
      <x:c r="D383" t="str">
        <x:v>BA</x:v>
      </x:c>
      <x:c r="E383" t="str">
        <x:v>Nordeste</x:v>
      </x:c>
      <x:c r="F383" t="str">
        <x:v>Televendas</x:v>
      </x:c>
      <x:c r="G383" t="str">
        <x:v>Escritório</x:v>
      </x:c>
      <x:c r="H383" t="str">
        <x:v>Cadeira Ergonômica</x:v>
      </x:c>
      <x:c r="I383" t="str">
        <x:v>Felipe</x:v>
      </x:c>
      <x:c r="J383" s="53" t="n">
        <x:v>5</x:v>
      </x:c>
      <x:c r="K383" s="54" t="n">
        <x:v>2088.72</x:v>
      </x:c>
      <x:c r="L383" s="54" t="n">
        <x:v>1431.2</x:v>
      </x:c>
      <x:c r="M383" s="55" t="n">
        <x:v>0</x:v>
      </x:c>
      <x:c r="N383" s="54" t="n">
        <x:f>ROUND(J383*K383,2)</x:f>
        <x:v>10443.6</x:v>
      </x:c>
      <x:c r="O383" s="54" t="n">
        <x:f>ROUND(N383*(1-M383),2)</x:f>
        <x:v>10443.6</x:v>
      </x:c>
      <x:c r="P383" s="54" t="n">
        <x:f>ROUND(J383*L383,2)</x:f>
        <x:v>7156</x:v>
      </x:c>
      <x:c r="Q383" s="54" t="n">
        <x:f>ROUND(O383-P383,2)</x:f>
        <x:v>3287.6</x:v>
      </x:c>
      <x:c r="R383" s="55" t="n">
        <x:f>IF(O383=0,0,ROUND(Q383/O383,4))</x:f>
        <x:v>0.3148</x:v>
      </x:c>
      <x:c r="S383" s="53" t="n">
        <x:v>8</x:v>
      </x:c>
      <x:c r="T383" t="str">
        <x:v>Entregue</x:v>
      </x:c>
      <x:c r="U383" t="n">
        <x:v>5</x:v>
      </x:c>
      <x:c r="V383" t="str"/>
    </x:row>
    <x:row r="384">
      <x:c r="A384" s="52" t="n">
        <x:v>46156</x:v>
      </x:c>
      <x:c r="B384" t="str">
        <x:v>PED-100383</x:v>
      </x:c>
      <x:c r="C384" t="str">
        <x:v>Cliente 041</x:v>
      </x:c>
      <x:c r="D384" t="str">
        <x:v>PA</x:v>
      </x:c>
      <x:c r="E384" t="str">
        <x:v>Norte</x:v>
      </x:c>
      <x:c r="F384" t="str">
        <x:v>E-commerce</x:v>
      </x:c>
      <x:c r="G384" t="str">
        <x:v>Tecnologia</x:v>
      </x:c>
      <x:c r="H384" t="str">
        <x:v>Headset Office</x:v>
      </x:c>
      <x:c r="I384" t="str">
        <x:v>Henrique</x:v>
      </x:c>
      <x:c r="J384" s="53" t="n">
        <x:v>5</x:v>
      </x:c>
      <x:c r="K384" s="54" t="n">
        <x:v>372.92</x:v>
      </x:c>
      <x:c r="L384" s="54" t="n">
        <x:v>227.58</x:v>
      </x:c>
      <x:c r="M384" s="55" t="n">
        <x:v>0.0798</x:v>
      </x:c>
      <x:c r="N384" s="54" t="n">
        <x:f>ROUND(J384*K384,2)</x:f>
        <x:v>1864.6</x:v>
      </x:c>
      <x:c r="O384" s="54" t="n">
        <x:f>ROUND(N384*(1-M384),2)</x:f>
        <x:v>1715.8</x:v>
      </x:c>
      <x:c r="P384" s="54" t="n">
        <x:f>ROUND(J384*L384,2)</x:f>
        <x:v>1137.9</x:v>
      </x:c>
      <x:c r="Q384" s="54" t="n">
        <x:f>ROUND(O384-P384,2)</x:f>
        <x:v>577.9</x:v>
      </x:c>
      <x:c r="R384" s="55" t="n">
        <x:f>IF(O384=0,0,ROUND(Q384/O384,4))</x:f>
        <x:v>0.3368</x:v>
      </x:c>
      <x:c r="S384" s="53" t="n">
        <x:v>5</x:v>
      </x:c>
      <x:c r="T384" t="str">
        <x:v>Entregue</x:v>
      </x:c>
      <x:c r="U384" t="n">
        <x:v>3</x:v>
      </x:c>
      <x:c r="V384" t="str"/>
    </x:row>
    <x:row r="385">
      <x:c r="A385" s="52" t="n">
        <x:v>46103</x:v>
      </x:c>
      <x:c r="B385" t="str">
        <x:v>PED-100384</x:v>
      </x:c>
      <x:c r="C385" t="str">
        <x:v>Cliente 091</x:v>
      </x:c>
      <x:c r="D385" t="str">
        <x:v>PE</x:v>
      </x:c>
      <x:c r="E385" t="str">
        <x:v>Nordeste</x:v>
      </x:c>
      <x:c r="F385" t="str">
        <x:v>Marketplace</x:v>
      </x:c>
      <x:c r="G385" t="str">
        <x:v>Acessórios</x:v>
      </x:c>
      <x:c r="H385" t="str">
        <x:v>Mochila Executiva</x:v>
      </x:c>
      <x:c r="I385" t="str">
        <x:v>João</x:v>
      </x:c>
      <x:c r="J385" s="53" t="n">
        <x:v>7</x:v>
      </x:c>
      <x:c r="K385" s="54" t="n">
        <x:v>423.76</x:v>
      </x:c>
      <x:c r="L385" s="54" t="n">
        <x:v>196.95</x:v>
      </x:c>
      <x:c r="M385" s="55" t="n">
        <x:v>0.035</x:v>
      </x:c>
      <x:c r="N385" s="54" t="n">
        <x:f>ROUND(J385*K385,2)</x:f>
        <x:v>2966.32</x:v>
      </x:c>
      <x:c r="O385" s="54" t="n">
        <x:f>ROUND(N385*(1-M385),2)</x:f>
        <x:v>2862.5</x:v>
      </x:c>
      <x:c r="P385" s="54" t="n">
        <x:f>ROUND(J385*L385,2)</x:f>
        <x:v>1378.65</x:v>
      </x:c>
      <x:c r="Q385" s="54" t="n">
        <x:f>ROUND(O385-P385,2)</x:f>
        <x:v>1483.85</x:v>
      </x:c>
      <x:c r="R385" s="55" t="n">
        <x:f>IF(O385=0,0,ROUND(Q385/O385,4))</x:f>
        <x:v>0.5184</x:v>
      </x:c>
      <x:c r="S385" s="53" t="n">
        <x:v>11</x:v>
      </x:c>
      <x:c r="T385" t="str">
        <x:v>Entregue com atraso</x:v>
      </x:c>
      <x:c r="U385" t="n">
        <x:v>2</x:v>
      </x:c>
      <x:c r="V385" t="str"/>
    </x:row>
    <x:row r="386">
      <x:c r="A386" s="52" t="n">
        <x:v>46158</x:v>
      </x:c>
      <x:c r="B386" t="str">
        <x:v>PED-100385</x:v>
      </x:c>
      <x:c r="C386" t="str">
        <x:v>Cliente 050</x:v>
      </x:c>
      <x:c r="D386" t="str">
        <x:v>MG</x:v>
      </x:c>
      <x:c r="E386" t="str">
        <x:v>Sudeste</x:v>
      </x:c>
      <x:c r="F386" t="str">
        <x:v>Loja</x:v>
      </x:c>
      <x:c r="G386" t="str">
        <x:v>Casa</x:v>
      </x:c>
      <x:c r="H386" t="str">
        <x:v>Cafeteira Smart</x:v>
      </x:c>
      <x:c r="I386" t="str">
        <x:v>Diego</x:v>
      </x:c>
      <x:c r="J386" s="53" t="n">
        <x:v>6</x:v>
      </x:c>
      <x:c r="K386" s="54" t="n">
        <x:v>791.6</x:v>
      </x:c>
      <x:c r="L386" s="54" t="n">
        <x:v>465.45</x:v>
      </x:c>
      <x:c r="M386" s="55" t="n">
        <x:v>0.0144</x:v>
      </x:c>
      <x:c r="N386" s="54" t="n">
        <x:f>ROUND(J386*K386,2)</x:f>
        <x:v>4749.6</x:v>
      </x:c>
      <x:c r="O386" s="54" t="n">
        <x:f>ROUND(N386*(1-M386),2)</x:f>
        <x:v>4681.21</x:v>
      </x:c>
      <x:c r="P386" s="54" t="n">
        <x:f>ROUND(J386*L386,2)</x:f>
        <x:v>2792.7</x:v>
      </x:c>
      <x:c r="Q386" s="54" t="n">
        <x:f>ROUND(O386-P386,2)</x:f>
        <x:v>1888.51</x:v>
      </x:c>
      <x:c r="R386" s="55" t="n">
        <x:f>IF(O386=0,0,ROUND(Q386/O386,4))</x:f>
        <x:v>0.4034</x:v>
      </x:c>
      <x:c r="S386" s="53" t="n">
        <x:v>3</x:v>
      </x:c>
      <x:c r="T386" t="str">
        <x:v>Entregue</x:v>
      </x:c>
      <x:c r="U386" t="n">
        <x:v>3</x:v>
      </x:c>
      <x:c r="V386" t="str"/>
    </x:row>
    <x:row r="387">
      <x:c r="A387" s="52" t="n">
        <x:v>46078</x:v>
      </x:c>
      <x:c r="B387" t="str">
        <x:v>PED-100386</x:v>
      </x:c>
      <x:c r="C387" t="str">
        <x:v>Cliente 054</x:v>
      </x:c>
      <x:c r="D387" t="str">
        <x:v>MA</x:v>
      </x:c>
      <x:c r="E387" t="str">
        <x:v>Nordeste</x:v>
      </x:c>
      <x:c r="F387" t="str">
        <x:v>Loja</x:v>
      </x:c>
      <x:c r="G387" t="str">
        <x:v>Casa</x:v>
      </x:c>
      <x:c r="H387" t="str">
        <x:v>Cafeteira Smart</x:v>
      </x:c>
      <x:c r="I387" t="str">
        <x:v>Bruno</x:v>
      </x:c>
      <x:c r="J387" s="53" t="n">
        <x:v>4</x:v>
      </x:c>
      <x:c r="K387" s="54" t="n">
        <x:v>794.41</x:v>
      </x:c>
      <x:c r="L387" s="54" t="n">
        <x:v>489.15</x:v>
      </x:c>
      <x:c r="M387" s="55" t="n">
        <x:v>0.05</x:v>
      </x:c>
      <x:c r="N387" s="54" t="n">
        <x:f>ROUND(J387*K387,2)</x:f>
        <x:v>3177.64</x:v>
      </x:c>
      <x:c r="O387" s="54" t="n">
        <x:f>ROUND(N387*(1-M387),2)</x:f>
        <x:v>3018.76</x:v>
      </x:c>
      <x:c r="P387" s="54" t="n">
        <x:f>ROUND(J387*L387,2)</x:f>
        <x:v>1956.6</x:v>
      </x:c>
      <x:c r="Q387" s="54" t="n">
        <x:f>ROUND(O387-P387,2)</x:f>
        <x:v>1062.16</x:v>
      </x:c>
      <x:c r="R387" s="55" t="n">
        <x:f>IF(O387=0,0,ROUND(Q387/O387,4))</x:f>
        <x:v>0.3519</x:v>
      </x:c>
      <x:c r="S387" s="53" t="n">
        <x:v>11</x:v>
      </x:c>
      <x:c r="T387" t="str">
        <x:v>Entregue com atraso</x:v>
      </x:c>
      <x:c r="U387" t="n">
        <x:v>3</x:v>
      </x:c>
      <x:c r="V387" t="str"/>
    </x:row>
    <x:row r="388">
      <x:c r="A388" s="52" t="n">
        <x:v>46139</x:v>
      </x:c>
      <x:c r="B388" t="str">
        <x:v>PED-100387</x:v>
      </x:c>
      <x:c r="C388" t="str">
        <x:v>Cliente 081</x:v>
      </x:c>
      <x:c r="D388" t="str">
        <x:v>RJ</x:v>
      </x:c>
      <x:c r="E388" t="str">
        <x:v>Sudeste</x:v>
      </x:c>
      <x:c r="F388" t="str">
        <x:v>E-commerce</x:v>
      </x:c>
      <x:c r="G388" t="str">
        <x:v>Acessórios</x:v>
      </x:c>
      <x:c r="H388" t="str">
        <x:v>Mochila Executiva</x:v>
      </x:c>
      <x:c r="I388" t="str">
        <x:v>Ana</x:v>
      </x:c>
      <x:c r="J388" s="53" t="n">
        <x:v>1</x:v>
      </x:c>
      <x:c r="K388" s="54" t="n">
        <x:v>434.51</x:v>
      </x:c>
      <x:c r="L388" s="54" t="n">
        <x:v>197.35</x:v>
      </x:c>
      <x:c r="M388" s="55" t="n">
        <x:v>0.0185</x:v>
      </x:c>
      <x:c r="N388" s="54" t="n">
        <x:f>ROUND(J388*K388,2)</x:f>
        <x:v>434.51</x:v>
      </x:c>
      <x:c r="O388" s="54" t="n">
        <x:f>ROUND(N388*(1-M388),2)</x:f>
        <x:v>426.47</x:v>
      </x:c>
      <x:c r="P388" s="54" t="n">
        <x:f>ROUND(J388*L388,2)</x:f>
        <x:v>197.35</x:v>
      </x:c>
      <x:c r="Q388" s="54" t="n">
        <x:f>ROUND(O388-P388,2)</x:f>
        <x:v>229.12</x:v>
      </x:c>
      <x:c r="R388" s="55" t="n">
        <x:f>IF(O388=0,0,ROUND(Q388/O388,4))</x:f>
        <x:v>0.5372</x:v>
      </x:c>
      <x:c r="S388" s="53" t="n">
        <x:v>2</x:v>
      </x:c>
      <x:c r="T388" t="str">
        <x:v>Entregue</x:v>
      </x:c>
      <x:c r="U388" t="n">
        <x:v>4</x:v>
      </x:c>
      <x:c r="V388" t="str"/>
    </x:row>
    <x:row r="389">
      <x:c r="A389" s="52" t="n">
        <x:v>46083</x:v>
      </x:c>
      <x:c r="B389" t="str">
        <x:v>PED-100388</x:v>
      </x:c>
      <x:c r="C389" t="str">
        <x:v>Cliente 046</x:v>
      </x:c>
      <x:c r="D389" t="str">
        <x:v>GO</x:v>
      </x:c>
      <x:c r="E389" t="str">
        <x:v>Centro-Oeste</x:v>
      </x:c>
      <x:c r="F389" t="str">
        <x:v>Loja</x:v>
      </x:c>
      <x:c r="G389" t="str">
        <x:v>Casa</x:v>
      </x:c>
      <x:c r="H389" t="str">
        <x:v>Cafeteira Smart</x:v>
      </x:c>
      <x:c r="I389" t="str">
        <x:v>Carla</x:v>
      </x:c>
      <x:c r="J389" s="53" t="n">
        <x:v>6</x:v>
      </x:c>
      <x:c r="K389" s="54" t="n">
        <x:v>758.72</x:v>
      </x:c>
      <x:c r="L389" s="54" t="n">
        <x:v>466.89</x:v>
      </x:c>
      <x:c r="M389" s="55" t="n">
        <x:v>0.0292</x:v>
      </x:c>
      <x:c r="N389" s="54" t="n">
        <x:f>ROUND(J389*K389,2)</x:f>
        <x:v>4552.32</x:v>
      </x:c>
      <x:c r="O389" s="54" t="n">
        <x:f>ROUND(N389*(1-M389),2)</x:f>
        <x:v>4419.39</x:v>
      </x:c>
      <x:c r="P389" s="54" t="n">
        <x:f>ROUND(J389*L389,2)</x:f>
        <x:v>2801.34</x:v>
      </x:c>
      <x:c r="Q389" s="54" t="n">
        <x:f>ROUND(O389-P389,2)</x:f>
        <x:v>1618.05</x:v>
      </x:c>
      <x:c r="R389" s="55" t="n">
        <x:f>IF(O389=0,0,ROUND(Q389/O389,4))</x:f>
        <x:v>0.3661</x:v>
      </x:c>
      <x:c r="S389" s="53" t="n">
        <x:v>5</x:v>
      </x:c>
      <x:c r="T389" t="str">
        <x:v>Entregue</x:v>
      </x:c>
      <x:c r="U389" t="n">
        <x:v>3</x:v>
      </x:c>
      <x:c r="V389" t="str"/>
    </x:row>
    <x:row r="390">
      <x:c r="A390" s="52" t="n">
        <x:v>46036</x:v>
      </x:c>
      <x:c r="B390" t="str">
        <x:v>PED-100389</x:v>
      </x:c>
      <x:c r="C390" t="str">
        <x:v>Cliente 037</x:v>
      </x:c>
      <x:c r="D390" t="str">
        <x:v>RJ</x:v>
      </x:c>
      <x:c r="E390" t="str">
        <x:v>Sudeste</x:v>
      </x:c>
      <x:c r="F390" t="str">
        <x:v>Loja</x:v>
      </x:c>
      <x:c r="G390" t="str">
        <x:v>Escritório</x:v>
      </x:c>
      <x:c r="H390" t="str">
        <x:v>Cadeira Ergonômica</x:v>
      </x:c>
      <x:c r="I390" t="str">
        <x:v>Diego</x:v>
      </x:c>
      <x:c r="J390" s="53" t="n">
        <x:v>1</x:v>
      </x:c>
      <x:c r="K390" s="54" t="n">
        <x:v>2259.36</x:v>
      </x:c>
      <x:c r="L390" s="54" t="n">
        <x:v>1368.23</x:v>
      </x:c>
      <x:c r="M390" s="55" t="n">
        <x:v>0.004</x:v>
      </x:c>
      <x:c r="N390" s="54" t="n">
        <x:f>ROUND(J390*K390,2)</x:f>
        <x:v>2259.36</x:v>
      </x:c>
      <x:c r="O390" s="54" t="n">
        <x:f>ROUND(N390*(1-M390),2)</x:f>
        <x:v>2250.32</x:v>
      </x:c>
      <x:c r="P390" s="54" t="n">
        <x:f>ROUND(J390*L390,2)</x:f>
        <x:v>1368.23</x:v>
      </x:c>
      <x:c r="Q390" s="54" t="n">
        <x:f>ROUND(O390-P390,2)</x:f>
        <x:v>882.09</x:v>
      </x:c>
      <x:c r="R390" s="55" t="n">
        <x:f>IF(O390=0,0,ROUND(Q390/O390,4))</x:f>
        <x:v>0.392</x:v>
      </x:c>
      <x:c r="S390" s="53" t="n">
        <x:v>12</x:v>
      </x:c>
      <x:c r="T390" t="str">
        <x:v>Entregue com atraso</x:v>
      </x:c>
      <x:c r="U390" t="n">
        <x:v>4</x:v>
      </x:c>
      <x:c r="V390" t="str"/>
    </x:row>
    <x:row r="391">
      <x:c r="A391" s="52" t="n">
        <x:v>46123</x:v>
      </x:c>
      <x:c r="B391" t="str">
        <x:v>PED-100390</x:v>
      </x:c>
      <x:c r="C391" t="str">
        <x:v>Cliente 048</x:v>
      </x:c>
      <x:c r="D391" t="str">
        <x:v>SC</x:v>
      </x:c>
      <x:c r="E391" t="str">
        <x:v>Sul</x:v>
      </x:c>
      <x:c r="F391" t="str">
        <x:v>Televendas</x:v>
      </x:c>
      <x:c r="G391" t="str">
        <x:v>Acessórios</x:v>
      </x:c>
      <x:c r="H391" t="str">
        <x:v>Webcam HD</x:v>
      </x:c>
      <x:c r="I391" t="str">
        <x:v>Henrique</x:v>
      </x:c>
      <x:c r="J391" s="53" t="n">
        <x:v>7</x:v>
      </x:c>
      <x:c r="K391" s="54" t="n">
        <x:v>520.47</x:v>
      </x:c>
      <x:c r="L391" s="54" t="n">
        <x:v>239.14</x:v>
      </x:c>
      <x:c r="M391" s="55" t="n">
        <x:v>0.0574</x:v>
      </x:c>
      <x:c r="N391" s="54" t="n">
        <x:f>ROUND(J391*K391,2)</x:f>
        <x:v>3643.29</x:v>
      </x:c>
      <x:c r="O391" s="54" t="n">
        <x:f>ROUND(N391*(1-M391),2)</x:f>
        <x:v>3434.17</x:v>
      </x:c>
      <x:c r="P391" s="54" t="n">
        <x:f>ROUND(J391*L391,2)</x:f>
        <x:v>1673.98</x:v>
      </x:c>
      <x:c r="Q391" s="54" t="n">
        <x:f>ROUND(O391-P391,2)</x:f>
        <x:v>1760.19</x:v>
      </x:c>
      <x:c r="R391" s="55" t="n">
        <x:f>IF(O391=0,0,ROUND(Q391/O391,4))</x:f>
        <x:v>0.5126</x:v>
      </x:c>
      <x:c r="S391" s="53" t="n">
        <x:v>13</x:v>
      </x:c>
      <x:c r="T391" t="str">
        <x:v>Entregue com atraso</x:v>
      </x:c>
      <x:c r="U391" t="n">
        <x:v>4</x:v>
      </x:c>
      <x:c r="V391" t="str"/>
    </x:row>
    <x:row r="392">
      <x:c r="A392" s="52" t="n">
        <x:v>46170</x:v>
      </x:c>
      <x:c r="B392" t="str">
        <x:v>PED-100391</x:v>
      </x:c>
      <x:c r="C392" t="str">
        <x:v>Cliente 026</x:v>
      </x:c>
      <x:c r="D392" t="str">
        <x:v>PR</x:v>
      </x:c>
      <x:c r="E392" t="str">
        <x:v>Sul</x:v>
      </x:c>
      <x:c r="F392" t="str">
        <x:v>Televendas</x:v>
      </x:c>
      <x:c r="G392" t="str">
        <x:v>Acessórios</x:v>
      </x:c>
      <x:c r="H392" t="str">
        <x:v>Mochila Executiva</x:v>
      </x:c>
      <x:c r="I392" t="str">
        <x:v>Henrique</x:v>
      </x:c>
      <x:c r="J392" s="53" t="n">
        <x:v>2</x:v>
      </x:c>
      <x:c r="K392" s="54" t="n">
        <x:v>455.34</x:v>
      </x:c>
      <x:c r="L392" s="54" t="n">
        <x:v>197.31</x:v>
      </x:c>
      <x:c r="M392" s="55" t="n">
        <x:v>0.101</x:v>
      </x:c>
      <x:c r="N392" s="54" t="n">
        <x:f>ROUND(J392*K392,2)</x:f>
        <x:v>910.68</x:v>
      </x:c>
      <x:c r="O392" s="54" t="n">
        <x:f>ROUND(N392*(1-M392),2)</x:f>
        <x:v>818.7</x:v>
      </x:c>
      <x:c r="P392" s="54" t="n">
        <x:f>ROUND(J392*L392,2)</x:f>
        <x:v>394.62</x:v>
      </x:c>
      <x:c r="Q392" s="54" t="n">
        <x:f>ROUND(O392-P392,2)</x:f>
        <x:v>424.08</x:v>
      </x:c>
      <x:c r="R392" s="55" t="n">
        <x:f>IF(O392=0,0,ROUND(Q392/O392,4))</x:f>
        <x:v>0.518</x:v>
      </x:c>
      <x:c r="S392" s="53" t="n">
        <x:v>8</x:v>
      </x:c>
      <x:c r="T392" t="str">
        <x:v>Entregue</x:v>
      </x:c>
      <x:c r="U392" t="n">
        <x:v>4</x:v>
      </x:c>
      <x:c r="V392" t="str"/>
    </x:row>
    <x:row r="393">
      <x:c r="A393" s="52" t="n">
        <x:v>46115</x:v>
      </x:c>
      <x:c r="B393" t="str">
        <x:v>PED-100392</x:v>
      </x:c>
      <x:c r="C393" t="str">
        <x:v>Cliente 045</x:v>
      </x:c>
      <x:c r="D393" t="str">
        <x:v>MT</x:v>
      </x:c>
      <x:c r="E393" t="str">
        <x:v>Centro-Oeste</x:v>
      </x:c>
      <x:c r="F393" t="str">
        <x:v>Loja</x:v>
      </x:c>
      <x:c r="G393" t="str">
        <x:v>Tecnologia</x:v>
      </x:c>
      <x:c r="H393" t="str">
        <x:v>Notebook Pro</x:v>
      </x:c>
      <x:c r="I393" t="str">
        <x:v>Ana</x:v>
      </x:c>
      <x:c r="J393" s="53" t="n">
        <x:v>1</x:v>
      </x:c>
      <x:c r="K393" s="54" t="n">
        <x:v>5711.03</x:v>
      </x:c>
      <x:c r="L393" s="54" t="n">
        <x:v>4504.24</x:v>
      </x:c>
      <x:c r="M393" s="55" t="n">
        <x:v>0.0935</x:v>
      </x:c>
      <x:c r="N393" s="54" t="n">
        <x:f>ROUND(J393*K393,2)</x:f>
        <x:v>5711.03</x:v>
      </x:c>
      <x:c r="O393" s="54" t="n">
        <x:f>ROUND(N393*(1-M393),2)</x:f>
        <x:v>5177.05</x:v>
      </x:c>
      <x:c r="P393" s="54" t="n">
        <x:f>ROUND(J393*L393,2)</x:f>
        <x:v>4504.24</x:v>
      </x:c>
      <x:c r="Q393" s="54" t="n">
        <x:f>ROUND(O393-P393,2)</x:f>
        <x:v>672.81</x:v>
      </x:c>
      <x:c r="R393" s="55" t="n">
        <x:f>IF(O393=0,0,ROUND(Q393/O393,4))</x:f>
        <x:v>0.13</x:v>
      </x:c>
      <x:c r="S393" s="53" t="n">
        <x:v>8</x:v>
      </x:c>
      <x:c r="T393" t="str">
        <x:v>Entregue</x:v>
      </x:c>
      <x:c r="U393" t="n">
        <x:v>3</x:v>
      </x:c>
      <x:c r="V393" t="str"/>
    </x:row>
    <x:row r="394">
      <x:c r="A394" s="52" t="n">
        <x:v>46109</x:v>
      </x:c>
      <x:c r="B394" t="str">
        <x:v>PED-100393</x:v>
      </x:c>
      <x:c r="C394" t="str">
        <x:v>Cliente 083</x:v>
      </x:c>
      <x:c r="D394" t="str">
        <x:v>RS</x:v>
      </x:c>
      <x:c r="E394" t="str">
        <x:v>Sul</x:v>
      </x:c>
      <x:c r="F394" t="str">
        <x:v>Marketplace</x:v>
      </x:c>
      <x:c r="G394" t="str">
        <x:v>Casa</x:v>
      </x:c>
      <x:c r="H394" t="str">
        <x:v>Cafeteira Smart</x:v>
      </x:c>
      <x:c r="I394" t="str">
        <x:v>Felipe</x:v>
      </x:c>
      <x:c r="J394" s="53" t="n">
        <x:v>6</x:v>
      </x:c>
      <x:c r="K394" s="54" t="n">
        <x:v>747.29</x:v>
      </x:c>
      <x:c r="L394" s="54" t="n">
        <x:v>442.36</x:v>
      </x:c>
      <x:c r="M394" s="55" t="n">
        <x:v>0.035</x:v>
      </x:c>
      <x:c r="N394" s="54" t="n">
        <x:f>ROUND(J394*K394,2)</x:f>
        <x:v>4483.74</x:v>
      </x:c>
      <x:c r="O394" s="54" t="n">
        <x:f>ROUND(N394*(1-M394),2)</x:f>
        <x:v>4326.81</x:v>
      </x:c>
      <x:c r="P394" s="54" t="n">
        <x:f>ROUND(J394*L394,2)</x:f>
        <x:v>2654.16</x:v>
      </x:c>
      <x:c r="Q394" s="54" t="n">
        <x:f>ROUND(O394-P394,2)</x:f>
        <x:v>1672.65</x:v>
      </x:c>
      <x:c r="R394" s="55" t="n">
        <x:f>IF(O394=0,0,ROUND(Q394/O394,4))</x:f>
        <x:v>0.3866</x:v>
      </x:c>
      <x:c r="S394" s="53" t="n">
        <x:v>3</x:v>
      </x:c>
      <x:c r="T394" t="str">
        <x:v>Entregue</x:v>
      </x:c>
      <x:c r="U394" t="n">
        <x:v>5</x:v>
      </x:c>
      <x:c r="V394" t="str"/>
    </x:row>
    <x:row r="395">
      <x:c r="A395" s="52" t="n">
        <x:v>46042</x:v>
      </x:c>
      <x:c r="B395" t="str">
        <x:v>PED-100394</x:v>
      </x:c>
      <x:c r="C395" t="str">
        <x:v>Cliente 035</x:v>
      </x:c>
      <x:c r="D395" t="str">
        <x:v>BA</x:v>
      </x:c>
      <x:c r="E395" t="str">
        <x:v>Nordeste</x:v>
      </x:c>
      <x:c r="F395" t="str">
        <x:v>Loja</x:v>
      </x:c>
      <x:c r="G395" t="str">
        <x:v>Tecnologia</x:v>
      </x:c>
      <x:c r="H395" t="str">
        <x:v>Notebook Pro</x:v>
      </x:c>
      <x:c r="I395" t="str">
        <x:v>Carla</x:v>
      </x:c>
      <x:c r="J395" s="53" t="n">
        <x:v>7</x:v>
      </x:c>
      <x:c r="K395" s="54" t="n">
        <x:v>6054.5</x:v>
      </x:c>
      <x:c r="L395" s="54" t="n">
        <x:v>4365.69</x:v>
      </x:c>
      <x:c r="M395" s="55" t="n">
        <x:v>0.0979</x:v>
      </x:c>
      <x:c r="N395" s="54" t="n">
        <x:f>ROUND(J395*K395,2)</x:f>
        <x:v>42381.5</x:v>
      </x:c>
      <x:c r="O395" s="54" t="n">
        <x:f>ROUND(N395*(1-M395),2)</x:f>
        <x:v>38232.35</x:v>
      </x:c>
      <x:c r="P395" s="54" t="n">
        <x:f>ROUND(J395*L395,2)</x:f>
        <x:v>30559.83</x:v>
      </x:c>
      <x:c r="Q395" s="54" t="n">
        <x:f>ROUND(O395-P395,2)</x:f>
        <x:v>7672.52</x:v>
      </x:c>
      <x:c r="R395" s="55" t="n">
        <x:f>IF(O395=0,0,ROUND(Q395/O395,4))</x:f>
        <x:v>0.2007</x:v>
      </x:c>
      <x:c r="S395" s="53" t="n">
        <x:v>13</x:v>
      </x:c>
      <x:c r="T395" t="str">
        <x:v>Entregue com atraso</x:v>
      </x:c>
      <x:c r="U395" t="n">
        <x:v>3</x:v>
      </x:c>
      <x:c r="V395" t="str"/>
    </x:row>
    <x:row r="396">
      <x:c r="A396" s="52" t="n">
        <x:v>46099</x:v>
      </x:c>
      <x:c r="B396" t="str">
        <x:v>PED-100395</x:v>
      </x:c>
      <x:c r="C396" t="str">
        <x:v>Cliente 022</x:v>
      </x:c>
      <x:c r="D396" t="str">
        <x:v>AM</x:v>
      </x:c>
      <x:c r="E396" t="str">
        <x:v>Norte</x:v>
      </x:c>
      <x:c r="F396" t="str">
        <x:v>Marketplace</x:v>
      </x:c>
      <x:c r="G396" t="str">
        <x:v>Acessórios</x:v>
      </x:c>
      <x:c r="H396" t="str">
        <x:v>Webcam HD</x:v>
      </x:c>
      <x:c r="I396" t="str">
        <x:v>Felipe</x:v>
      </x:c>
      <x:c r="J396" s="53" t="n">
        <x:v>6</x:v>
      </x:c>
      <x:c r="K396" s="54" t="n">
        <x:v>491.47</x:v>
      </x:c>
      <x:c r="L396" s="54" t="n">
        <x:v>258.51</x:v>
      </x:c>
      <x:c r="M396" s="55" t="n">
        <x:v>0.4309</x:v>
      </x:c>
      <x:c r="N396" s="54" t="n">
        <x:f>ROUND(J396*K396,2)</x:f>
        <x:v>2948.82</x:v>
      </x:c>
      <x:c r="O396" s="54" t="n">
        <x:f>ROUND(N396*(1-M396),2)</x:f>
        <x:v>1678.17</x:v>
      </x:c>
      <x:c r="P396" s="54" t="n">
        <x:f>ROUND(J396*L396,2)</x:f>
        <x:v>1551.06</x:v>
      </x:c>
      <x:c r="Q396" s="54" t="n">
        <x:f>ROUND(O396-P396,2)</x:f>
        <x:v>127.11</x:v>
      </x:c>
      <x:c r="R396" s="55" t="n">
        <x:f>IF(O396=0,0,ROUND(Q396/O396,4))</x:f>
        <x:v>0.0757</x:v>
      </x:c>
      <x:c r="S396" s="53" t="n">
        <x:v>14</x:v>
      </x:c>
      <x:c r="T396" t="str">
        <x:v>Entregue com atraso</x:v>
      </x:c>
      <x:c r="U396" t="n">
        <x:v>5</x:v>
      </x:c>
      <x:c r="V396" t="str">
        <x:v>Desconto autorizado fora da campanha</x:v>
      </x:c>
    </x:row>
    <x:row r="397">
      <x:c r="A397" s="52" t="n">
        <x:v>46181</x:v>
      </x:c>
      <x:c r="B397" t="str">
        <x:v>PED-100396</x:v>
      </x:c>
      <x:c r="C397" t="str">
        <x:v>Cliente 044</x:v>
      </x:c>
      <x:c r="D397" t="str">
        <x:v>RJ</x:v>
      </x:c>
      <x:c r="E397" t="str">
        <x:v>Sudeste</x:v>
      </x:c>
      <x:c r="F397" t="str">
        <x:v>E-commerce</x:v>
      </x:c>
      <x:c r="G397" t="str">
        <x:v>Acessórios</x:v>
      </x:c>
      <x:c r="H397" t="str">
        <x:v>Mochila Executiva</x:v>
      </x:c>
      <x:c r="I397" t="str">
        <x:v>Diego</x:v>
      </x:c>
      <x:c r="J397" s="53" t="n">
        <x:v>6</x:v>
      </x:c>
      <x:c r="K397" s="54" t="n">
        <x:v>433.58</x:v>
      </x:c>
      <x:c r="L397" s="54" t="n">
        <x:v>198.02</x:v>
      </x:c>
      <x:c r="M397" s="55" t="n">
        <x:v>0</x:v>
      </x:c>
      <x:c r="N397" s="54" t="n">
        <x:f>ROUND(J397*K397,2)</x:f>
        <x:v>2601.48</x:v>
      </x:c>
      <x:c r="O397" s="54" t="n">
        <x:f>ROUND(N397*(1-M397),2)</x:f>
        <x:v>2601.48</x:v>
      </x:c>
      <x:c r="P397" s="54" t="n">
        <x:f>ROUND(J397*L397,2)</x:f>
        <x:v>1188.12</x:v>
      </x:c>
      <x:c r="Q397" s="54" t="n">
        <x:f>ROUND(O397-P397,2)</x:f>
        <x:v>1413.36</x:v>
      </x:c>
      <x:c r="R397" s="55" t="n">
        <x:f>IF(O397=0,0,ROUND(Q397/O397,4))</x:f>
        <x:v>0.5433</x:v>
      </x:c>
      <x:c r="S397" s="53" t="n">
        <x:v>7</x:v>
      </x:c>
      <x:c r="T397" t="str">
        <x:v>Entregue</x:v>
      </x:c>
      <x:c r="U397" t="n">
        <x:v>5</x:v>
      </x:c>
      <x:c r="V397" t="str"/>
    </x:row>
    <x:row r="398">
      <x:c r="A398" s="52" t="n">
        <x:v>46226</x:v>
      </x:c>
      <x:c r="B398" t="str">
        <x:v>PED-100397</x:v>
      </x:c>
      <x:c r="C398" t="str">
        <x:v>Cliente 113</x:v>
      </x:c>
      <x:c r="D398" t="str">
        <x:v>ES</x:v>
      </x:c>
      <x:c r="E398" t="str">
        <x:v>Sudeste</x:v>
      </x:c>
      <x:c r="F398" t="str">
        <x:v>Loja</x:v>
      </x:c>
      <x:c r="G398" t="str">
        <x:v>Casa</x:v>
      </x:c>
      <x:c r="H398" t="str">
        <x:v>Aspirador Robô</x:v>
      </x:c>
      <x:c r="I398" t="str">
        <x:v>Felipe</x:v>
      </x:c>
      <x:c r="J398" s="53" t="n">
        <x:v>2</x:v>
      </x:c>
      <x:c r="K398" s="54" t="n">
        <x:v>1883.26</x:v>
      </x:c>
      <x:c r="L398" s="54" t="n">
        <x:v>1172.13</x:v>
      </x:c>
      <x:c r="M398" s="55" t="n">
        <x:v>0</x:v>
      </x:c>
      <x:c r="N398" s="54" t="n">
        <x:f>ROUND(J398*K398,2)</x:f>
        <x:v>3766.52</x:v>
      </x:c>
      <x:c r="O398" s="54" t="n">
        <x:f>ROUND(N398*(1-M398),2)</x:f>
        <x:v>3766.52</x:v>
      </x:c>
      <x:c r="P398" s="54" t="n">
        <x:f>ROUND(J398*L398,2)</x:f>
        <x:v>2344.26</x:v>
      </x:c>
      <x:c r="Q398" s="54" t="n">
        <x:f>ROUND(O398-P398,2)</x:f>
        <x:v>1422.26</x:v>
      </x:c>
      <x:c r="R398" s="55" t="n">
        <x:f>IF(O398=0,0,ROUND(Q398/O398,4))</x:f>
        <x:v>0.3776</x:v>
      </x:c>
      <x:c r="S398" s="53" t="n">
        <x:v>7</x:v>
      </x:c>
      <x:c r="T398" t="str">
        <x:v>Entregue</x:v>
      </x:c>
      <x:c r="U398" t="n">
        <x:v>5</x:v>
      </x:c>
      <x:c r="V398" t="str"/>
    </x:row>
    <x:row r="399">
      <x:c r="A399" s="52" t="n">
        <x:v>46103</x:v>
      </x:c>
      <x:c r="B399" t="str">
        <x:v>PED-100398</x:v>
      </x:c>
      <x:c r="C399" t="str">
        <x:v>Cliente 067</x:v>
      </x:c>
      <x:c r="D399" t="str">
        <x:v>RJ</x:v>
      </x:c>
      <x:c r="E399" t="str">
        <x:v>Sudeste</x:v>
      </x:c>
      <x:c r="F399" t="str">
        <x:v>Televendas</x:v>
      </x:c>
      <x:c r="G399" t="str">
        <x:v>Escritório</x:v>
      </x:c>
      <x:c r="H399" t="str">
        <x:v>Luminária LED</x:v>
      </x:c>
      <x:c r="I399" t="str">
        <x:v>Elaine</x:v>
      </x:c>
      <x:c r="J399" s="53" t="n">
        <x:v>8</x:v>
      </x:c>
      <x:c r="K399" s="54" t="n">
        <x:v>257.34</x:v>
      </x:c>
      <x:c r="L399" s="54" t="n">
        <x:v>121.72</x:v>
      </x:c>
      <x:c r="M399" s="55" t="n">
        <x:v>0.015</x:v>
      </x:c>
      <x:c r="N399" s="54" t="n">
        <x:f>ROUND(J399*K399,2)</x:f>
        <x:v>2058.72</x:v>
      </x:c>
      <x:c r="O399" s="54" t="n">
        <x:f>ROUND(N399*(1-M399),2)</x:f>
        <x:v>2027.84</x:v>
      </x:c>
      <x:c r="P399" s="54" t="n">
        <x:f>ROUND(J399*L399,2)</x:f>
        <x:v>973.76</x:v>
      </x:c>
      <x:c r="Q399" s="54" t="n">
        <x:f>ROUND(O399-P399,2)</x:f>
        <x:v>1054.08</x:v>
      </x:c>
      <x:c r="R399" s="55" t="n">
        <x:f>IF(O399=0,0,ROUND(Q399/O399,4))</x:f>
        <x:v>0.5198</x:v>
      </x:c>
      <x:c r="S399" s="53" t="n">
        <x:v>13</x:v>
      </x:c>
      <x:c r="T399" t="str">
        <x:v>Entregue com atraso</x:v>
      </x:c>
      <x:c r="U399" t="n">
        <x:v>2</x:v>
      </x:c>
      <x:c r="V399" t="str"/>
    </x:row>
    <x:row r="400">
      <x:c r="A400" s="52" t="n">
        <x:v>46152</x:v>
      </x:c>
      <x:c r="B400" t="str">
        <x:v>PED-100399</x:v>
      </x:c>
      <x:c r="C400" t="str">
        <x:v>Cliente 049</x:v>
      </x:c>
      <x:c r="D400" t="str">
        <x:v>RS</x:v>
      </x:c>
      <x:c r="E400" t="str">
        <x:v>Sul</x:v>
      </x:c>
      <x:c r="F400" t="str">
        <x:v>E-commerce</x:v>
      </x:c>
      <x:c r="G400" t="str">
        <x:v>Escritório</x:v>
      </x:c>
      <x:c r="H400" t="str">
        <x:v>Cadeira Ergonômica</x:v>
      </x:c>
      <x:c r="I400" t="str">
        <x:v>Isabela</x:v>
      </x:c>
      <x:c r="J400" s="53" t="n">
        <x:v>7</x:v>
      </x:c>
      <x:c r="K400" s="54" t="n">
        <x:v>2193.56</x:v>
      </x:c>
      <x:c r="L400" s="54" t="n">
        <x:v>1359.75</x:v>
      </x:c>
      <x:c r="M400" s="55" t="n">
        <x:v>0</x:v>
      </x:c>
      <x:c r="N400" s="54" t="n">
        <x:f>ROUND(J400*K400,2)</x:f>
        <x:v>15354.92</x:v>
      </x:c>
      <x:c r="O400" s="54" t="n">
        <x:f>ROUND(N400*(1-M400),2)</x:f>
        <x:v>15354.92</x:v>
      </x:c>
      <x:c r="P400" s="54" t="n">
        <x:f>ROUND(J400*L400,2)</x:f>
        <x:v>9518.25</x:v>
      </x:c>
      <x:c r="Q400" s="54" t="n">
        <x:f>ROUND(O400-P400,2)</x:f>
        <x:v>5836.67</x:v>
      </x:c>
      <x:c r="R400" s="55" t="n">
        <x:f>IF(O400=0,0,ROUND(Q400/O400,4))</x:f>
        <x:v>0.3801</x:v>
      </x:c>
      <x:c r="S400" s="53" t="n">
        <x:v>11</x:v>
      </x:c>
      <x:c r="T400" t="str">
        <x:v>Entregue com atraso</x:v>
      </x:c>
      <x:c r="U400" t="n">
        <x:v>3</x:v>
      </x:c>
      <x:c r="V400" t="str"/>
    </x:row>
    <x:row r="401">
      <x:c r="A401" s="52" t="n">
        <x:v>46145</x:v>
      </x:c>
      <x:c r="B401" t="str">
        <x:v>PED-100400</x:v>
      </x:c>
      <x:c r="C401" t="str">
        <x:v>Cliente 022</x:v>
      </x:c>
      <x:c r="D401" t="str">
        <x:v>RS</x:v>
      </x:c>
      <x:c r="E401" t="str">
        <x:v>Sul</x:v>
      </x:c>
      <x:c r="F401" t="str">
        <x:v>E-commerce</x:v>
      </x:c>
      <x:c r="G401" t="str">
        <x:v>Acessórios</x:v>
      </x:c>
      <x:c r="H401" t="str">
        <x:v>Hub USB-C</x:v>
      </x:c>
      <x:c r="I401" t="str">
        <x:v>Gabriela</x:v>
      </x:c>
      <x:c r="J401" s="53" t="n">
        <x:v>3</x:v>
      </x:c>
      <x:c r="K401" s="54" t="n">
        <x:v>324.43</x:v>
      </x:c>
      <x:c r="L401" s="54" t="n">
        <x:v>132.73</x:v>
      </x:c>
      <x:c r="M401" s="55" t="n">
        <x:v>0</x:v>
      </x:c>
      <x:c r="N401" s="54" t="n">
        <x:f>ROUND(J401*K401,2)</x:f>
        <x:v>973.29</x:v>
      </x:c>
      <x:c r="O401" s="54" t="n">
        <x:f>ROUND(N401*(1-M401),2)</x:f>
        <x:v>973.29</x:v>
      </x:c>
      <x:c r="P401" s="54" t="n">
        <x:f>ROUND(J401*L401,2)</x:f>
        <x:v>398.19</x:v>
      </x:c>
      <x:c r="Q401" s="54" t="n">
        <x:f>ROUND(O401-P401,2)</x:f>
        <x:v>575.1</x:v>
      </x:c>
      <x:c r="R401" s="55" t="n">
        <x:f>IF(O401=0,0,ROUND(Q401/O401,4))</x:f>
        <x:v>0.5909</x:v>
      </x:c>
      <x:c r="S401" s="53" t="n">
        <x:v>14</x:v>
      </x:c>
      <x:c r="T401" t="str">
        <x:v>Entregue com atraso</x:v>
      </x:c>
      <x:c r="U401" t="n">
        <x:v>5</x:v>
      </x:c>
      <x:c r="V401" t="str"/>
    </x:row>
    <x:row r="402">
      <x:c r="A402" s="52" t="n">
        <x:v>46182</x:v>
      </x:c>
      <x:c r="B402" t="str">
        <x:v>PED-100401</x:v>
      </x:c>
      <x:c r="C402" t="str">
        <x:v>Cliente 032</x:v>
      </x:c>
      <x:c r="D402" t="str">
        <x:v>RJ</x:v>
      </x:c>
      <x:c r="E402" t="str">
        <x:v>Sudeste</x:v>
      </x:c>
      <x:c r="F402" t="str">
        <x:v>Loja</x:v>
      </x:c>
      <x:c r="G402" t="str">
        <x:v>Tecnologia</x:v>
      </x:c>
      <x:c r="H402" t="str">
        <x:v>Monitor 27</x:v>
      </x:c>
      <x:c r="I402" t="str">
        <x:v>João</x:v>
      </x:c>
      <x:c r="J402" s="53" t="n">
        <x:v>6</x:v>
      </x:c>
      <x:c r="K402" s="54" t="n">
        <x:v>1604.65</x:v>
      </x:c>
      <x:c r="L402" s="54" t="n">
        <x:v>1089.63</x:v>
      </x:c>
      <x:c r="M402" s="55" t="n">
        <x:v>0.0421</x:v>
      </x:c>
      <x:c r="N402" s="54" t="n">
        <x:f>ROUND(J402*K402,2)</x:f>
        <x:v>9627.9</x:v>
      </x:c>
      <x:c r="O402" s="54" t="n">
        <x:f>ROUND(N402*(1-M402),2)</x:f>
        <x:v>9222.57</x:v>
      </x:c>
      <x:c r="P402" s="54" t="n">
        <x:f>ROUND(J402*L402,2)</x:f>
        <x:v>6537.78</x:v>
      </x:c>
      <x:c r="Q402" s="54" t="n">
        <x:f>ROUND(O402-P402,2)</x:f>
        <x:v>2684.79</x:v>
      </x:c>
      <x:c r="R402" s="55" t="n">
        <x:f>IF(O402=0,0,ROUND(Q402/O402,4))</x:f>
        <x:v>0.2911</x:v>
      </x:c>
      <x:c r="S402" s="53" t="n">
        <x:v>13</x:v>
      </x:c>
      <x:c r="T402" t="str">
        <x:v>Entregue com atraso</x:v>
      </x:c>
      <x:c r="U402" t="n">
        <x:v>2</x:v>
      </x:c>
      <x:c r="V402" t="str"/>
    </x:row>
    <x:row r="403">
      <x:c r="A403" s="52" t="n">
        <x:v>46043</x:v>
      </x:c>
      <x:c r="B403" t="str">
        <x:v>PED-100402</x:v>
      </x:c>
      <x:c r="C403" t="str">
        <x:v>Cliente 022</x:v>
      </x:c>
      <x:c r="D403" t="str">
        <x:v>DF</x:v>
      </x:c>
      <x:c r="E403" t="str">
        <x:v>Centro-Oeste</x:v>
      </x:c>
      <x:c r="F403" t="str">
        <x:v>Marketplace</x:v>
      </x:c>
      <x:c r="G403" t="str">
        <x:v>Tecnologia</x:v>
      </x:c>
      <x:c r="H403" t="str">
        <x:v>Notebook Pro</x:v>
      </x:c>
      <x:c r="I403" t="str">
        <x:v>João</x:v>
      </x:c>
      <x:c r="J403" s="53" t="n">
        <x:v>3</x:v>
      </x:c>
      <x:c r="K403" s="54" t="n">
        <x:v>6242.19</x:v>
      </x:c>
      <x:c r="L403" s="54" t="n">
        <x:v>4484.84</x:v>
      </x:c>
      <x:c r="M403" s="55" t="n">
        <x:v>0.047</x:v>
      </x:c>
      <x:c r="N403" s="54" t="n">
        <x:f>ROUND(J403*K403,2)</x:f>
        <x:v>18726.57</x:v>
      </x:c>
      <x:c r="O403" s="54" t="n">
        <x:f>ROUND(N403*(1-M403),2)</x:f>
        <x:v>17846.42</x:v>
      </x:c>
      <x:c r="P403" s="54" t="n">
        <x:f>ROUND(J403*L403,2)</x:f>
        <x:v>13454.52</x:v>
      </x:c>
      <x:c r="Q403" s="54" t="n">
        <x:f>ROUND(O403-P403,2)</x:f>
        <x:v>4391.9</x:v>
      </x:c>
      <x:c r="R403" s="55" t="n">
        <x:f>IF(O403=0,0,ROUND(Q403/O403,4))</x:f>
        <x:v>0.2461</x:v>
      </x:c>
      <x:c r="S403" s="53" t="n">
        <x:v>5</x:v>
      </x:c>
      <x:c r="T403" t="str">
        <x:v>Entregue</x:v>
      </x:c>
      <x:c r="U403" t="n">
        <x:v>2</x:v>
      </x:c>
      <x:c r="V403" t="str"/>
    </x:row>
    <x:row r="404">
      <x:c r="A404" s="52" t="n">
        <x:v>46172</x:v>
      </x:c>
      <x:c r="B404" t="str">
        <x:v>PED-100403</x:v>
      </x:c>
      <x:c r="C404" t="str">
        <x:v>Cliente 061</x:v>
      </x:c>
      <x:c r="D404" t="str">
        <x:v>BA</x:v>
      </x:c>
      <x:c r="E404" t="str">
        <x:v>Nordeste</x:v>
      </x:c>
      <x:c r="F404" t="str">
        <x:v>Loja</x:v>
      </x:c>
      <x:c r="G404" t="str">
        <x:v>Casa</x:v>
      </x:c>
      <x:c r="H404" t="str">
        <x:v>Aspirador Robô</x:v>
      </x:c>
      <x:c r="I404" t="str">
        <x:v>Bruno</x:v>
      </x:c>
      <x:c r="J404" s="53" t="n">
        <x:v>4</x:v>
      </x:c>
      <x:c r="K404" s="54" t="n">
        <x:v>1921.41</x:v>
      </x:c>
      <x:c r="L404" s="54" t="n">
        <x:v>1248.76</x:v>
      </x:c>
      <x:c r="M404" s="55" t="n">
        <x:v>0</x:v>
      </x:c>
      <x:c r="N404" s="54" t="n">
        <x:f>ROUND(J404*K404,2)</x:f>
        <x:v>7685.64</x:v>
      </x:c>
      <x:c r="O404" s="54" t="n">
        <x:f>ROUND(N404*(1-M404),2)</x:f>
        <x:v>7685.64</x:v>
      </x:c>
      <x:c r="P404" s="54" t="n">
        <x:f>ROUND(J404*L404,2)</x:f>
        <x:v>4995.04</x:v>
      </x:c>
      <x:c r="Q404" s="54" t="n">
        <x:f>ROUND(O404-P404,2)</x:f>
        <x:v>2690.6</x:v>
      </x:c>
      <x:c r="R404" s="55" t="n">
        <x:f>IF(O404=0,0,ROUND(Q404/O404,4))</x:f>
        <x:v>0.3501</x:v>
      </x:c>
      <x:c r="S404" s="53" t="n">
        <x:v>7</x:v>
      </x:c>
      <x:c r="T404" t="str">
        <x:v>Entregue</x:v>
      </x:c>
      <x:c r="U404" t="n">
        <x:v>2</x:v>
      </x:c>
      <x:c r="V404" t="str"/>
    </x:row>
    <x:row r="405">
      <x:c r="A405" s="52" t="n">
        <x:v>46205</x:v>
      </x:c>
      <x:c r="B405" t="str">
        <x:v>PED-100404</x:v>
      </x:c>
      <x:c r="C405" t="str">
        <x:v>Cliente 013</x:v>
      </x:c>
      <x:c r="D405" t="str">
        <x:v>BA</x:v>
      </x:c>
      <x:c r="E405" t="str">
        <x:v>Nordeste</x:v>
      </x:c>
      <x:c r="F405" t="str">
        <x:v>Televendas</x:v>
      </x:c>
      <x:c r="G405" t="str">
        <x:v>Acessórios</x:v>
      </x:c>
      <x:c r="H405" t="str">
        <x:v>Webcam HD</x:v>
      </x:c>
      <x:c r="I405" t="str">
        <x:v>Elaine</x:v>
      </x:c>
      <x:c r="J405" s="53" t="n">
        <x:v>5</x:v>
      </x:c>
      <x:c r="K405" s="54" t="n">
        <x:v>527.07</x:v>
      </x:c>
      <x:c r="L405" s="54" t="n">
        <x:v>257.64</x:v>
      </x:c>
      <x:c r="M405" s="55" t="n">
        <x:v>0.0693</x:v>
      </x:c>
      <x:c r="N405" s="54" t="n">
        <x:f>ROUND(J405*K405,2)</x:f>
        <x:v>2635.35</x:v>
      </x:c>
      <x:c r="O405" s="54" t="n">
        <x:f>ROUND(N405*(1-M405),2)</x:f>
        <x:v>2452.72</x:v>
      </x:c>
      <x:c r="P405" s="54" t="n">
        <x:f>ROUND(J405*L405,2)</x:f>
        <x:v>1288.2</x:v>
      </x:c>
      <x:c r="Q405" s="54" t="n">
        <x:f>ROUND(O405-P405,2)</x:f>
        <x:v>1164.52</x:v>
      </x:c>
      <x:c r="R405" s="55" t="n">
        <x:f>IF(O405=0,0,ROUND(Q405/O405,4))</x:f>
        <x:v>0.4748</x:v>
      </x:c>
      <x:c r="S405" s="53" t="n">
        <x:v>8</x:v>
      </x:c>
      <x:c r="T405" t="str">
        <x:v>Entregue</x:v>
      </x:c>
      <x:c r="U405" t="n">
        <x:v>2</x:v>
      </x:c>
      <x:c r="V405" t="str"/>
    </x:row>
    <x:row r="406">
      <x:c r="A406" s="52" t="n">
        <x:v>46155</x:v>
      </x:c>
      <x:c r="B406" t="str">
        <x:v>PED-100405</x:v>
      </x:c>
      <x:c r="C406" t="str">
        <x:v>Cliente 031</x:v>
      </x:c>
      <x:c r="D406" t="str">
        <x:v>RJ</x:v>
      </x:c>
      <x:c r="E406" t="str">
        <x:v>Sudeste</x:v>
      </x:c>
      <x:c r="F406" t="str">
        <x:v>Televendas</x:v>
      </x:c>
      <x:c r="G406" t="str">
        <x:v>Escritório</x:v>
      </x:c>
      <x:c r="H406" t="str">
        <x:v>Cadeira Ergonômica</x:v>
      </x:c>
      <x:c r="I406" t="str">
        <x:v>Carla</x:v>
      </x:c>
      <x:c r="J406" s="53" t="n">
        <x:v>8</x:v>
      </x:c>
      <x:c r="K406" s="54" t="n">
        <x:v>2123.47</x:v>
      </x:c>
      <x:c r="L406" s="54" t="n">
        <x:v>1389.9</x:v>
      </x:c>
      <x:c r="M406" s="55" t="n">
        <x:v>0.012</x:v>
      </x:c>
      <x:c r="N406" s="54" t="n">
        <x:f>ROUND(J406*K406,2)</x:f>
        <x:v>16987.76</x:v>
      </x:c>
      <x:c r="O406" s="54" t="n">
        <x:f>ROUND(N406*(1-M406),2)</x:f>
        <x:v>16783.91</x:v>
      </x:c>
      <x:c r="P406" s="54" t="n">
        <x:f>ROUND(J406*L406,2)</x:f>
        <x:v>11119.2</x:v>
      </x:c>
      <x:c r="Q406" s="54" t="n">
        <x:f>ROUND(O406-P406,2)</x:f>
        <x:v>5664.71</x:v>
      </x:c>
      <x:c r="R406" s="55" t="n">
        <x:f>IF(O406=0,0,ROUND(Q406/O406,4))</x:f>
        <x:v>0.3375</x:v>
      </x:c>
      <x:c r="S406" s="53" t="n">
        <x:v>3</x:v>
      </x:c>
      <x:c r="T406" t="str">
        <x:v>Entregue</x:v>
      </x:c>
      <x:c r="U406" t="n">
        <x:v>2</x:v>
      </x:c>
      <x:c r="V406" t="str"/>
    </x:row>
    <x:row r="407">
      <x:c r="A407" s="52" t="n">
        <x:v>46036</x:v>
      </x:c>
      <x:c r="B407" t="str">
        <x:v>PED-100406</x:v>
      </x:c>
      <x:c r="C407" t="str">
        <x:v>Cliente 113</x:v>
      </x:c>
      <x:c r="D407" t="str">
        <x:v>MG</x:v>
      </x:c>
      <x:c r="E407" t="str">
        <x:v>Sudeste</x:v>
      </x:c>
      <x:c r="F407" t="str">
        <x:v>Marketplace</x:v>
      </x:c>
      <x:c r="G407" t="str">
        <x:v>Acessórios</x:v>
      </x:c>
      <x:c r="H407" t="str">
        <x:v>Webcam HD</x:v>
      </x:c>
      <x:c r="I407" t="str">
        <x:v>Carla</x:v>
      </x:c>
      <x:c r="J407" s="53" t="n">
        <x:v>1</x:v>
      </x:c>
      <x:c r="K407" s="54" t="n">
        <x:v>487.71</x:v>
      </x:c>
      <x:c r="L407" s="54" t="n">
        <x:v>239.02</x:v>
      </x:c>
      <x:c r="M407" s="55" t="n">
        <x:v>0.1195</x:v>
      </x:c>
      <x:c r="N407" s="54" t="n">
        <x:f>ROUND(J407*K407,2)</x:f>
        <x:v>487.71</x:v>
      </x:c>
      <x:c r="O407" s="54" t="n">
        <x:f>ROUND(N407*(1-M407),2)</x:f>
        <x:v>429.43</x:v>
      </x:c>
      <x:c r="P407" s="54" t="n">
        <x:f>ROUND(J407*L407,2)</x:f>
        <x:v>239.02</x:v>
      </x:c>
      <x:c r="Q407" s="54" t="n">
        <x:f>ROUND(O407-P407,2)</x:f>
        <x:v>190.41</x:v>
      </x:c>
      <x:c r="R407" s="55" t="n">
        <x:f>IF(O407=0,0,ROUND(Q407/O407,4))</x:f>
        <x:v>0.4434</x:v>
      </x:c>
      <x:c r="S407" s="53" t="n">
        <x:v>3</x:v>
      </x:c>
      <x:c r="T407" t="str">
        <x:v>Entregue</x:v>
      </x:c>
      <x:c r="U407" t="n">
        <x:v>4</x:v>
      </x:c>
      <x:c r="V407" t="str"/>
    </x:row>
    <x:row r="408">
      <x:c r="A408" s="52" t="n">
        <x:v>46057</x:v>
      </x:c>
      <x:c r="B408" t="str">
        <x:v>PED-100407</x:v>
      </x:c>
      <x:c r="C408" t="str">
        <x:v>Cliente 073</x:v>
      </x:c>
      <x:c r="D408" t="str">
        <x:v>RS</x:v>
      </x:c>
      <x:c r="E408" t="str">
        <x:v>Sul</x:v>
      </x:c>
      <x:c r="F408" t="str">
        <x:v>Televendas</x:v>
      </x:c>
      <x:c r="G408" t="str">
        <x:v>Acessórios</x:v>
      </x:c>
      <x:c r="H408" t="str">
        <x:v>Mochila Executiva</x:v>
      </x:c>
      <x:c r="I408" t="str">
        <x:v>Ana</x:v>
      </x:c>
      <x:c r="J408" s="53" t="n">
        <x:v>7</x:v>
      </x:c>
      <x:c r="K408" s="54" t="n">
        <x:v>447.14</x:v>
      </x:c>
      <x:c r="L408" s="54" t="n">
        <x:v>192.81</x:v>
      </x:c>
      <x:c r="M408" s="55" t="n">
        <x:v>0</x:v>
      </x:c>
      <x:c r="N408" s="54" t="n">
        <x:f>ROUND(J408*K408,2)</x:f>
        <x:v>3129.98</x:v>
      </x:c>
      <x:c r="O408" s="54" t="n">
        <x:f>ROUND(N408*(1-M408),2)</x:f>
        <x:v>3129.98</x:v>
      </x:c>
      <x:c r="P408" s="54" t="n">
        <x:f>ROUND(J408*L408,2)</x:f>
        <x:v>1349.67</x:v>
      </x:c>
      <x:c r="Q408" s="54" t="n">
        <x:f>ROUND(O408-P408,2)</x:f>
        <x:v>1780.31</x:v>
      </x:c>
      <x:c r="R408" s="55" t="n">
        <x:f>IF(O408=0,0,ROUND(Q408/O408,4))</x:f>
        <x:v>0.5688</x:v>
      </x:c>
      <x:c r="S408" s="53" t="n">
        <x:v>2</x:v>
      </x:c>
      <x:c r="T408" t="str">
        <x:v>Entregue</x:v>
      </x:c>
      <x:c r="U408" t="n">
        <x:v>2</x:v>
      </x:c>
      <x:c r="V408" t="str"/>
    </x:row>
    <x:row r="409">
      <x:c r="A409" s="52" t="n">
        <x:v>46180</x:v>
      </x:c>
      <x:c r="B409" t="str">
        <x:v>PED-100408</x:v>
      </x:c>
      <x:c r="C409" t="str">
        <x:v>Cliente 019</x:v>
      </x:c>
      <x:c r="D409" t="str">
        <x:v>PA</x:v>
      </x:c>
      <x:c r="E409" t="str">
        <x:v>Norte</x:v>
      </x:c>
      <x:c r="F409" t="str">
        <x:v>Televendas</x:v>
      </x:c>
      <x:c r="G409" t="str">
        <x:v>Acessórios</x:v>
      </x:c>
      <x:c r="H409" t="str">
        <x:v>Webcam HD</x:v>
      </x:c>
      <x:c r="I409" t="str">
        <x:v>Ana</x:v>
      </x:c>
      <x:c r="J409" s="53" t="n">
        <x:v>3</x:v>
      </x:c>
      <x:c r="K409" s="54" t="n">
        <x:v>480.33</x:v>
      </x:c>
      <x:c r="L409" s="54" t="n">
        <x:v>242.32</x:v>
      </x:c>
      <x:c r="M409" s="55" t="n">
        <x:v>0</x:v>
      </x:c>
      <x:c r="N409" s="54" t="n">
        <x:f>ROUND(J409*K409,2)</x:f>
        <x:v>1440.99</x:v>
      </x:c>
      <x:c r="O409" s="54" t="n">
        <x:f>ROUND(N409*(1-M409),2)</x:f>
        <x:v>1440.99</x:v>
      </x:c>
      <x:c r="P409" s="54" t="n">
        <x:f>ROUND(J409*L409,2)</x:f>
        <x:v>726.96</x:v>
      </x:c>
      <x:c r="Q409" s="54" t="n">
        <x:f>ROUND(O409-P409,2)</x:f>
        <x:v>714.03</x:v>
      </x:c>
      <x:c r="R409" s="55" t="n">
        <x:f>IF(O409=0,0,ROUND(Q409/O409,4))</x:f>
        <x:v>0.4955</x:v>
      </x:c>
      <x:c r="S409" s="53" t="n">
        <x:v>6</x:v>
      </x:c>
      <x:c r="T409" t="str">
        <x:v>Entregue</x:v>
      </x:c>
      <x:c r="U409" t="n">
        <x:v>5</x:v>
      </x:c>
      <x:c r="V409" t="str"/>
    </x:row>
    <x:row r="410">
      <x:c r="A410" s="52" t="n">
        <x:v>46110</x:v>
      </x:c>
      <x:c r="B410" t="str">
        <x:v>PED-100409</x:v>
      </x:c>
      <x:c r="C410" t="str">
        <x:v>Cliente 039</x:v>
      </x:c>
      <x:c r="D410" t="str">
        <x:v>MA</x:v>
      </x:c>
      <x:c r="E410" t="str">
        <x:v>Nordeste</x:v>
      </x:c>
      <x:c r="F410" t="str">
        <x:v>Televendas</x:v>
      </x:c>
      <x:c r="G410" t="str">
        <x:v>Escritório</x:v>
      </x:c>
      <x:c r="H410" t="str">
        <x:v>Luminária LED</x:v>
      </x:c>
      <x:c r="I410" t="str">
        <x:v>Ana</x:v>
      </x:c>
      <x:c r="J410" s="53" t="n">
        <x:v>8</x:v>
      </x:c>
      <x:c r="K410" s="54" t="n">
        <x:v>245.1</x:v>
      </x:c>
      <x:c r="L410" s="54" t="n">
        <x:v>127.59</x:v>
      </x:c>
      <x:c r="M410" s="55" t="n">
        <x:v>0.0243</x:v>
      </x:c>
      <x:c r="N410" s="54" t="n">
        <x:f>ROUND(J410*K410,2)</x:f>
        <x:v>1960.8</x:v>
      </x:c>
      <x:c r="O410" s="54" t="n">
        <x:f>ROUND(N410*(1-M410),2)</x:f>
        <x:v>1913.15</x:v>
      </x:c>
      <x:c r="P410" s="54" t="n">
        <x:f>ROUND(J410*L410,2)</x:f>
        <x:v>1020.72</x:v>
      </x:c>
      <x:c r="Q410" s="54" t="n">
        <x:f>ROUND(O410-P410,2)</x:f>
        <x:v>892.43</x:v>
      </x:c>
      <x:c r="R410" s="55" t="n">
        <x:f>IF(O410=0,0,ROUND(Q410/O410,4))</x:f>
        <x:v>0.4665</x:v>
      </x:c>
      <x:c r="S410" s="53" t="n">
        <x:v>2</x:v>
      </x:c>
      <x:c r="T410" t="str">
        <x:v>Entregue</x:v>
      </x:c>
      <x:c r="U410" t="n">
        <x:v>2</x:v>
      </x:c>
      <x:c r="V410" t="str"/>
    </x:row>
    <x:row r="411">
      <x:c r="A411" s="52" t="n">
        <x:v>46091</x:v>
      </x:c>
      <x:c r="B411" t="str">
        <x:v>PED-100410</x:v>
      </x:c>
      <x:c r="C411" t="str">
        <x:v>Cliente 084</x:v>
      </x:c>
      <x:c r="D411" t="str">
        <x:v>RJ</x:v>
      </x:c>
      <x:c r="E411" t="str">
        <x:v>Sudeste</x:v>
      </x:c>
      <x:c r="F411" t="str">
        <x:v>Televendas</x:v>
      </x:c>
      <x:c r="G411" t="str">
        <x:v>Escritório</x:v>
      </x:c>
      <x:c r="H411" t="str">
        <x:v>Cadeira Ergonômica</x:v>
      </x:c>
      <x:c r="I411" t="str">
        <x:v>Gabriela</x:v>
      </x:c>
      <x:c r="J411" s="53" t="n">
        <x:v>7</x:v>
      </x:c>
      <x:c r="K411" s="54" t="n">
        <x:v>2108.98</x:v>
      </x:c>
      <x:c r="L411" s="54" t="n">
        <x:v>1386.57</x:v>
      </x:c>
      <x:c r="M411" s="55" t="n">
        <x:v>0</x:v>
      </x:c>
      <x:c r="N411" s="54" t="n">
        <x:f>ROUND(J411*K411,2)</x:f>
        <x:v>14762.86</x:v>
      </x:c>
      <x:c r="O411" s="54" t="n">
        <x:f>ROUND(N411*(1-M411),2)</x:f>
        <x:v>14762.86</x:v>
      </x:c>
      <x:c r="P411" s="54" t="n">
        <x:f>ROUND(J411*L411,2)</x:f>
        <x:v>9705.99</x:v>
      </x:c>
      <x:c r="Q411" s="54" t="n">
        <x:f>ROUND(O411-P411,2)</x:f>
        <x:v>5056.87</x:v>
      </x:c>
      <x:c r="R411" s="55" t="n">
        <x:f>IF(O411=0,0,ROUND(Q411/O411,4))</x:f>
        <x:v>0.3425</x:v>
      </x:c>
      <x:c r="S411" s="53" t="n">
        <x:v>10</x:v>
      </x:c>
      <x:c r="T411" t="str">
        <x:v>Entregue</x:v>
      </x:c>
      <x:c r="U411" t="n">
        <x:v>3</x:v>
      </x:c>
      <x:c r="V411" t="str"/>
    </x:row>
    <x:row r="412">
      <x:c r="A412" s="52" t="n">
        <x:v>46098</x:v>
      </x:c>
      <x:c r="B412" t="str">
        <x:v>PED-100411</x:v>
      </x:c>
      <x:c r="C412" t="str">
        <x:v>Cliente 107</x:v>
      </x:c>
      <x:c r="D412" t="str">
        <x:v>DF</x:v>
      </x:c>
      <x:c r="E412" t="str">
        <x:v>Centro-Oeste</x:v>
      </x:c>
      <x:c r="F412" t="str">
        <x:v>Marketplace</x:v>
      </x:c>
      <x:c r="G412" t="str">
        <x:v>Tecnologia</x:v>
      </x:c>
      <x:c r="H412" t="str">
        <x:v>Notebook Pro</x:v>
      </x:c>
      <x:c r="I412" t="str">
        <x:v>Elaine</x:v>
      </x:c>
      <x:c r="J412" s="53" t="n">
        <x:v>8</x:v>
      </x:c>
      <x:c r="K412" s="54" t="n">
        <x:v>5791.6</x:v>
      </x:c>
      <x:c r="L412" s="54" t="n">
        <x:v>4198.49</x:v>
      </x:c>
      <x:c r="M412" s="55" t="n">
        <x:v>0.035</x:v>
      </x:c>
      <x:c r="N412" s="54" t="n">
        <x:f>ROUND(J412*K412,2)</x:f>
        <x:v>46332.8</x:v>
      </x:c>
      <x:c r="O412" s="54" t="n">
        <x:f>ROUND(N412*(1-M412),2)</x:f>
        <x:v>44711.15</x:v>
      </x:c>
      <x:c r="P412" s="54" t="n">
        <x:f>ROUND(J412*L412,2)</x:f>
        <x:v>33587.92</x:v>
      </x:c>
      <x:c r="Q412" s="54" t="n">
        <x:f>ROUND(O412-P412,2)</x:f>
        <x:v>11123.23</x:v>
      </x:c>
      <x:c r="R412" s="55" t="n">
        <x:f>IF(O412=0,0,ROUND(Q412/O412,4))</x:f>
        <x:v>0.2488</x:v>
      </x:c>
      <x:c r="S412" s="53" t="n">
        <x:v>9</x:v>
      </x:c>
      <x:c r="T412" t="str">
        <x:v>Entregue</x:v>
      </x:c>
      <x:c r="U412" t="n">
        <x:v>4</x:v>
      </x:c>
      <x:c r="V412" t="str"/>
    </x:row>
    <x:row r="413">
      <x:c r="A413" s="52" t="n">
        <x:v>46168</x:v>
      </x:c>
      <x:c r="B413" t="str">
        <x:v>PED-100412</x:v>
      </x:c>
      <x:c r="C413" t="str">
        <x:v>Cliente 120</x:v>
      </x:c>
      <x:c r="D413" t="str">
        <x:v>GO</x:v>
      </x:c>
      <x:c r="E413" t="str">
        <x:v>Centro-Oeste</x:v>
      </x:c>
      <x:c r="F413" t="str">
        <x:v>E-commerce</x:v>
      </x:c>
      <x:c r="G413" t="str">
        <x:v>Escritório</x:v>
      </x:c>
      <x:c r="H413" t="str">
        <x:v>Cadeira Ergonômica</x:v>
      </x:c>
      <x:c r="I413" t="str">
        <x:v>Elaine</x:v>
      </x:c>
      <x:c r="J413" s="53" t="n">
        <x:v>3</x:v>
      </x:c>
      <x:c r="K413" s="54" t="n">
        <x:v>2159.9</x:v>
      </x:c>
      <x:c r="L413" s="54" t="n">
        <x:v>1418.47</x:v>
      </x:c>
      <x:c r="M413" s="55" t="n">
        <x:v>0.0736</x:v>
      </x:c>
      <x:c r="N413" s="54" t="n">
        <x:f>ROUND(J413*K413,2)</x:f>
        <x:v>6479.7</x:v>
      </x:c>
      <x:c r="O413" s="54" t="n">
        <x:f>ROUND(N413*(1-M413),2)</x:f>
        <x:v>6002.79</x:v>
      </x:c>
      <x:c r="P413" s="54" t="n">
        <x:f>ROUND(J413*L413,2)</x:f>
        <x:v>4255.41</x:v>
      </x:c>
      <x:c r="Q413" s="54" t="n">
        <x:f>ROUND(O413-P413,2)</x:f>
        <x:v>1747.38</x:v>
      </x:c>
      <x:c r="R413" s="55" t="n">
        <x:f>IF(O413=0,0,ROUND(Q413/O413,4))</x:f>
        <x:v>0.2911</x:v>
      </x:c>
      <x:c r="S413" s="53" t="n">
        <x:v>7</x:v>
      </x:c>
      <x:c r="T413" t="str">
        <x:v>Entregue</x:v>
      </x:c>
      <x:c r="U413" t="n">
        <x:v>2</x:v>
      </x:c>
      <x:c r="V413" t="str"/>
    </x:row>
    <x:row r="414">
      <x:c r="A414" s="52" t="n">
        <x:v>46121</x:v>
      </x:c>
      <x:c r="B414" t="str">
        <x:v>PED-100413</x:v>
      </x:c>
      <x:c r="C414" t="str">
        <x:v>Cliente 027</x:v>
      </x:c>
      <x:c r="D414" t="str">
        <x:v>ES</x:v>
      </x:c>
      <x:c r="E414" t="str">
        <x:v>Sudeste</x:v>
      </x:c>
      <x:c r="F414" t="str">
        <x:v>Loja</x:v>
      </x:c>
      <x:c r="G414" t="str">
        <x:v>Escritório</x:v>
      </x:c>
      <x:c r="H414" t="str">
        <x:v>Mesa Ajustável</x:v>
      </x:c>
      <x:c r="I414" t="str">
        <x:v>Felipe</x:v>
      </x:c>
      <x:c r="J414" s="53" t="n">
        <x:v>3</x:v>
      </x:c>
      <x:c r="K414" s="54" t="n">
        <x:v>2921.15</x:v>
      </x:c>
      <x:c r="L414" s="54" t="n">
        <x:v>1740.75</x:v>
      </x:c>
      <x:c r="M414" s="55" t="n">
        <x:v>0</x:v>
      </x:c>
      <x:c r="N414" s="54" t="n">
        <x:f>ROUND(J414*K414,2)</x:f>
        <x:v>8763.45</x:v>
      </x:c>
      <x:c r="O414" s="54" t="n">
        <x:f>ROUND(N414*(1-M414),2)</x:f>
        <x:v>8763.45</x:v>
      </x:c>
      <x:c r="P414" s="54" t="n">
        <x:f>ROUND(J414*L414,2)</x:f>
        <x:v>5222.25</x:v>
      </x:c>
      <x:c r="Q414" s="54" t="n">
        <x:f>ROUND(O414-P414,2)</x:f>
        <x:v>3541.2</x:v>
      </x:c>
      <x:c r="R414" s="55" t="n">
        <x:f>IF(O414=0,0,ROUND(Q414/O414,4))</x:f>
        <x:v>0.4041</x:v>
      </x:c>
      <x:c r="S414" s="53" t="n">
        <x:v>11</x:v>
      </x:c>
      <x:c r="T414" t="str">
        <x:v>Entregue com atraso</x:v>
      </x:c>
      <x:c r="U414" t="n">
        <x:v>2</x:v>
      </x:c>
      <x:c r="V414" t="str"/>
    </x:row>
    <x:row r="415">
      <x:c r="A415" s="52" t="n">
        <x:v>46119</x:v>
      </x:c>
      <x:c r="B415" t="str">
        <x:v>PED-100414</x:v>
      </x:c>
      <x:c r="C415" t="str">
        <x:v>Cliente 104</x:v>
      </x:c>
      <x:c r="D415" t="str">
        <x:v>MG</x:v>
      </x:c>
      <x:c r="E415" t="str">
        <x:v>Sudeste</x:v>
      </x:c>
      <x:c r="F415" t="str">
        <x:v>Televendas</x:v>
      </x:c>
      <x:c r="G415" t="str">
        <x:v>Escritório</x:v>
      </x:c>
      <x:c r="H415" t="str">
        <x:v>Luminária LED</x:v>
      </x:c>
      <x:c r="I415" t="str">
        <x:v>João</x:v>
      </x:c>
      <x:c r="J415" s="53" t="n">
        <x:v>1</x:v>
      </x:c>
      <x:c r="K415" s="54" t="n">
        <x:v>250.82</x:v>
      </x:c>
      <x:c r="L415" s="54" t="n">
        <x:v>123.7</x:v>
      </x:c>
      <x:c r="M415" s="55" t="n">
        <x:v>0</x:v>
      </x:c>
      <x:c r="N415" s="54" t="n">
        <x:f>ROUND(J415*K415,2)</x:f>
        <x:v>250.82</x:v>
      </x:c>
      <x:c r="O415" s="54" t="n">
        <x:f>ROUND(N415*(1-M415),2)</x:f>
        <x:v>250.82</x:v>
      </x:c>
      <x:c r="P415" s="54" t="n">
        <x:f>ROUND(J415*L415,2)</x:f>
        <x:v>123.7</x:v>
      </x:c>
      <x:c r="Q415" s="54" t="n">
        <x:f>ROUND(O415-P415,2)</x:f>
        <x:v>127.12</x:v>
      </x:c>
      <x:c r="R415" s="55" t="n">
        <x:f>IF(O415=0,0,ROUND(Q415/O415,4))</x:f>
        <x:v>0.5068</x:v>
      </x:c>
      <x:c r="S415" s="53" t="n">
        <x:v>6</x:v>
      </x:c>
      <x:c r="T415" t="str">
        <x:v>Entregue</x:v>
      </x:c>
      <x:c r="U415" t="n">
        <x:v>5</x:v>
      </x:c>
      <x:c r="V415" t="str"/>
    </x:row>
    <x:row r="416">
      <x:c r="A416" s="52" t="n">
        <x:v>46214</x:v>
      </x:c>
      <x:c r="B416" t="str">
        <x:v>PED-100415</x:v>
      </x:c>
      <x:c r="C416" t="str">
        <x:v>Cliente 100</x:v>
      </x:c>
      <x:c r="D416" t="str">
        <x:v>MA</x:v>
      </x:c>
      <x:c r="E416" t="str">
        <x:v>Nordeste</x:v>
      </x:c>
      <x:c r="F416" t="str">
        <x:v>Televendas</x:v>
      </x:c>
      <x:c r="G416" t="str">
        <x:v>Casa</x:v>
      </x:c>
      <x:c r="H416" t="str">
        <x:v>Purificador</x:v>
      </x:c>
      <x:c r="I416" t="str">
        <x:v>Isabela</x:v>
      </x:c>
      <x:c r="J416" s="53" t="n">
        <x:v>2</x:v>
      </x:c>
      <x:c r="K416" s="54" t="n">
        <x:v>1321.27</x:v>
      </x:c>
      <x:c r="L416" s="54" t="n">
        <x:v>828.06</x:v>
      </x:c>
      <x:c r="M416" s="55" t="n">
        <x:v>0</x:v>
      </x:c>
      <x:c r="N416" s="54" t="n">
        <x:f>ROUND(J416*K416,2)</x:f>
        <x:v>2642.54</x:v>
      </x:c>
      <x:c r="O416" s="54" t="n">
        <x:f>ROUND(N416*(1-M416),2)</x:f>
        <x:v>2642.54</x:v>
      </x:c>
      <x:c r="P416" s="54" t="n">
        <x:f>ROUND(J416*L416,2)</x:f>
        <x:v>1656.12</x:v>
      </x:c>
      <x:c r="Q416" s="54" t="n">
        <x:f>ROUND(O416-P416,2)</x:f>
        <x:v>986.42</x:v>
      </x:c>
      <x:c r="R416" s="55" t="n">
        <x:f>IF(O416=0,0,ROUND(Q416/O416,4))</x:f>
        <x:v>0.3733</x:v>
      </x:c>
      <x:c r="S416" s="53" t="n">
        <x:v>8</x:v>
      </x:c>
      <x:c r="T416" t="str">
        <x:v>Entregue</x:v>
      </x:c>
      <x:c r="U416" t="n">
        <x:v>3</x:v>
      </x:c>
      <x:c r="V416" t="str"/>
    </x:row>
    <x:row r="417">
      <x:c r="A417" s="52" t="n">
        <x:v>46049</x:v>
      </x:c>
      <x:c r="B417" t="str">
        <x:v>PED-100416</x:v>
      </x:c>
      <x:c r="C417" t="str">
        <x:v>Cliente 032</x:v>
      </x:c>
      <x:c r="D417" t="str">
        <x:v>RJ</x:v>
      </x:c>
      <x:c r="E417" t="str">
        <x:v>Sudeste</x:v>
      </x:c>
      <x:c r="F417" t="str">
        <x:v>E-commerce</x:v>
      </x:c>
      <x:c r="G417" t="str">
        <x:v>Acessórios</x:v>
      </x:c>
      <x:c r="H417" t="str">
        <x:v>Mochila Executiva</x:v>
      </x:c>
      <x:c r="I417" t="str">
        <x:v>Gabriela</x:v>
      </x:c>
      <x:c r="J417" s="53" t="n">
        <x:v>2</x:v>
      </x:c>
      <x:c r="K417" s="54" t="n">
        <x:v>444.28</x:v>
      </x:c>
      <x:c r="L417" s="54" t="n">
        <x:v>188.94</x:v>
      </x:c>
      <x:c r="M417" s="55" t="n">
        <x:v>0</x:v>
      </x:c>
      <x:c r="N417" s="54" t="n">
        <x:f>ROUND(J417*K417,2)</x:f>
        <x:v>888.56</x:v>
      </x:c>
      <x:c r="O417" s="54" t="n">
        <x:f>ROUND(N417*(1-M417),2)</x:f>
        <x:v>888.56</x:v>
      </x:c>
      <x:c r="P417" s="54" t="n">
        <x:f>ROUND(J417*L417,2)</x:f>
        <x:v>377.88</x:v>
      </x:c>
      <x:c r="Q417" s="54" t="n">
        <x:f>ROUND(O417-P417,2)</x:f>
        <x:v>510.68</x:v>
      </x:c>
      <x:c r="R417" s="55" t="n">
        <x:f>IF(O417=0,0,ROUND(Q417/O417,4))</x:f>
        <x:v>0.5747</x:v>
      </x:c>
      <x:c r="S417" s="53" t="n">
        <x:v>11</x:v>
      </x:c>
      <x:c r="T417" t="str">
        <x:v>Entregue com atraso</x:v>
      </x:c>
      <x:c r="U417" t="n">
        <x:v>5</x:v>
      </x:c>
      <x:c r="V417" t="str"/>
    </x:row>
    <x:row r="418">
      <x:c r="A418" s="52" t="n">
        <x:v>46073</x:v>
      </x:c>
      <x:c r="B418" t="str">
        <x:v>PED-100417</x:v>
      </x:c>
      <x:c r="C418" t="str">
        <x:v>Cliente 045</x:v>
      </x:c>
      <x:c r="D418" t="str">
        <x:v>AM</x:v>
      </x:c>
      <x:c r="E418" t="str">
        <x:v>Norte</x:v>
      </x:c>
      <x:c r="F418" t="str">
        <x:v>Marketplace</x:v>
      </x:c>
      <x:c r="G418" t="str">
        <x:v>Tecnologia</x:v>
      </x:c>
      <x:c r="H418" t="str">
        <x:v>Headset Office</x:v>
      </x:c>
      <x:c r="I418" t="str">
        <x:v>Ana</x:v>
      </x:c>
      <x:c r="J418" s="53" t="n">
        <x:v>2</x:v>
      </x:c>
      <x:c r="K418" s="54" t="n">
        <x:v>387.74</x:v>
      </x:c>
      <x:c r="L418" s="54" t="n">
        <x:v>214.66</x:v>
      </x:c>
      <x:c r="M418" s="55" t="n">
        <x:v>0.035</x:v>
      </x:c>
      <x:c r="N418" s="54" t="n">
        <x:f>ROUND(J418*K418,2)</x:f>
        <x:v>775.48</x:v>
      </x:c>
      <x:c r="O418" s="54" t="n">
        <x:f>ROUND(N418*(1-M418),2)</x:f>
        <x:v>748.34</x:v>
      </x:c>
      <x:c r="P418" s="54" t="n">
        <x:f>ROUND(J418*L418,2)</x:f>
        <x:v>429.32</x:v>
      </x:c>
      <x:c r="Q418" s="54" t="n">
        <x:f>ROUND(O418-P418,2)</x:f>
        <x:v>319.02</x:v>
      </x:c>
      <x:c r="R418" s="55" t="n">
        <x:f>IF(O418=0,0,ROUND(Q418/O418,4))</x:f>
        <x:v>0.4263</x:v>
      </x:c>
      <x:c r="S418" s="53" t="n">
        <x:v>14</x:v>
      </x:c>
      <x:c r="T418" t="str">
        <x:v>Entregue com atraso</x:v>
      </x:c>
      <x:c r="U418" t="n">
        <x:v>2</x:v>
      </x:c>
      <x:c r="V418" t="str"/>
    </x:row>
    <x:row r="419">
      <x:c r="A419" s="52" t="n">
        <x:v>46126</x:v>
      </x:c>
      <x:c r="B419" t="str">
        <x:v>PED-100418</x:v>
      </x:c>
      <x:c r="C419" t="str">
        <x:v>Cliente 018</x:v>
      </x:c>
      <x:c r="D419" t="str">
        <x:v>MA</x:v>
      </x:c>
      <x:c r="E419" t="str">
        <x:v>Nordeste</x:v>
      </x:c>
      <x:c r="F419" t="str">
        <x:v>Televendas</x:v>
      </x:c>
      <x:c r="G419" t="str">
        <x:v>Escritório</x:v>
      </x:c>
      <x:c r="H419" t="str">
        <x:v>Mesa Ajustável</x:v>
      </x:c>
      <x:c r="I419" t="str">
        <x:v>Diego</x:v>
      </x:c>
      <x:c r="J419" s="53" t="n">
        <x:v>3</x:v>
      </x:c>
      <x:c r="K419" s="54" t="n">
        <x:v>2842.8</x:v>
      </x:c>
      <x:c r="L419" s="54" t="n">
        <x:v>1875.92</x:v>
      </x:c>
      <x:c r="M419" s="55" t="n">
        <x:v>0</x:v>
      </x:c>
      <x:c r="N419" s="54" t="n">
        <x:f>ROUND(J419*K419,2)</x:f>
        <x:v>8528.4</x:v>
      </x:c>
      <x:c r="O419" s="54" t="n">
        <x:f>ROUND(N419*(1-M419),2)</x:f>
        <x:v>8528.4</x:v>
      </x:c>
      <x:c r="P419" s="54" t="n">
        <x:f>ROUND(J419*L419,2)</x:f>
        <x:v>5627.76</x:v>
      </x:c>
      <x:c r="Q419" s="54" t="n">
        <x:f>ROUND(O419-P419,2)</x:f>
        <x:v>2900.64</x:v>
      </x:c>
      <x:c r="R419" s="55" t="n">
        <x:f>IF(O419=0,0,ROUND(Q419/O419,4))</x:f>
        <x:v>0.3401</x:v>
      </x:c>
      <x:c r="S419" s="53" t="n">
        <x:v>6</x:v>
      </x:c>
      <x:c r="T419" t="str">
        <x:v>Entregue</x:v>
      </x:c>
      <x:c r="U419" t="n">
        <x:v>4</x:v>
      </x:c>
      <x:c r="V419" t="str"/>
    </x:row>
    <x:row r="420">
      <x:c r="A420" s="52" t="n">
        <x:v>46074</x:v>
      </x:c>
      <x:c r="B420" t="str">
        <x:v>PED-100419</x:v>
      </x:c>
      <x:c r="C420" t="str">
        <x:v>Cliente 024</x:v>
      </x:c>
      <x:c r="D420" t="str">
        <x:v>AM</x:v>
      </x:c>
      <x:c r="E420" t="str">
        <x:v>Norte</x:v>
      </x:c>
      <x:c r="F420" t="str">
        <x:v>Televendas</x:v>
      </x:c>
      <x:c r="G420" t="str">
        <x:v>Tecnologia</x:v>
      </x:c>
      <x:c r="H420" t="str">
        <x:v>Notebook Pro</x:v>
      </x:c>
      <x:c r="I420" t="str">
        <x:v>Elaine</x:v>
      </x:c>
      <x:c r="J420" s="53" t="n">
        <x:v>8</x:v>
      </x:c>
      <x:c r="K420" s="54" t="n">
        <x:v>5620.46</x:v>
      </x:c>
      <x:c r="L420" s="54" t="n">
        <x:v>4433.76</x:v>
      </x:c>
      <x:c r="M420" s="55" t="n">
        <x:v>0.0622</x:v>
      </x:c>
      <x:c r="N420" s="54" t="n">
        <x:f>ROUND(J420*K420,2)</x:f>
        <x:v>44963.68</x:v>
      </x:c>
      <x:c r="O420" s="54" t="n">
        <x:f>ROUND(N420*(1-M420),2)</x:f>
        <x:v>42166.94</x:v>
      </x:c>
      <x:c r="P420" s="54" t="n">
        <x:f>ROUND(J420*L420,2)</x:f>
        <x:v>35470.08</x:v>
      </x:c>
      <x:c r="Q420" s="54" t="n">
        <x:f>ROUND(O420-P420,2)</x:f>
        <x:v>6696.86</x:v>
      </x:c>
      <x:c r="R420" s="55" t="n">
        <x:f>IF(O420=0,0,ROUND(Q420/O420,4))</x:f>
        <x:v>0.1588</x:v>
      </x:c>
      <x:c r="S420" s="53" t="n">
        <x:v>14</x:v>
      </x:c>
      <x:c r="T420" t="str">
        <x:v>Entregue com atraso</x:v>
      </x:c>
      <x:c r="U420" t="n">
        <x:v>4</x:v>
      </x:c>
      <x:c r="V420" t="str"/>
    </x:row>
    <x:row r="421">
      <x:c r="A421" s="52" t="n">
        <x:v>46214</x:v>
      </x:c>
      <x:c r="B421" t="str">
        <x:v>PED-100420</x:v>
      </x:c>
      <x:c r="C421" t="str">
        <x:v>Cliente 069</x:v>
      </x:c>
      <x:c r="D421" t="str">
        <x:v>MA</x:v>
      </x:c>
      <x:c r="E421" t="str">
        <x:v>Nordeste</x:v>
      </x:c>
      <x:c r="F421" t="str">
        <x:v>E-commerce</x:v>
      </x:c>
      <x:c r="G421" t="str">
        <x:v>Escritório</x:v>
      </x:c>
      <x:c r="H421" t="str">
        <x:v>Cadeira Ergonômica</x:v>
      </x:c>
      <x:c r="I421" t="str">
        <x:v>João</x:v>
      </x:c>
      <x:c r="J421" s="53" t="n">
        <x:v>3</x:v>
      </x:c>
      <x:c r="K421" s="54" t="n">
        <x:v>2240.47</x:v>
      </x:c>
      <x:c r="L421" s="54" t="n">
        <x:v>1403.19</x:v>
      </x:c>
      <x:c r="M421" s="55" t="n">
        <x:v>0.0419</x:v>
      </x:c>
      <x:c r="N421" s="54" t="n">
        <x:f>ROUND(J421*K421,2)</x:f>
        <x:v>6721.41</x:v>
      </x:c>
      <x:c r="O421" s="54" t="n">
        <x:f>ROUND(N421*(1-M421),2)</x:f>
        <x:v>6439.78</x:v>
      </x:c>
      <x:c r="P421" s="54" t="n">
        <x:f>ROUND(J421*L421,2)</x:f>
        <x:v>4209.57</x:v>
      </x:c>
      <x:c r="Q421" s="54" t="n">
        <x:f>ROUND(O421-P421,2)</x:f>
        <x:v>2230.21</x:v>
      </x:c>
      <x:c r="R421" s="55" t="n">
        <x:f>IF(O421=0,0,ROUND(Q421/O421,4))</x:f>
        <x:v>0.3463</x:v>
      </x:c>
      <x:c r="S421" s="53" t="n">
        <x:v>12</x:v>
      </x:c>
      <x:c r="T421" t="str">
        <x:v>Entregue com atraso</x:v>
      </x:c>
      <x:c r="U421" t="n">
        <x:v>4</x:v>
      </x:c>
      <x:c r="V421" t="str"/>
    </x:row>
    <x:row r="422">
      <x:c r="A422" s="52" t="n">
        <x:v>46187</x:v>
      </x:c>
      <x:c r="B422" t="str">
        <x:v>PED-100421</x:v>
      </x:c>
      <x:c r="C422" t="str">
        <x:v>Cliente 042</x:v>
      </x:c>
      <x:c r="D422" t="str">
        <x:v>RS</x:v>
      </x:c>
      <x:c r="E422" t="str">
        <x:v>Sul</x:v>
      </x:c>
      <x:c r="F422" t="str">
        <x:v>E-commerce</x:v>
      </x:c>
      <x:c r="G422" t="str">
        <x:v>Tecnologia</x:v>
      </x:c>
      <x:c r="H422" t="str">
        <x:v>Headset Office</x:v>
      </x:c>
      <x:c r="I422" t="str">
        <x:v>Ana</x:v>
      </x:c>
      <x:c r="J422" s="53" t="n">
        <x:v>8</x:v>
      </x:c>
      <x:c r="K422" s="54" t="n">
        <x:v>405.79</x:v>
      </x:c>
      <x:c r="L422" s="54" t="n">
        <x:v>203.39</x:v>
      </x:c>
      <x:c r="M422" s="55" t="n">
        <x:v>0</x:v>
      </x:c>
      <x:c r="N422" s="54" t="n">
        <x:f>ROUND(J422*K422,2)</x:f>
        <x:v>3246.32</x:v>
      </x:c>
      <x:c r="O422" s="54" t="n">
        <x:f>ROUND(N422*(1-M422),2)</x:f>
        <x:v>3246.32</x:v>
      </x:c>
      <x:c r="P422" s="54" t="n">
        <x:f>ROUND(J422*L422,2)</x:f>
        <x:v>1627.12</x:v>
      </x:c>
      <x:c r="Q422" s="54" t="n">
        <x:f>ROUND(O422-P422,2)</x:f>
        <x:v>1619.2</x:v>
      </x:c>
      <x:c r="R422" s="55" t="n">
        <x:f>IF(O422=0,0,ROUND(Q422/O422,4))</x:f>
        <x:v>0.4988</x:v>
      </x:c>
      <x:c r="S422" s="53" t="n">
        <x:v>7</x:v>
      </x:c>
      <x:c r="T422" t="str">
        <x:v>Entregue</x:v>
      </x:c>
      <x:c r="U422" t="n">
        <x:v>2</x:v>
      </x:c>
      <x:c r="V422" t="str"/>
    </x:row>
    <x:row r="423">
      <x:c r="A423" s="52" t="n">
        <x:v>46190</x:v>
      </x:c>
      <x:c r="B423" t="str">
        <x:v>PED-100422</x:v>
      </x:c>
      <x:c r="C423" t="str">
        <x:v>Cliente 089</x:v>
      </x:c>
      <x:c r="D423" t="str">
        <x:v>AM</x:v>
      </x:c>
      <x:c r="E423" t="str">
        <x:v>Norte</x:v>
      </x:c>
      <x:c r="F423" t="str">
        <x:v>Televendas</x:v>
      </x:c>
      <x:c r="G423" t="str">
        <x:v>Acessórios</x:v>
      </x:c>
      <x:c r="H423" t="str">
        <x:v>Hub USB-C</x:v>
      </x:c>
      <x:c r="I423" t="str">
        <x:v>Ana</x:v>
      </x:c>
      <x:c r="J423" s="53" t="n">
        <x:v>1</x:v>
      </x:c>
      <x:c r="K423" s="54" t="n">
        <x:v>310.09</x:v>
      </x:c>
      <x:c r="L423" s="54" t="n">
        <x:v>143.19</x:v>
      </x:c>
      <x:c r="M423" s="55" t="n">
        <x:v>0</x:v>
      </x:c>
      <x:c r="N423" s="54" t="n">
        <x:f>ROUND(J423*K423,2)</x:f>
        <x:v>310.09</x:v>
      </x:c>
      <x:c r="O423" s="54" t="n">
        <x:f>ROUND(N423*(1-M423),2)</x:f>
        <x:v>310.09</x:v>
      </x:c>
      <x:c r="P423" s="54" t="n">
        <x:f>ROUND(J423*L423,2)</x:f>
        <x:v>143.19</x:v>
      </x:c>
      <x:c r="Q423" s="54" t="n">
        <x:f>ROUND(O423-P423,2)</x:f>
        <x:v>166.9</x:v>
      </x:c>
      <x:c r="R423" s="55" t="n">
        <x:f>IF(O423=0,0,ROUND(Q423/O423,4))</x:f>
        <x:v>0.5382</x:v>
      </x:c>
      <x:c r="S423" s="53" t="n">
        <x:v>5</x:v>
      </x:c>
      <x:c r="T423" t="str">
        <x:v>Entregue</x:v>
      </x:c>
      <x:c r="U423" t="n">
        <x:v>5</x:v>
      </x:c>
      <x:c r="V423" t="str"/>
    </x:row>
    <x:row r="424">
      <x:c r="A424" s="52" t="n">
        <x:v>46198</x:v>
      </x:c>
      <x:c r="B424" t="str">
        <x:v>PED-100423</x:v>
      </x:c>
      <x:c r="C424" t="str">
        <x:v>Cliente 089</x:v>
      </x:c>
      <x:c r="D424" t="str">
        <x:v>PR</x:v>
      </x:c>
      <x:c r="E424" t="str">
        <x:v>Sul</x:v>
      </x:c>
      <x:c r="F424" t="str">
        <x:v>Loja</x:v>
      </x:c>
      <x:c r="G424" t="str">
        <x:v>Acessórios</x:v>
      </x:c>
      <x:c r="H424" t="str">
        <x:v>Mochila Executiva</x:v>
      </x:c>
      <x:c r="I424" t="str">
        <x:v>Gabriela</x:v>
      </x:c>
      <x:c r="J424" s="53" t="n">
        <x:v>8</x:v>
      </x:c>
      <x:c r="K424" s="54" t="n">
        <x:v>411.04</x:v>
      </x:c>
      <x:c r="L424" s="54" t="n">
        <x:v>459.03</x:v>
      </x:c>
      <x:c r="M424" s="55" t="n">
        <x:v>0.0079</x:v>
      </x:c>
      <x:c r="N424" s="54" t="n">
        <x:f>ROUND(J424*K424,2)</x:f>
        <x:v>3288.32</x:v>
      </x:c>
      <x:c r="O424" s="54" t="n">
        <x:f>ROUND(N424*(1-M424),2)</x:f>
        <x:v>3262.34</x:v>
      </x:c>
      <x:c r="P424" s="54" t="n">
        <x:f>ROUND(J424*L424,2)</x:f>
        <x:v>3672.24</x:v>
      </x:c>
      <x:c r="Q424" s="54" t="n">
        <x:f>ROUND(O424-P424,2)</x:f>
        <x:v>-409.9</x:v>
      </x:c>
      <x:c r="R424" s="55" t="n">
        <x:f>IF(O424=0,0,ROUND(Q424/O424,4))</x:f>
        <x:v>-0.1256</x:v>
      </x:c>
      <x:c r="S424" s="53" t="n">
        <x:v>14</x:v>
      </x:c>
      <x:c r="T424" t="str">
        <x:v>Entregue com atraso</x:v>
      </x:c>
      <x:c r="U424" t="n">
        <x:v>5</x:v>
      </x:c>
      <x:c r="V424" t="str">
        <x:v>Custo revisado após fechamento</x:v>
      </x:c>
    </x:row>
    <x:row r="425">
      <x:c r="A425" s="52" t="n">
        <x:v>46138</x:v>
      </x:c>
      <x:c r="B425" t="str">
        <x:v>PED-100424</x:v>
      </x:c>
      <x:c r="C425" t="str">
        <x:v>Cliente 017</x:v>
      </x:c>
      <x:c r="D425" t="str">
        <x:v>SC</x:v>
      </x:c>
      <x:c r="E425" t="str">
        <x:v>Sul</x:v>
      </x:c>
      <x:c r="F425" t="str">
        <x:v>Loja</x:v>
      </x:c>
      <x:c r="G425" t="str">
        <x:v>Tecnologia</x:v>
      </x:c>
      <x:c r="H425" t="str">
        <x:v>Notebook Pro</x:v>
      </x:c>
      <x:c r="I425" t="str">
        <x:v>Bruno</x:v>
      </x:c>
      <x:c r="J425" s="53" t="n">
        <x:v>8</x:v>
      </x:c>
      <x:c r="K425" s="54" t="n">
        <x:v>5892.29</x:v>
      </x:c>
      <x:c r="L425" s="54" t="n">
        <x:v>4380.59</x:v>
      </x:c>
      <x:c r="M425" s="55" t="n">
        <x:v>0.0338</x:v>
      </x:c>
      <x:c r="N425" s="54" t="n">
        <x:f>ROUND(J425*K425,2)</x:f>
        <x:v>47138.32</x:v>
      </x:c>
      <x:c r="O425" s="54" t="n">
        <x:f>ROUND(N425*(1-M425),2)</x:f>
        <x:v>45545.04</x:v>
      </x:c>
      <x:c r="P425" s="54" t="n">
        <x:f>ROUND(J425*L425,2)</x:f>
        <x:v>35044.72</x:v>
      </x:c>
      <x:c r="Q425" s="54" t="n">
        <x:f>ROUND(O425-P425,2)</x:f>
        <x:v>10500.32</x:v>
      </x:c>
      <x:c r="R425" s="55" t="n">
        <x:f>IF(O425=0,0,ROUND(Q425/O425,4))</x:f>
        <x:v>0.2305</x:v>
      </x:c>
      <x:c r="S425" s="53" t="n">
        <x:v>12</x:v>
      </x:c>
      <x:c r="T425" t="str">
        <x:v>Entregue com atraso</x:v>
      </x:c>
      <x:c r="U425" t="n">
        <x:v>2</x:v>
      </x:c>
      <x:c r="V425" t="str"/>
    </x:row>
    <x:row r="426">
      <x:c r="A426" s="52" t="n">
        <x:v>46218</x:v>
      </x:c>
      <x:c r="B426" t="str">
        <x:v>PED-100425</x:v>
      </x:c>
      <x:c r="C426" t="str">
        <x:v>Cliente 077</x:v>
      </x:c>
      <x:c r="D426" t="str">
        <x:v>ES</x:v>
      </x:c>
      <x:c r="E426" t="str">
        <x:v>Sudeste</x:v>
      </x:c>
      <x:c r="F426" t="str">
        <x:v>E-commerce</x:v>
      </x:c>
      <x:c r="G426" t="str">
        <x:v>Escritório</x:v>
      </x:c>
      <x:c r="H426" t="str">
        <x:v>Luminária LED</x:v>
      </x:c>
      <x:c r="I426" t="str">
        <x:v>Elaine</x:v>
      </x:c>
      <x:c r="J426" s="53" t="n">
        <x:v>2</x:v>
      </x:c>
      <x:c r="K426" s="54" t="n">
        <x:v>258.41</x:v>
      </x:c>
      <x:c r="L426" s="54" t="n">
        <x:v>120.57</x:v>
      </x:c>
      <x:c r="M426" s="55" t="n">
        <x:v>0.0552</x:v>
      </x:c>
      <x:c r="N426" s="54" t="n">
        <x:f>ROUND(J426*K426,2)</x:f>
        <x:v>516.82</x:v>
      </x:c>
      <x:c r="O426" s="54" t="n">
        <x:f>ROUND(N426*(1-M426),2)</x:f>
        <x:v>488.29</x:v>
      </x:c>
      <x:c r="P426" s="54" t="n">
        <x:f>ROUND(J426*L426,2)</x:f>
        <x:v>241.14</x:v>
      </x:c>
      <x:c r="Q426" s="54" t="n">
        <x:f>ROUND(O426-P426,2)</x:f>
        <x:v>247.15</x:v>
      </x:c>
      <x:c r="R426" s="55" t="n">
        <x:f>IF(O426=0,0,ROUND(Q426/O426,4))</x:f>
        <x:v>0.5062</x:v>
      </x:c>
      <x:c r="S426" s="53" t="n">
        <x:v>12</x:v>
      </x:c>
      <x:c r="T426" t="str">
        <x:v>Entregue com atraso</x:v>
      </x:c>
      <x:c r="U426" t="n">
        <x:v>3</x:v>
      </x:c>
      <x:c r="V426" t="str"/>
    </x:row>
    <x:row r="427">
      <x:c r="A427" s="52" t="n">
        <x:v>46123</x:v>
      </x:c>
      <x:c r="B427" t="str">
        <x:v>PED-100426</x:v>
      </x:c>
      <x:c r="C427" t="str">
        <x:v>Cliente 050</x:v>
      </x:c>
      <x:c r="D427" t="str">
        <x:v>PE</x:v>
      </x:c>
      <x:c r="E427" t="str">
        <x:v>Nordeste</x:v>
      </x:c>
      <x:c r="F427" t="str">
        <x:v>E-commerce</x:v>
      </x:c>
      <x:c r="G427" t="str">
        <x:v>Escritório</x:v>
      </x:c>
      <x:c r="H427" t="str">
        <x:v>Luminária LED</x:v>
      </x:c>
      <x:c r="I427" t="str">
        <x:v>Elaine</x:v>
      </x:c>
      <x:c r="J427" s="53" t="n">
        <x:v>5</x:v>
      </x:c>
      <x:c r="K427" s="54" t="n">
        <x:v>246.3</x:v>
      </x:c>
      <x:c r="L427" s="54" t="n">
        <x:v>127.99</x:v>
      </x:c>
      <x:c r="M427" s="55" t="n">
        <x:v>0.0652</x:v>
      </x:c>
      <x:c r="N427" s="54" t="n">
        <x:f>ROUND(J427*K427,2)</x:f>
        <x:v>1231.5</x:v>
      </x:c>
      <x:c r="O427" s="54" t="n">
        <x:f>ROUND(N427*(1-M427),2)</x:f>
        <x:v>1151.21</x:v>
      </x:c>
      <x:c r="P427" s="54" t="n">
        <x:f>ROUND(J427*L427,2)</x:f>
        <x:v>639.95</x:v>
      </x:c>
      <x:c r="Q427" s="54" t="n">
        <x:f>ROUND(O427-P427,2)</x:f>
        <x:v>511.26</x:v>
      </x:c>
      <x:c r="R427" s="55" t="n">
        <x:f>IF(O427=0,0,ROUND(Q427/O427,4))</x:f>
        <x:v>0.4441</x:v>
      </x:c>
      <x:c r="S427" s="53" t="n">
        <x:v>9</x:v>
      </x:c>
      <x:c r="T427" t="str">
        <x:v>Entregue</x:v>
      </x:c>
      <x:c r="U427" t="n">
        <x:v>3</x:v>
      </x:c>
      <x:c r="V427" t="str"/>
    </x:row>
    <x:row r="428">
      <x:c r="A428" s="52" t="n">
        <x:v>46053</x:v>
      </x:c>
      <x:c r="B428" t="str">
        <x:v>PED-100427</x:v>
      </x:c>
      <x:c r="C428" t="str">
        <x:v>Cliente 090</x:v>
      </x:c>
      <x:c r="D428" t="str">
        <x:v>MA</x:v>
      </x:c>
      <x:c r="E428" t="str">
        <x:v>Nordeste</x:v>
      </x:c>
      <x:c r="F428" t="str">
        <x:v>Loja</x:v>
      </x:c>
      <x:c r="G428" t="str">
        <x:v>Acessórios</x:v>
      </x:c>
      <x:c r="H428" t="str">
        <x:v>Mochila Executiva</x:v>
      </x:c>
      <x:c r="I428" t="str">
        <x:v>Bruno</x:v>
      </x:c>
      <x:c r="J428" s="53" t="n">
        <x:v>3</x:v>
      </x:c>
      <x:c r="K428" s="54" t="n">
        <x:v>432.01</x:v>
      </x:c>
      <x:c r="L428" s="54" t="n">
        <x:v>203.46</x:v>
      </x:c>
      <x:c r="M428" s="55" t="n">
        <x:v>0</x:v>
      </x:c>
      <x:c r="N428" s="54" t="n">
        <x:f>ROUND(J428*K428,2)</x:f>
        <x:v>1296.03</x:v>
      </x:c>
      <x:c r="O428" s="54" t="n">
        <x:f>ROUND(N428*(1-M428),2)</x:f>
        <x:v>1296.03</x:v>
      </x:c>
      <x:c r="P428" s="54" t="n">
        <x:f>ROUND(J428*L428,2)</x:f>
        <x:v>610.38</x:v>
      </x:c>
      <x:c r="Q428" s="54" t="n">
        <x:f>ROUND(O428-P428,2)</x:f>
        <x:v>685.65</x:v>
      </x:c>
      <x:c r="R428" s="55" t="n">
        <x:f>IF(O428=0,0,ROUND(Q428/O428,4))</x:f>
        <x:v>0.529</x:v>
      </x:c>
      <x:c r="S428" s="53" t="n">
        <x:v>7</x:v>
      </x:c>
      <x:c r="T428" t="str">
        <x:v>Entregue</x:v>
      </x:c>
      <x:c r="U428" t="n">
        <x:v>3</x:v>
      </x:c>
      <x:c r="V428" t="str"/>
    </x:row>
    <x:row r="429">
      <x:c r="A429" s="52" t="n">
        <x:v>46128</x:v>
      </x:c>
      <x:c r="B429" t="str">
        <x:v>PED-100428</x:v>
      </x:c>
      <x:c r="C429" t="str">
        <x:v>Cliente 075</x:v>
      </x:c>
      <x:c r="D429" t="str">
        <x:v>CE</x:v>
      </x:c>
      <x:c r="E429" t="str">
        <x:v>Nordeste</x:v>
      </x:c>
      <x:c r="F429" t="str">
        <x:v>Loja</x:v>
      </x:c>
      <x:c r="G429" t="str">
        <x:v>Escritório</x:v>
      </x:c>
      <x:c r="H429" t="str">
        <x:v>Cadeira Ergonômica</x:v>
      </x:c>
      <x:c r="I429" t="str">
        <x:v>Isabela</x:v>
      </x:c>
      <x:c r="J429" s="53" t="n">
        <x:v>6</x:v>
      </x:c>
      <x:c r="K429" s="54" t="n">
        <x:v>2266.73</x:v>
      </x:c>
      <x:c r="L429" s="54" t="n">
        <x:v>1414.19</x:v>
      </x:c>
      <x:c r="M429" s="55" t="n">
        <x:v>0.104</x:v>
      </x:c>
      <x:c r="N429" s="54" t="n">
        <x:f>ROUND(J429*K429,2)</x:f>
        <x:v>13600.38</x:v>
      </x:c>
      <x:c r="O429" s="54" t="n">
        <x:f>ROUND(N429*(1-M429),2)</x:f>
        <x:v>12185.94</x:v>
      </x:c>
      <x:c r="P429" s="54" t="n">
        <x:f>ROUND(J429*L429,2)</x:f>
        <x:v>8485.14</x:v>
      </x:c>
      <x:c r="Q429" s="54" t="n">
        <x:f>ROUND(O429-P429,2)</x:f>
        <x:v>3700.8</x:v>
      </x:c>
      <x:c r="R429" s="55" t="n">
        <x:f>IF(O429=0,0,ROUND(Q429/O429,4))</x:f>
        <x:v>0.3037</x:v>
      </x:c>
      <x:c r="S429" s="53" t="n">
        <x:v>14</x:v>
      </x:c>
      <x:c r="T429" t="str">
        <x:v>Entregue com atraso</x:v>
      </x:c>
      <x:c r="U429" t="n">
        <x:v>2</x:v>
      </x:c>
      <x:c r="V429" t="str"/>
    </x:row>
    <x:row r="430">
      <x:c r="A430" s="52" t="n">
        <x:v>46106</x:v>
      </x:c>
      <x:c r="B430" t="str">
        <x:v>PED-100429</x:v>
      </x:c>
      <x:c r="C430" t="str">
        <x:v>Cliente 022</x:v>
      </x:c>
      <x:c r="D430" t="str">
        <x:v>RJ</x:v>
      </x:c>
      <x:c r="E430" t="str">
        <x:v>Sudeste</x:v>
      </x:c>
      <x:c r="F430" t="str">
        <x:v>Televendas</x:v>
      </x:c>
      <x:c r="G430" t="str">
        <x:v>Acessórios</x:v>
      </x:c>
      <x:c r="H430" t="str">
        <x:v>Mochila Executiva</x:v>
      </x:c>
      <x:c r="I430" t="str">
        <x:v>Elaine</x:v>
      </x:c>
      <x:c r="J430" s="53" t="n">
        <x:v>6</x:v>
      </x:c>
      <x:c r="K430" s="54" t="n">
        <x:v>453.39</x:v>
      </x:c>
      <x:c r="L430" s="54" t="n">
        <x:v>195.37</x:v>
      </x:c>
      <x:c r="M430" s="55" t="n">
        <x:v>0</x:v>
      </x:c>
      <x:c r="N430" s="54" t="n">
        <x:f>ROUND(J430*K430,2)</x:f>
        <x:v>2720.34</x:v>
      </x:c>
      <x:c r="O430" s="54" t="n">
        <x:f>ROUND(N430*(1-M430),2)</x:f>
        <x:v>2720.34</x:v>
      </x:c>
      <x:c r="P430" s="54" t="n">
        <x:f>ROUND(J430*L430,2)</x:f>
        <x:v>1172.22</x:v>
      </x:c>
      <x:c r="Q430" s="54" t="n">
        <x:f>ROUND(O430-P430,2)</x:f>
        <x:v>1548.12</x:v>
      </x:c>
      <x:c r="R430" s="55" t="n">
        <x:f>IF(O430=0,0,ROUND(Q430/O430,4))</x:f>
        <x:v>0.5691</x:v>
      </x:c>
      <x:c r="S430" s="53" t="n">
        <x:v>10</x:v>
      </x:c>
      <x:c r="T430" t="str">
        <x:v>Entregue</x:v>
      </x:c>
      <x:c r="U430" t="n">
        <x:v>2</x:v>
      </x:c>
      <x:c r="V430" t="str"/>
    </x:row>
    <x:row r="431">
      <x:c r="A431" s="52" t="n">
        <x:v>46207</x:v>
      </x:c>
      <x:c r="B431" t="str">
        <x:v>PED-100430</x:v>
      </x:c>
      <x:c r="C431" t="str">
        <x:v>Cliente 057</x:v>
      </x:c>
      <x:c r="D431" t="str">
        <x:v>AM</x:v>
      </x:c>
      <x:c r="E431" t="str">
        <x:v>Norte</x:v>
      </x:c>
      <x:c r="F431" t="str">
        <x:v>Marketplace</x:v>
      </x:c>
      <x:c r="G431" t="str">
        <x:v>Casa</x:v>
      </x:c>
      <x:c r="H431" t="str">
        <x:v>Cafeteira Smart</x:v>
      </x:c>
      <x:c r="I431" t="str">
        <x:v>Carla</x:v>
      </x:c>
      <x:c r="J431" s="53" t="n">
        <x:v>6</x:v>
      </x:c>
      <x:c r="K431" s="54" t="n">
        <x:v>796.77</x:v>
      </x:c>
      <x:c r="L431" s="54" t="n">
        <x:v>453.62</x:v>
      </x:c>
      <x:c r="M431" s="55" t="n">
        <x:v>0.1577</x:v>
      </x:c>
      <x:c r="N431" s="54" t="n">
        <x:f>ROUND(J431*K431,2)</x:f>
        <x:v>4780.62</x:v>
      </x:c>
      <x:c r="O431" s="54" t="n">
        <x:f>ROUND(N431*(1-M431),2)</x:f>
        <x:v>4026.72</x:v>
      </x:c>
      <x:c r="P431" s="54" t="n">
        <x:f>ROUND(J431*L431,2)</x:f>
        <x:v>2721.72</x:v>
      </x:c>
      <x:c r="Q431" s="54" t="n">
        <x:f>ROUND(O431-P431,2)</x:f>
        <x:v>1305</x:v>
      </x:c>
      <x:c r="R431" s="55" t="n">
        <x:f>IF(O431=0,0,ROUND(Q431/O431,4))</x:f>
        <x:v>0.3241</x:v>
      </x:c>
      <x:c r="S431" s="53" t="n">
        <x:v>13</x:v>
      </x:c>
      <x:c r="T431" t="str">
        <x:v>Entregue com atraso</x:v>
      </x:c>
      <x:c r="U431" t="n">
        <x:v>4</x:v>
      </x:c>
      <x:c r="V431" t="str"/>
    </x:row>
    <x:row r="432">
      <x:c r="A432" s="52" t="n">
        <x:v>46154</x:v>
      </x:c>
      <x:c r="B432" t="str">
        <x:v>PED-100431</x:v>
      </x:c>
      <x:c r="C432" t="str">
        <x:v>Cliente 020</x:v>
      </x:c>
      <x:c r="D432" t="str">
        <x:v>MG</x:v>
      </x:c>
      <x:c r="E432" t="str">
        <x:v>Sudeste</x:v>
      </x:c>
      <x:c r="F432" t="str">
        <x:v>Marketplace</x:v>
      </x:c>
      <x:c r="G432" t="str">
        <x:v>Escritório</x:v>
      </x:c>
      <x:c r="H432" t="str">
        <x:v>Cadeira Ergonômica</x:v>
      </x:c>
      <x:c r="I432" t="str">
        <x:v>João</x:v>
      </x:c>
      <x:c r="J432" s="53" t="n">
        <x:v>4</x:v>
      </x:c>
      <x:c r="K432" s="54" t="n">
        <x:v>2063</x:v>
      </x:c>
      <x:c r="L432" s="54" t="n">
        <x:v>1384.81</x:v>
      </x:c>
      <x:c r="M432" s="55" t="n">
        <x:v>0.035</x:v>
      </x:c>
      <x:c r="N432" s="54" t="n">
        <x:f>ROUND(J432*K432,2)</x:f>
        <x:v>8252</x:v>
      </x:c>
      <x:c r="O432" s="54" t="n">
        <x:f>ROUND(N432*(1-M432),2)</x:f>
        <x:v>7963.18</x:v>
      </x:c>
      <x:c r="P432" s="54" t="n">
        <x:f>ROUND(J432*L432,2)</x:f>
        <x:v>5539.24</x:v>
      </x:c>
      <x:c r="Q432" s="54" t="n">
        <x:f>ROUND(O432-P432,2)</x:f>
        <x:v>2423.94</x:v>
      </x:c>
      <x:c r="R432" s="55" t="n">
        <x:f>IF(O432=0,0,ROUND(Q432/O432,4))</x:f>
        <x:v>0.3044</x:v>
      </x:c>
      <x:c r="S432" s="53" t="n">
        <x:v>7</x:v>
      </x:c>
      <x:c r="T432" t="str">
        <x:v>Entregue</x:v>
      </x:c>
      <x:c r="U432" t="n">
        <x:v>4</x:v>
      </x:c>
      <x:c r="V432" t="str"/>
    </x:row>
    <x:row r="433">
      <x:c r="A433" s="52" t="n">
        <x:v>46161</x:v>
      </x:c>
      <x:c r="B433" t="str">
        <x:v>PED-100432</x:v>
      </x:c>
      <x:c r="C433" t="str">
        <x:v>Cliente 100</x:v>
      </x:c>
      <x:c r="D433" t="str">
        <x:v>SC</x:v>
      </x:c>
      <x:c r="E433" t="str">
        <x:v>Sul</x:v>
      </x:c>
      <x:c r="F433" t="str">
        <x:v>E-commerce</x:v>
      </x:c>
      <x:c r="G433" t="str">
        <x:v>Casa</x:v>
      </x:c>
      <x:c r="H433" t="str">
        <x:v>Aspirador Robô</x:v>
      </x:c>
      <x:c r="I433" t="str">
        <x:v>Carla</x:v>
      </x:c>
      <x:c r="J433" s="53" t="n">
        <x:v>2</x:v>
      </x:c>
      <x:c r="K433" s="54" t="n">
        <x:v>1865.22</x:v>
      </x:c>
      <x:c r="L433" s="54" t="n">
        <x:v>1225.63</x:v>
      </x:c>
      <x:c r="M433" s="55" t="n">
        <x:v>0.1021</x:v>
      </x:c>
      <x:c r="N433" s="54" t="n">
        <x:f>ROUND(J433*K433,2)</x:f>
        <x:v>3730.44</x:v>
      </x:c>
      <x:c r="O433" s="54" t="n">
        <x:f>ROUND(N433*(1-M433),2)</x:f>
        <x:v>3349.56</x:v>
      </x:c>
      <x:c r="P433" s="54" t="n">
        <x:f>ROUND(J433*L433,2)</x:f>
        <x:v>2451.26</x:v>
      </x:c>
      <x:c r="Q433" s="54" t="n">
        <x:f>ROUND(O433-P433,2)</x:f>
        <x:v>898.3</x:v>
      </x:c>
      <x:c r="R433" s="55" t="n">
        <x:f>IF(O433=0,0,ROUND(Q433/O433,4))</x:f>
        <x:v>0.2682</x:v>
      </x:c>
      <x:c r="S433" s="53" t="n">
        <x:v>6</x:v>
      </x:c>
      <x:c r="T433" t="str">
        <x:v>Entregue</x:v>
      </x:c>
      <x:c r="U433" t="n">
        <x:v>4</x:v>
      </x:c>
      <x:c r="V433" t="str"/>
    </x:row>
    <x:row r="434">
      <x:c r="A434" s="52" t="n">
        <x:v>46153</x:v>
      </x:c>
      <x:c r="B434" t="str">
        <x:v>PED-100433</x:v>
      </x:c>
      <x:c r="C434" t="str">
        <x:v>Cliente 039</x:v>
      </x:c>
      <x:c r="D434" t="str">
        <x:v>MT</x:v>
      </x:c>
      <x:c r="E434" t="str">
        <x:v>Centro-Oeste</x:v>
      </x:c>
      <x:c r="F434" t="str">
        <x:v>Marketplace</x:v>
      </x:c>
      <x:c r="G434" t="str">
        <x:v>Acessórios</x:v>
      </x:c>
      <x:c r="H434" t="str">
        <x:v>Webcam HD</x:v>
      </x:c>
      <x:c r="I434" t="str">
        <x:v>Diego</x:v>
      </x:c>
      <x:c r="J434" s="53" t="n">
        <x:v>8</x:v>
      </x:c>
      <x:c r="K434" s="54" t="n">
        <x:v>480.93</x:v>
      </x:c>
      <x:c r="L434" s="54" t="n">
        <x:v>233.87</x:v>
      </x:c>
      <x:c r="M434" s="55" t="n">
        <x:v>0.035</x:v>
      </x:c>
      <x:c r="N434" s="54" t="n">
        <x:f>ROUND(J434*K434,2)</x:f>
        <x:v>3847.44</x:v>
      </x:c>
      <x:c r="O434" s="54" t="n">
        <x:f>ROUND(N434*(1-M434),2)</x:f>
        <x:v>3712.78</x:v>
      </x:c>
      <x:c r="P434" s="54" t="n">
        <x:f>ROUND(J434*L434,2)</x:f>
        <x:v>1870.96</x:v>
      </x:c>
      <x:c r="Q434" s="54" t="n">
        <x:f>ROUND(O434-P434,2)</x:f>
        <x:v>1841.82</x:v>
      </x:c>
      <x:c r="R434" s="55" t="n">
        <x:f>IF(O434=0,0,ROUND(Q434/O434,4))</x:f>
        <x:v>0.4961</x:v>
      </x:c>
      <x:c r="S434" s="53" t="n">
        <x:v>2</x:v>
      </x:c>
      <x:c r="T434" t="str">
        <x:v>Entregue</x:v>
      </x:c>
      <x:c r="U434" t="n">
        <x:v>4</x:v>
      </x:c>
      <x:c r="V434" t="str"/>
    </x:row>
    <x:row r="435">
      <x:c r="A435" s="52" t="n">
        <x:v>46050</x:v>
      </x:c>
      <x:c r="B435" t="str">
        <x:v>PED-100434</x:v>
      </x:c>
      <x:c r="C435" t="str">
        <x:v>Cliente 002</x:v>
      </x:c>
      <x:c r="D435" t="str">
        <x:v>RJ</x:v>
      </x:c>
      <x:c r="E435" t="str">
        <x:v>Sudeste</x:v>
      </x:c>
      <x:c r="F435" t="str">
        <x:v>E-commerce</x:v>
      </x:c>
      <x:c r="G435" t="str">
        <x:v>Casa</x:v>
      </x:c>
      <x:c r="H435" t="str">
        <x:v>Cafeteira Smart</x:v>
      </x:c>
      <x:c r="I435" t="str">
        <x:v>Gabriela</x:v>
      </x:c>
      <x:c r="J435" s="53" t="n">
        <x:v>4</x:v>
      </x:c>
      <x:c r="K435" s="54" t="n">
        <x:v>775.91</x:v>
      </x:c>
      <x:c r="L435" s="54" t="n">
        <x:v>457.22</x:v>
      </x:c>
      <x:c r="M435" s="55" t="n">
        <x:v>0.0492</x:v>
      </x:c>
      <x:c r="N435" s="54" t="n">
        <x:f>ROUND(J435*K435,2)</x:f>
        <x:v>3103.64</x:v>
      </x:c>
      <x:c r="O435" s="54" t="n">
        <x:f>ROUND(N435*(1-M435),2)</x:f>
        <x:v>2950.94</x:v>
      </x:c>
      <x:c r="P435" s="54" t="n">
        <x:f>ROUND(J435*L435,2)</x:f>
        <x:v>1828.88</x:v>
      </x:c>
      <x:c r="Q435" s="54" t="n">
        <x:f>ROUND(O435-P435,2)</x:f>
        <x:v>1122.06</x:v>
      </x:c>
      <x:c r="R435" s="55" t="n">
        <x:f>IF(O435=0,0,ROUND(Q435/O435,4))</x:f>
        <x:v>0.3802</x:v>
      </x:c>
      <x:c r="S435" s="53" t="n">
        <x:v>4</x:v>
      </x:c>
      <x:c r="T435" t="str">
        <x:v>Entregue</x:v>
      </x:c>
      <x:c r="U435" t="n">
        <x:v>3</x:v>
      </x:c>
      <x:c r="V435" t="str"/>
    </x:row>
    <x:row r="436">
      <x:c r="A436" s="52" t="n">
        <x:v>46198</x:v>
      </x:c>
      <x:c r="B436" t="str">
        <x:v>PED-100435</x:v>
      </x:c>
      <x:c r="C436" t="str">
        <x:v>Cliente 119</x:v>
      </x:c>
      <x:c r="D436" t="str">
        <x:v>PA</x:v>
      </x:c>
      <x:c r="E436" t="str">
        <x:v>Norte</x:v>
      </x:c>
      <x:c r="F436" t="str">
        <x:v>Televendas</x:v>
      </x:c>
      <x:c r="G436" t="str">
        <x:v>Tecnologia</x:v>
      </x:c>
      <x:c r="H436" t="str">
        <x:v>Notebook Pro</x:v>
      </x:c>
      <x:c r="I436" t="str">
        <x:v>Gabriela</x:v>
      </x:c>
      <x:c r="J436" s="53" t="n">
        <x:v>6</x:v>
      </x:c>
      <x:c r="K436" s="54" t="n">
        <x:v>5929.46</x:v>
      </x:c>
      <x:c r="L436" s="54" t="n">
        <x:v>4461.07</x:v>
      </x:c>
      <x:c r="M436" s="55" t="n">
        <x:v>0</x:v>
      </x:c>
      <x:c r="N436" s="54" t="n">
        <x:f>ROUND(J436*K436,2)</x:f>
        <x:v>35576.76</x:v>
      </x:c>
      <x:c r="O436" s="54" t="n">
        <x:f>ROUND(N436*(1-M436),2)</x:f>
        <x:v>35576.76</x:v>
      </x:c>
      <x:c r="P436" s="54" t="n">
        <x:f>ROUND(J436*L436,2)</x:f>
        <x:v>26766.42</x:v>
      </x:c>
      <x:c r="Q436" s="54" t="n">
        <x:f>ROUND(O436-P436,2)</x:f>
        <x:v>8810.34</x:v>
      </x:c>
      <x:c r="R436" s="55" t="n">
        <x:f>IF(O436=0,0,ROUND(Q436/O436,4))</x:f>
        <x:v>0.2476</x:v>
      </x:c>
      <x:c r="S436" s="53" t="n">
        <x:v>5</x:v>
      </x:c>
      <x:c r="T436" t="str">
        <x:v>Entregue</x:v>
      </x:c>
      <x:c r="U436" t="n">
        <x:v>4</x:v>
      </x:c>
      <x:c r="V436" t="str"/>
    </x:row>
    <x:row r="437">
      <x:c r="A437" s="52" t="n">
        <x:v>46186</x:v>
      </x:c>
      <x:c r="B437" t="str">
        <x:v>PED-100436</x:v>
      </x:c>
      <x:c r="C437" t="str">
        <x:v>Cliente 098</x:v>
      </x:c>
      <x:c r="D437" t="str">
        <x:v>GO</x:v>
      </x:c>
      <x:c r="E437" t="str">
        <x:v>Centro-Oeste</x:v>
      </x:c>
      <x:c r="F437" t="str">
        <x:v>E-commerce</x:v>
      </x:c>
      <x:c r="G437" t="str">
        <x:v>Acessórios</x:v>
      </x:c>
      <x:c r="H437" t="str">
        <x:v>Mochila Executiva</x:v>
      </x:c>
      <x:c r="I437" t="str">
        <x:v>Gabriela</x:v>
      </x:c>
      <x:c r="J437" s="53" t="n">
        <x:v>4</x:v>
      </x:c>
      <x:c r="K437" s="54" t="n">
        <x:v>437.94</x:v>
      </x:c>
      <x:c r="L437" s="54" t="n">
        <x:v>186.46</x:v>
      </x:c>
      <x:c r="M437" s="55" t="n">
        <x:v>0.0781</x:v>
      </x:c>
      <x:c r="N437" s="54" t="n">
        <x:f>ROUND(J437*K437,2)</x:f>
        <x:v>1751.76</x:v>
      </x:c>
      <x:c r="O437" s="54" t="n">
        <x:f>ROUND(N437*(1-M437),2)</x:f>
        <x:v>1614.95</x:v>
      </x:c>
      <x:c r="P437" s="54" t="n">
        <x:f>ROUND(J437*L437,2)</x:f>
        <x:v>745.84</x:v>
      </x:c>
      <x:c r="Q437" s="54" t="n">
        <x:f>ROUND(O437-P437,2)</x:f>
        <x:v>869.11</x:v>
      </x:c>
      <x:c r="R437" s="55" t="n">
        <x:f>IF(O437=0,0,ROUND(Q437/O437,4))</x:f>
        <x:v>0.5382</x:v>
      </x:c>
      <x:c r="S437" s="53" t="n">
        <x:v>3</x:v>
      </x:c>
      <x:c r="T437" t="str">
        <x:v>Entregue</x:v>
      </x:c>
      <x:c r="U437" t="n">
        <x:v>3</x:v>
      </x:c>
      <x:c r="V437" t="str"/>
    </x:row>
    <x:row r="438">
      <x:c r="A438" s="52" t="n">
        <x:v>46209</x:v>
      </x:c>
      <x:c r="B438" t="str">
        <x:v>PED-100437</x:v>
      </x:c>
      <x:c r="C438" t="str">
        <x:v>Cliente 080</x:v>
      </x:c>
      <x:c r="D438" t="str">
        <x:v>PE</x:v>
      </x:c>
      <x:c r="E438" t="str">
        <x:v>Nordeste</x:v>
      </x:c>
      <x:c r="F438" t="str">
        <x:v>Televendas</x:v>
      </x:c>
      <x:c r="G438" t="str">
        <x:v>Casa</x:v>
      </x:c>
      <x:c r="H438" t="str">
        <x:v>Purificador</x:v>
      </x:c>
      <x:c r="I438" t="str">
        <x:v>Isabela</x:v>
      </x:c>
      <x:c r="J438" s="53" t="n">
        <x:v>8</x:v>
      </x:c>
      <x:c r="K438" s="54" t="n">
        <x:v>1233.36</x:v>
      </x:c>
      <x:c r="L438" s="54" t="n">
        <x:v>799.51</x:v>
      </x:c>
      <x:c r="M438" s="55" t="n">
        <x:v>0.0742</x:v>
      </x:c>
      <x:c r="N438" s="54" t="n">
        <x:f>ROUND(J438*K438,2)</x:f>
        <x:v>9866.88</x:v>
      </x:c>
      <x:c r="O438" s="54" t="n">
        <x:f>ROUND(N438*(1-M438),2)</x:f>
        <x:v>9134.76</x:v>
      </x:c>
      <x:c r="P438" s="54" t="n">
        <x:f>ROUND(J438*L438,2)</x:f>
        <x:v>6396.08</x:v>
      </x:c>
      <x:c r="Q438" s="54" t="n">
        <x:f>ROUND(O438-P438,2)</x:f>
        <x:v>2738.68</x:v>
      </x:c>
      <x:c r="R438" s="55" t="n">
        <x:f>IF(O438=0,0,ROUND(Q438/O438,4))</x:f>
        <x:v>0.2998</x:v>
      </x:c>
      <x:c r="S438" s="53" t="n">
        <x:v>12</x:v>
      </x:c>
      <x:c r="T438" t="str">
        <x:v>Entregue com atraso</x:v>
      </x:c>
      <x:c r="U438" t="n">
        <x:v>2</x:v>
      </x:c>
      <x:c r="V438" t="str"/>
    </x:row>
    <x:row r="439">
      <x:c r="A439" s="52" t="n">
        <x:v>46087</x:v>
      </x:c>
      <x:c r="B439" t="str">
        <x:v>PED-100438</x:v>
      </x:c>
      <x:c r="C439" t="str">
        <x:v>Cliente 070</x:v>
      </x:c>
      <x:c r="D439" t="str">
        <x:v>DF</x:v>
      </x:c>
      <x:c r="E439" t="str">
        <x:v>Centro-Oeste</x:v>
      </x:c>
      <x:c r="F439" t="str">
        <x:v>E-commerce</x:v>
      </x:c>
      <x:c r="G439" t="str">
        <x:v>Escritório</x:v>
      </x:c>
      <x:c r="H439" t="str">
        <x:v>Luminária LED</x:v>
      </x:c>
      <x:c r="I439" t="str">
        <x:v>Ana</x:v>
      </x:c>
      <x:c r="J439" s="53" t="n">
        <x:v>5</x:v>
      </x:c>
      <x:c r="K439" s="54" t="n">
        <x:v>269.54</x:v>
      </x:c>
      <x:c r="L439" s="54" t="n">
        <x:v>120.9</x:v>
      </x:c>
      <x:c r="M439" s="55" t="n">
        <x:v>0.0832</x:v>
      </x:c>
      <x:c r="N439" s="54" t="n">
        <x:f>ROUND(J439*K439,2)</x:f>
        <x:v>1347.7</x:v>
      </x:c>
      <x:c r="O439" s="54" t="n">
        <x:f>ROUND(N439*(1-M439),2)</x:f>
        <x:v>1235.57</x:v>
      </x:c>
      <x:c r="P439" s="54" t="n">
        <x:f>ROUND(J439*L439,2)</x:f>
        <x:v>604.5</x:v>
      </x:c>
      <x:c r="Q439" s="54" t="n">
        <x:f>ROUND(O439-P439,2)</x:f>
        <x:v>631.07</x:v>
      </x:c>
      <x:c r="R439" s="55" t="n">
        <x:f>IF(O439=0,0,ROUND(Q439/O439,4))</x:f>
        <x:v>0.5108</x:v>
      </x:c>
      <x:c r="S439" s="53" t="n">
        <x:v>7</x:v>
      </x:c>
      <x:c r="T439" t="str">
        <x:v>Entregue</x:v>
      </x:c>
      <x:c r="U439" t="n">
        <x:v>2</x:v>
      </x:c>
      <x:c r="V439" t="str"/>
    </x:row>
    <x:row r="440">
      <x:c r="A440" s="52" t="n">
        <x:v>46079</x:v>
      </x:c>
      <x:c r="B440" t="str">
        <x:v>PED-100439</x:v>
      </x:c>
      <x:c r="C440" t="str">
        <x:v>Cliente 077</x:v>
      </x:c>
      <x:c r="D440" t="str">
        <x:v>GO</x:v>
      </x:c>
      <x:c r="E440" t="str">
        <x:v>Centro-Oeste</x:v>
      </x:c>
      <x:c r="F440" t="str">
        <x:v>Marketplace</x:v>
      </x:c>
      <x:c r="G440" t="str">
        <x:v>Escritório</x:v>
      </x:c>
      <x:c r="H440" t="str">
        <x:v>Mesa Ajustável</x:v>
      </x:c>
      <x:c r="I440" t="str">
        <x:v>Elaine</x:v>
      </x:c>
      <x:c r="J440" s="53" t="n">
        <x:v>2</x:v>
      </x:c>
      <x:c r="K440" s="54" t="n">
        <x:v>2880.43</x:v>
      </x:c>
      <x:c r="L440" s="54" t="n">
        <x:v>1895.49</x:v>
      </x:c>
      <x:c r="M440" s="55" t="n">
        <x:v>0.0847</x:v>
      </x:c>
      <x:c r="N440" s="54" t="n">
        <x:f>ROUND(J440*K440,2)</x:f>
        <x:v>5760.86</x:v>
      </x:c>
      <x:c r="O440" s="54" t="n">
        <x:f>ROUND(N440*(1-M440),2)</x:f>
        <x:v>5272.92</x:v>
      </x:c>
      <x:c r="P440" s="54" t="n">
        <x:f>ROUND(J440*L440,2)</x:f>
        <x:v>3790.98</x:v>
      </x:c>
      <x:c r="Q440" s="54" t="n">
        <x:f>ROUND(O440-P440,2)</x:f>
        <x:v>1481.94</x:v>
      </x:c>
      <x:c r="R440" s="55" t="n">
        <x:f>IF(O440=0,0,ROUND(Q440/O440,4))</x:f>
        <x:v>0.281</x:v>
      </x:c>
      <x:c r="S440" s="53" t="n">
        <x:v>19</x:v>
      </x:c>
      <x:c r="T440" t="str">
        <x:v>Entregue com atraso</x:v>
      </x:c>
      <x:c r="U440" t="n">
        <x:v>2</x:v>
      </x:c>
      <x:c r="V440" t="str">
        <x:v>Ocorrência logística</x:v>
      </x:c>
    </x:row>
    <x:row r="441">
      <x:c r="A441" s="52" t="n">
        <x:v>46048</x:v>
      </x:c>
      <x:c r="B441" t="str">
        <x:v>PED-100440</x:v>
      </x:c>
      <x:c r="C441" t="str">
        <x:v>Cliente 029</x:v>
      </x:c>
      <x:c r="D441" t="str">
        <x:v>PA</x:v>
      </x:c>
      <x:c r="E441" t="str">
        <x:v>Norte</x:v>
      </x:c>
      <x:c r="F441" t="str">
        <x:v>Televendas</x:v>
      </x:c>
      <x:c r="G441" t="str">
        <x:v>Tecnologia</x:v>
      </x:c>
      <x:c r="H441" t="str">
        <x:v>Notebook Pro</x:v>
      </x:c>
      <x:c r="I441" t="str">
        <x:v>Carla</x:v>
      </x:c>
      <x:c r="J441" s="53" t="n">
        <x:v>1</x:v>
      </x:c>
      <x:c r="K441" s="54" t="n">
        <x:v>6025.92</x:v>
      </x:c>
      <x:c r="L441" s="54" t="n">
        <x:v>4509.75</x:v>
      </x:c>
      <x:c r="M441" s="55" t="n">
        <x:v>0.0264</x:v>
      </x:c>
      <x:c r="N441" s="54" t="n">
        <x:f>ROUND(J441*K441,2)</x:f>
        <x:v>6025.92</x:v>
      </x:c>
      <x:c r="O441" s="54" t="n">
        <x:f>ROUND(N441*(1-M441),2)</x:f>
        <x:v>5866.84</x:v>
      </x:c>
      <x:c r="P441" s="54" t="n">
        <x:f>ROUND(J441*L441,2)</x:f>
        <x:v>4509.75</x:v>
      </x:c>
      <x:c r="Q441" s="54" t="n">
        <x:f>ROUND(O441-P441,2)</x:f>
        <x:v>1357.09</x:v>
      </x:c>
      <x:c r="R441" s="55" t="n">
        <x:f>IF(O441=0,0,ROUND(Q441/O441,4))</x:f>
        <x:v>0.2313</x:v>
      </x:c>
      <x:c r="S441" s="53" t="n">
        <x:v>7</x:v>
      </x:c>
      <x:c r="T441" t="str">
        <x:v>Entregue</x:v>
      </x:c>
      <x:c r="U441" t="n">
        <x:v>5</x:v>
      </x:c>
      <x:c r="V441" t="str"/>
    </x:row>
    <x:row r="442">
      <x:c r="A442" s="52" t="n">
        <x:v>46053</x:v>
      </x:c>
      <x:c r="B442" t="str">
        <x:v>PED-100441</x:v>
      </x:c>
      <x:c r="C442" t="str">
        <x:v>Cliente 097</x:v>
      </x:c>
      <x:c r="D442" t="str">
        <x:v>SP</x:v>
      </x:c>
      <x:c r="E442" t="str">
        <x:v>Sudeste</x:v>
      </x:c>
      <x:c r="F442" t="str">
        <x:v>Televendas</x:v>
      </x:c>
      <x:c r="G442" t="str">
        <x:v>Tecnologia</x:v>
      </x:c>
      <x:c r="H442" t="str">
        <x:v>Headset Office</x:v>
      </x:c>
      <x:c r="I442" t="str">
        <x:v>Felipe</x:v>
      </x:c>
      <x:c r="J442" s="53" t="n">
        <x:v>6</x:v>
      </x:c>
      <x:c r="K442" s="54" t="n">
        <x:v>410.69</x:v>
      </x:c>
      <x:c r="L442" s="54" t="n">
        <x:v>215.53</x:v>
      </x:c>
      <x:c r="M442" s="55" t="n">
        <x:v>0</x:v>
      </x:c>
      <x:c r="N442" s="54" t="n">
        <x:f>ROUND(J442*K442,2)</x:f>
        <x:v>2464.14</x:v>
      </x:c>
      <x:c r="O442" s="54" t="n">
        <x:f>ROUND(N442*(1-M442),2)</x:f>
        <x:v>2464.14</x:v>
      </x:c>
      <x:c r="P442" s="54" t="n">
        <x:f>ROUND(J442*L442,2)</x:f>
        <x:v>1293.18</x:v>
      </x:c>
      <x:c r="Q442" s="54" t="n">
        <x:f>ROUND(O442-P442,2)</x:f>
        <x:v>1170.96</x:v>
      </x:c>
      <x:c r="R442" s="55" t="n">
        <x:f>IF(O442=0,0,ROUND(Q442/O442,4))</x:f>
        <x:v>0.4752</x:v>
      </x:c>
      <x:c r="S442" s="53" t="n">
        <x:v>8</x:v>
      </x:c>
      <x:c r="T442" t="str">
        <x:v>Entregue</x:v>
      </x:c>
      <x:c r="U442" t="n">
        <x:v>3</x:v>
      </x:c>
      <x:c r="V442" t="str"/>
    </x:row>
    <x:row r="443">
      <x:c r="A443" s="52" t="n">
        <x:v>46197</x:v>
      </x:c>
      <x:c r="B443" t="str">
        <x:v>PED-100188</x:v>
      </x:c>
      <x:c r="C443" t="str">
        <x:v>Cliente 005</x:v>
      </x:c>
      <x:c r="D443" t="str">
        <x:v>CE</x:v>
      </x:c>
      <x:c r="E443" t="str">
        <x:v>Nordeste</x:v>
      </x:c>
      <x:c r="F443" t="str">
        <x:v>Loja</x:v>
      </x:c>
      <x:c r="G443" t="str">
        <x:v>Casa</x:v>
      </x:c>
      <x:c r="H443" t="str">
        <x:v>Aspirador Robô</x:v>
      </x:c>
      <x:c r="I443" t="str">
        <x:v>João</x:v>
      </x:c>
      <x:c r="J443" s="53" t="n">
        <x:v>3</x:v>
      </x:c>
      <x:c r="K443" s="54" t="n">
        <x:v>1950.8</x:v>
      </x:c>
      <x:c r="L443" s="54" t="n">
        <x:v>1247.03</x:v>
      </x:c>
      <x:c r="M443" s="55" t="n">
        <x:v>0.0511</x:v>
      </x:c>
      <x:c r="N443" s="54" t="n">
        <x:f>ROUND(J443*K443,2)</x:f>
        <x:v>5852.4</x:v>
      </x:c>
      <x:c r="O443" s="54" t="n">
        <x:f>ROUND(N443*(1-M443),2)</x:f>
        <x:v>5553.34</x:v>
      </x:c>
      <x:c r="P443" s="54" t="n">
        <x:f>ROUND(J443*L443,2)</x:f>
        <x:v>3741.09</x:v>
      </x:c>
      <x:c r="Q443" s="54" t="n">
        <x:f>ROUND(O443-P443,2)</x:f>
        <x:v>1812.25</x:v>
      </x:c>
      <x:c r="R443" s="55" t="n">
        <x:f>IF(O443=0,0,ROUND(Q443/O443,4))</x:f>
        <x:v>0.3263</x:v>
      </x:c>
      <x:c r="S443" s="53" t="n">
        <x:v>6</x:v>
      </x:c>
      <x:c r="T443" t="str">
        <x:v>Entregue</x:v>
      </x:c>
      <x:c r="U443" t="n">
        <x:v>2</x:v>
      </x:c>
      <x:c r="V443" t="str"/>
    </x:row>
    <x:row r="444">
      <x:c r="A444" s="52" t="n">
        <x:v>46212</x:v>
      </x:c>
      <x:c r="B444" t="str">
        <x:v>PED-100443</x:v>
      </x:c>
      <x:c r="C444" t="str">
        <x:v>Cliente 042</x:v>
      </x:c>
      <x:c r="D444" t="str">
        <x:v>SP</x:v>
      </x:c>
      <x:c r="E444" t="str">
        <x:v>Sudeste</x:v>
      </x:c>
      <x:c r="F444" t="str">
        <x:v>Marketplace</x:v>
      </x:c>
      <x:c r="G444" t="str">
        <x:v>Tecnologia</x:v>
      </x:c>
      <x:c r="H444" t="str">
        <x:v>Monitor 27</x:v>
      </x:c>
      <x:c r="I444" t="str">
        <x:v>Felipe</x:v>
      </x:c>
      <x:c r="J444" s="53" t="n">
        <x:v>1</x:v>
      </x:c>
      <x:c r="K444" s="54" t="n">
        <x:v>1702.77</x:v>
      </x:c>
      <x:c r="L444" s="54" t="n">
        <x:v>1089.04</x:v>
      </x:c>
      <x:c r="M444" s="55" t="n">
        <x:v>0.035</x:v>
      </x:c>
      <x:c r="N444" s="54" t="n">
        <x:f>ROUND(J444*K444,2)</x:f>
        <x:v>1702.77</x:v>
      </x:c>
      <x:c r="O444" s="54" t="n">
        <x:f>ROUND(N444*(1-M444),2)</x:f>
        <x:v>1643.17</x:v>
      </x:c>
      <x:c r="P444" s="54" t="n">
        <x:f>ROUND(J444*L444,2)</x:f>
        <x:v>1089.04</x:v>
      </x:c>
      <x:c r="Q444" s="54" t="n">
        <x:f>ROUND(O444-P444,2)</x:f>
        <x:v>554.13</x:v>
      </x:c>
      <x:c r="R444" s="55" t="n">
        <x:f>IF(O444=0,0,ROUND(Q444/O444,4))</x:f>
        <x:v>0.3372</x:v>
      </x:c>
      <x:c r="S444" s="53" t="n">
        <x:v>5</x:v>
      </x:c>
      <x:c r="T444" t="str">
        <x:v>Entregue</x:v>
      </x:c>
      <x:c r="U444" t="n">
        <x:v>5</x:v>
      </x:c>
      <x:c r="V444" t="str"/>
    </x:row>
    <x:row r="445">
      <x:c r="A445" s="52" t="n">
        <x:v>46077</x:v>
      </x:c>
      <x:c r="B445" t="str">
        <x:v>PED-100444</x:v>
      </x:c>
      <x:c r="C445" t="str">
        <x:v>Cliente 061</x:v>
      </x:c>
      <x:c r="D445" t="str">
        <x:v>PA</x:v>
      </x:c>
      <x:c r="E445" t="str">
        <x:v>Norte</x:v>
      </x:c>
      <x:c r="F445" t="str">
        <x:v>Loja</x:v>
      </x:c>
      <x:c r="G445" t="str">
        <x:v>Acessórios</x:v>
      </x:c>
      <x:c r="H445" t="str">
        <x:v>Mochila Executiva</x:v>
      </x:c>
      <x:c r="I445" t="str">
        <x:v>Felipe</x:v>
      </x:c>
      <x:c r="J445" s="53" t="n">
        <x:v>3</x:v>
      </x:c>
      <x:c r="K445" s="54" t="n">
        <x:v>441.07</x:v>
      </x:c>
      <x:c r="L445" s="54" t="n">
        <x:v>199.44</x:v>
      </x:c>
      <x:c r="M445" s="55" t="n">
        <x:v>0</x:v>
      </x:c>
      <x:c r="N445" s="54" t="n">
        <x:f>ROUND(J445*K445,2)</x:f>
        <x:v>1323.21</x:v>
      </x:c>
      <x:c r="O445" s="54" t="n">
        <x:f>ROUND(N445*(1-M445),2)</x:f>
        <x:v>1323.21</x:v>
      </x:c>
      <x:c r="P445" s="54" t="n">
        <x:f>ROUND(J445*L445,2)</x:f>
        <x:v>598.32</x:v>
      </x:c>
      <x:c r="Q445" s="54" t="n">
        <x:f>ROUND(O445-P445,2)</x:f>
        <x:v>724.89</x:v>
      </x:c>
      <x:c r="R445" s="55" t="n">
        <x:f>IF(O445=0,0,ROUND(Q445/O445,4))</x:f>
        <x:v>0.5478</x:v>
      </x:c>
      <x:c r="S445" s="53" t="n">
        <x:v>11</x:v>
      </x:c>
      <x:c r="T445" t="str">
        <x:v>Entregue com atraso</x:v>
      </x:c>
      <x:c r="U445" t="n">
        <x:v>3</x:v>
      </x:c>
      <x:c r="V445" t="str"/>
    </x:row>
    <x:row r="446">
      <x:c r="A446" s="52" t="n">
        <x:v>46037</x:v>
      </x:c>
      <x:c r="B446" t="str">
        <x:v>PED-100445</x:v>
      </x:c>
      <x:c r="C446" t="str">
        <x:v>Cliente 037</x:v>
      </x:c>
      <x:c r="D446" t="str">
        <x:v>PR</x:v>
      </x:c>
      <x:c r="E446" t="str">
        <x:v>Sul</x:v>
      </x:c>
      <x:c r="F446" t="str">
        <x:v>Televendas</x:v>
      </x:c>
      <x:c r="G446" t="str">
        <x:v>Escritório</x:v>
      </x:c>
      <x:c r="H446" t="str">
        <x:v>Mesa Ajustável</x:v>
      </x:c>
      <x:c r="I446" t="str">
        <x:v>Carla</x:v>
      </x:c>
      <x:c r="J446" s="53" t="n">
        <x:v>2</x:v>
      </x:c>
      <x:c r="K446" s="54" t="n">
        <x:v>2947.45</x:v>
      </x:c>
      <x:c r="L446" s="54" t="n">
        <x:v>1816.18</x:v>
      </x:c>
      <x:c r="M446" s="55" t="n">
        <x:v>0.0123</x:v>
      </x:c>
      <x:c r="N446" s="54" t="n">
        <x:f>ROUND(J446*K446,2)</x:f>
        <x:v>5894.9</x:v>
      </x:c>
      <x:c r="O446" s="54" t="n">
        <x:f>ROUND(N446*(1-M446),2)</x:f>
        <x:v>5822.39</x:v>
      </x:c>
      <x:c r="P446" s="54" t="n">
        <x:f>ROUND(J446*L446,2)</x:f>
        <x:v>3632.36</x:v>
      </x:c>
      <x:c r="Q446" s="54" t="n">
        <x:f>ROUND(O446-P446,2)</x:f>
        <x:v>2190.03</x:v>
      </x:c>
      <x:c r="R446" s="55" t="n">
        <x:f>IF(O446=0,0,ROUND(Q446/O446,4))</x:f>
        <x:v>0.3761</x:v>
      </x:c>
      <x:c r="S446" s="53" t="n">
        <x:v>12</x:v>
      </x:c>
      <x:c r="T446" t="str">
        <x:v>Entregue com atraso</x:v>
      </x:c>
      <x:c r="U446" t="n">
        <x:v>4</x:v>
      </x:c>
      <x:c r="V446" t="str"/>
    </x:row>
    <x:row r="447">
      <x:c r="A447" s="52" t="n">
        <x:v>46101</x:v>
      </x:c>
      <x:c r="B447" t="str">
        <x:v>PED-100446</x:v>
      </x:c>
      <x:c r="C447" t="str">
        <x:v>Cliente 008</x:v>
      </x:c>
      <x:c r="D447" t="str">
        <x:v>SP</x:v>
      </x:c>
      <x:c r="E447" t="str">
        <x:v>Sudeste</x:v>
      </x:c>
      <x:c r="F447" t="str">
        <x:v>Loja</x:v>
      </x:c>
      <x:c r="G447" t="str">
        <x:v>Tecnologia</x:v>
      </x:c>
      <x:c r="H447" t="str">
        <x:v>Notebook Pro</x:v>
      </x:c>
      <x:c r="I447" t="str">
        <x:v>Carla</x:v>
      </x:c>
      <x:c r="J447" s="53" t="n">
        <x:v>5</x:v>
      </x:c>
      <x:c r="K447" s="54" t="n">
        <x:v>5663.86</x:v>
      </x:c>
      <x:c r="L447" s="54" t="n">
        <x:v>4180.19</x:v>
      </x:c>
      <x:c r="M447" s="55" t="n">
        <x:v>0.106</x:v>
      </x:c>
      <x:c r="N447" s="54" t="n">
        <x:f>ROUND(J447*K447,2)</x:f>
        <x:v>28319.3</x:v>
      </x:c>
      <x:c r="O447" s="54" t="n">
        <x:f>ROUND(N447*(1-M447),2)</x:f>
        <x:v>25317.45</x:v>
      </x:c>
      <x:c r="P447" s="54" t="n">
        <x:f>ROUND(J447*L447,2)</x:f>
        <x:v>20900.95</x:v>
      </x:c>
      <x:c r="Q447" s="54" t="n">
        <x:f>ROUND(O447-P447,2)</x:f>
        <x:v>4416.5</x:v>
      </x:c>
      <x:c r="R447" s="55" t="n">
        <x:f>IF(O447=0,0,ROUND(Q447/O447,4))</x:f>
        <x:v>0.1744</x:v>
      </x:c>
      <x:c r="S447" s="53" t="n">
        <x:v>5</x:v>
      </x:c>
      <x:c r="T447" t="str">
        <x:v>Entregue</x:v>
      </x:c>
      <x:c r="U447" t="n">
        <x:v>4</x:v>
      </x:c>
      <x:c r="V447" t="str"/>
    </x:row>
    <x:row r="448">
      <x:c r="A448" s="52" t="n">
        <x:v>46031</x:v>
      </x:c>
      <x:c r="B448" t="str">
        <x:v>PED-100447</x:v>
      </x:c>
      <x:c r="C448" t="str">
        <x:v>Cliente 105</x:v>
      </x:c>
      <x:c r="D448" t="str">
        <x:v>PE</x:v>
      </x:c>
      <x:c r="E448" t="str">
        <x:v>Nordeste</x:v>
      </x:c>
      <x:c r="F448" t="str">
        <x:v>Marketplace</x:v>
      </x:c>
      <x:c r="G448" t="str">
        <x:v>Escritório</x:v>
      </x:c>
      <x:c r="H448" t="str">
        <x:v>Cadeira Ergonômica</x:v>
      </x:c>
      <x:c r="I448" t="str">
        <x:v>Gabriela</x:v>
      </x:c>
      <x:c r="J448" s="53" t="n">
        <x:v>1</x:v>
      </x:c>
      <x:c r="K448" s="54" t="n">
        <x:v>2115.88</x:v>
      </x:c>
      <x:c r="L448" s="54" t="n">
        <x:v>1439.82</x:v>
      </x:c>
      <x:c r="M448" s="55" t="n">
        <x:v>0.1089</x:v>
      </x:c>
      <x:c r="N448" s="54" t="n">
        <x:f>ROUND(J448*K448,2)</x:f>
        <x:v>2115.88</x:v>
      </x:c>
      <x:c r="O448" s="54" t="n">
        <x:f>ROUND(N448*(1-M448),2)</x:f>
        <x:v>1885.46</x:v>
      </x:c>
      <x:c r="P448" s="54" t="n">
        <x:f>ROUND(J448*L448,2)</x:f>
        <x:v>1439.82</x:v>
      </x:c>
      <x:c r="Q448" s="54" t="n">
        <x:f>ROUND(O448-P448,2)</x:f>
        <x:v>445.64</x:v>
      </x:c>
      <x:c r="R448" s="55" t="n">
        <x:f>IF(O448=0,0,ROUND(Q448/O448,4))</x:f>
        <x:v>0.2364</x:v>
      </x:c>
      <x:c r="S448" s="53" t="n">
        <x:v>10</x:v>
      </x:c>
      <x:c r="T448" t="str">
        <x:v>Entregue</x:v>
      </x:c>
      <x:c r="U448" t="n">
        <x:v>3</x:v>
      </x:c>
      <x:c r="V448" t="str"/>
    </x:row>
    <x:row r="449">
      <x:c r="A449" s="52" t="n">
        <x:v>46023</x:v>
      </x:c>
      <x:c r="B449" t="str">
        <x:v>PED-100448</x:v>
      </x:c>
      <x:c r="C449" t="str">
        <x:v>Cliente 067</x:v>
      </x:c>
      <x:c r="D449" t="str">
        <x:v>MG</x:v>
      </x:c>
      <x:c r="E449" t="str">
        <x:v>Sudeste</x:v>
      </x:c>
      <x:c r="F449" t="str">
        <x:v>Televendas</x:v>
      </x:c>
      <x:c r="G449" t="str">
        <x:v>Tecnologia</x:v>
      </x:c>
      <x:c r="H449" t="str">
        <x:v>Headset Office</x:v>
      </x:c>
      <x:c r="I449" t="str">
        <x:v>Gabriela</x:v>
      </x:c>
      <x:c r="J449" s="53" t="n">
        <x:v>2</x:v>
      </x:c>
      <x:c r="K449" s="54" t="n">
        <x:v>406.69</x:v>
      </x:c>
      <x:c r="L449" s="54" t="n">
        <x:v>207.45</x:v>
      </x:c>
      <x:c r="M449" s="55" t="n">
        <x:v>0.0347</x:v>
      </x:c>
      <x:c r="N449" s="54" t="n">
        <x:f>ROUND(J449*K449,2)</x:f>
        <x:v>813.38</x:v>
      </x:c>
      <x:c r="O449" s="54" t="n">
        <x:f>ROUND(N449*(1-M449),2)</x:f>
        <x:v>785.16</x:v>
      </x:c>
      <x:c r="P449" s="54" t="n">
        <x:f>ROUND(J449*L449,2)</x:f>
        <x:v>414.9</x:v>
      </x:c>
      <x:c r="Q449" s="54" t="n">
        <x:f>ROUND(O449-P449,2)</x:f>
        <x:v>370.26</x:v>
      </x:c>
      <x:c r="R449" s="55" t="n">
        <x:f>IF(O449=0,0,ROUND(Q449/O449,4))</x:f>
        <x:v>0.4716</x:v>
      </x:c>
      <x:c r="S449" s="53" t="n">
        <x:v>5</x:v>
      </x:c>
      <x:c r="T449" t="str">
        <x:v>Entregue</x:v>
      </x:c>
      <x:c r="U449" t="n">
        <x:v>5</x:v>
      </x:c>
      <x:c r="V449" t="str"/>
    </x:row>
    <x:row r="450">
      <x:c r="A450" s="52" t="n">
        <x:v>46104</x:v>
      </x:c>
      <x:c r="B450" t="str">
        <x:v>PED-100449</x:v>
      </x:c>
      <x:c r="C450" t="str">
        <x:v>Cliente 012</x:v>
      </x:c>
      <x:c r="D450" t="str">
        <x:v>PA</x:v>
      </x:c>
      <x:c r="E450" t="str">
        <x:v>Norte</x:v>
      </x:c>
      <x:c r="F450" t="str">
        <x:v>Televendas</x:v>
      </x:c>
      <x:c r="G450" t="str">
        <x:v>Tecnologia</x:v>
      </x:c>
      <x:c r="H450" t="str">
        <x:v>Monitor 27</x:v>
      </x:c>
      <x:c r="I450" t="str">
        <x:v>Elaine</x:v>
      </x:c>
      <x:c r="J450" s="53" t="n">
        <x:v>6</x:v>
      </x:c>
      <x:c r="K450" s="54" t="n">
        <x:v>1592.27</x:v>
      </x:c>
      <x:c r="L450" s="54" t="n">
        <x:v>1090.52</x:v>
      </x:c>
      <x:c r="M450" s="55" t="n">
        <x:v>0.0701</x:v>
      </x:c>
      <x:c r="N450" s="54" t="n">
        <x:f>ROUND(J450*K450,2)</x:f>
        <x:v>9553.62</x:v>
      </x:c>
      <x:c r="O450" s="54" t="n">
        <x:f>ROUND(N450*(1-M450),2)</x:f>
        <x:v>8883.91</x:v>
      </x:c>
      <x:c r="P450" s="54" t="n">
        <x:f>ROUND(J450*L450,2)</x:f>
        <x:v>6543.12</x:v>
      </x:c>
      <x:c r="Q450" s="54" t="n">
        <x:f>ROUND(O450-P450,2)</x:f>
        <x:v>2340.79</x:v>
      </x:c>
      <x:c r="R450" s="55" t="n">
        <x:f>IF(O450=0,0,ROUND(Q450/O450,4))</x:f>
        <x:v>0.2635</x:v>
      </x:c>
      <x:c r="S450" s="53" t="n">
        <x:v>13</x:v>
      </x:c>
      <x:c r="T450" t="str">
        <x:v>Cancelado</x:v>
      </x:c>
      <x:c r="U450"/>
      <x:c r="V450" t="str"/>
    </x:row>
    <x:row r="451">
      <x:c r="A451" s="52" t="n">
        <x:v>46126</x:v>
      </x:c>
      <x:c r="B451" t="str">
        <x:v>PED-100450</x:v>
      </x:c>
      <x:c r="C451" t="str">
        <x:v>Cliente 043</x:v>
      </x:c>
      <x:c r="D451" t="str">
        <x:v>BA</x:v>
      </x:c>
      <x:c r="E451" t="str">
        <x:v>Nordeste</x:v>
      </x:c>
      <x:c r="F451" t="str">
        <x:v>Marketplace</x:v>
      </x:c>
      <x:c r="G451" t="str">
        <x:v>Acessórios</x:v>
      </x:c>
      <x:c r="H451" t="str">
        <x:v>Webcam HD</x:v>
      </x:c>
      <x:c r="I451" t="str">
        <x:v>Isabela</x:v>
      </x:c>
      <x:c r="J451" s="53" t="n">
        <x:v>6</x:v>
      </x:c>
      <x:c r="K451" s="54" t="n">
        <x:v>532.33</x:v>
      </x:c>
      <x:c r="L451" s="54" t="n">
        <x:v>252.2</x:v>
      </x:c>
      <x:c r="M451" s="55" t="n">
        <x:v>0.035</x:v>
      </x:c>
      <x:c r="N451" s="54" t="n">
        <x:f>ROUND(J451*K451,2)</x:f>
        <x:v>3193.98</x:v>
      </x:c>
      <x:c r="O451" s="54" t="n">
        <x:f>ROUND(N451*(1-M451),2)</x:f>
        <x:v>3082.19</x:v>
      </x:c>
      <x:c r="P451" s="54" t="n">
        <x:f>ROUND(J451*L451,2)</x:f>
        <x:v>1513.2</x:v>
      </x:c>
      <x:c r="Q451" s="54" t="n">
        <x:f>ROUND(O451-P451,2)</x:f>
        <x:v>1568.99</x:v>
      </x:c>
      <x:c r="R451" s="55" t="n">
        <x:f>IF(O451=0,0,ROUND(Q451/O451,4))</x:f>
        <x:v>0.5091</x:v>
      </x:c>
      <x:c r="S451" s="53" t="n">
        <x:v>7</x:v>
      </x:c>
      <x:c r="T451" t="str">
        <x:v>Entregue</x:v>
      </x:c>
      <x:c r="U451" t="n">
        <x:v>5</x:v>
      </x:c>
      <x:c r="V451" t="str"/>
    </x:row>
    <x:row r="452">
      <x:c r="A452" s="52" t="n">
        <x:v>46148</x:v>
      </x:c>
      <x:c r="B452" t="str">
        <x:v>PED-100451</x:v>
      </x:c>
      <x:c r="C452" t="str">
        <x:v>Cliente 053</x:v>
      </x:c>
      <x:c r="D452" t="str">
        <x:v>ES</x:v>
      </x:c>
      <x:c r="E452" t="str">
        <x:v>Sudeste</x:v>
      </x:c>
      <x:c r="F452" t="str">
        <x:v>Marketplace</x:v>
      </x:c>
      <x:c r="G452" t="str">
        <x:v>Tecnologia</x:v>
      </x:c>
      <x:c r="H452" t="str">
        <x:v>Headset Office</x:v>
      </x:c>
      <x:c r="I452" t="str">
        <x:v>Felipe</x:v>
      </x:c>
      <x:c r="J452" s="53" t="n">
        <x:v>5</x:v>
      </x:c>
      <x:c r="K452" s="54" t="n">
        <x:v>383.55</x:v>
      </x:c>
      <x:c r="L452" s="54" t="n">
        <x:v>209.2</x:v>
      </x:c>
      <x:c r="M452" s="55" t="n">
        <x:v>0.1224</x:v>
      </x:c>
      <x:c r="N452" s="54" t="n">
        <x:f>ROUND(J452*K452,2)</x:f>
        <x:v>1917.75</x:v>
      </x:c>
      <x:c r="O452" s="54" t="n">
        <x:f>ROUND(N452*(1-M452),2)</x:f>
        <x:v>1683.02</x:v>
      </x:c>
      <x:c r="P452" s="54" t="n">
        <x:f>ROUND(J452*L452,2)</x:f>
        <x:v>1046</x:v>
      </x:c>
      <x:c r="Q452" s="54" t="n">
        <x:f>ROUND(O452-P452,2)</x:f>
        <x:v>637.02</x:v>
      </x:c>
      <x:c r="R452" s="55" t="n">
        <x:f>IF(O452=0,0,ROUND(Q452/O452,4))</x:f>
        <x:v>0.3785</x:v>
      </x:c>
      <x:c r="S452" s="53" t="n">
        <x:v>7</x:v>
      </x:c>
      <x:c r="T452" t="str">
        <x:v>Entregue</x:v>
      </x:c>
      <x:c r="U452" t="n">
        <x:v>5</x:v>
      </x:c>
      <x:c r="V452" t="str"/>
    </x:row>
    <x:row r="453">
      <x:c r="A453" s="52" t="n">
        <x:v>46203</x:v>
      </x:c>
      <x:c r="B453" t="str">
        <x:v>PED-100452</x:v>
      </x:c>
      <x:c r="C453" t="str">
        <x:v>Cliente 097</x:v>
      </x:c>
      <x:c r="D453" t="str">
        <x:v>PA</x:v>
      </x:c>
      <x:c r="E453" t="str">
        <x:v>Norte</x:v>
      </x:c>
      <x:c r="F453" t="str">
        <x:v>Marketplace</x:v>
      </x:c>
      <x:c r="G453" t="str">
        <x:v>Tecnologia</x:v>
      </x:c>
      <x:c r="H453" t="str">
        <x:v>Monitor 27</x:v>
      </x:c>
      <x:c r="I453" t="str">
        <x:v>João</x:v>
      </x:c>
      <x:c r="J453" s="53" t="n">
        <x:v>4</x:v>
      </x:c>
      <x:c r="K453" s="54" t="n">
        <x:v>1695.99</x:v>
      </x:c>
      <x:c r="L453" s="54" t="n">
        <x:v>1160.48</x:v>
      </x:c>
      <x:c r="M453" s="55" t="n">
        <x:v>0.035</x:v>
      </x:c>
      <x:c r="N453" s="54" t="n">
        <x:f>ROUND(J453*K453,2)</x:f>
        <x:v>6783.96</x:v>
      </x:c>
      <x:c r="O453" s="54" t="n">
        <x:f>ROUND(N453*(1-M453),2)</x:f>
        <x:v>6546.52</x:v>
      </x:c>
      <x:c r="P453" s="54" t="n">
        <x:f>ROUND(J453*L453,2)</x:f>
        <x:v>4641.92</x:v>
      </x:c>
      <x:c r="Q453" s="54" t="n">
        <x:f>ROUND(O453-P453,2)</x:f>
        <x:v>1904.6</x:v>
      </x:c>
      <x:c r="R453" s="55" t="n">
        <x:f>IF(O453=0,0,ROUND(Q453/O453,4))</x:f>
        <x:v>0.2909</x:v>
      </x:c>
      <x:c r="S453" s="53" t="n">
        <x:v>4</x:v>
      </x:c>
      <x:c r="T453" t="str">
        <x:v>Entregue</x:v>
      </x:c>
      <x:c r="U453" t="n">
        <x:v>2</x:v>
      </x:c>
      <x:c r="V453" t="str"/>
    </x:row>
    <x:row r="454">
      <x:c r="A454" s="52" t="n">
        <x:v>46221</x:v>
      </x:c>
      <x:c r="B454" t="str">
        <x:v>PED-100453</x:v>
      </x:c>
      <x:c r="C454" t="str">
        <x:v>Cliente 094</x:v>
      </x:c>
      <x:c r="D454" t="str">
        <x:v>AM</x:v>
      </x:c>
      <x:c r="E454" t="str">
        <x:v>Norte</x:v>
      </x:c>
      <x:c r="F454" t="str">
        <x:v>Televendas</x:v>
      </x:c>
      <x:c r="G454" t="str">
        <x:v>Escritório</x:v>
      </x:c>
      <x:c r="H454" t="str">
        <x:v>Mesa Ajustável</x:v>
      </x:c>
      <x:c r="I454" t="str">
        <x:v>Henrique</x:v>
      </x:c>
      <x:c r="J454" s="53" t="n">
        <x:v>1</x:v>
      </x:c>
      <x:c r="K454" s="54" t="n">
        <x:v>2902.9</x:v>
      </x:c>
      <x:c r="L454" s="54" t="n">
        <x:v>1810.29</x:v>
      </x:c>
      <x:c r="M454" s="55" t="n">
        <x:v>0</x:v>
      </x:c>
      <x:c r="N454" s="54" t="n">
        <x:f>ROUND(J454*K454,2)</x:f>
        <x:v>2902.9</x:v>
      </x:c>
      <x:c r="O454" s="54" t="n">
        <x:f>ROUND(N454*(1-M454),2)</x:f>
        <x:v>2902.9</x:v>
      </x:c>
      <x:c r="P454" s="54" t="n">
        <x:f>ROUND(J454*L454,2)</x:f>
        <x:v>1810.29</x:v>
      </x:c>
      <x:c r="Q454" s="54" t="n">
        <x:f>ROUND(O454-P454,2)</x:f>
        <x:v>1092.61</x:v>
      </x:c>
      <x:c r="R454" s="55" t="n">
        <x:f>IF(O454=0,0,ROUND(Q454/O454,4))</x:f>
        <x:v>0.3764</x:v>
      </x:c>
      <x:c r="S454" s="53" t="n">
        <x:v>9</x:v>
      </x:c>
      <x:c r="T454" t="str">
        <x:v>Entregue</x:v>
      </x:c>
      <x:c r="U454" t="n">
        <x:v>2</x:v>
      </x:c>
      <x:c r="V454" t="str"/>
    </x:row>
    <x:row r="455">
      <x:c r="A455" s="52" t="n">
        <x:v>46094</x:v>
      </x:c>
      <x:c r="B455" t="str">
        <x:v>PED-100454</x:v>
      </x:c>
      <x:c r="C455" t="str">
        <x:v>Cliente 094</x:v>
      </x:c>
      <x:c r="D455" t="str">
        <x:v>PA</x:v>
      </x:c>
      <x:c r="E455" t="str">
        <x:v>Norte</x:v>
      </x:c>
      <x:c r="F455" t="str">
        <x:v>Loja</x:v>
      </x:c>
      <x:c r="G455" t="str">
        <x:v>Casa</x:v>
      </x:c>
      <x:c r="H455" t="str">
        <x:v>Aspirador Robô</x:v>
      </x:c>
      <x:c r="I455" t="str">
        <x:v>João</x:v>
      </x:c>
      <x:c r="J455" s="53" t="n">
        <x:v>3</x:v>
      </x:c>
      <x:c r="K455" s="54" t="n">
        <x:v>1877.6</x:v>
      </x:c>
      <x:c r="L455" s="54" t="n">
        <x:v>1237.06</x:v>
      </x:c>
      <x:c r="M455" s="55" t="n">
        <x:v>0</x:v>
      </x:c>
      <x:c r="N455" s="54" t="n">
        <x:f>ROUND(J455*K455,2)</x:f>
        <x:v>5632.8</x:v>
      </x:c>
      <x:c r="O455" s="54" t="n">
        <x:f>ROUND(N455*(1-M455),2)</x:f>
        <x:v>5632.8</x:v>
      </x:c>
      <x:c r="P455" s="54" t="n">
        <x:f>ROUND(J455*L455,2)</x:f>
        <x:v>3711.18</x:v>
      </x:c>
      <x:c r="Q455" s="54" t="n">
        <x:f>ROUND(O455-P455,2)</x:f>
        <x:v>1921.62</x:v>
      </x:c>
      <x:c r="R455" s="55" t="n">
        <x:f>IF(O455=0,0,ROUND(Q455/O455,4))</x:f>
        <x:v>0.3411</x:v>
      </x:c>
      <x:c r="S455" s="53" t="n">
        <x:v>11</x:v>
      </x:c>
      <x:c r="T455" t="str">
        <x:v>Entregue com atraso</x:v>
      </x:c>
      <x:c r="U455" t="n">
        <x:v>2</x:v>
      </x:c>
      <x:c r="V455" t="str"/>
    </x:row>
    <x:row r="456">
      <x:c r="A456" s="52" t="n">
        <x:v>46058</x:v>
      </x:c>
      <x:c r="B456" t="str">
        <x:v>PED-100455</x:v>
      </x:c>
      <x:c r="C456" t="str">
        <x:v>Cliente 046</x:v>
      </x:c>
      <x:c r="D456" t="str">
        <x:v>ES</x:v>
      </x:c>
      <x:c r="E456" t="str">
        <x:v>Sudeste</x:v>
      </x:c>
      <x:c r="F456" t="str">
        <x:v>Marketplace</x:v>
      </x:c>
      <x:c r="G456" t="str">
        <x:v>Acessórios</x:v>
      </x:c>
      <x:c r="H456" t="str">
        <x:v>Mochila Executiva</x:v>
      </x:c>
      <x:c r="I456" t="str">
        <x:v>Bruno</x:v>
      </x:c>
      <x:c r="J456" s="53" t="n">
        <x:v>4</x:v>
      </x:c>
      <x:c r="K456" s="54" t="n">
        <x:v>430.3</x:v>
      </x:c>
      <x:c r="L456" s="54" t="n">
        <x:v>193.93</x:v>
      </x:c>
      <x:c r="M456" s="55" t="n">
        <x:v>0.035</x:v>
      </x:c>
      <x:c r="N456" s="54" t="n">
        <x:f>ROUND(J456*K456,2)</x:f>
        <x:v>1721.2</x:v>
      </x:c>
      <x:c r="O456" s="54" t="n">
        <x:f>ROUND(N456*(1-M456),2)</x:f>
        <x:v>1660.96</x:v>
      </x:c>
      <x:c r="P456" s="54" t="n">
        <x:f>ROUND(J456*L456,2)</x:f>
        <x:v>775.72</x:v>
      </x:c>
      <x:c r="Q456" s="54" t="n">
        <x:f>ROUND(O456-P456,2)</x:f>
        <x:v>885.24</x:v>
      </x:c>
      <x:c r="R456" s="55" t="n">
        <x:f>IF(O456=0,0,ROUND(Q456/O456,4))</x:f>
        <x:v>0.533</x:v>
      </x:c>
      <x:c r="S456" s="53" t="n">
        <x:v>7</x:v>
      </x:c>
      <x:c r="T456" t="str">
        <x:v>Entregue</x:v>
      </x:c>
      <x:c r="U456" t="n">
        <x:v>4</x:v>
      </x:c>
      <x:c r="V456" t="str"/>
    </x:row>
    <x:row r="457">
      <x:c r="A457" s="52" t="n">
        <x:v>46201</x:v>
      </x:c>
      <x:c r="B457" t="str">
        <x:v>PED-100456</x:v>
      </x:c>
      <x:c r="C457" t="str">
        <x:v>Cliente 092</x:v>
      </x:c>
      <x:c r="D457" t="str">
        <x:v>CE</x:v>
      </x:c>
      <x:c r="E457" t="str">
        <x:v>Nordeste</x:v>
      </x:c>
      <x:c r="F457" t="str">
        <x:v>Marketplace</x:v>
      </x:c>
      <x:c r="G457" t="str">
        <x:v>Tecnologia</x:v>
      </x:c>
      <x:c r="H457" t="str">
        <x:v>Notebook Pro</x:v>
      </x:c>
      <x:c r="I457" t="str">
        <x:v>Isabela</x:v>
      </x:c>
      <x:c r="J457" s="53" t="n">
        <x:v>2</x:v>
      </x:c>
      <x:c r="K457" s="54" t="n">
        <x:v>5893.72</x:v>
      </x:c>
      <x:c r="L457" s="54" t="n">
        <x:v>4479.37</x:v>
      </x:c>
      <x:c r="M457" s="55" t="n">
        <x:v>0.1415</x:v>
      </x:c>
      <x:c r="N457" s="54" t="n">
        <x:f>ROUND(J457*K457,2)</x:f>
        <x:v>11787.44</x:v>
      </x:c>
      <x:c r="O457" s="54" t="n">
        <x:f>ROUND(N457*(1-M457),2)</x:f>
        <x:v>10119.52</x:v>
      </x:c>
      <x:c r="P457" s="54" t="n">
        <x:f>ROUND(J457*L457,2)</x:f>
        <x:v>8958.74</x:v>
      </x:c>
      <x:c r="Q457" s="54" t="n">
        <x:f>ROUND(O457-P457,2)</x:f>
        <x:v>1160.78</x:v>
      </x:c>
      <x:c r="R457" s="55" t="n">
        <x:f>IF(O457=0,0,ROUND(Q457/O457,4))</x:f>
        <x:v>0.1147</x:v>
      </x:c>
      <x:c r="S457" s="53" t="n">
        <x:v>7</x:v>
      </x:c>
      <x:c r="T457" t="str">
        <x:v>Entregue</x:v>
      </x:c>
      <x:c r="U457" t="n">
        <x:v>3</x:v>
      </x:c>
      <x:c r="V457" t="str"/>
    </x:row>
    <x:row r="458">
      <x:c r="A458" s="52" t="n">
        <x:v>46106</x:v>
      </x:c>
      <x:c r="B458" t="str">
        <x:v>PED-100457</x:v>
      </x:c>
      <x:c r="C458" t="str">
        <x:v>Cliente 017</x:v>
      </x:c>
      <x:c r="D458" t="str">
        <x:v>MT</x:v>
      </x:c>
      <x:c r="E458" t="str">
        <x:v>Centro-Oeste</x:v>
      </x:c>
      <x:c r="F458" t="str">
        <x:v>Televendas</x:v>
      </x:c>
      <x:c r="G458" t="str">
        <x:v>Casa</x:v>
      </x:c>
      <x:c r="H458" t="str">
        <x:v>Cafeteira Smart</x:v>
      </x:c>
      <x:c r="I458" t="str">
        <x:v>Isabela</x:v>
      </x:c>
      <x:c r="J458" s="53" t="n">
        <x:v>3</x:v>
      </x:c>
      <x:c r="K458" s="54" t="n">
        <x:v>781.58</x:v>
      </x:c>
      <x:c r="L458" s="54" t="n">
        <x:v>470.74</x:v>
      </x:c>
      <x:c r="M458" s="55" t="n">
        <x:v>0</x:v>
      </x:c>
      <x:c r="N458" s="54" t="n">
        <x:f>ROUND(J458*K458,2)</x:f>
        <x:v>2344.74</x:v>
      </x:c>
      <x:c r="O458" s="54" t="n">
        <x:f>ROUND(N458*(1-M458),2)</x:f>
        <x:v>2344.74</x:v>
      </x:c>
      <x:c r="P458" s="54" t="n">
        <x:f>ROUND(J458*L458,2)</x:f>
        <x:v>1412.22</x:v>
      </x:c>
      <x:c r="Q458" s="54" t="n">
        <x:f>ROUND(O458-P458,2)</x:f>
        <x:v>932.52</x:v>
      </x:c>
      <x:c r="R458" s="55" t="n">
        <x:f>IF(O458=0,0,ROUND(Q458/O458,4))</x:f>
        <x:v>0.3977</x:v>
      </x:c>
      <x:c r="S458" s="53" t="n">
        <x:v>9</x:v>
      </x:c>
      <x:c r="T458" t="str">
        <x:v>Entregue</x:v>
      </x:c>
      <x:c r="U458" t="n">
        <x:v>2</x:v>
      </x:c>
      <x:c r="V458" t="str"/>
    </x:row>
    <x:row r="459">
      <x:c r="A459" s="52" t="n">
        <x:v>46183</x:v>
      </x:c>
      <x:c r="B459" t="str">
        <x:v>PED-100458</x:v>
      </x:c>
      <x:c r="C459" t="str">
        <x:v>Cliente 040</x:v>
      </x:c>
      <x:c r="D459" t="str">
        <x:v>ES</x:v>
      </x:c>
      <x:c r="E459" t="str">
        <x:v>Sudeste</x:v>
      </x:c>
      <x:c r="F459" t="str">
        <x:v>Marketplace</x:v>
      </x:c>
      <x:c r="G459" t="str">
        <x:v>Tecnologia</x:v>
      </x:c>
      <x:c r="H459" t="str">
        <x:v>Headset Office</x:v>
      </x:c>
      <x:c r="I459" t="str">
        <x:v>Carla</x:v>
      </x:c>
      <x:c r="J459" s="53" t="n">
        <x:v>1</x:v>
      </x:c>
      <x:c r="K459" s="54" t="n">
        <x:v>395.25</x:v>
      </x:c>
      <x:c r="L459" s="54" t="n">
        <x:v>219.18</x:v>
      </x:c>
      <x:c r="M459" s="55" t="n">
        <x:v>0.0773</x:v>
      </x:c>
      <x:c r="N459" s="54" t="n">
        <x:f>ROUND(J459*K459,2)</x:f>
        <x:v>395.25</x:v>
      </x:c>
      <x:c r="O459" s="54" t="n">
        <x:f>ROUND(N459*(1-M459),2)</x:f>
        <x:v>364.7</x:v>
      </x:c>
      <x:c r="P459" s="54" t="n">
        <x:f>ROUND(J459*L459,2)</x:f>
        <x:v>219.18</x:v>
      </x:c>
      <x:c r="Q459" s="54" t="n">
        <x:f>ROUND(O459-P459,2)</x:f>
        <x:v>145.52</x:v>
      </x:c>
      <x:c r="R459" s="55" t="n">
        <x:f>IF(O459=0,0,ROUND(Q459/O459,4))</x:f>
        <x:v>0.399</x:v>
      </x:c>
      <x:c r="S459" s="53" t="n">
        <x:v>2</x:v>
      </x:c>
      <x:c r="T459" t="str">
        <x:v>Entregue</x:v>
      </x:c>
      <x:c r="U459" t="n">
        <x:v>2</x:v>
      </x:c>
      <x:c r="V459" t="str"/>
    </x:row>
    <x:row r="460">
      <x:c r="A460" s="52" t="n">
        <x:v>46225</x:v>
      </x:c>
      <x:c r="B460" t="str">
        <x:v>PED-100459</x:v>
      </x:c>
      <x:c r="C460" t="str">
        <x:v>Cliente 110</x:v>
      </x:c>
      <x:c r="D460" t="str">
        <x:v>MT</x:v>
      </x:c>
      <x:c r="E460" t="str">
        <x:v>Centro-Oeste</x:v>
      </x:c>
      <x:c r="F460" t="str">
        <x:v>E-commerce</x:v>
      </x:c>
      <x:c r="G460" t="str">
        <x:v>Acessórios</x:v>
      </x:c>
      <x:c r="H460" t="str">
        <x:v>Hub USB-C</x:v>
      </x:c>
      <x:c r="I460" t="str">
        <x:v>Elaine</x:v>
      </x:c>
      <x:c r="J460" s="53" t="n">
        <x:v>8</x:v>
      </x:c>
      <x:c r="K460" s="54" t="n">
        <x:v>332.18</x:v>
      </x:c>
      <x:c r="L460" s="54" t="n">
        <x:v>141.4</x:v>
      </x:c>
      <x:c r="M460" s="55" t="n">
        <x:v>0.0189</x:v>
      </x:c>
      <x:c r="N460" s="54" t="n">
        <x:f>ROUND(J460*K460,2)</x:f>
        <x:v>2657.44</x:v>
      </x:c>
      <x:c r="O460" s="54" t="n">
        <x:f>ROUND(N460*(1-M460),2)</x:f>
        <x:v>2607.21</x:v>
      </x:c>
      <x:c r="P460" s="54" t="n">
        <x:f>ROUND(J460*L460,2)</x:f>
        <x:v>1131.2</x:v>
      </x:c>
      <x:c r="Q460" s="54" t="n">
        <x:f>ROUND(O460-P460,2)</x:f>
        <x:v>1476.01</x:v>
      </x:c>
      <x:c r="R460" s="55" t="n">
        <x:f>IF(O460=0,0,ROUND(Q460/O460,4))</x:f>
        <x:v>0.5661</x:v>
      </x:c>
      <x:c r="S460" s="53" t="n">
        <x:v>4</x:v>
      </x:c>
      <x:c r="T460" t="str">
        <x:v>Entregue</x:v>
      </x:c>
      <x:c r="U460" t="n">
        <x:v>2</x:v>
      </x:c>
      <x:c r="V460" t="str"/>
    </x:row>
    <x:row r="461">
      <x:c r="A461" s="52" t="n">
        <x:v>46168</x:v>
      </x:c>
      <x:c r="B461" t="str">
        <x:v>PED-100460</x:v>
      </x:c>
      <x:c r="C461" t="str">
        <x:v>Cliente 071</x:v>
      </x:c>
      <x:c r="D461" t="str">
        <x:v>RS</x:v>
      </x:c>
      <x:c r="E461" t="str">
        <x:v>Sul</x:v>
      </x:c>
      <x:c r="F461" t="str">
        <x:v>Televendas</x:v>
      </x:c>
      <x:c r="G461" t="str">
        <x:v>Acessórios</x:v>
      </x:c>
      <x:c r="H461" t="str">
        <x:v>Webcam HD</x:v>
      </x:c>
      <x:c r="I461" t="str">
        <x:v>Elaine</x:v>
      </x:c>
      <x:c r="J461" s="53" t="n">
        <x:v>2</x:v>
      </x:c>
      <x:c r="K461" s="54" t="n">
        <x:v>491.63</x:v>
      </x:c>
      <x:c r="L461" s="54" t="n">
        <x:v>251.33</x:v>
      </x:c>
      <x:c r="M461" s="55" t="n">
        <x:v>0.0577</x:v>
      </x:c>
      <x:c r="N461" s="54" t="n">
        <x:f>ROUND(J461*K461,2)</x:f>
        <x:v>983.26</x:v>
      </x:c>
      <x:c r="O461" s="54" t="n">
        <x:f>ROUND(N461*(1-M461),2)</x:f>
        <x:v>926.53</x:v>
      </x:c>
      <x:c r="P461" s="54" t="n">
        <x:f>ROUND(J461*L461,2)</x:f>
        <x:v>502.66</x:v>
      </x:c>
      <x:c r="Q461" s="54" t="n">
        <x:f>ROUND(O461-P461,2)</x:f>
        <x:v>423.87</x:v>
      </x:c>
      <x:c r="R461" s="55" t="n">
        <x:f>IF(O461=0,0,ROUND(Q461/O461,4))</x:f>
        <x:v>0.4575</x:v>
      </x:c>
      <x:c r="S461" s="53" t="n">
        <x:v>3</x:v>
      </x:c>
      <x:c r="T461" t="str">
        <x:v>Entregue</x:v>
      </x:c>
      <x:c r="U461" t="n">
        <x:v>4</x:v>
      </x:c>
      <x:c r="V461" t="str"/>
    </x:row>
    <x:row r="462">
      <x:c r="A462" s="52" t="n">
        <x:v>46231</x:v>
      </x:c>
      <x:c r="B462" t="str">
        <x:v>PED-100461</x:v>
      </x:c>
      <x:c r="C462" t="str">
        <x:v>Cliente 054</x:v>
      </x:c>
      <x:c r="D462" t="str">
        <x:v>RS</x:v>
      </x:c>
      <x:c r="E462" t="str">
        <x:v>Sul</x:v>
      </x:c>
      <x:c r="F462" t="str">
        <x:v>Marketplace</x:v>
      </x:c>
      <x:c r="G462" t="str">
        <x:v>Casa</x:v>
      </x:c>
      <x:c r="H462" t="str">
        <x:v>Cafeteira Smart</x:v>
      </x:c>
      <x:c r="I462" t="str">
        <x:v>Carla</x:v>
      </x:c>
      <x:c r="J462" s="53" t="n">
        <x:v>4</x:v>
      </x:c>
      <x:c r="K462" s="54" t="n">
        <x:v>767.27</x:v>
      </x:c>
      <x:c r="L462" s="54" t="n">
        <x:v>471.47</x:v>
      </x:c>
      <x:c r="M462" s="55" t="n">
        <x:v>0.035</x:v>
      </x:c>
      <x:c r="N462" s="54" t="n">
        <x:f>ROUND(J462*K462,2)</x:f>
        <x:v>3069.08</x:v>
      </x:c>
      <x:c r="O462" s="54" t="n">
        <x:f>ROUND(N462*(1-M462),2)</x:f>
        <x:v>2961.66</x:v>
      </x:c>
      <x:c r="P462" s="54" t="n">
        <x:f>ROUND(J462*L462,2)</x:f>
        <x:v>1885.88</x:v>
      </x:c>
      <x:c r="Q462" s="54" t="n">
        <x:f>ROUND(O462-P462,2)</x:f>
        <x:v>1075.78</x:v>
      </x:c>
      <x:c r="R462" s="55" t="n">
        <x:f>IF(O462=0,0,ROUND(Q462/O462,4))</x:f>
        <x:v>0.3632</x:v>
      </x:c>
      <x:c r="S462" s="53" t="n">
        <x:v>13</x:v>
      </x:c>
      <x:c r="T462" t="str">
        <x:v>Entregue com atraso</x:v>
      </x:c>
      <x:c r="U462" t="n">
        <x:v>2</x:v>
      </x:c>
      <x:c r="V462" t="str"/>
    </x:row>
    <x:row r="463">
      <x:c r="A463" s="52" t="n">
        <x:v>46055</x:v>
      </x:c>
      <x:c r="B463" t="str">
        <x:v>PED-100462</x:v>
      </x:c>
      <x:c r="C463" t="str">
        <x:v>Cliente 095</x:v>
      </x:c>
      <x:c r="D463" t="str">
        <x:v>AM</x:v>
      </x:c>
      <x:c r="E463" t="str">
        <x:v>Norte</x:v>
      </x:c>
      <x:c r="F463" t="str">
        <x:v>Televendas</x:v>
      </x:c>
      <x:c r="G463" t="str">
        <x:v>Tecnologia</x:v>
      </x:c>
      <x:c r="H463" t="str">
        <x:v>Headset Office</x:v>
      </x:c>
      <x:c r="I463" t="str">
        <x:v>Isabela</x:v>
      </x:c>
      <x:c r="J463" s="53" t="n">
        <x:v>1</x:v>
      </x:c>
      <x:c r="K463" s="54" t="n">
        <x:v>409.5</x:v>
      </x:c>
      <x:c r="L463" s="54" t="n">
        <x:v>223.97</x:v>
      </x:c>
      <x:c r="M463" s="55" t="n">
        <x:v>0.1225</x:v>
      </x:c>
      <x:c r="N463" s="54" t="n">
        <x:f>ROUND(J463*K463,2)</x:f>
        <x:v>409.5</x:v>
      </x:c>
      <x:c r="O463" s="54" t="n">
        <x:f>ROUND(N463*(1-M463),2)</x:f>
        <x:v>359.34</x:v>
      </x:c>
      <x:c r="P463" s="54" t="n">
        <x:f>ROUND(J463*L463,2)</x:f>
        <x:v>223.97</x:v>
      </x:c>
      <x:c r="Q463" s="54" t="n">
        <x:f>ROUND(O463-P463,2)</x:f>
        <x:v>135.37</x:v>
      </x:c>
      <x:c r="R463" s="55" t="n">
        <x:f>IF(O463=0,0,ROUND(Q463/O463,4))</x:f>
        <x:v>0.3767</x:v>
      </x:c>
      <x:c r="S463" s="53" t="n">
        <x:v>8</x:v>
      </x:c>
      <x:c r="T463" t="str">
        <x:v>Entregue</x:v>
      </x:c>
      <x:c r="U463" t="n">
        <x:v>2</x:v>
      </x:c>
      <x:c r="V463" t="str"/>
    </x:row>
    <x:row r="464">
      <x:c r="A464" s="52" t="n">
        <x:v>46142</x:v>
      </x:c>
      <x:c r="B464" t="str">
        <x:v>PED-100463</x:v>
      </x:c>
      <x:c r="C464" t="str">
        <x:v>Cliente 081</x:v>
      </x:c>
      <x:c r="D464" t="str">
        <x:v>SC</x:v>
      </x:c>
      <x:c r="E464" t="str">
        <x:v>Sul</x:v>
      </x:c>
      <x:c r="F464" t="str">
        <x:v>Marketplace</x:v>
      </x:c>
      <x:c r="G464" t="str">
        <x:v>Acessórios</x:v>
      </x:c>
      <x:c r="H464" t="str">
        <x:v>Webcam HD</x:v>
      </x:c>
      <x:c r="I464" t="str">
        <x:v>Elaine</x:v>
      </x:c>
      <x:c r="J464" s="53" t="n">
        <x:v>3</x:v>
      </x:c>
      <x:c r="K464" s="54" t="n">
        <x:v>508.81</x:v>
      </x:c>
      <x:c r="L464" s="54" t="n">
        <x:v>237.79</x:v>
      </x:c>
      <x:c r="M464" s="55" t="n">
        <x:v>0.035</x:v>
      </x:c>
      <x:c r="N464" s="54" t="n">
        <x:f>ROUND(J464*K464,2)</x:f>
        <x:v>1526.43</x:v>
      </x:c>
      <x:c r="O464" s="54" t="n">
        <x:f>ROUND(N464*(1-M464),2)</x:f>
        <x:v>1473</x:v>
      </x:c>
      <x:c r="P464" s="54" t="n">
        <x:f>ROUND(J464*L464,2)</x:f>
        <x:v>713.37</x:v>
      </x:c>
      <x:c r="Q464" s="54" t="n">
        <x:f>ROUND(O464-P464,2)</x:f>
        <x:v>759.63</x:v>
      </x:c>
      <x:c r="R464" s="55" t="n">
        <x:f>IF(O464=0,0,ROUND(Q464/O464,4))</x:f>
        <x:v>0.5157</x:v>
      </x:c>
      <x:c r="S464" s="53" t="n">
        <x:v>14</x:v>
      </x:c>
      <x:c r="T464" t="str">
        <x:v>Entregue com atraso</x:v>
      </x:c>
      <x:c r="U464" t="n">
        <x:v>5</x:v>
      </x:c>
      <x:c r="V464" t="str"/>
    </x:row>
    <x:row r="465">
      <x:c r="A465" s="52" t="n">
        <x:v>46092</x:v>
      </x:c>
      <x:c r="B465" t="str">
        <x:v>PED-100464</x:v>
      </x:c>
      <x:c r="C465" t="str">
        <x:v>Cliente 100</x:v>
      </x:c>
      <x:c r="D465" t="str">
        <x:v>GO</x:v>
      </x:c>
      <x:c r="E465" t="str">
        <x:v>Centro-Oeste</x:v>
      </x:c>
      <x:c r="F465" t="str">
        <x:v>E-commerce</x:v>
      </x:c>
      <x:c r="G465" t="str">
        <x:v>Escritório</x:v>
      </x:c>
      <x:c r="H465" t="str">
        <x:v>Mesa Ajustável</x:v>
      </x:c>
      <x:c r="I465" t="str">
        <x:v>Isabela</x:v>
      </x:c>
      <x:c r="J465" s="53" t="n">
        <x:v>6</x:v>
      </x:c>
      <x:c r="K465" s="54" t="n">
        <x:v>2840.11</x:v>
      </x:c>
      <x:c r="L465" s="54" t="n">
        <x:v>1770</x:v>
      </x:c>
      <x:c r="M465" s="55" t="n">
        <x:v>0</x:v>
      </x:c>
      <x:c r="N465" s="54" t="n">
        <x:f>ROUND(J465*K465,2)</x:f>
        <x:v>17040.66</x:v>
      </x:c>
      <x:c r="O465" s="54" t="n">
        <x:f>ROUND(N465*(1-M465),2)</x:f>
        <x:v>17040.66</x:v>
      </x:c>
      <x:c r="P465" s="54" t="n">
        <x:f>ROUND(J465*L465,2)</x:f>
        <x:v>10620</x:v>
      </x:c>
      <x:c r="Q465" s="54" t="n">
        <x:f>ROUND(O465-P465,2)</x:f>
        <x:v>6420.66</x:v>
      </x:c>
      <x:c r="R465" s="55" t="n">
        <x:f>IF(O465=0,0,ROUND(Q465/O465,4))</x:f>
        <x:v>0.3768</x:v>
      </x:c>
      <x:c r="S465" s="53" t="n">
        <x:v>11</x:v>
      </x:c>
      <x:c r="T465" t="str">
        <x:v>Entregue com atraso</x:v>
      </x:c>
      <x:c r="U465" t="n">
        <x:v>3</x:v>
      </x:c>
      <x:c r="V465" t="str"/>
    </x:row>
    <x:row r="466">
      <x:c r="A466" s="52" t="n">
        <x:v>46208</x:v>
      </x:c>
      <x:c r="B466" t="str">
        <x:v>PED-100465</x:v>
      </x:c>
      <x:c r="C466" t="str">
        <x:v>Cliente 081</x:v>
      </x:c>
      <x:c r="D466" t="str">
        <x:v>MT</x:v>
      </x:c>
      <x:c r="E466" t="str">
        <x:v>Centro-Oeste</x:v>
      </x:c>
      <x:c r="F466" t="str">
        <x:v>Televendas</x:v>
      </x:c>
      <x:c r="G466" t="str">
        <x:v>Escritório</x:v>
      </x:c>
      <x:c r="H466" t="str">
        <x:v>Cadeira Ergonômica</x:v>
      </x:c>
      <x:c r="I466" t="str">
        <x:v>Carla</x:v>
      </x:c>
      <x:c r="J466" s="53" t="n">
        <x:v>3</x:v>
      </x:c>
      <x:c r="K466" s="54" t="n">
        <x:v>2140.02</x:v>
      </x:c>
      <x:c r="L466" s="54" t="n">
        <x:v>1363.48</x:v>
      </x:c>
      <x:c r="M466" s="55" t="n">
        <x:v>0.1213</x:v>
      </x:c>
      <x:c r="N466" s="54" t="n">
        <x:f>ROUND(J466*K466,2)</x:f>
        <x:v>6420.06</x:v>
      </x:c>
      <x:c r="O466" s="54" t="n">
        <x:f>ROUND(N466*(1-M466),2)</x:f>
        <x:v>5641.31</x:v>
      </x:c>
      <x:c r="P466" s="54" t="n">
        <x:f>ROUND(J466*L466,2)</x:f>
        <x:v>4090.44</x:v>
      </x:c>
      <x:c r="Q466" s="54" t="n">
        <x:f>ROUND(O466-P466,2)</x:f>
        <x:v>1550.87</x:v>
      </x:c>
      <x:c r="R466" s="55" t="n">
        <x:f>IF(O466=0,0,ROUND(Q466/O466,4))</x:f>
        <x:v>0.2749</x:v>
      </x:c>
      <x:c r="S466" s="53" t="n">
        <x:v>3</x:v>
      </x:c>
      <x:c r="T466" t="str">
        <x:v>Entregue</x:v>
      </x:c>
      <x:c r="U466" t="n">
        <x:v>2</x:v>
      </x:c>
      <x:c r="V466" t="str"/>
    </x:row>
    <x:row r="467">
      <x:c r="A467" s="52" t="n">
        <x:v>46151</x:v>
      </x:c>
      <x:c r="B467" t="str">
        <x:v>PED-100466</x:v>
      </x:c>
      <x:c r="C467" t="str">
        <x:v>Cliente 080</x:v>
      </x:c>
      <x:c r="D467" t="str">
        <x:v>MG</x:v>
      </x:c>
      <x:c r="E467" t="str">
        <x:v>Sudeste</x:v>
      </x:c>
      <x:c r="F467" t="str">
        <x:v>Televendas</x:v>
      </x:c>
      <x:c r="G467" t="str">
        <x:v>Escritório</x:v>
      </x:c>
      <x:c r="H467" t="str">
        <x:v>Luminária LED</x:v>
      </x:c>
      <x:c r="I467" t="str">
        <x:v>Gabriela</x:v>
      </x:c>
      <x:c r="J467" s="53" t="n">
        <x:v>4</x:v>
      </x:c>
      <x:c r="K467" s="54" t="n">
        <x:v>264.45</x:v>
      </x:c>
      <x:c r="L467" s="54" t="n">
        <x:v>121.11</x:v>
      </x:c>
      <x:c r="M467" s="55" t="n">
        <x:v>0</x:v>
      </x:c>
      <x:c r="N467" s="54" t="n">
        <x:f>ROUND(J467*K467,2)</x:f>
        <x:v>1057.8</x:v>
      </x:c>
      <x:c r="O467" s="54" t="n">
        <x:f>ROUND(N467*(1-M467),2)</x:f>
        <x:v>1057.8</x:v>
      </x:c>
      <x:c r="P467" s="54" t="n">
        <x:f>ROUND(J467*L467,2)</x:f>
        <x:v>484.44</x:v>
      </x:c>
      <x:c r="Q467" s="54" t="n">
        <x:f>ROUND(O467-P467,2)</x:f>
        <x:v>573.36</x:v>
      </x:c>
      <x:c r="R467" s="55" t="n">
        <x:f>IF(O467=0,0,ROUND(Q467/O467,4))</x:f>
        <x:v>0.542</x:v>
      </x:c>
      <x:c r="S467" s="53" t="n">
        <x:v>14</x:v>
      </x:c>
      <x:c r="T467" t="str">
        <x:v>Entregue com atraso</x:v>
      </x:c>
      <x:c r="U467" t="n">
        <x:v>5</x:v>
      </x:c>
      <x:c r="V467" t="str"/>
    </x:row>
    <x:row r="468">
      <x:c r="A468" s="52" t="n">
        <x:v>46044</x:v>
      </x:c>
      <x:c r="B468" t="str">
        <x:v>PED-100467</x:v>
      </x:c>
      <x:c r="C468" t="str">
        <x:v>Cliente 013</x:v>
      </x:c>
      <x:c r="D468" t="str">
        <x:v>BA</x:v>
      </x:c>
      <x:c r="E468" t="str">
        <x:v>Nordeste</x:v>
      </x:c>
      <x:c r="F468" t="str">
        <x:v>Televendas</x:v>
      </x:c>
      <x:c r="G468" t="str">
        <x:v>Escritório</x:v>
      </x:c>
      <x:c r="H468" t="str">
        <x:v>Luminária LED</x:v>
      </x:c>
      <x:c r="I468" t="str">
        <x:v>Elaine</x:v>
      </x:c>
      <x:c r="J468" s="53" t="n">
        <x:v>2</x:v>
      </x:c>
      <x:c r="K468" s="54" t="n">
        <x:v>263.15</x:v>
      </x:c>
      <x:c r="L468" s="54" t="n">
        <x:v>123.51</x:v>
      </x:c>
      <x:c r="M468" s="55" t="n">
        <x:v>0.068</x:v>
      </x:c>
      <x:c r="N468" s="54" t="n">
        <x:f>ROUND(J468*K468,2)</x:f>
        <x:v>526.3</x:v>
      </x:c>
      <x:c r="O468" s="54" t="n">
        <x:f>ROUND(N468*(1-M468),2)</x:f>
        <x:v>490.51</x:v>
      </x:c>
      <x:c r="P468" s="54" t="n">
        <x:f>ROUND(J468*L468,2)</x:f>
        <x:v>247.02</x:v>
      </x:c>
      <x:c r="Q468" s="54" t="n">
        <x:f>ROUND(O468-P468,2)</x:f>
        <x:v>243.49</x:v>
      </x:c>
      <x:c r="R468" s="55" t="n">
        <x:f>IF(O468=0,0,ROUND(Q468/O468,4))</x:f>
        <x:v>0.4964</x:v>
      </x:c>
      <x:c r="S468" s="53" t="n">
        <x:v>10</x:v>
      </x:c>
      <x:c r="T468" t="str">
        <x:v>Entregue</x:v>
      </x:c>
      <x:c r="U468" t="n">
        <x:v>2</x:v>
      </x:c>
      <x:c r="V468" t="str"/>
    </x:row>
    <x:row r="469">
      <x:c r="A469" s="52" t="n">
        <x:v>46182</x:v>
      </x:c>
      <x:c r="B469" t="str">
        <x:v>PED-100468</x:v>
      </x:c>
      <x:c r="C469" t="str">
        <x:v>Cliente 120</x:v>
      </x:c>
      <x:c r="D469" t="str">
        <x:v>RJ</x:v>
      </x:c>
      <x:c r="E469" t="str">
        <x:v>Sudeste</x:v>
      </x:c>
      <x:c r="F469" t="str">
        <x:v>Marketplace</x:v>
      </x:c>
      <x:c r="G469" t="str">
        <x:v>Escritório</x:v>
      </x:c>
      <x:c r="H469" t="str">
        <x:v>Mesa Ajustável</x:v>
      </x:c>
      <x:c r="I469" t="str">
        <x:v>Carla</x:v>
      </x:c>
      <x:c r="J469" s="53" t="n">
        <x:v>1</x:v>
      </x:c>
      <x:c r="K469" s="54" t="n">
        <x:v>2941.45</x:v>
      </x:c>
      <x:c r="L469" s="54" t="n">
        <x:v>1853.23</x:v>
      </x:c>
      <x:c r="M469" s="55" t="n">
        <x:v>0.035</x:v>
      </x:c>
      <x:c r="N469" s="54" t="n">
        <x:f>ROUND(J469*K469,2)</x:f>
        <x:v>2941.45</x:v>
      </x:c>
      <x:c r="O469" s="54" t="n">
        <x:f>ROUND(N469*(1-M469),2)</x:f>
        <x:v>2838.5</x:v>
      </x:c>
      <x:c r="P469" s="54" t="n">
        <x:f>ROUND(J469*L469,2)</x:f>
        <x:v>1853.23</x:v>
      </x:c>
      <x:c r="Q469" s="54" t="n">
        <x:f>ROUND(O469-P469,2)</x:f>
        <x:v>985.27</x:v>
      </x:c>
      <x:c r="R469" s="55" t="n">
        <x:f>IF(O469=0,0,ROUND(Q469/O469,4))</x:f>
        <x:v>0.3471</x:v>
      </x:c>
      <x:c r="S469" s="53" t="n">
        <x:v>3</x:v>
      </x:c>
      <x:c r="T469" t="str">
        <x:v>Entregue</x:v>
      </x:c>
      <x:c r="U469" t="n">
        <x:v>2</x:v>
      </x:c>
      <x:c r="V469" t="str"/>
    </x:row>
    <x:row r="470">
      <x:c r="A470" s="52" t="n">
        <x:v>46218</x:v>
      </x:c>
      <x:c r="B470" t="str">
        <x:v>PED-100469</x:v>
      </x:c>
      <x:c r="C470" t="str">
        <x:v>Cliente 112</x:v>
      </x:c>
      <x:c r="D470" t="str">
        <x:v>RJ</x:v>
      </x:c>
      <x:c r="E470" t="str">
        <x:v>Sudeste</x:v>
      </x:c>
      <x:c r="F470" t="str">
        <x:v>Marketplace</x:v>
      </x:c>
      <x:c r="G470" t="str">
        <x:v>Escritório</x:v>
      </x:c>
      <x:c r="H470" t="str">
        <x:v>Luminária LED</x:v>
      </x:c>
      <x:c r="I470" t="str">
        <x:v>Henrique</x:v>
      </x:c>
      <x:c r="J470" s="53" t="n">
        <x:v>8</x:v>
      </x:c>
      <x:c r="K470" s="54" t="n">
        <x:v>257.68</x:v>
      </x:c>
      <x:c r="L470" s="54" t="n">
        <x:v>121.97</x:v>
      </x:c>
      <x:c r="M470" s="55" t="n">
        <x:v>0.035</x:v>
      </x:c>
      <x:c r="N470" s="54" t="n">
        <x:f>ROUND(J470*K470,2)</x:f>
        <x:v>2061.44</x:v>
      </x:c>
      <x:c r="O470" s="54" t="n">
        <x:f>ROUND(N470*(1-M470),2)</x:f>
        <x:v>1989.29</x:v>
      </x:c>
      <x:c r="P470" s="54" t="n">
        <x:f>ROUND(J470*L470,2)</x:f>
        <x:v>975.76</x:v>
      </x:c>
      <x:c r="Q470" s="54" t="n">
        <x:f>ROUND(O470-P470,2)</x:f>
        <x:v>1013.53</x:v>
      </x:c>
      <x:c r="R470" s="55" t="n">
        <x:f>IF(O470=0,0,ROUND(Q470/O470,4))</x:f>
        <x:v>0.5095</x:v>
      </x:c>
      <x:c r="S470" s="53" t="n">
        <x:v>14</x:v>
      </x:c>
      <x:c r="T470" t="str">
        <x:v>Entregue com atraso</x:v>
      </x:c>
      <x:c r="U470" t="n">
        <x:v>3</x:v>
      </x:c>
      <x:c r="V470" t="str"/>
    </x:row>
    <x:row r="471">
      <x:c r="A471" s="52" t="n">
        <x:v>46169</x:v>
      </x:c>
      <x:c r="B471" t="str">
        <x:v>PED-100470</x:v>
      </x:c>
      <x:c r="C471" t="str">
        <x:v>Cliente 055</x:v>
      </x:c>
      <x:c r="D471" t="str">
        <x:v>MG</x:v>
      </x:c>
      <x:c r="E471" t="str">
        <x:v>Sudeste</x:v>
      </x:c>
      <x:c r="F471" t="str">
        <x:v>E-commerce</x:v>
      </x:c>
      <x:c r="G471" t="str">
        <x:v>Casa</x:v>
      </x:c>
      <x:c r="H471" t="str">
        <x:v>Cafeteira Smart</x:v>
      </x:c>
      <x:c r="I471" t="str">
        <x:v>Carla</x:v>
      </x:c>
      <x:c r="J471" s="53" t="n">
        <x:v>2</x:v>
      </x:c>
      <x:c r="K471" s="54" t="n">
        <x:v>822.16</x:v>
      </x:c>
      <x:c r="L471" s="54" t="n">
        <x:v>457.08</x:v>
      </x:c>
      <x:c r="M471" s="55" t="n">
        <x:v>0.092</x:v>
      </x:c>
      <x:c r="N471" s="54" t="n">
        <x:f>ROUND(J471*K471,2)</x:f>
        <x:v>1644.32</x:v>
      </x:c>
      <x:c r="O471" s="54" t="n">
        <x:f>ROUND(N471*(1-M471),2)</x:f>
        <x:v>1493.04</x:v>
      </x:c>
      <x:c r="P471" s="54" t="n">
        <x:f>ROUND(J471*L471,2)</x:f>
        <x:v>914.16</x:v>
      </x:c>
      <x:c r="Q471" s="54" t="n">
        <x:f>ROUND(O471-P471,2)</x:f>
        <x:v>578.88</x:v>
      </x:c>
      <x:c r="R471" s="55" t="n">
        <x:f>IF(O471=0,0,ROUND(Q471/O471,4))</x:f>
        <x:v>0.3877</x:v>
      </x:c>
      <x:c r="S471" s="53" t="n">
        <x:v>2</x:v>
      </x:c>
      <x:c r="T471" t="str">
        <x:v>Entregue</x:v>
      </x:c>
      <x:c r="U471" t="n">
        <x:v>5</x:v>
      </x:c>
      <x:c r="V471" t="str"/>
    </x:row>
    <x:row r="472">
      <x:c r="A472" s="52" t="n">
        <x:v>46107</x:v>
      </x:c>
      <x:c r="B472" t="str">
        <x:v>PED-100471</x:v>
      </x:c>
      <x:c r="C472" t="str">
        <x:v>Cliente 046</x:v>
      </x:c>
      <x:c r="D472" t="str">
        <x:v>MA</x:v>
      </x:c>
      <x:c r="E472" t="str">
        <x:v>Nordeste</x:v>
      </x:c>
      <x:c r="F472" t="str">
        <x:v>Loja</x:v>
      </x:c>
      <x:c r="G472" t="str">
        <x:v>Tecnologia</x:v>
      </x:c>
      <x:c r="H472" t="str">
        <x:v>Monitor 27</x:v>
      </x:c>
      <x:c r="I472" t="str">
        <x:v>João</x:v>
      </x:c>
      <x:c r="J472" s="53" t="n">
        <x:v>5</x:v>
      </x:c>
      <x:c r="K472" s="54" t="n">
        <x:v>1598.64</x:v>
      </x:c>
      <x:c r="L472" s="54" t="n">
        <x:v>1137.72</x:v>
      </x:c>
      <x:c r="M472" s="55" t="n">
        <x:v>0.0042</x:v>
      </x:c>
      <x:c r="N472" s="54" t="n">
        <x:f>ROUND(J472*K472,2)</x:f>
        <x:v>7993.2</x:v>
      </x:c>
      <x:c r="O472" s="54" t="n">
        <x:f>ROUND(N472*(1-M472),2)</x:f>
        <x:v>7959.63</x:v>
      </x:c>
      <x:c r="P472" s="54" t="n">
        <x:f>ROUND(J472*L472,2)</x:f>
        <x:v>5688.6</x:v>
      </x:c>
      <x:c r="Q472" s="54" t="n">
        <x:f>ROUND(O472-P472,2)</x:f>
        <x:v>2271.03</x:v>
      </x:c>
      <x:c r="R472" s="55" t="n">
        <x:f>IF(O472=0,0,ROUND(Q472/O472,4))</x:f>
        <x:v>0.2853</x:v>
      </x:c>
      <x:c r="S472" s="53" t="n">
        <x:v>5</x:v>
      </x:c>
      <x:c r="T472" t="str">
        <x:v>Entregue</x:v>
      </x:c>
      <x:c r="U472" t="n">
        <x:v>3</x:v>
      </x:c>
      <x:c r="V472" t="str"/>
    </x:row>
    <x:row r="473">
      <x:c r="A473" s="52" t="n">
        <x:v>46225</x:v>
      </x:c>
      <x:c r="B473" t="str">
        <x:v>PED-100472</x:v>
      </x:c>
      <x:c r="C473" t="str">
        <x:v>Cliente 017</x:v>
      </x:c>
      <x:c r="D473" t="str">
        <x:v>PR</x:v>
      </x:c>
      <x:c r="E473" t="str">
        <x:v>Sul</x:v>
      </x:c>
      <x:c r="F473" t="str">
        <x:v>Loja</x:v>
      </x:c>
      <x:c r="G473" t="str">
        <x:v>Acessórios</x:v>
      </x:c>
      <x:c r="H473" t="str">
        <x:v>Webcam HD</x:v>
      </x:c>
      <x:c r="I473" t="str">
        <x:v>Elaine</x:v>
      </x:c>
      <x:c r="J473" s="53" t="n">
        <x:v>2</x:v>
      </x:c>
      <x:c r="K473" s="54" t="n">
        <x:v>528.66</x:v>
      </x:c>
      <x:c r="L473" s="54" t="n">
        <x:v>245.27</x:v>
      </x:c>
      <x:c r="M473" s="55" t="n">
        <x:v>0.0333</x:v>
      </x:c>
      <x:c r="N473" s="54" t="n">
        <x:f>ROUND(J473*K473,2)</x:f>
        <x:v>1057.32</x:v>
      </x:c>
      <x:c r="O473" s="54" t="n">
        <x:f>ROUND(N473*(1-M473),2)</x:f>
        <x:v>1022.11</x:v>
      </x:c>
      <x:c r="P473" s="54" t="n">
        <x:f>ROUND(J473*L473,2)</x:f>
        <x:v>490.54</x:v>
      </x:c>
      <x:c r="Q473" s="54" t="n">
        <x:f>ROUND(O473-P473,2)</x:f>
        <x:v>531.57</x:v>
      </x:c>
      <x:c r="R473" s="55" t="n">
        <x:f>IF(O473=0,0,ROUND(Q473/O473,4))</x:f>
        <x:v>0.5201</x:v>
      </x:c>
      <x:c r="S473" s="53" t="n">
        <x:v>13</x:v>
      </x:c>
      <x:c r="T473" t="str">
        <x:v>Entregue com atraso</x:v>
      </x:c>
      <x:c r="U473" t="n">
        <x:v>2</x:v>
      </x:c>
      <x:c r="V473" t="str"/>
    </x:row>
    <x:row r="474">
      <x:c r="A474" s="52" t="n">
        <x:v>46225</x:v>
      </x:c>
      <x:c r="B474" t="str">
        <x:v>PED-100473</x:v>
      </x:c>
      <x:c r="C474" t="str">
        <x:v>Cliente 072</x:v>
      </x:c>
      <x:c r="D474" t="str">
        <x:v>MT</x:v>
      </x:c>
      <x:c r="E474" t="str">
        <x:v>Centro-Oeste</x:v>
      </x:c>
      <x:c r="F474" t="str">
        <x:v>Loja</x:v>
      </x:c>
      <x:c r="G474" t="str">
        <x:v>Acessórios</x:v>
      </x:c>
      <x:c r="H474" t="str">
        <x:v>Mochila Executiva</x:v>
      </x:c>
      <x:c r="I474" t="str">
        <x:v>Diego</x:v>
      </x:c>
      <x:c r="J474" s="53" t="n">
        <x:v>5</x:v>
      </x:c>
      <x:c r="K474" s="54" t="n">
        <x:v>435.79</x:v>
      </x:c>
      <x:c r="L474" s="54" t="n">
        <x:v>186.86</x:v>
      </x:c>
      <x:c r="M474" s="55" t="n">
        <x:v>0.1195</x:v>
      </x:c>
      <x:c r="N474" s="54" t="n">
        <x:f>ROUND(J474*K474,2)</x:f>
        <x:v>2178.95</x:v>
      </x:c>
      <x:c r="O474" s="54" t="n">
        <x:f>ROUND(N474*(1-M474),2)</x:f>
        <x:v>1918.57</x:v>
      </x:c>
      <x:c r="P474" s="54" t="n">
        <x:f>ROUND(J474*L474,2)</x:f>
        <x:v>934.3</x:v>
      </x:c>
      <x:c r="Q474" s="54" t="n">
        <x:f>ROUND(O474-P474,2)</x:f>
        <x:v>984.27</x:v>
      </x:c>
      <x:c r="R474" s="55" t="n">
        <x:f>IF(O474=0,0,ROUND(Q474/O474,4))</x:f>
        <x:v>0.513</x:v>
      </x:c>
      <x:c r="S474" s="53" t="n">
        <x:v>6</x:v>
      </x:c>
      <x:c r="T474" t="str">
        <x:v>Entregue</x:v>
      </x:c>
      <x:c r="U474" t="n">
        <x:v>3</x:v>
      </x:c>
      <x:c r="V474" t="str"/>
    </x:row>
    <x:row r="475">
      <x:c r="A475" s="52" t="n">
        <x:v>46052</x:v>
      </x:c>
      <x:c r="B475" t="str">
        <x:v>PED-100474</x:v>
      </x:c>
      <x:c r="C475" t="str">
        <x:v>Cliente 098</x:v>
      </x:c>
      <x:c r="D475" t="str">
        <x:v>PE</x:v>
      </x:c>
      <x:c r="E475" t="str">
        <x:v>Nordeste</x:v>
      </x:c>
      <x:c r="F475" t="str">
        <x:v>Marketplace</x:v>
      </x:c>
      <x:c r="G475" t="str">
        <x:v>Casa</x:v>
      </x:c>
      <x:c r="H475" t="str">
        <x:v>Cafeteira Smart</x:v>
      </x:c>
      <x:c r="I475" t="str">
        <x:v>Carla</x:v>
      </x:c>
      <x:c r="J475" s="53" t="n">
        <x:v>1</x:v>
      </x:c>
      <x:c r="K475" s="54" t="n">
        <x:v>802.41</x:v>
      </x:c>
      <x:c r="L475" s="54" t="n">
        <x:v>492.54</x:v>
      </x:c>
      <x:c r="M475" s="55" t="n">
        <x:v>0.035</x:v>
      </x:c>
      <x:c r="N475" s="54" t="n">
        <x:f>ROUND(J475*K475,2)</x:f>
        <x:v>802.41</x:v>
      </x:c>
      <x:c r="O475" s="54" t="n">
        <x:f>ROUND(N475*(1-M475),2)</x:f>
        <x:v>774.33</x:v>
      </x:c>
      <x:c r="P475" s="54" t="n">
        <x:f>ROUND(J475*L475,2)</x:f>
        <x:v>492.54</x:v>
      </x:c>
      <x:c r="Q475" s="54" t="n">
        <x:f>ROUND(O475-P475,2)</x:f>
        <x:v>281.79</x:v>
      </x:c>
      <x:c r="R475" s="55" t="n">
        <x:f>IF(O475=0,0,ROUND(Q475/O475,4))</x:f>
        <x:v>0.3639</x:v>
      </x:c>
      <x:c r="S475" s="53" t="n">
        <x:v>11</x:v>
      </x:c>
      <x:c r="T475" t="str">
        <x:v>Entregue com atraso</x:v>
      </x:c>
      <x:c r="U475" t="n">
        <x:v>2</x:v>
      </x:c>
      <x:c r="V475" t="str"/>
    </x:row>
    <x:row r="476">
      <x:c r="A476" s="52" t="n">
        <x:v>46118</x:v>
      </x:c>
      <x:c r="B476" t="str">
        <x:v>PED-100475</x:v>
      </x:c>
      <x:c r="C476" t="str">
        <x:v>Cliente 089</x:v>
      </x:c>
      <x:c r="D476" t="str">
        <x:v>RS</x:v>
      </x:c>
      <x:c r="E476" t="str">
        <x:v>Sul</x:v>
      </x:c>
      <x:c r="F476" t="str">
        <x:v>Marketplace</x:v>
      </x:c>
      <x:c r="G476" t="str">
        <x:v>Escritório</x:v>
      </x:c>
      <x:c r="H476" t="str">
        <x:v>Mesa Ajustável</x:v>
      </x:c>
      <x:c r="I476" t="str">
        <x:v>Gabriela</x:v>
      </x:c>
      <x:c r="J476" s="53" t="n">
        <x:v>2</x:v>
      </x:c>
      <x:c r="K476" s="54" t="n">
        <x:v>2841.27</x:v>
      </x:c>
      <x:c r="L476" s="54" t="n">
        <x:v>1893.92</x:v>
      </x:c>
      <x:c r="M476" s="55" t="n">
        <x:v>0.035</x:v>
      </x:c>
      <x:c r="N476" s="54" t="n">
        <x:f>ROUND(J476*K476,2)</x:f>
        <x:v>5682.54</x:v>
      </x:c>
      <x:c r="O476" s="54" t="n">
        <x:f>ROUND(N476*(1-M476),2)</x:f>
        <x:v>5483.65</x:v>
      </x:c>
      <x:c r="P476" s="54" t="n">
        <x:f>ROUND(J476*L476,2)</x:f>
        <x:v>3787.84</x:v>
      </x:c>
      <x:c r="Q476" s="54" t="n">
        <x:f>ROUND(O476-P476,2)</x:f>
        <x:v>1695.81</x:v>
      </x:c>
      <x:c r="R476" s="55" t="n">
        <x:f>IF(O476=0,0,ROUND(Q476/O476,4))</x:f>
        <x:v>0.3092</x:v>
      </x:c>
      <x:c r="S476" s="53" t="n">
        <x:v>14</x:v>
      </x:c>
      <x:c r="T476" t="str">
        <x:v>Entregue com atraso</x:v>
      </x:c>
      <x:c r="U476" t="n">
        <x:v>3</x:v>
      </x:c>
      <x:c r="V476" t="str"/>
    </x:row>
    <x:row r="477">
      <x:c r="A477" s="52" t="n">
        <x:v>46036</x:v>
      </x:c>
      <x:c r="B477" t="str">
        <x:v>PED-100476</x:v>
      </x:c>
      <x:c r="C477" t="str">
        <x:v>Cliente 025</x:v>
      </x:c>
      <x:c r="D477" t="str">
        <x:v>RS</x:v>
      </x:c>
      <x:c r="E477" t="str">
        <x:v>Sul</x:v>
      </x:c>
      <x:c r="F477" t="str">
        <x:v>E-commerce</x:v>
      </x:c>
      <x:c r="G477" t="str">
        <x:v>Acessórios</x:v>
      </x:c>
      <x:c r="H477" t="str">
        <x:v>Hub USB-C</x:v>
      </x:c>
      <x:c r="I477" t="str">
        <x:v>Isabela</x:v>
      </x:c>
      <x:c r="J477" s="53" t="n">
        <x:v>3</x:v>
      </x:c>
      <x:c r="K477" s="54" t="n">
        <x:v>323.84</x:v>
      </x:c>
      <x:c r="L477" s="54" t="n">
        <x:v>134.25</x:v>
      </x:c>
      <x:c r="M477" s="55" t="n">
        <x:v>0</x:v>
      </x:c>
      <x:c r="N477" s="54" t="n">
        <x:f>ROUND(J477*K477,2)</x:f>
        <x:v>971.52</x:v>
      </x:c>
      <x:c r="O477" s="54" t="n">
        <x:f>ROUND(N477*(1-M477),2)</x:f>
        <x:v>971.52</x:v>
      </x:c>
      <x:c r="P477" s="54" t="n">
        <x:f>ROUND(J477*L477,2)</x:f>
        <x:v>402.75</x:v>
      </x:c>
      <x:c r="Q477" s="54" t="n">
        <x:f>ROUND(O477-P477,2)</x:f>
        <x:v>568.77</x:v>
      </x:c>
      <x:c r="R477" s="55" t="n">
        <x:f>IF(O477=0,0,ROUND(Q477/O477,4))</x:f>
        <x:v>0.5854</x:v>
      </x:c>
      <x:c r="S477" s="53" t="n">
        <x:v>10</x:v>
      </x:c>
      <x:c r="T477" t="str">
        <x:v>Entregue</x:v>
      </x:c>
      <x:c r="U477" t="n">
        <x:v>4</x:v>
      </x:c>
      <x:c r="V477" t="str"/>
    </x:row>
    <x:row r="478">
      <x:c r="A478" s="52" t="n">
        <x:v>46058</x:v>
      </x:c>
      <x:c r="B478" t="str">
        <x:v>PED-100477</x:v>
      </x:c>
      <x:c r="C478" t="str">
        <x:v>Cliente 114</x:v>
      </x:c>
      <x:c r="D478" t="str">
        <x:v>PA</x:v>
      </x:c>
      <x:c r="E478" t="str">
        <x:v>Norte</x:v>
      </x:c>
      <x:c r="F478" t="str">
        <x:v>E-commerce</x:v>
      </x:c>
      <x:c r="G478" t="str">
        <x:v>Acessórios</x:v>
      </x:c>
      <x:c r="H478" t="str">
        <x:v>Webcam HD</x:v>
      </x:c>
      <x:c r="I478" t="str">
        <x:v>Ana</x:v>
      </x:c>
      <x:c r="J478" s="53" t="n">
        <x:v>4</x:v>
      </x:c>
      <x:c r="K478" s="54" t="n">
        <x:v>500.39</x:v>
      </x:c>
      <x:c r="L478" s="54" t="n">
        <x:v>260.62</x:v>
      </x:c>
      <x:c r="M478" s="55" t="n">
        <x:v>0.0744</x:v>
      </x:c>
      <x:c r="N478" s="54" t="n">
        <x:f>ROUND(J478*K478,2)</x:f>
        <x:v>2001.56</x:v>
      </x:c>
      <x:c r="O478" s="54" t="n">
        <x:f>ROUND(N478*(1-M478),2)</x:f>
        <x:v>1852.64</x:v>
      </x:c>
      <x:c r="P478" s="54" t="n">
        <x:f>ROUND(J478*L478,2)</x:f>
        <x:v>1042.48</x:v>
      </x:c>
      <x:c r="Q478" s="54" t="n">
        <x:f>ROUND(O478-P478,2)</x:f>
        <x:v>810.16</x:v>
      </x:c>
      <x:c r="R478" s="55" t="n">
        <x:f>IF(O478=0,0,ROUND(Q478/O478,4))</x:f>
        <x:v>0.4373</x:v>
      </x:c>
      <x:c r="S478" s="53" t="n">
        <x:v>11</x:v>
      </x:c>
      <x:c r="T478" t="str">
        <x:v>Entregue com atraso</x:v>
      </x:c>
      <x:c r="U478" t="n">
        <x:v>3</x:v>
      </x:c>
      <x:c r="V478" t="str"/>
    </x:row>
    <x:row r="479">
      <x:c r="A479" s="52" t="n">
        <x:v>46177</x:v>
      </x:c>
      <x:c r="B479" t="str">
        <x:v>PED-100478</x:v>
      </x:c>
      <x:c r="C479" t="str">
        <x:v>Cliente 072</x:v>
      </x:c>
      <x:c r="D479" t="str">
        <x:v>AM</x:v>
      </x:c>
      <x:c r="E479" t="str">
        <x:v>Norte</x:v>
      </x:c>
      <x:c r="F479" t="str">
        <x:v>Marketplace</x:v>
      </x:c>
      <x:c r="G479" t="str">
        <x:v>Tecnologia</x:v>
      </x:c>
      <x:c r="H479" t="str">
        <x:v>Headset Office</x:v>
      </x:c>
      <x:c r="I479" t="str">
        <x:v>Bruno</x:v>
      </x:c>
      <x:c r="J479" s="53" t="n">
        <x:v>7</x:v>
      </x:c>
      <x:c r="K479" s="54" t="n">
        <x:v>394.21</x:v>
      </x:c>
      <x:c r="L479" s="54" t="n">
        <x:v>220.96</x:v>
      </x:c>
      <x:c r="M479" s="55" t="n">
        <x:v>0.0621</x:v>
      </x:c>
      <x:c r="N479" s="54" t="n">
        <x:f>ROUND(J479*K479,2)</x:f>
        <x:v>2759.47</x:v>
      </x:c>
      <x:c r="O479" s="54" t="n">
        <x:f>ROUND(N479*(1-M479),2)</x:f>
        <x:v>2588.11</x:v>
      </x:c>
      <x:c r="P479" s="54" t="n">
        <x:f>ROUND(J479*L479,2)</x:f>
        <x:v>1546.72</x:v>
      </x:c>
      <x:c r="Q479" s="54" t="n">
        <x:f>ROUND(O479-P479,2)</x:f>
        <x:v>1041.39</x:v>
      </x:c>
      <x:c r="R479" s="55" t="n">
        <x:f>IF(O479=0,0,ROUND(Q479/O479,4))</x:f>
        <x:v>0.4024</x:v>
      </x:c>
      <x:c r="S479" s="53" t="n">
        <x:v>14</x:v>
      </x:c>
      <x:c r="T479" t="str">
        <x:v>Entregue com atraso</x:v>
      </x:c>
      <x:c r="U479" t="n">
        <x:v>3</x:v>
      </x:c>
      <x:c r="V479" t="str"/>
    </x:row>
    <x:row r="480">
      <x:c r="A480" s="52" t="n">
        <x:v>46115</x:v>
      </x:c>
      <x:c r="B480" t="str">
        <x:v>PED-100479</x:v>
      </x:c>
      <x:c r="C480" t="str">
        <x:v>Cliente 109</x:v>
      </x:c>
      <x:c r="D480" t="str">
        <x:v>RS</x:v>
      </x:c>
      <x:c r="E480" t="str">
        <x:v>Sul</x:v>
      </x:c>
      <x:c r="F480" t="str">
        <x:v>Televendas</x:v>
      </x:c>
      <x:c r="G480" t="str">
        <x:v>Acessórios</x:v>
      </x:c>
      <x:c r="H480" t="str">
        <x:v>Webcam HD</x:v>
      </x:c>
      <x:c r="I480" t="str">
        <x:v>Bruno</x:v>
      </x:c>
      <x:c r="J480" s="53" t="n">
        <x:v>2</x:v>
      </x:c>
      <x:c r="K480" s="54" t="n">
        <x:v>499.05</x:v>
      </x:c>
      <x:c r="L480" s="54" t="n">
        <x:v>248.04</x:v>
      </x:c>
      <x:c r="M480" s="55" t="n">
        <x:v>0.0414</x:v>
      </x:c>
      <x:c r="N480" s="54" t="n">
        <x:f>ROUND(J480*K480,2)</x:f>
        <x:v>998.1</x:v>
      </x:c>
      <x:c r="O480" s="54" t="n">
        <x:f>ROUND(N480*(1-M480),2)</x:f>
        <x:v>956.78</x:v>
      </x:c>
      <x:c r="P480" s="54" t="n">
        <x:f>ROUND(J480*L480,2)</x:f>
        <x:v>496.08</x:v>
      </x:c>
      <x:c r="Q480" s="54" t="n">
        <x:f>ROUND(O480-P480,2)</x:f>
        <x:v>460.7</x:v>
      </x:c>
      <x:c r="R480" s="55" t="n">
        <x:f>IF(O480=0,0,ROUND(Q480/O480,4))</x:f>
        <x:v>0.4815</x:v>
      </x:c>
      <x:c r="S480" s="53" t="n">
        <x:v>8</x:v>
      </x:c>
      <x:c r="T480" t="str">
        <x:v>Entregue</x:v>
      </x:c>
      <x:c r="U480" t="n">
        <x:v>4</x:v>
      </x:c>
      <x:c r="V480" t="str"/>
    </x:row>
    <x:row r="481">
      <x:c r="A481" s="52" t="n">
        <x:v>46053</x:v>
      </x:c>
      <x:c r="B481" t="str">
        <x:v>PED-100480</x:v>
      </x:c>
      <x:c r="C481" t="str">
        <x:v>Cliente 051</x:v>
      </x:c>
      <x:c r="D481" t="str">
        <x:v>MG</x:v>
      </x:c>
      <x:c r="E481" t="str">
        <x:v>Sudeste</x:v>
      </x:c>
      <x:c r="F481" t="str">
        <x:v>E-commerce</x:v>
      </x:c>
      <x:c r="G481" t="str">
        <x:v>Tecnologia</x:v>
      </x:c>
      <x:c r="H481" t="str">
        <x:v>Monitor 27</x:v>
      </x:c>
      <x:c r="I481" t="str">
        <x:v>Henrique</x:v>
      </x:c>
      <x:c r="J481" s="53" t="n">
        <x:v>8</x:v>
      </x:c>
      <x:c r="K481" s="54" t="n">
        <x:v>1781.8</x:v>
      </x:c>
      <x:c r="L481" s="54" t="n">
        <x:v>1073.7</x:v>
      </x:c>
      <x:c r="M481" s="55" t="n">
        <x:v>0.1179</x:v>
      </x:c>
      <x:c r="N481" s="54" t="n">
        <x:f>ROUND(J481*K481,2)</x:f>
        <x:v>14254.4</x:v>
      </x:c>
      <x:c r="O481" s="54" t="n">
        <x:f>ROUND(N481*(1-M481),2)</x:f>
        <x:v>12573.81</x:v>
      </x:c>
      <x:c r="P481" s="54" t="n">
        <x:f>ROUND(J481*L481,2)</x:f>
        <x:v>8589.6</x:v>
      </x:c>
      <x:c r="Q481" s="54" t="n">
        <x:f>ROUND(O481-P481,2)</x:f>
        <x:v>3984.21</x:v>
      </x:c>
      <x:c r="R481" s="55" t="n">
        <x:f>IF(O481=0,0,ROUND(Q481/O481,4))</x:f>
        <x:v>0.3169</x:v>
      </x:c>
      <x:c r="S481" s="53" t="n">
        <x:v>11</x:v>
      </x:c>
      <x:c r="T481" t="str">
        <x:v>Entregue com atraso</x:v>
      </x:c>
      <x:c r="U481" t="n">
        <x:v>4</x:v>
      </x:c>
      <x:c r="V481" t="str"/>
    </x:row>
    <x:row r="482">
      <x:c r="A482" s="52" t="n">
        <x:v>46192</x:v>
      </x:c>
      <x:c r="B482" t="str">
        <x:v>PED-100481</x:v>
      </x:c>
      <x:c r="C482" t="str">
        <x:v>Cliente 117</x:v>
      </x:c>
      <x:c r="D482" t="str">
        <x:v>PA</x:v>
      </x:c>
      <x:c r="E482" t="str">
        <x:v>Norte</x:v>
      </x:c>
      <x:c r="F482" t="str">
        <x:v>E-commerce</x:v>
      </x:c>
      <x:c r="G482" t="str">
        <x:v>Acessórios</x:v>
      </x:c>
      <x:c r="H482" t="str">
        <x:v>Webcam HD</x:v>
      </x:c>
      <x:c r="I482" t="str">
        <x:v>Bruno</x:v>
      </x:c>
      <x:c r="J482" s="53" t="n">
        <x:v>7</x:v>
      </x:c>
      <x:c r="K482" s="54" t="n">
        <x:v>500.03</x:v>
      </x:c>
      <x:c r="L482" s="54" t="n">
        <x:v>239.33</x:v>
      </x:c>
      <x:c r="M482" s="55" t="n">
        <x:v>0.1001</x:v>
      </x:c>
      <x:c r="N482" s="54" t="n">
        <x:f>ROUND(J482*K482,2)</x:f>
        <x:v>3500.21</x:v>
      </x:c>
      <x:c r="O482" s="54" t="n">
        <x:f>ROUND(N482*(1-M482),2)</x:f>
        <x:v>3149.84</x:v>
      </x:c>
      <x:c r="P482" s="54" t="n">
        <x:f>ROUND(J482*L482,2)</x:f>
        <x:v>1675.31</x:v>
      </x:c>
      <x:c r="Q482" s="54" t="n">
        <x:f>ROUND(O482-P482,2)</x:f>
        <x:v>1474.53</x:v>
      </x:c>
      <x:c r="R482" s="55" t="n">
        <x:f>IF(O482=0,0,ROUND(Q482/O482,4))</x:f>
        <x:v>0.4681</x:v>
      </x:c>
      <x:c r="S482" s="53" t="n">
        <x:v>9</x:v>
      </x:c>
      <x:c r="T482" t="str">
        <x:v>Entregue</x:v>
      </x:c>
      <x:c r="U482" t="n">
        <x:v>5</x:v>
      </x:c>
      <x:c r="V482" t="str"/>
    </x:row>
    <x:row r="483">
      <x:c r="A483" s="52" t="n">
        <x:v>46182</x:v>
      </x:c>
      <x:c r="B483" t="str">
        <x:v>PED-100482</x:v>
      </x:c>
      <x:c r="C483" t="str">
        <x:v>Cliente 006</x:v>
      </x:c>
      <x:c r="D483" t="str">
        <x:v>RJ</x:v>
      </x:c>
      <x:c r="E483" t="str">
        <x:v>Sudeste</x:v>
      </x:c>
      <x:c r="F483" t="str">
        <x:v>Loja</x:v>
      </x:c>
      <x:c r="G483" t="str">
        <x:v>Casa</x:v>
      </x:c>
      <x:c r="H483" t="str">
        <x:v>Aspirador Robô</x:v>
      </x:c>
      <x:c r="I483" t="str">
        <x:v>Diego</x:v>
      </x:c>
      <x:c r="J483" s="53" t="n">
        <x:v>8</x:v>
      </x:c>
      <x:c r="K483" s="54" t="n">
        <x:v>1976.15</x:v>
      </x:c>
      <x:c r="L483" s="54" t="n">
        <x:v>1147.4</x:v>
      </x:c>
      <x:c r="M483" s="55" t="n">
        <x:v>0.0341</x:v>
      </x:c>
      <x:c r="N483" s="54" t="n">
        <x:f>ROUND(J483*K483,2)</x:f>
        <x:v>15809.2</x:v>
      </x:c>
      <x:c r="O483" s="54" t="n">
        <x:f>ROUND(N483*(1-M483),2)</x:f>
        <x:v>15270.11</x:v>
      </x:c>
      <x:c r="P483" s="54" t="n">
        <x:f>ROUND(J483*L483,2)</x:f>
        <x:v>9179.2</x:v>
      </x:c>
      <x:c r="Q483" s="54" t="n">
        <x:f>ROUND(O483-P483,2)</x:f>
        <x:v>6090.91</x:v>
      </x:c>
      <x:c r="R483" s="55" t="n">
        <x:f>IF(O483=0,0,ROUND(Q483/O483,4))</x:f>
        <x:v>0.3989</x:v>
      </x:c>
      <x:c r="S483" s="53" t="n">
        <x:v>14</x:v>
      </x:c>
      <x:c r="T483" t="str">
        <x:v>Entregue com atraso</x:v>
      </x:c>
      <x:c r="U483" t="n">
        <x:v>4</x:v>
      </x:c>
      <x:c r="V483" t="str"/>
    </x:row>
    <x:row r="484">
      <x:c r="A484" s="52" t="n">
        <x:v>46226</x:v>
      </x:c>
      <x:c r="B484" t="str">
        <x:v>PED-100483</x:v>
      </x:c>
      <x:c r="C484" t="str">
        <x:v>Cliente 105</x:v>
      </x:c>
      <x:c r="D484" t="str">
        <x:v>DF</x:v>
      </x:c>
      <x:c r="E484" t="str">
        <x:v>Centro-Oeste</x:v>
      </x:c>
      <x:c r="F484" t="str">
        <x:v>Loja</x:v>
      </x:c>
      <x:c r="G484" t="str">
        <x:v>Casa</x:v>
      </x:c>
      <x:c r="H484" t="str">
        <x:v>Cafeteira Smart</x:v>
      </x:c>
      <x:c r="I484" t="str">
        <x:v>Diego</x:v>
      </x:c>
      <x:c r="J484" s="53" t="n">
        <x:v>2</x:v>
      </x:c>
      <x:c r="K484" s="54" t="n">
        <x:v>804.7</x:v>
      </x:c>
      <x:c r="L484" s="54" t="n">
        <x:v>468.18</x:v>
      </x:c>
      <x:c r="M484" s="55" t="n">
        <x:v>0</x:v>
      </x:c>
      <x:c r="N484" s="54" t="n">
        <x:f>ROUND(J484*K484,2)</x:f>
        <x:v>1609.4</x:v>
      </x:c>
      <x:c r="O484" s="54" t="n">
        <x:f>ROUND(N484*(1-M484),2)</x:f>
        <x:v>1609.4</x:v>
      </x:c>
      <x:c r="P484" s="54" t="n">
        <x:f>ROUND(J484*L484,2)</x:f>
        <x:v>936.36</x:v>
      </x:c>
      <x:c r="Q484" s="54" t="n">
        <x:f>ROUND(O484-P484,2)</x:f>
        <x:v>673.04</x:v>
      </x:c>
      <x:c r="R484" s="55" t="n">
        <x:f>IF(O484=0,0,ROUND(Q484/O484,4))</x:f>
        <x:v>0.4182</x:v>
      </x:c>
      <x:c r="S484" s="53" t="n">
        <x:v>14</x:v>
      </x:c>
      <x:c r="T484" t="str">
        <x:v>Entregue com atraso</x:v>
      </x:c>
      <x:c r="U484" t="n">
        <x:v>2</x:v>
      </x:c>
      <x:c r="V484" t="str"/>
    </x:row>
    <x:row r="485">
      <x:c r="A485" s="52" t="n">
        <x:v>46208</x:v>
      </x:c>
      <x:c r="B485" t="str">
        <x:v>PED-100484</x:v>
      </x:c>
      <x:c r="C485" t="str">
        <x:v>Cliente 013</x:v>
      </x:c>
      <x:c r="D485" t="str">
        <x:v>RJ</x:v>
      </x:c>
      <x:c r="E485" t="str">
        <x:v>Sudeste</x:v>
      </x:c>
      <x:c r="F485" t="str">
        <x:v>Televendas</x:v>
      </x:c>
      <x:c r="G485" t="str">
        <x:v>Tecnologia</x:v>
      </x:c>
      <x:c r="H485" t="str">
        <x:v>Headset Office</x:v>
      </x:c>
      <x:c r="I485" t="str">
        <x:v>Carla</x:v>
      </x:c>
      <x:c r="J485" s="53" t="n">
        <x:v>2</x:v>
      </x:c>
      <x:c r="K485" s="54" t="n">
        <x:v>403.07</x:v>
      </x:c>
      <x:c r="L485" s="54" t="n">
        <x:v>211.42</x:v>
      </x:c>
      <x:c r="M485" s="55" t="n">
        <x:v>0</x:v>
      </x:c>
      <x:c r="N485" s="54" t="n">
        <x:f>ROUND(J485*K485,2)</x:f>
        <x:v>806.14</x:v>
      </x:c>
      <x:c r="O485" s="54" t="n">
        <x:f>ROUND(N485*(1-M485),2)</x:f>
        <x:v>806.14</x:v>
      </x:c>
      <x:c r="P485" s="54" t="n">
        <x:f>ROUND(J485*L485,2)</x:f>
        <x:v>422.84</x:v>
      </x:c>
      <x:c r="Q485" s="54" t="n">
        <x:f>ROUND(O485-P485,2)</x:f>
        <x:v>383.3</x:v>
      </x:c>
      <x:c r="R485" s="55" t="n">
        <x:f>IF(O485=0,0,ROUND(Q485/O485,4))</x:f>
        <x:v>0.4755</x:v>
      </x:c>
      <x:c r="S485" s="53" t="n">
        <x:v>5</x:v>
      </x:c>
      <x:c r="T485" t="str">
        <x:v>Entregue</x:v>
      </x:c>
      <x:c r="U485" t="n">
        <x:v>5</x:v>
      </x:c>
      <x:c r="V485" t="str"/>
    </x:row>
    <x:row r="486">
      <x:c r="A486" s="52" t="n">
        <x:v>46181</x:v>
      </x:c>
      <x:c r="B486" t="str">
        <x:v>PED-100485</x:v>
      </x:c>
      <x:c r="C486" t="str">
        <x:v>Cliente 100</x:v>
      </x:c>
      <x:c r="D486" t="str">
        <x:v>PE</x:v>
      </x:c>
      <x:c r="E486" t="str">
        <x:v>Nordeste</x:v>
      </x:c>
      <x:c r="F486" t="str">
        <x:v>Marketplace</x:v>
      </x:c>
      <x:c r="G486" t="str">
        <x:v>Tecnologia</x:v>
      </x:c>
      <x:c r="H486" t="str">
        <x:v>Notebook Pro</x:v>
      </x:c>
      <x:c r="I486" t="str">
        <x:v>Carla</x:v>
      </x:c>
      <x:c r="J486" s="53" t="n">
        <x:v>3</x:v>
      </x:c>
      <x:c r="K486" s="54" t="n">
        <x:v>5795.16</x:v>
      </x:c>
      <x:c r="L486" s="54" t="n">
        <x:v>4512.41</x:v>
      </x:c>
      <x:c r="M486" s="55" t="n">
        <x:v>0.035</x:v>
      </x:c>
      <x:c r="N486" s="54" t="n">
        <x:f>ROUND(J486*K486,2)</x:f>
        <x:v>17385.48</x:v>
      </x:c>
      <x:c r="O486" s="54" t="n">
        <x:f>ROUND(N486*(1-M486),2)</x:f>
        <x:v>16776.99</x:v>
      </x:c>
      <x:c r="P486" s="54" t="n">
        <x:f>ROUND(J486*L486,2)</x:f>
        <x:v>13537.23</x:v>
      </x:c>
      <x:c r="Q486" s="54" t="n">
        <x:f>ROUND(O486-P486,2)</x:f>
        <x:v>3239.76</x:v>
      </x:c>
      <x:c r="R486" s="55" t="n">
        <x:f>IF(O486=0,0,ROUND(Q486/O486,4))</x:f>
        <x:v>0.1931</x:v>
      </x:c>
      <x:c r="S486" s="53" t="n">
        <x:v>4</x:v>
      </x:c>
      <x:c r="T486" t="str">
        <x:v>Entregue</x:v>
      </x:c>
      <x:c r="U486" t="n">
        <x:v>3</x:v>
      </x:c>
      <x:c r="V486" t="str"/>
    </x:row>
    <x:row r="487">
      <x:c r="A487" s="52" t="n">
        <x:v>46142</x:v>
      </x:c>
      <x:c r="B487" t="str">
        <x:v>PED-100486</x:v>
      </x:c>
      <x:c r="C487" t="str">
        <x:v>Cliente 043</x:v>
      </x:c>
      <x:c r="D487" t="str">
        <x:v>SC</x:v>
      </x:c>
      <x:c r="E487" t="str">
        <x:v>Sul</x:v>
      </x:c>
      <x:c r="F487" t="str">
        <x:v>E-commerce</x:v>
      </x:c>
      <x:c r="G487" t="str">
        <x:v>Acessórios</x:v>
      </x:c>
      <x:c r="H487" t="str">
        <x:v>Mochila Executiva</x:v>
      </x:c>
      <x:c r="I487" t="str">
        <x:v>Ana</x:v>
      </x:c>
      <x:c r="J487" s="53" t="n">
        <x:v>7</x:v>
      </x:c>
      <x:c r="K487" s="54" t="n">
        <x:v>426.74</x:v>
      </x:c>
      <x:c r="L487" s="54" t="n">
        <x:v>198.6</x:v>
      </x:c>
      <x:c r="M487" s="55" t="n">
        <x:v>0.1024</x:v>
      </x:c>
      <x:c r="N487" s="54" t="n">
        <x:f>ROUND(J487*K487,2)</x:f>
        <x:v>2987.18</x:v>
      </x:c>
      <x:c r="O487" s="54" t="n">
        <x:f>ROUND(N487*(1-M487),2)</x:f>
        <x:v>2681.29</x:v>
      </x:c>
      <x:c r="P487" s="54" t="n">
        <x:f>ROUND(J487*L487,2)</x:f>
        <x:v>1390.2</x:v>
      </x:c>
      <x:c r="Q487" s="54" t="n">
        <x:f>ROUND(O487-P487,2)</x:f>
        <x:v>1291.09</x:v>
      </x:c>
      <x:c r="R487" s="55" t="n">
        <x:f>IF(O487=0,0,ROUND(Q487/O487,4))</x:f>
        <x:v>0.4815</x:v>
      </x:c>
      <x:c r="S487" s="53" t="n">
        <x:v>10</x:v>
      </x:c>
      <x:c r="T487" t="str">
        <x:v>Entregue</x:v>
      </x:c>
      <x:c r="U487" t="n">
        <x:v>4</x:v>
      </x:c>
      <x:c r="V487" t="str"/>
    </x:row>
    <x:row r="488">
      <x:c r="A488" s="52" t="n">
        <x:v>46059</x:v>
      </x:c>
      <x:c r="B488" t="str">
        <x:v>PED-100487</x:v>
      </x:c>
      <x:c r="C488" t="str">
        <x:v>Cliente 079</x:v>
      </x:c>
      <x:c r="D488" t="str">
        <x:v>SC</x:v>
      </x:c>
      <x:c r="E488" t="str">
        <x:v>Sul</x:v>
      </x:c>
      <x:c r="F488" t="str">
        <x:v>Televendas</x:v>
      </x:c>
      <x:c r="G488" t="str">
        <x:v>Casa</x:v>
      </x:c>
      <x:c r="H488" t="str">
        <x:v>Purificador</x:v>
      </x:c>
      <x:c r="I488" t="str">
        <x:v>Ana</x:v>
      </x:c>
      <x:c r="J488" s="53" t="n">
        <x:v>3</x:v>
      </x:c>
      <x:c r="K488" s="54" t="n">
        <x:v>1307.11</x:v>
      </x:c>
      <x:c r="L488" s="54" t="n">
        <x:v>739.77</x:v>
      </x:c>
      <x:c r="M488" s="55" t="n">
        <x:v>0.0488</x:v>
      </x:c>
      <x:c r="N488" s="54" t="n">
        <x:f>ROUND(J488*K488,2)</x:f>
        <x:v>3921.33</x:v>
      </x:c>
      <x:c r="O488" s="54" t="n">
        <x:f>ROUND(N488*(1-M488),2)</x:f>
        <x:v>3729.97</x:v>
      </x:c>
      <x:c r="P488" s="54" t="n">
        <x:f>ROUND(J488*L488,2)</x:f>
        <x:v>2219.31</x:v>
      </x:c>
      <x:c r="Q488" s="54" t="n">
        <x:f>ROUND(O488-P488,2)</x:f>
        <x:v>1510.66</x:v>
      </x:c>
      <x:c r="R488" s="55" t="n">
        <x:f>IF(O488=0,0,ROUND(Q488/O488,4))</x:f>
        <x:v>0.405</x:v>
      </x:c>
      <x:c r="S488" s="53" t="n">
        <x:v>6</x:v>
      </x:c>
      <x:c r="T488" t="str">
        <x:v>Cancelado</x:v>
      </x:c>
      <x:c r="U488"/>
      <x:c r="V488" t="str"/>
    </x:row>
    <x:row r="489">
      <x:c r="A489" s="52" t="n">
        <x:v>46066</x:v>
      </x:c>
      <x:c r="B489" t="str">
        <x:v>PED-100488</x:v>
      </x:c>
      <x:c r="C489" t="str">
        <x:v>Cliente 054</x:v>
      </x:c>
      <x:c r="D489" t="str">
        <x:v>MG</x:v>
      </x:c>
      <x:c r="E489" t="str">
        <x:v>Sudeste</x:v>
      </x:c>
      <x:c r="F489" t="str">
        <x:v>Loja</x:v>
      </x:c>
      <x:c r="G489" t="str">
        <x:v>Casa</x:v>
      </x:c>
      <x:c r="H489" t="str">
        <x:v>Purificador</x:v>
      </x:c>
      <x:c r="I489" t="str">
        <x:v>Gabriela</x:v>
      </x:c>
      <x:c r="J489" s="53" t="n">
        <x:v>4</x:v>
      </x:c>
      <x:c r="K489" s="54" t="n">
        <x:v>1214.33</x:v>
      </x:c>
      <x:c r="L489" s="54" t="n">
        <x:v>799.16</x:v>
      </x:c>
      <x:c r="M489" s="55" t="n">
        <x:v>0</x:v>
      </x:c>
      <x:c r="N489" s="54" t="n">
        <x:f>ROUND(J489*K489,2)</x:f>
        <x:v>4857.32</x:v>
      </x:c>
      <x:c r="O489" s="54" t="n">
        <x:f>ROUND(N489*(1-M489),2)</x:f>
        <x:v>4857.32</x:v>
      </x:c>
      <x:c r="P489" s="54" t="n">
        <x:f>ROUND(J489*L489,2)</x:f>
        <x:v>3196.64</x:v>
      </x:c>
      <x:c r="Q489" s="54" t="n">
        <x:f>ROUND(O489-P489,2)</x:f>
        <x:v>1660.68</x:v>
      </x:c>
      <x:c r="R489" s="55" t="n">
        <x:f>IF(O489=0,0,ROUND(Q489/O489,4))</x:f>
        <x:v>0.3419</x:v>
      </x:c>
      <x:c r="S489" s="53" t="n">
        <x:v>3</x:v>
      </x:c>
      <x:c r="T489" t="str">
        <x:v>Entregue</x:v>
      </x:c>
      <x:c r="U489" t="n">
        <x:v>4</x:v>
      </x:c>
      <x:c r="V489" t="str"/>
    </x:row>
    <x:row r="490">
      <x:c r="A490" s="52" t="n">
        <x:v>46173</x:v>
      </x:c>
      <x:c r="B490" t="str">
        <x:v>PED-100489</x:v>
      </x:c>
      <x:c r="C490" t="str">
        <x:v>Cliente 042</x:v>
      </x:c>
      <x:c r="D490" t="str">
        <x:v>RS</x:v>
      </x:c>
      <x:c r="E490" t="str">
        <x:v>Sul</x:v>
      </x:c>
      <x:c r="F490" t="str">
        <x:v>Televendas</x:v>
      </x:c>
      <x:c r="G490" t="str">
        <x:v>Escritório</x:v>
      </x:c>
      <x:c r="H490" t="str">
        <x:v>Luminária LED</x:v>
      </x:c>
      <x:c r="I490" t="str">
        <x:v>Ana</x:v>
      </x:c>
      <x:c r="J490" s="53" t="n">
        <x:v>7</x:v>
      </x:c>
      <x:c r="K490" s="54" t="n">
        <x:v>260.63</x:v>
      </x:c>
      <x:c r="L490" s="54" t="n">
        <x:v>117.15</x:v>
      </x:c>
      <x:c r="M490" s="55" t="n">
        <x:v>0</x:v>
      </x:c>
      <x:c r="N490" s="54" t="n">
        <x:f>ROUND(J490*K490,2)</x:f>
        <x:v>1824.41</x:v>
      </x:c>
      <x:c r="O490" s="54" t="n">
        <x:f>ROUND(N490*(1-M490),2)</x:f>
        <x:v>1824.41</x:v>
      </x:c>
      <x:c r="P490" s="54" t="n">
        <x:f>ROUND(J490*L490,2)</x:f>
        <x:v>820.05</x:v>
      </x:c>
      <x:c r="Q490" s="54" t="n">
        <x:f>ROUND(O490-P490,2)</x:f>
        <x:v>1004.36</x:v>
      </x:c>
      <x:c r="R490" s="55" t="n">
        <x:f>IF(O490=0,0,ROUND(Q490/O490,4))</x:f>
        <x:v>0.5505</x:v>
      </x:c>
      <x:c r="S490" s="53" t="n">
        <x:v>4</x:v>
      </x:c>
      <x:c r="T490" t="str">
        <x:v>Entregue</x:v>
      </x:c>
      <x:c r="U490" t="n">
        <x:v>2</x:v>
      </x:c>
      <x:c r="V490" t="str"/>
    </x:row>
    <x:row r="491">
      <x:c r="A491" s="52" t="n">
        <x:v>46085</x:v>
      </x:c>
      <x:c r="B491" t="str">
        <x:v>PED-100490</x:v>
      </x:c>
      <x:c r="C491" t="str">
        <x:v>Cliente 033</x:v>
      </x:c>
      <x:c r="D491" t="str">
        <x:v>MA</x:v>
      </x:c>
      <x:c r="E491" t="str">
        <x:v>Nordeste</x:v>
      </x:c>
      <x:c r="F491" t="str">
        <x:v>Marketplace</x:v>
      </x:c>
      <x:c r="G491" t="str">
        <x:v>Acessórios</x:v>
      </x:c>
      <x:c r="H491" t="str">
        <x:v>Mochila Executiva</x:v>
      </x:c>
      <x:c r="I491" t="str">
        <x:v>Elaine</x:v>
      </x:c>
      <x:c r="J491" s="53" t="n">
        <x:v>7</x:v>
      </x:c>
      <x:c r="K491" s="54" t="n">
        <x:v>405.64</x:v>
      </x:c>
      <x:c r="L491" s="54" t="n">
        <x:v>190.01</x:v>
      </x:c>
      <x:c r="M491" s="55" t="n">
        <x:v>0.1233</x:v>
      </x:c>
      <x:c r="N491" s="54" t="n">
        <x:f>ROUND(J491*K491,2)</x:f>
        <x:v>2839.48</x:v>
      </x:c>
      <x:c r="O491" s="54" t="n">
        <x:f>ROUND(N491*(1-M491),2)</x:f>
        <x:v>2489.37</x:v>
      </x:c>
      <x:c r="P491" s="54" t="n">
        <x:f>ROUND(J491*L491,2)</x:f>
        <x:v>1330.07</x:v>
      </x:c>
      <x:c r="Q491" s="54" t="n">
        <x:f>ROUND(O491-P491,2)</x:f>
        <x:v>1159.3</x:v>
      </x:c>
      <x:c r="R491" s="55" t="n">
        <x:f>IF(O491=0,0,ROUND(Q491/O491,4))</x:f>
        <x:v>0.4657</x:v>
      </x:c>
      <x:c r="S491" s="53" t="n">
        <x:v>12</x:v>
      </x:c>
      <x:c r="T491" t="str">
        <x:v>Entregue com atraso</x:v>
      </x:c>
      <x:c r="U491" t="n">
        <x:v>4</x:v>
      </x:c>
      <x:c r="V491" t="str"/>
    </x:row>
    <x:row r="492">
      <x:c r="A492" s="52" t="n">
        <x:v>46187</x:v>
      </x:c>
      <x:c r="B492" t="str">
        <x:v>PED-100491</x:v>
      </x:c>
      <x:c r="C492" t="str">
        <x:v>Cliente 085</x:v>
      </x:c>
      <x:c r="D492" t="str">
        <x:v>ES</x:v>
      </x:c>
      <x:c r="E492" t="str">
        <x:v>Sudeste</x:v>
      </x:c>
      <x:c r="F492" t="str">
        <x:v>E-commerce</x:v>
      </x:c>
      <x:c r="G492" t="str">
        <x:v>Escritório</x:v>
      </x:c>
      <x:c r="H492" t="str">
        <x:v>Cadeira Ergonômica</x:v>
      </x:c>
      <x:c r="I492" t="str">
        <x:v>Isabela</x:v>
      </x:c>
      <x:c r="J492" s="53" t="n">
        <x:v>8</x:v>
      </x:c>
      <x:c r="K492" s="54" t="n">
        <x:v>2217.84</x:v>
      </x:c>
      <x:c r="L492" s="54" t="n">
        <x:v>1367.46</x:v>
      </x:c>
      <x:c r="M492" s="55" t="n">
        <x:v>0</x:v>
      </x:c>
      <x:c r="N492" s="54" t="n">
        <x:f>ROUND(J492*K492,2)</x:f>
        <x:v>17742.72</x:v>
      </x:c>
      <x:c r="O492" s="54" t="n">
        <x:f>ROUND(N492*(1-M492),2)</x:f>
        <x:v>17742.72</x:v>
      </x:c>
      <x:c r="P492" s="54" t="n">
        <x:f>ROUND(J492*L492,2)</x:f>
        <x:v>10939.68</x:v>
      </x:c>
      <x:c r="Q492" s="54" t="n">
        <x:f>ROUND(O492-P492,2)</x:f>
        <x:v>6803.04</x:v>
      </x:c>
      <x:c r="R492" s="55" t="n">
        <x:f>IF(O492=0,0,ROUND(Q492/O492,4))</x:f>
        <x:v>0.3834</x:v>
      </x:c>
      <x:c r="S492" s="53" t="n">
        <x:v>7</x:v>
      </x:c>
      <x:c r="T492" t="str">
        <x:v>Entregue</x:v>
      </x:c>
      <x:c r="U492" t="n">
        <x:v>3</x:v>
      </x:c>
      <x:c r="V492" t="str"/>
    </x:row>
    <x:row r="493">
      <x:c r="A493" s="52" t="n">
        <x:v>46234</x:v>
      </x:c>
      <x:c r="B493" t="str">
        <x:v>PED-100492</x:v>
      </x:c>
      <x:c r="C493" t="str">
        <x:v>Cliente 007</x:v>
      </x:c>
      <x:c r="D493" t="str">
        <x:v>GO</x:v>
      </x:c>
      <x:c r="E493" t="str">
        <x:v>Centro-Oeste</x:v>
      </x:c>
      <x:c r="F493" t="str">
        <x:v>E-commerce</x:v>
      </x:c>
      <x:c r="G493" t="str">
        <x:v>Casa</x:v>
      </x:c>
      <x:c r="H493" t="str">
        <x:v>Cafeteira Smart</x:v>
      </x:c>
      <x:c r="I493" t="str">
        <x:v>Carla</x:v>
      </x:c>
      <x:c r="J493" s="53" t="n">
        <x:v>3</x:v>
      </x:c>
      <x:c r="K493" s="54" t="n">
        <x:v>768.58</x:v>
      </x:c>
      <x:c r="L493" s="54" t="n">
        <x:v>441.74</x:v>
      </x:c>
      <x:c r="M493" s="55" t="n">
        <x:v>0.0024</x:v>
      </x:c>
      <x:c r="N493" s="54" t="n">
        <x:f>ROUND(J493*K493,2)</x:f>
        <x:v>2305.74</x:v>
      </x:c>
      <x:c r="O493" s="54" t="n">
        <x:f>ROUND(N493*(1-M493),2)</x:f>
        <x:v>2300.21</x:v>
      </x:c>
      <x:c r="P493" s="54" t="n">
        <x:f>ROUND(J493*L493,2)</x:f>
        <x:v>1325.22</x:v>
      </x:c>
      <x:c r="Q493" s="54" t="n">
        <x:f>ROUND(O493-P493,2)</x:f>
        <x:v>974.99</x:v>
      </x:c>
      <x:c r="R493" s="55" t="n">
        <x:f>IF(O493=0,0,ROUND(Q493/O493,4))</x:f>
        <x:v>0.4239</x:v>
      </x:c>
      <x:c r="S493" s="53" t="n">
        <x:v>4</x:v>
      </x:c>
      <x:c r="T493" t="str">
        <x:v>Entregue</x:v>
      </x:c>
      <x:c r="U493" t="n">
        <x:v>3</x:v>
      </x:c>
      <x:c r="V493" t="str"/>
    </x:row>
    <x:row r="494">
      <x:c r="A494" s="52" t="n">
        <x:v>46226</x:v>
      </x:c>
      <x:c r="B494" t="str">
        <x:v>PED-100493</x:v>
      </x:c>
      <x:c r="C494" t="str">
        <x:v>Cliente 021</x:v>
      </x:c>
      <x:c r="D494" t="str">
        <x:v>MA</x:v>
      </x:c>
      <x:c r="E494" t="str">
        <x:v>Nordeste</x:v>
      </x:c>
      <x:c r="F494" t="str">
        <x:v>Marketplace</x:v>
      </x:c>
      <x:c r="G494" t="str">
        <x:v>Acessórios</x:v>
      </x:c>
      <x:c r="H494" t="str">
        <x:v>Hub USB-C</x:v>
      </x:c>
      <x:c r="I494" t="str">
        <x:v>Isabela</x:v>
      </x:c>
      <x:c r="J494" s="53" t="n">
        <x:v>6</x:v>
      </x:c>
      <x:c r="K494" s="54" t="n">
        <x:v>312.14</x:v>
      </x:c>
      <x:c r="L494" s="54" t="n">
        <x:v>134.2</x:v>
      </x:c>
      <x:c r="M494" s="55" t="n">
        <x:v>0.1178</x:v>
      </x:c>
      <x:c r="N494" s="54" t="n">
        <x:f>ROUND(J494*K494,2)</x:f>
        <x:v>1872.84</x:v>
      </x:c>
      <x:c r="O494" s="54" t="n">
        <x:f>ROUND(N494*(1-M494),2)</x:f>
        <x:v>1652.22</x:v>
      </x:c>
      <x:c r="P494" s="54" t="n">
        <x:f>ROUND(J494*L494,2)</x:f>
        <x:v>805.2</x:v>
      </x:c>
      <x:c r="Q494" s="54" t="n">
        <x:f>ROUND(O494-P494,2)</x:f>
        <x:v>847.02</x:v>
      </x:c>
      <x:c r="R494" s="55" t="n">
        <x:f>IF(O494=0,0,ROUND(Q494/O494,4))</x:f>
        <x:v>0.5127</x:v>
      </x:c>
      <x:c r="S494" s="53" t="n">
        <x:v>11</x:v>
      </x:c>
      <x:c r="T494" t="str">
        <x:v>Entregue com atraso</x:v>
      </x:c>
      <x:c r="U494" t="n">
        <x:v>4</x:v>
      </x:c>
      <x:c r="V494" t="str"/>
    </x:row>
    <x:row r="495">
      <x:c r="A495" s="52" t="n">
        <x:v>46034</x:v>
      </x:c>
      <x:c r="B495" t="str">
        <x:v>PED-100494</x:v>
      </x:c>
      <x:c r="C495" t="str">
        <x:v>Cliente 017</x:v>
      </x:c>
      <x:c r="D495" t="str">
        <x:v>MT</x:v>
      </x:c>
      <x:c r="E495" t="str">
        <x:v>Centro-Oeste</x:v>
      </x:c>
      <x:c r="F495" t="str">
        <x:v>Marketplace</x:v>
      </x:c>
      <x:c r="G495" t="str">
        <x:v>Casa</x:v>
      </x:c>
      <x:c r="H495" t="str">
        <x:v>Aspirador Robô</x:v>
      </x:c>
      <x:c r="I495" t="str">
        <x:v>Bruno</x:v>
      </x:c>
      <x:c r="J495" s="53" t="n">
        <x:v>2</x:v>
      </x:c>
      <x:c r="K495" s="54" t="n">
        <x:v>1881.77</x:v>
      </x:c>
      <x:c r="L495" s="54" t="n">
        <x:v>1154.03</x:v>
      </x:c>
      <x:c r="M495" s="55" t="n">
        <x:v>0.1307</x:v>
      </x:c>
      <x:c r="N495" s="54" t="n">
        <x:f>ROUND(J495*K495,2)</x:f>
        <x:v>3763.54</x:v>
      </x:c>
      <x:c r="O495" s="54" t="n">
        <x:f>ROUND(N495*(1-M495),2)</x:f>
        <x:v>3271.65</x:v>
      </x:c>
      <x:c r="P495" s="54" t="n">
        <x:f>ROUND(J495*L495,2)</x:f>
        <x:v>2308.06</x:v>
      </x:c>
      <x:c r="Q495" s="54" t="n">
        <x:f>ROUND(O495-P495,2)</x:f>
        <x:v>963.59</x:v>
      </x:c>
      <x:c r="R495" s="55" t="n">
        <x:f>IF(O495=0,0,ROUND(Q495/O495,4))</x:f>
        <x:v>0.2945</x:v>
      </x:c>
      <x:c r="S495" s="53" t="n">
        <x:v>12</x:v>
      </x:c>
      <x:c r="T495" t="str">
        <x:v>Entregue com atraso</x:v>
      </x:c>
      <x:c r="U495" t="n">
        <x:v>2</x:v>
      </x:c>
      <x:c r="V495" t="str"/>
    </x:row>
    <x:row r="496">
      <x:c r="A496" s="52" t="n">
        <x:v>46196</x:v>
      </x:c>
      <x:c r="B496" t="str">
        <x:v>PED-100495</x:v>
      </x:c>
      <x:c r="C496" t="str">
        <x:v>Cliente 050</x:v>
      </x:c>
      <x:c r="D496" t="str">
        <x:v>PR</x:v>
      </x:c>
      <x:c r="E496" t="str">
        <x:v>Sul</x:v>
      </x:c>
      <x:c r="F496" t="str">
        <x:v>Televendas</x:v>
      </x:c>
      <x:c r="G496" t="str">
        <x:v>Casa</x:v>
      </x:c>
      <x:c r="H496" t="str">
        <x:v>Cafeteira Smart</x:v>
      </x:c>
      <x:c r="I496" t="str">
        <x:v>Elaine</x:v>
      </x:c>
      <x:c r="J496" s="53" t="n">
        <x:v>3</x:v>
      </x:c>
      <x:c r="K496" s="54" t="n">
        <x:v>792.61</x:v>
      </x:c>
      <x:c r="L496" s="54" t="n">
        <x:v>466.8</x:v>
      </x:c>
      <x:c r="M496" s="55" t="n">
        <x:v>0.0322</x:v>
      </x:c>
      <x:c r="N496" s="54" t="n">
        <x:f>ROUND(J496*K496,2)</x:f>
        <x:v>2377.83</x:v>
      </x:c>
      <x:c r="O496" s="54" t="n">
        <x:f>ROUND(N496*(1-M496),2)</x:f>
        <x:v>2301.26</x:v>
      </x:c>
      <x:c r="P496" s="54" t="n">
        <x:f>ROUND(J496*L496,2)</x:f>
        <x:v>1400.4</x:v>
      </x:c>
      <x:c r="Q496" s="54" t="n">
        <x:f>ROUND(O496-P496,2)</x:f>
        <x:v>900.86</x:v>
      </x:c>
      <x:c r="R496" s="55" t="n">
        <x:f>IF(O496=0,0,ROUND(Q496/O496,4))</x:f>
        <x:v>0.3915</x:v>
      </x:c>
      <x:c r="S496" s="53" t="n">
        <x:v>6</x:v>
      </x:c>
      <x:c r="T496" t="str">
        <x:v>Entregue</x:v>
      </x:c>
      <x:c r="U496" t="n">
        <x:v>2</x:v>
      </x:c>
      <x:c r="V496" t="str"/>
    </x:row>
    <x:row r="497">
      <x:c r="A497" s="52" t="n">
        <x:v>46069</x:v>
      </x:c>
      <x:c r="B497" t="str">
        <x:v>PED-100496</x:v>
      </x:c>
      <x:c r="C497" t="str">
        <x:v>Cliente 092</x:v>
      </x:c>
      <x:c r="D497" t="str">
        <x:v>BA</x:v>
      </x:c>
      <x:c r="E497" t="str">
        <x:v>Nordeste</x:v>
      </x:c>
      <x:c r="F497" t="str">
        <x:v>E-commerce</x:v>
      </x:c>
      <x:c r="G497" t="str">
        <x:v>Escritório</x:v>
      </x:c>
      <x:c r="H497" t="str">
        <x:v>Luminária LED</x:v>
      </x:c>
      <x:c r="I497" t="str">
        <x:v>Bruno</x:v>
      </x:c>
      <x:c r="J497" s="53" t="n">
        <x:v>3</x:v>
      </x:c>
      <x:c r="K497" s="54" t="n">
        <x:v>249.89</x:v>
      </x:c>
      <x:c r="L497" s="54" t="n">
        <x:v>118.03</x:v>
      </x:c>
      <x:c r="M497" s="55" t="n">
        <x:v>0</x:v>
      </x:c>
      <x:c r="N497" s="54" t="n">
        <x:f>ROUND(J497*K497,2)</x:f>
        <x:v>749.67</x:v>
      </x:c>
      <x:c r="O497" s="54" t="n">
        <x:f>ROUND(N497*(1-M497),2)</x:f>
        <x:v>749.67</x:v>
      </x:c>
      <x:c r="P497" s="54" t="n">
        <x:f>ROUND(J497*L497,2)</x:f>
        <x:v>354.09</x:v>
      </x:c>
      <x:c r="Q497" s="54" t="n">
        <x:f>ROUND(O497-P497,2)</x:f>
        <x:v>395.58</x:v>
      </x:c>
      <x:c r="R497" s="55" t="n">
        <x:f>IF(O497=0,0,ROUND(Q497/O497,4))</x:f>
        <x:v>0.5277</x:v>
      </x:c>
      <x:c r="S497" s="53" t="n">
        <x:v>6</x:v>
      </x:c>
      <x:c r="T497" t="str">
        <x:v>Entregue</x:v>
      </x:c>
      <x:c r="U497" t="n">
        <x:v>2</x:v>
      </x:c>
      <x:c r="V497" t="str"/>
    </x:row>
    <x:row r="498">
      <x:c r="A498" s="52" t="n">
        <x:v>46032</x:v>
      </x:c>
      <x:c r="B498" t="str">
        <x:v>PED-100497</x:v>
      </x:c>
      <x:c r="C498" t="str">
        <x:v>Cliente 107</x:v>
      </x:c>
      <x:c r="D498" t="str">
        <x:v>SC</x:v>
      </x:c>
      <x:c r="E498" t="str">
        <x:v>Sul</x:v>
      </x:c>
      <x:c r="F498" t="str">
        <x:v>Marketplace</x:v>
      </x:c>
      <x:c r="G498" t="str">
        <x:v>Acessórios</x:v>
      </x:c>
      <x:c r="H498" t="str">
        <x:v>Mochila Executiva</x:v>
      </x:c>
      <x:c r="I498" t="str">
        <x:v>Henrique</x:v>
      </x:c>
      <x:c r="J498" s="53" t="n">
        <x:v>7</x:v>
      </x:c>
      <x:c r="K498" s="54" t="n">
        <x:v>432.71</x:v>
      </x:c>
      <x:c r="L498" s="54" t="n">
        <x:v>182.9</x:v>
      </x:c>
      <x:c r="M498" s="55" t="n">
        <x:v>0.035</x:v>
      </x:c>
      <x:c r="N498" s="54" t="n">
        <x:f>ROUND(J498*K498,2)</x:f>
        <x:v>3028.97</x:v>
      </x:c>
      <x:c r="O498" s="54" t="n">
        <x:f>ROUND(N498*(1-M498),2)</x:f>
        <x:v>2922.96</x:v>
      </x:c>
      <x:c r="P498" s="54" t="n">
        <x:f>ROUND(J498*L498,2)</x:f>
        <x:v>1280.3</x:v>
      </x:c>
      <x:c r="Q498" s="54" t="n">
        <x:f>ROUND(O498-P498,2)</x:f>
        <x:v>1642.66</x:v>
      </x:c>
      <x:c r="R498" s="55" t="n">
        <x:f>IF(O498=0,0,ROUND(Q498/O498,4))</x:f>
        <x:v>0.562</x:v>
      </x:c>
      <x:c r="S498" s="53" t="n">
        <x:v>9</x:v>
      </x:c>
      <x:c r="T498" t="str">
        <x:v>Entregue</x:v>
      </x:c>
      <x:c r="U498" t="n">
        <x:v>4</x:v>
      </x:c>
      <x:c r="V498" t="str"/>
    </x:row>
    <x:row r="499">
      <x:c r="A499" s="52" t="n">
        <x:v>46121</x:v>
      </x:c>
      <x:c r="B499" t="str">
        <x:v>PED-100498</x:v>
      </x:c>
      <x:c r="C499" t="str">
        <x:v>Cliente 113</x:v>
      </x:c>
      <x:c r="D499" t="str">
        <x:v>SP</x:v>
      </x:c>
      <x:c r="E499" t="str">
        <x:v>Sudeste</x:v>
      </x:c>
      <x:c r="F499" t="str">
        <x:v>Marketplace</x:v>
      </x:c>
      <x:c r="G499" t="str">
        <x:v>Casa</x:v>
      </x:c>
      <x:c r="H499" t="str">
        <x:v>Aspirador Robô</x:v>
      </x:c>
      <x:c r="I499" t="str">
        <x:v>Carla</x:v>
      </x:c>
      <x:c r="J499" s="53" t="n">
        <x:v>7</x:v>
      </x:c>
      <x:c r="K499" s="54" t="n">
        <x:v>1916.77</x:v>
      </x:c>
      <x:c r="L499" s="54" t="n">
        <x:v>1191.09</x:v>
      </x:c>
      <x:c r="M499" s="55" t="n">
        <x:v>0.035</x:v>
      </x:c>
      <x:c r="N499" s="54" t="n">
        <x:f>ROUND(J499*K499,2)</x:f>
        <x:v>13417.39</x:v>
      </x:c>
      <x:c r="O499" s="54" t="n">
        <x:f>ROUND(N499*(1-M499),2)</x:f>
        <x:v>12947.78</x:v>
      </x:c>
      <x:c r="P499" s="54" t="n">
        <x:f>ROUND(J499*L499,2)</x:f>
        <x:v>8337.63</x:v>
      </x:c>
      <x:c r="Q499" s="54" t="n">
        <x:f>ROUND(O499-P499,2)</x:f>
        <x:v>4610.15</x:v>
      </x:c>
      <x:c r="R499" s="55" t="n">
        <x:f>IF(O499=0,0,ROUND(Q499/O499,4))</x:f>
        <x:v>0.3561</x:v>
      </x:c>
      <x:c r="S499" s="53" t="n">
        <x:v>14</x:v>
      </x:c>
      <x:c r="T499" t="str">
        <x:v>Entregue com atraso</x:v>
      </x:c>
      <x:c r="U499" t="n">
        <x:v>2</x:v>
      </x:c>
      <x:c r="V499" t="str"/>
    </x:row>
    <x:row r="500">
      <x:c r="A500" s="52" t="n">
        <x:v>46173</x:v>
      </x:c>
      <x:c r="B500" t="str">
        <x:v>PED-100499</x:v>
      </x:c>
      <x:c r="C500" t="str">
        <x:v>Cliente 013</x:v>
      </x:c>
      <x:c r="D500" t="str">
        <x:v>PR</x:v>
      </x:c>
      <x:c r="E500" t="str">
        <x:v>Sul</x:v>
      </x:c>
      <x:c r="F500" t="str">
        <x:v>E-commerce</x:v>
      </x:c>
      <x:c r="G500" t="str">
        <x:v>Escritório</x:v>
      </x:c>
      <x:c r="H500" t="str">
        <x:v>Luminária LED</x:v>
      </x:c>
      <x:c r="I500" t="str">
        <x:v>Elaine</x:v>
      </x:c>
      <x:c r="J500" s="53" t="n">
        <x:v>7</x:v>
      </x:c>
      <x:c r="K500" s="54" t="n">
        <x:v>264.11</x:v>
      </x:c>
      <x:c r="L500" s="54" t="n">
        <x:v>117.76</x:v>
      </x:c>
      <x:c r="M500" s="55" t="n">
        <x:v>0</x:v>
      </x:c>
      <x:c r="N500" s="54" t="n">
        <x:f>ROUND(J500*K500,2)</x:f>
        <x:v>1848.77</x:v>
      </x:c>
      <x:c r="O500" s="54" t="n">
        <x:f>ROUND(N500*(1-M500),2)</x:f>
        <x:v>1848.77</x:v>
      </x:c>
      <x:c r="P500" s="54" t="n">
        <x:f>ROUND(J500*L500,2)</x:f>
        <x:v>824.32</x:v>
      </x:c>
      <x:c r="Q500" s="54" t="n">
        <x:f>ROUND(O500-P500,2)</x:f>
        <x:v>1024.45</x:v>
      </x:c>
      <x:c r="R500" s="55" t="n">
        <x:f>IF(O500=0,0,ROUND(Q500/O500,4))</x:f>
        <x:v>0.5541</x:v>
      </x:c>
      <x:c r="S500" s="53" t="n">
        <x:v>3</x:v>
      </x:c>
      <x:c r="T500" t="str">
        <x:v>Entregue</x:v>
      </x:c>
      <x:c r="U500" t="n">
        <x:v>2</x:v>
      </x:c>
      <x:c r="V500" t="str"/>
    </x:row>
    <x:row r="501">
      <x:c r="A501" s="52" t="n">
        <x:v>46218</x:v>
      </x:c>
      <x:c r="B501" t="str">
        <x:v>PED-100500</x:v>
      </x:c>
      <x:c r="C501" t="str">
        <x:v>Cliente 066</x:v>
      </x:c>
      <x:c r="D501" t="str">
        <x:v>PR</x:v>
      </x:c>
      <x:c r="E501" t="str">
        <x:v>Sul</x:v>
      </x:c>
      <x:c r="F501" t="str">
        <x:v>Loja</x:v>
      </x:c>
      <x:c r="G501" t="str">
        <x:v>Tecnologia</x:v>
      </x:c>
      <x:c r="H501" t="str">
        <x:v>Notebook Pro</x:v>
      </x:c>
      <x:c r="I501" t="str">
        <x:v>Isabela</x:v>
      </x:c>
      <x:c r="J501" s="53" t="n">
        <x:v>7</x:v>
      </x:c>
      <x:c r="K501" s="54" t="n">
        <x:v>5960.83</x:v>
      </x:c>
      <x:c r="L501" s="54" t="n">
        <x:v>4310.86</x:v>
      </x:c>
      <x:c r="M501" s="55" t="n">
        <x:v>0.009</x:v>
      </x:c>
      <x:c r="N501" s="54" t="n">
        <x:f>ROUND(J501*K501,2)</x:f>
        <x:v>41725.81</x:v>
      </x:c>
      <x:c r="O501" s="54" t="n">
        <x:f>ROUND(N501*(1-M501),2)</x:f>
        <x:v>41350.28</x:v>
      </x:c>
      <x:c r="P501" s="54" t="n">
        <x:f>ROUND(J501*L501,2)</x:f>
        <x:v>30176.02</x:v>
      </x:c>
      <x:c r="Q501" s="54" t="n">
        <x:f>ROUND(O501-P501,2)</x:f>
        <x:v>11174.26</x:v>
      </x:c>
      <x:c r="R501" s="55" t="n">
        <x:f>IF(O501=0,0,ROUND(Q501/O501,4))</x:f>
        <x:v>0.2702</x:v>
      </x:c>
      <x:c r="S501" s="53" t="n">
        <x:v>8</x:v>
      </x:c>
      <x:c r="T501" t="str">
        <x:v>Cancelado</x:v>
      </x:c>
      <x:c r="U501"/>
      <x:c r="V501" t="str"/>
    </x:row>
    <x:row r="502">
      <x:c r="A502" s="52" t="n">
        <x:v>46080</x:v>
      </x:c>
      <x:c r="B502" t="str">
        <x:v>PED-100501</x:v>
      </x:c>
      <x:c r="C502" t="str">
        <x:v>Cliente 111</x:v>
      </x:c>
      <x:c r="D502" t="str">
        <x:v>SC</x:v>
      </x:c>
      <x:c r="E502" t="str">
        <x:v>Sul</x:v>
      </x:c>
      <x:c r="F502" t="str">
        <x:v>E-commerce</x:v>
      </x:c>
      <x:c r="G502" t="str">
        <x:v>Acessórios</x:v>
      </x:c>
      <x:c r="H502" t="str">
        <x:v>Hub USB-C</x:v>
      </x:c>
      <x:c r="I502" t="str">
        <x:v>Diego</x:v>
      </x:c>
      <x:c r="J502" s="53" t="n">
        <x:v>4</x:v>
      </x:c>
      <x:c r="K502" s="54" t="n">
        <x:v>330.14</x:v>
      </x:c>
      <x:c r="L502" s="54" t="n">
        <x:v>135.95</x:v>
      </x:c>
      <x:c r="M502" s="55" t="n">
        <x:v>0.0979</x:v>
      </x:c>
      <x:c r="N502" s="54" t="n">
        <x:f>ROUND(J502*K502,2)</x:f>
        <x:v>1320.56</x:v>
      </x:c>
      <x:c r="O502" s="54" t="n">
        <x:f>ROUND(N502*(1-M502),2)</x:f>
        <x:v>1191.28</x:v>
      </x:c>
      <x:c r="P502" s="54" t="n">
        <x:f>ROUND(J502*L502,2)</x:f>
        <x:v>543.8</x:v>
      </x:c>
      <x:c r="Q502" s="54" t="n">
        <x:f>ROUND(O502-P502,2)</x:f>
        <x:v>647.48</x:v>
      </x:c>
      <x:c r="R502" s="55" t="n">
        <x:f>IF(O502=0,0,ROUND(Q502/O502,4))</x:f>
        <x:v>0.5435</x:v>
      </x:c>
      <x:c r="S502" s="53" t="n">
        <x:v>4</x:v>
      </x:c>
      <x:c r="T502" t="str">
        <x:v>Entregue</x:v>
      </x:c>
      <x:c r="U502" t="n">
        <x:v>2</x:v>
      </x:c>
      <x:c r="V502" t="str"/>
    </x:row>
    <x:row r="503">
      <x:c r="A503" s="52" t="n">
        <x:v>46137</x:v>
      </x:c>
      <x:c r="B503" t="str">
        <x:v>PED-100502</x:v>
      </x:c>
      <x:c r="C503" t="str">
        <x:v>Cliente 002</x:v>
      </x:c>
      <x:c r="D503" t="str">
        <x:v>GO</x:v>
      </x:c>
      <x:c r="E503" t="str">
        <x:v>Centro-Oeste</x:v>
      </x:c>
      <x:c r="F503" t="str">
        <x:v>Televendas</x:v>
      </x:c>
      <x:c r="G503" t="str">
        <x:v>Casa</x:v>
      </x:c>
      <x:c r="H503" t="str">
        <x:v>Purificador</x:v>
      </x:c>
      <x:c r="I503" t="str">
        <x:v>Felipe</x:v>
      </x:c>
      <x:c r="J503" s="53" t="n">
        <x:v>3</x:v>
      </x:c>
      <x:c r="K503" s="54" t="n">
        <x:v>1308.53</x:v>
      </x:c>
      <x:c r="L503" s="54" t="n">
        <x:v>783.56</x:v>
      </x:c>
      <x:c r="M503" s="55" t="n">
        <x:v>0.0098</x:v>
      </x:c>
      <x:c r="N503" s="54" t="n">
        <x:f>ROUND(J503*K503,2)</x:f>
        <x:v>3925.59</x:v>
      </x:c>
      <x:c r="O503" s="54" t="n">
        <x:f>ROUND(N503*(1-M503),2)</x:f>
        <x:v>3887.12</x:v>
      </x:c>
      <x:c r="P503" s="54" t="n">
        <x:f>ROUND(J503*L503,2)</x:f>
        <x:v>2350.68</x:v>
      </x:c>
      <x:c r="Q503" s="54" t="n">
        <x:f>ROUND(O503-P503,2)</x:f>
        <x:v>1536.44</x:v>
      </x:c>
      <x:c r="R503" s="55" t="n">
        <x:f>IF(O503=0,0,ROUND(Q503/O503,4))</x:f>
        <x:v>0.3953</x:v>
      </x:c>
      <x:c r="S503" s="53" t="n">
        <x:v>7</x:v>
      </x:c>
      <x:c r="T503" t="str">
        <x:v>Entregue</x:v>
      </x:c>
      <x:c r="U503" t="n">
        <x:v>4</x:v>
      </x:c>
      <x:c r="V503" t="str"/>
    </x:row>
    <x:row r="504">
      <x:c r="A504" s="52" t="n">
        <x:v>46120</x:v>
      </x:c>
      <x:c r="B504" t="str">
        <x:v>PED-100503</x:v>
      </x:c>
      <x:c r="C504" t="str">
        <x:v>Cliente 110</x:v>
      </x:c>
      <x:c r="D504" t="str">
        <x:v>RS</x:v>
      </x:c>
      <x:c r="E504" t="str">
        <x:v>Sul</x:v>
      </x:c>
      <x:c r="F504" t="str">
        <x:v>E-commerce</x:v>
      </x:c>
      <x:c r="G504" t="str">
        <x:v>Escritório</x:v>
      </x:c>
      <x:c r="H504" t="str">
        <x:v>Cadeira Ergonômica</x:v>
      </x:c>
      <x:c r="I504" t="str">
        <x:v>Felipe</x:v>
      </x:c>
      <x:c r="J504" s="53" t="n">
        <x:v>2</x:v>
      </x:c>
      <x:c r="K504" s="54" t="n">
        <x:v>2245.19</x:v>
      </x:c>
      <x:c r="L504" s="54" t="n">
        <x:v>1430.08</x:v>
      </x:c>
      <x:c r="M504" s="55" t="n">
        <x:v>0.0574</x:v>
      </x:c>
      <x:c r="N504" s="54" t="n">
        <x:f>ROUND(J504*K504,2)</x:f>
        <x:v>4490.38</x:v>
      </x:c>
      <x:c r="O504" s="54" t="n">
        <x:f>ROUND(N504*(1-M504),2)</x:f>
        <x:v>4232.63</x:v>
      </x:c>
      <x:c r="P504" s="54" t="n">
        <x:f>ROUND(J504*L504,2)</x:f>
        <x:v>2860.16</x:v>
      </x:c>
      <x:c r="Q504" s="54" t="n">
        <x:f>ROUND(O504-P504,2)</x:f>
        <x:v>1372.47</x:v>
      </x:c>
      <x:c r="R504" s="55" t="n">
        <x:f>IF(O504=0,0,ROUND(Q504/O504,4))</x:f>
        <x:v>0.3243</x:v>
      </x:c>
      <x:c r="S504" s="53" t="n">
        <x:v>2</x:v>
      </x:c>
      <x:c r="T504" t="str">
        <x:v>Entregue</x:v>
      </x:c>
      <x:c r="U504" t="n">
        <x:v>4</x:v>
      </x:c>
      <x:c r="V504" t="str"/>
    </x:row>
    <x:row r="505">
      <x:c r="A505" s="52" t="n">
        <x:v>46142</x:v>
      </x:c>
      <x:c r="B505" t="str">
        <x:v>PED-100504</x:v>
      </x:c>
      <x:c r="C505" t="str">
        <x:v>Cliente 109</x:v>
      </x:c>
      <x:c r="D505" t="str">
        <x:v>AM</x:v>
      </x:c>
      <x:c r="E505" t="str">
        <x:v>Norte</x:v>
      </x:c>
      <x:c r="F505" t="str">
        <x:v>Marketplace</x:v>
      </x:c>
      <x:c r="G505" t="str">
        <x:v>Escritório</x:v>
      </x:c>
      <x:c r="H505" t="str">
        <x:v>Mesa Ajustável</x:v>
      </x:c>
      <x:c r="I505" t="str">
        <x:v>Isabela</x:v>
      </x:c>
      <x:c r="J505" s="53" t="n">
        <x:v>2</x:v>
      </x:c>
      <x:c r="K505" s="54" t="n">
        <x:v>2883.79</x:v>
      </x:c>
      <x:c r="L505" s="54" t="n">
        <x:v>1803.11</x:v>
      </x:c>
      <x:c r="M505" s="55" t="n">
        <x:v>0.1147</x:v>
      </x:c>
      <x:c r="N505" s="54" t="n">
        <x:f>ROUND(J505*K505,2)</x:f>
        <x:v>5767.58</x:v>
      </x:c>
      <x:c r="O505" s="54" t="n">
        <x:f>ROUND(N505*(1-M505),2)</x:f>
        <x:v>5106.04</x:v>
      </x:c>
      <x:c r="P505" s="54" t="n">
        <x:f>ROUND(J505*L505,2)</x:f>
        <x:v>3606.22</x:v>
      </x:c>
      <x:c r="Q505" s="54" t="n">
        <x:f>ROUND(O505-P505,2)</x:f>
        <x:v>1499.82</x:v>
      </x:c>
      <x:c r="R505" s="55" t="n">
        <x:f>IF(O505=0,0,ROUND(Q505/O505,4))</x:f>
        <x:v>0.2937</x:v>
      </x:c>
      <x:c r="S505" s="53" t="n">
        <x:v>9</x:v>
      </x:c>
      <x:c r="T505" t="str">
        <x:v>Entregue</x:v>
      </x:c>
      <x:c r="U505" t="n">
        <x:v>2</x:v>
      </x:c>
      <x:c r="V505" t="str"/>
    </x:row>
    <x:row r="506">
      <x:c r="A506" s="52" t="n">
        <x:v>46129</x:v>
      </x:c>
      <x:c r="B506" t="str">
        <x:v>PED-100505</x:v>
      </x:c>
      <x:c r="C506" t="str">
        <x:v>Cliente 109</x:v>
      </x:c>
      <x:c r="D506" t="str">
        <x:v>CE</x:v>
      </x:c>
      <x:c r="E506" t="str">
        <x:v>Nordeste</x:v>
      </x:c>
      <x:c r="F506" t="str">
        <x:v>Loja</x:v>
      </x:c>
      <x:c r="G506" t="str">
        <x:v>Casa</x:v>
      </x:c>
      <x:c r="H506" t="str">
        <x:v>Purificador</x:v>
      </x:c>
      <x:c r="I506" t="str">
        <x:v>Gabriela</x:v>
      </x:c>
      <x:c r="J506" s="53" t="n">
        <x:v>8</x:v>
      </x:c>
      <x:c r="K506" s="54" t="n">
        <x:v>1255.36</x:v>
      </x:c>
      <x:c r="L506" s="54" t="n">
        <x:v>783.97</x:v>
      </x:c>
      <x:c r="M506" s="55" t="n">
        <x:v>0.1207</x:v>
      </x:c>
      <x:c r="N506" s="54" t="n">
        <x:f>ROUND(J506*K506,2)</x:f>
        <x:v>10042.88</x:v>
      </x:c>
      <x:c r="O506" s="54" t="n">
        <x:f>ROUND(N506*(1-M506),2)</x:f>
        <x:v>8830.7</x:v>
      </x:c>
      <x:c r="P506" s="54" t="n">
        <x:f>ROUND(J506*L506,2)</x:f>
        <x:v>6271.76</x:v>
      </x:c>
      <x:c r="Q506" s="54" t="n">
        <x:f>ROUND(O506-P506,2)</x:f>
        <x:v>2558.94</x:v>
      </x:c>
      <x:c r="R506" s="55" t="n">
        <x:f>IF(O506=0,0,ROUND(Q506/O506,4))</x:f>
        <x:v>0.2898</x:v>
      </x:c>
      <x:c r="S506" s="53" t="n">
        <x:v>6</x:v>
      </x:c>
      <x:c r="T506" t="str">
        <x:v>Entregue</x:v>
      </x:c>
      <x:c r="U506" t="n">
        <x:v>4</x:v>
      </x:c>
      <x:c r="V506" t="str"/>
    </x:row>
    <x:row r="507">
      <x:c r="A507" s="52" t="n">
        <x:v>46202</x:v>
      </x:c>
      <x:c r="B507" t="str">
        <x:v>PED-100506</x:v>
      </x:c>
      <x:c r="C507" t="str">
        <x:v>Cliente 114</x:v>
      </x:c>
      <x:c r="D507" t="str">
        <x:v>RS</x:v>
      </x:c>
      <x:c r="E507" t="str">
        <x:v>Sul</x:v>
      </x:c>
      <x:c r="F507" t="str">
        <x:v>Televendas</x:v>
      </x:c>
      <x:c r="G507" t="str">
        <x:v>Casa</x:v>
      </x:c>
      <x:c r="H507" t="str">
        <x:v>Aspirador Robô</x:v>
      </x:c>
      <x:c r="I507" t="str">
        <x:v>Henrique</x:v>
      </x:c>
      <x:c r="J507" s="53" t="n">
        <x:v>1</x:v>
      </x:c>
      <x:c r="K507" s="54" t="n">
        <x:v>1993.12</x:v>
      </x:c>
      <x:c r="L507" s="54" t="n">
        <x:v>1152.08</x:v>
      </x:c>
      <x:c r="M507" s="55" t="n">
        <x:v>0.0601</x:v>
      </x:c>
      <x:c r="N507" s="54" t="n">
        <x:f>ROUND(J507*K507,2)</x:f>
        <x:v>1993.12</x:v>
      </x:c>
      <x:c r="O507" s="54" t="n">
        <x:f>ROUND(N507*(1-M507),2)</x:f>
        <x:v>1873.33</x:v>
      </x:c>
      <x:c r="P507" s="54" t="n">
        <x:f>ROUND(J507*L507,2)</x:f>
        <x:v>1152.08</x:v>
      </x:c>
      <x:c r="Q507" s="54" t="n">
        <x:f>ROUND(O507-P507,2)</x:f>
        <x:v>721.25</x:v>
      </x:c>
      <x:c r="R507" s="55" t="n">
        <x:f>IF(O507=0,0,ROUND(Q507/O507,4))</x:f>
        <x:v>0.385</x:v>
      </x:c>
      <x:c r="S507" s="53" t="n">
        <x:v>10</x:v>
      </x:c>
      <x:c r="T507" t="str">
        <x:v>Entregue</x:v>
      </x:c>
      <x:c r="U507" t="n">
        <x:v>2</x:v>
      </x:c>
      <x:c r="V507" t="str"/>
    </x:row>
    <x:row r="508">
      <x:c r="A508" s="52" t="n">
        <x:v>46204</x:v>
      </x:c>
      <x:c r="B508" t="str">
        <x:v>PED-100507</x:v>
      </x:c>
      <x:c r="C508" t="str">
        <x:v>Cliente 004</x:v>
      </x:c>
      <x:c r="D508" t="str">
        <x:v>MA</x:v>
      </x:c>
      <x:c r="E508" t="str">
        <x:v>Nordeste</x:v>
      </x:c>
      <x:c r="F508" t="str">
        <x:v>Televendas</x:v>
      </x:c>
      <x:c r="G508" t="str">
        <x:v>Tecnologia</x:v>
      </x:c>
      <x:c r="H508" t="str">
        <x:v>Notebook Pro</x:v>
      </x:c>
      <x:c r="I508" t="str">
        <x:v>Diego</x:v>
      </x:c>
      <x:c r="J508" s="53" t="n">
        <x:v>4</x:v>
      </x:c>
      <x:c r="K508" s="54" t="n">
        <x:v>5954.43</x:v>
      </x:c>
      <x:c r="L508" s="54" t="n">
        <x:v>4336.84</x:v>
      </x:c>
      <x:c r="M508" s="55" t="n">
        <x:v>0.0963</x:v>
      </x:c>
      <x:c r="N508" s="54" t="n">
        <x:f>ROUND(J508*K508,2)</x:f>
        <x:v>23817.72</x:v>
      </x:c>
      <x:c r="O508" s="54" t="n">
        <x:f>ROUND(N508*(1-M508),2)</x:f>
        <x:v>21524.07</x:v>
      </x:c>
      <x:c r="P508" s="54" t="n">
        <x:f>ROUND(J508*L508,2)</x:f>
        <x:v>17347.36</x:v>
      </x:c>
      <x:c r="Q508" s="54" t="n">
        <x:f>ROUND(O508-P508,2)</x:f>
        <x:v>4176.71</x:v>
      </x:c>
      <x:c r="R508" s="55" t="n">
        <x:f>IF(O508=0,0,ROUND(Q508/O508,4))</x:f>
        <x:v>0.194</x:v>
      </x:c>
      <x:c r="S508" s="53" t="n">
        <x:v>8</x:v>
      </x:c>
      <x:c r="T508" t="str">
        <x:v>Entregue</x:v>
      </x:c>
      <x:c r="U508" t="n">
        <x:v>2</x:v>
      </x:c>
      <x:c r="V508" t="str"/>
    </x:row>
    <x:row r="509">
      <x:c r="A509" s="52" t="n">
        <x:v>46039</x:v>
      </x:c>
      <x:c r="B509" t="str">
        <x:v>PED-100508</x:v>
      </x:c>
      <x:c r="C509" t="str">
        <x:v>Cliente 050</x:v>
      </x:c>
      <x:c r="D509" t="str">
        <x:v>RJ</x:v>
      </x:c>
      <x:c r="E509" t="str">
        <x:v>Sudeste</x:v>
      </x:c>
      <x:c r="F509" t="str">
        <x:v>E-commerce</x:v>
      </x:c>
      <x:c r="G509" t="str">
        <x:v>Tecnologia</x:v>
      </x:c>
      <x:c r="H509" t="str">
        <x:v>Headset Office</x:v>
      </x:c>
      <x:c r="I509" t="str">
        <x:v>Henrique</x:v>
      </x:c>
      <x:c r="J509" s="53" t="n">
        <x:v>3</x:v>
      </x:c>
      <x:c r="K509" s="54" t="n">
        <x:v>386.51</x:v>
      </x:c>
      <x:c r="L509" s="54" t="n">
        <x:v>210.33</x:v>
      </x:c>
      <x:c r="M509" s="55" t="n">
        <x:v>0</x:v>
      </x:c>
      <x:c r="N509" s="54" t="n">
        <x:f>ROUND(J509*K509,2)</x:f>
        <x:v>1159.53</x:v>
      </x:c>
      <x:c r="O509" s="54" t="n">
        <x:f>ROUND(N509*(1-M509),2)</x:f>
        <x:v>1159.53</x:v>
      </x:c>
      <x:c r="P509" s="54" t="n">
        <x:f>ROUND(J509*L509,2)</x:f>
        <x:v>630.99</x:v>
      </x:c>
      <x:c r="Q509" s="54" t="n">
        <x:f>ROUND(O509-P509,2)</x:f>
        <x:v>528.54</x:v>
      </x:c>
      <x:c r="R509" s="55" t="n">
        <x:f>IF(O509=0,0,ROUND(Q509/O509,4))</x:f>
        <x:v>0.4558</x:v>
      </x:c>
      <x:c r="S509" s="53" t="n">
        <x:v>9</x:v>
      </x:c>
      <x:c r="T509" t="str">
        <x:v>Entregue</x:v>
      </x:c>
      <x:c r="U509" t="n">
        <x:v>2</x:v>
      </x:c>
      <x:c r="V509" t="str"/>
    </x:row>
    <x:row r="510">
      <x:c r="A510" s="52" t="n">
        <x:v>46215</x:v>
      </x:c>
      <x:c r="B510" t="str">
        <x:v>PED-100509</x:v>
      </x:c>
      <x:c r="C510" t="str">
        <x:v>Cliente 041</x:v>
      </x:c>
      <x:c r="D510" t="str">
        <x:v>RS</x:v>
      </x:c>
      <x:c r="E510" t="str">
        <x:v>Sul</x:v>
      </x:c>
      <x:c r="F510" t="str">
        <x:v>Televendas</x:v>
      </x:c>
      <x:c r="G510" t="str">
        <x:v>Casa</x:v>
      </x:c>
      <x:c r="H510" t="str">
        <x:v>Aspirador Robô</x:v>
      </x:c>
      <x:c r="I510" t="str">
        <x:v>Henrique</x:v>
      </x:c>
      <x:c r="J510" s="53" t="n">
        <x:v>5</x:v>
      </x:c>
      <x:c r="K510" s="54" t="n">
        <x:v>1825.57</x:v>
      </x:c>
      <x:c r="L510" s="54" t="n">
        <x:v>1160.47</x:v>
      </x:c>
      <x:c r="M510" s="55" t="n">
        <x:v>0</x:v>
      </x:c>
      <x:c r="N510" s="54" t="n">
        <x:f>ROUND(J510*K510,2)</x:f>
        <x:v>9127.85</x:v>
      </x:c>
      <x:c r="O510" s="54" t="n">
        <x:f>ROUND(N510*(1-M510),2)</x:f>
        <x:v>9127.85</x:v>
      </x:c>
      <x:c r="P510" s="54" t="n">
        <x:f>ROUND(J510*L510,2)</x:f>
        <x:v>5802.35</x:v>
      </x:c>
      <x:c r="Q510" s="54" t="n">
        <x:f>ROUND(O510-P510,2)</x:f>
        <x:v>3325.5</x:v>
      </x:c>
      <x:c r="R510" s="55" t="n">
        <x:f>IF(O510=0,0,ROUND(Q510/O510,4))</x:f>
        <x:v>0.3643</x:v>
      </x:c>
      <x:c r="S510" s="53" t="n">
        <x:v>12</x:v>
      </x:c>
      <x:c r="T510" t="str">
        <x:v>Entregue com atraso</x:v>
      </x:c>
      <x:c r="U510" t="n">
        <x:v>5</x:v>
      </x:c>
      <x:c r="V510" t="str"/>
    </x:row>
    <x:row r="511">
      <x:c r="A511" s="52" t="n">
        <x:v>46146</x:v>
      </x:c>
      <x:c r="B511" t="str">
        <x:v>PED-100510</x:v>
      </x:c>
      <x:c r="C511" t="str">
        <x:v>Cliente 113</x:v>
      </x:c>
      <x:c r="D511" t="str">
        <x:v>PA</x:v>
      </x:c>
      <x:c r="E511" t="str">
        <x:v>Norte</x:v>
      </x:c>
      <x:c r="F511" t="str">
        <x:v>Televendas</x:v>
      </x:c>
      <x:c r="G511" t="str">
        <x:v>Casa</x:v>
      </x:c>
      <x:c r="H511" t="str">
        <x:v>Purificador</x:v>
      </x:c>
      <x:c r="I511" t="str">
        <x:v>Diego</x:v>
      </x:c>
      <x:c r="J511" s="53" t="n">
        <x:v>1</x:v>
      </x:c>
      <x:c r="K511" s="54" t="n">
        <x:v>1329.97</x:v>
      </x:c>
      <x:c r="L511" s="54" t="n">
        <x:v>835.35</x:v>
      </x:c>
      <x:c r="M511" s="55" t="n">
        <x:v>0.004</x:v>
      </x:c>
      <x:c r="N511" s="54" t="n">
        <x:f>ROUND(J511*K511,2)</x:f>
        <x:v>1329.97</x:v>
      </x:c>
      <x:c r="O511" s="54" t="n">
        <x:f>ROUND(N511*(1-M511),2)</x:f>
        <x:v>1324.65</x:v>
      </x:c>
      <x:c r="P511" s="54" t="n">
        <x:f>ROUND(J511*L511,2)</x:f>
        <x:v>835.35</x:v>
      </x:c>
      <x:c r="Q511" s="54" t="n">
        <x:f>ROUND(O511-P511,2)</x:f>
        <x:v>489.3</x:v>
      </x:c>
      <x:c r="R511" s="55" t="n">
        <x:f>IF(O511=0,0,ROUND(Q511/O511,4))</x:f>
        <x:v>0.3694</x:v>
      </x:c>
      <x:c r="S511" s="53" t="n">
        <x:v>10</x:v>
      </x:c>
      <x:c r="T511" t="str">
        <x:v>Entregue</x:v>
      </x:c>
      <x:c r="U511" t="n">
        <x:v>3</x:v>
      </x:c>
      <x:c r="V511" t="str"/>
    </x:row>
    <x:row r="512">
      <x:c r="A512" s="52" t="n">
        <x:v>46141</x:v>
      </x:c>
      <x:c r="B512" t="str">
        <x:v>PED-100511</x:v>
      </x:c>
      <x:c r="C512" t="str">
        <x:v>Cliente 046</x:v>
      </x:c>
      <x:c r="D512" t="str">
        <x:v>ES</x:v>
      </x:c>
      <x:c r="E512" t="str">
        <x:v>Sudeste</x:v>
      </x:c>
      <x:c r="F512" t="str">
        <x:v>Marketplace</x:v>
      </x:c>
      <x:c r="G512" t="str">
        <x:v>Casa</x:v>
      </x:c>
      <x:c r="H512" t="str">
        <x:v>Purificador</x:v>
      </x:c>
      <x:c r="I512" t="str">
        <x:v>Gabriela</x:v>
      </x:c>
      <x:c r="J512" s="53" t="n">
        <x:v>5</x:v>
      </x:c>
      <x:c r="K512" s="54" t="n">
        <x:v>1238.66</x:v>
      </x:c>
      <x:c r="L512" s="54" t="n">
        <x:v>799.11</x:v>
      </x:c>
      <x:c r="M512" s="55" t="n">
        <x:v>0.1004</x:v>
      </x:c>
      <x:c r="N512" s="54" t="n">
        <x:f>ROUND(J512*K512,2)</x:f>
        <x:v>6193.3</x:v>
      </x:c>
      <x:c r="O512" s="54" t="n">
        <x:f>ROUND(N512*(1-M512),2)</x:f>
        <x:v>5571.49</x:v>
      </x:c>
      <x:c r="P512" s="54" t="n">
        <x:f>ROUND(J512*L512,2)</x:f>
        <x:v>3995.55</x:v>
      </x:c>
      <x:c r="Q512" s="54" t="n">
        <x:f>ROUND(O512-P512,2)</x:f>
        <x:v>1575.94</x:v>
      </x:c>
      <x:c r="R512" s="55" t="n">
        <x:f>IF(O512=0,0,ROUND(Q512/O512,4))</x:f>
        <x:v>0.2829</x:v>
      </x:c>
      <x:c r="S512" s="53" t="n">
        <x:v>14</x:v>
      </x:c>
      <x:c r="T512" t="str">
        <x:v>Entregue com atraso</x:v>
      </x:c>
      <x:c r="U512" t="n">
        <x:v>4</x:v>
      </x:c>
      <x:c r="V512" t="str"/>
    </x:row>
    <x:row r="513">
      <x:c r="A513" s="52" t="n">
        <x:v>46155</x:v>
      </x:c>
      <x:c r="B513" t="str">
        <x:v>PED-100512</x:v>
      </x:c>
      <x:c r="C513" t="str">
        <x:v>Cliente 096</x:v>
      </x:c>
      <x:c r="D513" t="str">
        <x:v>MA</x:v>
      </x:c>
      <x:c r="E513" t="str">
        <x:v>Nordeste</x:v>
      </x:c>
      <x:c r="F513" t="str">
        <x:v>Loja</x:v>
      </x:c>
      <x:c r="G513" t="str">
        <x:v>Casa</x:v>
      </x:c>
      <x:c r="H513" t="str">
        <x:v>Cafeteira Smart</x:v>
      </x:c>
      <x:c r="I513" t="str">
        <x:v>João</x:v>
      </x:c>
      <x:c r="J513" s="53" t="n">
        <x:v>8</x:v>
      </x:c>
      <x:c r="K513" s="54" t="n">
        <x:v>837.23</x:v>
      </x:c>
      <x:c r="L513" s="54" t="n">
        <x:v>476.05</x:v>
      </x:c>
      <x:c r="M513" s="55" t="n">
        <x:v>0.124</x:v>
      </x:c>
      <x:c r="N513" s="54" t="n">
        <x:f>ROUND(J513*K513,2)</x:f>
        <x:v>6697.84</x:v>
      </x:c>
      <x:c r="O513" s="54" t="n">
        <x:f>ROUND(N513*(1-M513),2)</x:f>
        <x:v>5867.31</x:v>
      </x:c>
      <x:c r="P513" s="54" t="n">
        <x:f>ROUND(J513*L513,2)</x:f>
        <x:v>3808.4</x:v>
      </x:c>
      <x:c r="Q513" s="54" t="n">
        <x:f>ROUND(O513-P513,2)</x:f>
        <x:v>2058.91</x:v>
      </x:c>
      <x:c r="R513" s="55" t="n">
        <x:f>IF(O513=0,0,ROUND(Q513/O513,4))</x:f>
        <x:v>0.3509</x:v>
      </x:c>
      <x:c r="S513" s="53" t="n">
        <x:v>23</x:v>
      </x:c>
      <x:c r="T513" t="str">
        <x:v>Entregue com atraso</x:v>
      </x:c>
      <x:c r="U513" t="n">
        <x:v>1</x:v>
      </x:c>
      <x:c r="V513" t="str">
        <x:v>Ocorrência logística</x:v>
      </x:c>
    </x:row>
    <x:row r="514">
      <x:c r="A514" s="52" t="n">
        <x:v>46080</x:v>
      </x:c>
      <x:c r="B514" t="str">
        <x:v>PED-100513</x:v>
      </x:c>
      <x:c r="C514" t="str">
        <x:v>Cliente 098</x:v>
      </x:c>
      <x:c r="D514" t="str">
        <x:v>ES</x:v>
      </x:c>
      <x:c r="E514" t="str">
        <x:v>Sudeste</x:v>
      </x:c>
      <x:c r="F514" t="str">
        <x:v>Loja</x:v>
      </x:c>
      <x:c r="G514" t="str">
        <x:v>Casa</x:v>
      </x:c>
      <x:c r="H514" t="str">
        <x:v>Aspirador Robô</x:v>
      </x:c>
      <x:c r="I514" t="str">
        <x:v>Elaine</x:v>
      </x:c>
      <x:c r="J514" s="53" t="n">
        <x:v>7</x:v>
      </x:c>
      <x:c r="K514" s="54" t="n">
        <x:v>1847.22</x:v>
      </x:c>
      <x:c r="L514" s="54" t="n">
        <x:v>1193.75</x:v>
      </x:c>
      <x:c r="M514" s="55" t="n">
        <x:v>0.0912</x:v>
      </x:c>
      <x:c r="N514" s="54" t="n">
        <x:f>ROUND(J514*K514,2)</x:f>
        <x:v>12930.54</x:v>
      </x:c>
      <x:c r="O514" s="54" t="n">
        <x:f>ROUND(N514*(1-M514),2)</x:f>
        <x:v>11751.27</x:v>
      </x:c>
      <x:c r="P514" s="54" t="n">
        <x:f>ROUND(J514*L514,2)</x:f>
        <x:v>8356.25</x:v>
      </x:c>
      <x:c r="Q514" s="54" t="n">
        <x:f>ROUND(O514-P514,2)</x:f>
        <x:v>3395.02</x:v>
      </x:c>
      <x:c r="R514" s="55" t="n">
        <x:f>IF(O514=0,0,ROUND(Q514/O514,4))</x:f>
        <x:v>0.2889</x:v>
      </x:c>
      <x:c r="S514" s="53" t="n">
        <x:v>4</x:v>
      </x:c>
      <x:c r="T514" t="str">
        <x:v>Entregue</x:v>
      </x:c>
      <x:c r="U514" t="n">
        <x:v>5</x:v>
      </x:c>
      <x:c r="V514" t="str"/>
    </x:row>
    <x:row r="515">
      <x:c r="A515" s="52" t="n">
        <x:v>46031</x:v>
      </x:c>
      <x:c r="B515" t="str">
        <x:v>PED-100514</x:v>
      </x:c>
      <x:c r="C515" t="str">
        <x:v>Cliente 024</x:v>
      </x:c>
      <x:c r="D515" t="str">
        <x:v>BA</x:v>
      </x:c>
      <x:c r="E515" t="str">
        <x:v>Nordeste</x:v>
      </x:c>
      <x:c r="F515" t="str">
        <x:v>Televendas</x:v>
      </x:c>
      <x:c r="G515" t="str">
        <x:v>Acessórios</x:v>
      </x:c>
      <x:c r="H515" t="str">
        <x:v>Hub USB-C</x:v>
      </x:c>
      <x:c r="I515" t="str">
        <x:v>Ana</x:v>
      </x:c>
      <x:c r="J515" s="53" t="n">
        <x:v>4</x:v>
      </x:c>
      <x:c r="K515" s="54" t="n">
        <x:v>307.68</x:v>
      </x:c>
      <x:c r="L515" s="54" t="n">
        <x:v>145.47</x:v>
      </x:c>
      <x:c r="M515" s="55" t="n">
        <x:v>0.1088</x:v>
      </x:c>
      <x:c r="N515" s="54" t="n">
        <x:f>ROUND(J515*K515,2)</x:f>
        <x:v>1230.72</x:v>
      </x:c>
      <x:c r="O515" s="54" t="n">
        <x:f>ROUND(N515*(1-M515),2)</x:f>
        <x:v>1096.82</x:v>
      </x:c>
      <x:c r="P515" s="54" t="n">
        <x:f>ROUND(J515*L515,2)</x:f>
        <x:v>581.88</x:v>
      </x:c>
      <x:c r="Q515" s="54" t="n">
        <x:f>ROUND(O515-P515,2)</x:f>
        <x:v>514.94</x:v>
      </x:c>
      <x:c r="R515" s="55" t="n">
        <x:f>IF(O515=0,0,ROUND(Q515/O515,4))</x:f>
        <x:v>0.4695</x:v>
      </x:c>
      <x:c r="S515" s="53" t="n">
        <x:v>5</x:v>
      </x:c>
      <x:c r="T515" t="str">
        <x:v>Entregue</x:v>
      </x:c>
      <x:c r="U515" t="n">
        <x:v>3</x:v>
      </x:c>
      <x:c r="V515" t="str"/>
    </x:row>
    <x:row r="516">
      <x:c r="A516" s="52" t="n">
        <x:v>46227</x:v>
      </x:c>
      <x:c r="B516" t="str">
        <x:v>PED-100515</x:v>
      </x:c>
      <x:c r="C516" t="str">
        <x:v>Cliente 116</x:v>
      </x:c>
      <x:c r="D516" t="str">
        <x:v>GO</x:v>
      </x:c>
      <x:c r="E516" t="str">
        <x:v>Centro-Oeste</x:v>
      </x:c>
      <x:c r="F516" t="str">
        <x:v>Loja</x:v>
      </x:c>
      <x:c r="G516" t="str">
        <x:v>Acessórios</x:v>
      </x:c>
      <x:c r="H516" t="str">
        <x:v>Hub USB-C</x:v>
      </x:c>
      <x:c r="I516" t="str">
        <x:v>Bruno</x:v>
      </x:c>
      <x:c r="J516" s="53" t="n">
        <x:v>8</x:v>
      </x:c>
      <x:c r="K516" s="54" t="n">
        <x:v>330.2</x:v>
      </x:c>
      <x:c r="L516" s="54" t="n">
        <x:v>134.65</x:v>
      </x:c>
      <x:c r="M516" s="55" t="n">
        <x:v>0.0312</x:v>
      </x:c>
      <x:c r="N516" s="54" t="n">
        <x:f>ROUND(J516*K516,2)</x:f>
        <x:v>2641.6</x:v>
      </x:c>
      <x:c r="O516" s="54" t="n">
        <x:f>ROUND(N516*(1-M516),2)</x:f>
        <x:v>2559.18</x:v>
      </x:c>
      <x:c r="P516" s="54" t="n">
        <x:f>ROUND(J516*L516,2)</x:f>
        <x:v>1077.2</x:v>
      </x:c>
      <x:c r="Q516" s="54" t="n">
        <x:f>ROUND(O516-P516,2)</x:f>
        <x:v>1481.98</x:v>
      </x:c>
      <x:c r="R516" s="55" t="n">
        <x:f>IF(O516=0,0,ROUND(Q516/O516,4))</x:f>
        <x:v>0.5791</x:v>
      </x:c>
      <x:c r="S516" s="53" t="n">
        <x:v>9</x:v>
      </x:c>
      <x:c r="T516" t="str">
        <x:v>Entregue</x:v>
      </x:c>
      <x:c r="U516" t="n">
        <x:v>4</x:v>
      </x:c>
      <x:c r="V516" t="str"/>
    </x:row>
    <x:row r="517">
      <x:c r="A517" s="52" t="n">
        <x:v>46028</x:v>
      </x:c>
      <x:c r="B517" t="str">
        <x:v>PED-100516</x:v>
      </x:c>
      <x:c r="C517" t="str">
        <x:v>Cliente 098</x:v>
      </x:c>
      <x:c r="D517" t="str">
        <x:v>PE</x:v>
      </x:c>
      <x:c r="E517" t="str">
        <x:v>Nordeste</x:v>
      </x:c>
      <x:c r="F517" t="str">
        <x:v>E-commerce</x:v>
      </x:c>
      <x:c r="G517" t="str">
        <x:v>Tecnologia</x:v>
      </x:c>
      <x:c r="H517" t="str">
        <x:v>Monitor 27</x:v>
      </x:c>
      <x:c r="I517" t="str">
        <x:v>Carla</x:v>
      </x:c>
      <x:c r="J517" s="53" t="n">
        <x:v>8</x:v>
      </x:c>
      <x:c r="K517" s="54" t="n">
        <x:v>1666.3</x:v>
      </x:c>
      <x:c r="L517" s="54" t="n">
        <x:v>1124.51</x:v>
      </x:c>
      <x:c r="M517" s="55" t="n">
        <x:v>0.0163</x:v>
      </x:c>
      <x:c r="N517" s="54" t="n">
        <x:f>ROUND(J517*K517,2)</x:f>
        <x:v>13330.4</x:v>
      </x:c>
      <x:c r="O517" s="54" t="n">
        <x:f>ROUND(N517*(1-M517),2)</x:f>
        <x:v>13113.11</x:v>
      </x:c>
      <x:c r="P517" s="54" t="n">
        <x:f>ROUND(J517*L517,2)</x:f>
        <x:v>8996.08</x:v>
      </x:c>
      <x:c r="Q517" s="54" t="n">
        <x:f>ROUND(O517-P517,2)</x:f>
        <x:v>4117.03</x:v>
      </x:c>
      <x:c r="R517" s="55" t="n">
        <x:f>IF(O517=0,0,ROUND(Q517/O517,4))</x:f>
        <x:v>0.314</x:v>
      </x:c>
      <x:c r="S517" s="53" t="n">
        <x:v>12</x:v>
      </x:c>
      <x:c r="T517" t="str">
        <x:v>Entregue com atraso</x:v>
      </x:c>
      <x:c r="U517" t="n">
        <x:v>3</x:v>
      </x:c>
      <x:c r="V517" t="str"/>
    </x:row>
    <x:row r="518">
      <x:c r="A518" s="52" t="n">
        <x:v>46218</x:v>
      </x:c>
      <x:c r="B518" t="str">
        <x:v>PED-100517</x:v>
      </x:c>
      <x:c r="C518" t="str">
        <x:v>Cliente 052</x:v>
      </x:c>
      <x:c r="D518" t="str">
        <x:v>AM</x:v>
      </x:c>
      <x:c r="E518" t="str">
        <x:v>Norte</x:v>
      </x:c>
      <x:c r="F518" t="str">
        <x:v>Marketplace</x:v>
      </x:c>
      <x:c r="G518" t="str">
        <x:v>Acessórios</x:v>
      </x:c>
      <x:c r="H518" t="str">
        <x:v>Webcam HD</x:v>
      </x:c>
      <x:c r="I518" t="str">
        <x:v>Diego</x:v>
      </x:c>
      <x:c r="J518" s="53" t="n">
        <x:v>1</x:v>
      </x:c>
      <x:c r="K518" s="54" t="n">
        <x:v>539.24</x:v>
      </x:c>
      <x:c r="L518" s="54" t="n">
        <x:v>240.65</x:v>
      </x:c>
      <x:c r="M518" s="55" t="n">
        <x:v>0.0705</x:v>
      </x:c>
      <x:c r="N518" s="54" t="n">
        <x:f>ROUND(J518*K518,2)</x:f>
        <x:v>539.24</x:v>
      </x:c>
      <x:c r="O518" s="54" t="n">
        <x:f>ROUND(N518*(1-M518),2)</x:f>
        <x:v>501.22</x:v>
      </x:c>
      <x:c r="P518" s="54" t="n">
        <x:f>ROUND(J518*L518,2)</x:f>
        <x:v>240.65</x:v>
      </x:c>
      <x:c r="Q518" s="54" t="n">
        <x:f>ROUND(O518-P518,2)</x:f>
        <x:v>260.57</x:v>
      </x:c>
      <x:c r="R518" s="55" t="n">
        <x:f>IF(O518=0,0,ROUND(Q518/O518,4))</x:f>
        <x:v>0.5199</x:v>
      </x:c>
      <x:c r="S518" s="53" t="n">
        <x:v>5</x:v>
      </x:c>
      <x:c r="T518" t="str">
        <x:v>Entregue</x:v>
      </x:c>
      <x:c r="U518" t="n">
        <x:v>4</x:v>
      </x:c>
      <x:c r="V518" t="str"/>
    </x:row>
    <x:row r="519">
      <x:c r="A519" s="52" t="n">
        <x:v>46229</x:v>
      </x:c>
      <x:c r="B519" t="str">
        <x:v>PED-100518</x:v>
      </x:c>
      <x:c r="C519" t="str">
        <x:v>Cliente 050</x:v>
      </x:c>
      <x:c r="D519" t="str">
        <x:v>AM</x:v>
      </x:c>
      <x:c r="E519" t="str">
        <x:v>Norte</x:v>
      </x:c>
      <x:c r="F519" t="str">
        <x:v>Televendas</x:v>
      </x:c>
      <x:c r="G519" t="str">
        <x:v>Escritório</x:v>
      </x:c>
      <x:c r="H519" t="str">
        <x:v>Cadeira Ergonômica</x:v>
      </x:c>
      <x:c r="I519" t="str">
        <x:v>Bruno</x:v>
      </x:c>
      <x:c r="J519" s="53" t="n">
        <x:v>5</x:v>
      </x:c>
      <x:c r="K519" s="54" t="n">
        <x:v>2218.64</x:v>
      </x:c>
      <x:c r="L519" s="54" t="n">
        <x:v>1522.53</x:v>
      </x:c>
      <x:c r="M519" s="55" t="n">
        <x:v>0.0843</x:v>
      </x:c>
      <x:c r="N519" s="54" t="n">
        <x:f>ROUND(J519*K519,2)</x:f>
        <x:v>11093.2</x:v>
      </x:c>
      <x:c r="O519" s="54" t="n">
        <x:f>ROUND(N519*(1-M519),2)</x:f>
        <x:v>10158.04</x:v>
      </x:c>
      <x:c r="P519" s="54" t="n">
        <x:f>ROUND(J519*L519,2)</x:f>
        <x:v>7612.65</x:v>
      </x:c>
      <x:c r="Q519" s="54" t="n">
        <x:f>ROUND(O519-P519,2)</x:f>
        <x:v>2545.39</x:v>
      </x:c>
      <x:c r="R519" s="55" t="n">
        <x:f>IF(O519=0,0,ROUND(Q519/O519,4))</x:f>
        <x:v>0.2506</x:v>
      </x:c>
      <x:c r="S519" s="53" t="n">
        <x:v>13</x:v>
      </x:c>
      <x:c r="T519" t="str">
        <x:v>Entregue com atraso</x:v>
      </x:c>
      <x:c r="U519" t="n">
        <x:v>4</x:v>
      </x:c>
      <x:c r="V519" t="str"/>
    </x:row>
    <x:row r="520">
      <x:c r="A520" s="52" t="n">
        <x:v>46058</x:v>
      </x:c>
      <x:c r="B520" t="str">
        <x:v>PED-100519</x:v>
      </x:c>
      <x:c r="C520" t="str">
        <x:v>Cliente 072</x:v>
      </x:c>
      <x:c r="D520" t="str">
        <x:v>RJ</x:v>
      </x:c>
      <x:c r="E520" t="str">
        <x:v>Sudeste</x:v>
      </x:c>
      <x:c r="F520" t="str">
        <x:v>Loja</x:v>
      </x:c>
      <x:c r="G520" t="str">
        <x:v>Escritório</x:v>
      </x:c>
      <x:c r="H520" t="str">
        <x:v>Mesa Ajustável</x:v>
      </x:c>
      <x:c r="I520" t="str">
        <x:v>Elaine</x:v>
      </x:c>
      <x:c r="J520" s="53" t="n">
        <x:v>2</x:v>
      </x:c>
      <x:c r="K520" s="54" t="n">
        <x:v>2672.29</x:v>
      </x:c>
      <x:c r="L520" s="54" t="n">
        <x:v>1792.68</x:v>
      </x:c>
      <x:c r="M520" s="55" t="n">
        <x:v>0</x:v>
      </x:c>
      <x:c r="N520" s="54" t="n">
        <x:f>ROUND(J520*K520,2)</x:f>
        <x:v>5344.58</x:v>
      </x:c>
      <x:c r="O520" s="54" t="n">
        <x:f>ROUND(N520*(1-M520),2)</x:f>
        <x:v>5344.58</x:v>
      </x:c>
      <x:c r="P520" s="54" t="n">
        <x:f>ROUND(J520*L520,2)</x:f>
        <x:v>3585.36</x:v>
      </x:c>
      <x:c r="Q520" s="54" t="n">
        <x:f>ROUND(O520-P520,2)</x:f>
        <x:v>1759.22</x:v>
      </x:c>
      <x:c r="R520" s="55" t="n">
        <x:f>IF(O520=0,0,ROUND(Q520/O520,4))</x:f>
        <x:v>0.3292</x:v>
      </x:c>
      <x:c r="S520" s="53" t="n">
        <x:v>5</x:v>
      </x:c>
      <x:c r="T520" t="str">
        <x:v>Entregue</x:v>
      </x:c>
      <x:c r="U520" t="n">
        <x:v>5</x:v>
      </x:c>
      <x:c r="V520" t="str"/>
    </x:row>
    <x:row r="521">
      <x:c r="A521" s="52" t="n">
        <x:v>46094</x:v>
      </x:c>
      <x:c r="B521" t="str">
        <x:v>PED-100520</x:v>
      </x:c>
      <x:c r="C521" t="str">
        <x:v>Cliente 070</x:v>
      </x:c>
      <x:c r="D521" t="str">
        <x:v>SC</x:v>
      </x:c>
      <x:c r="E521" t="str">
        <x:v>Sul</x:v>
      </x:c>
      <x:c r="F521" t="str">
        <x:v>Televendas</x:v>
      </x:c>
      <x:c r="G521" t="str">
        <x:v>Casa</x:v>
      </x:c>
      <x:c r="H521" t="str">
        <x:v>Cafeteira Smart</x:v>
      </x:c>
      <x:c r="I521" t="str">
        <x:v>João</x:v>
      </x:c>
      <x:c r="J521" s="53" t="n">
        <x:v>8</x:v>
      </x:c>
      <x:c r="K521" s="54" t="n">
        <x:v>823.38</x:v>
      </x:c>
      <x:c r="L521" s="54" t="n">
        <x:v>449.44</x:v>
      </x:c>
      <x:c r="M521" s="55" t="n">
        <x:v>0</x:v>
      </x:c>
      <x:c r="N521" s="54" t="n">
        <x:f>ROUND(J521*K521,2)</x:f>
        <x:v>6587.04</x:v>
      </x:c>
      <x:c r="O521" s="54" t="n">
        <x:f>ROUND(N521*(1-M521),2)</x:f>
        <x:v>6587.04</x:v>
      </x:c>
      <x:c r="P521" s="54" t="n">
        <x:f>ROUND(J521*L521,2)</x:f>
        <x:v>3595.52</x:v>
      </x:c>
      <x:c r="Q521" s="54" t="n">
        <x:f>ROUND(O521-P521,2)</x:f>
        <x:v>2991.52</x:v>
      </x:c>
      <x:c r="R521" s="55" t="n">
        <x:f>IF(O521=0,0,ROUND(Q521/O521,4))</x:f>
        <x:v>0.4542</x:v>
      </x:c>
      <x:c r="S521" s="53" t="n">
        <x:v>2</x:v>
      </x:c>
      <x:c r="T521" t="str">
        <x:v>Entregue</x:v>
      </x:c>
      <x:c r="U521" t="n">
        <x:v>5</x:v>
      </x:c>
      <x:c r="V521" t="str"/>
    </x:row>
    <x:row r="522">
      <x:c r="A522" s="52" t="n">
        <x:v>46198</x:v>
      </x:c>
      <x:c r="B522" t="str">
        <x:v>PED-100521</x:v>
      </x:c>
      <x:c r="C522" t="str">
        <x:v>Cliente 087</x:v>
      </x:c>
      <x:c r="D522" t="str">
        <x:v>MT</x:v>
      </x:c>
      <x:c r="E522" t="str">
        <x:v>Centro-Oeste</x:v>
      </x:c>
      <x:c r="F522" t="str">
        <x:v>Loja</x:v>
      </x:c>
      <x:c r="G522" t="str">
        <x:v>Casa</x:v>
      </x:c>
      <x:c r="H522" t="str">
        <x:v>Cafeteira Smart</x:v>
      </x:c>
      <x:c r="I522" t="str">
        <x:v>Ana</x:v>
      </x:c>
      <x:c r="J522" s="53" t="n">
        <x:v>5</x:v>
      </x:c>
      <x:c r="K522" s="54" t="n">
        <x:v>767.26</x:v>
      </x:c>
      <x:c r="L522" s="54" t="n">
        <x:v>465.52</x:v>
      </x:c>
      <x:c r="M522" s="55" t="n">
        <x:v>0.1008</x:v>
      </x:c>
      <x:c r="N522" s="54" t="n">
        <x:f>ROUND(J522*K522,2)</x:f>
        <x:v>3836.3</x:v>
      </x:c>
      <x:c r="O522" s="54" t="n">
        <x:f>ROUND(N522*(1-M522),2)</x:f>
        <x:v>3449.6</x:v>
      </x:c>
      <x:c r="P522" s="54" t="n">
        <x:f>ROUND(J522*L522,2)</x:f>
        <x:v>2327.6</x:v>
      </x:c>
      <x:c r="Q522" s="54" t="n">
        <x:f>ROUND(O522-P522,2)</x:f>
        <x:v>1122</x:v>
      </x:c>
      <x:c r="R522" s="55" t="n">
        <x:f>IF(O522=0,0,ROUND(Q522/O522,4))</x:f>
        <x:v>0.3253</x:v>
      </x:c>
      <x:c r="S522" s="53" t="n">
        <x:v>8</x:v>
      </x:c>
      <x:c r="T522" t="str">
        <x:v>Entregue</x:v>
      </x:c>
      <x:c r="U522" t="n">
        <x:v>4</x:v>
      </x:c>
      <x:c r="V522" t="str"/>
    </x:row>
    <x:row r="523">
      <x:c r="A523" s="52" t="n">
        <x:v>46037</x:v>
      </x:c>
      <x:c r="B523" t="str">
        <x:v>PED-100522</x:v>
      </x:c>
      <x:c r="C523" t="str">
        <x:v>Cliente 048</x:v>
      </x:c>
      <x:c r="D523" t="str">
        <x:v>RS</x:v>
      </x:c>
      <x:c r="E523" t="str">
        <x:v>Sul</x:v>
      </x:c>
      <x:c r="F523" t="str">
        <x:v>E-commerce</x:v>
      </x:c>
      <x:c r="G523" t="str">
        <x:v>Escritório</x:v>
      </x:c>
      <x:c r="H523" t="str">
        <x:v>Luminária LED</x:v>
      </x:c>
      <x:c r="I523" t="str">
        <x:v>Henrique</x:v>
      </x:c>
      <x:c r="J523" s="53" t="n">
        <x:v>2</x:v>
      </x:c>
      <x:c r="K523" s="54" t="n">
        <x:v>263.52</x:v>
      </x:c>
      <x:c r="L523" s="54" t="n">
        <x:v>122.44</x:v>
      </x:c>
      <x:c r="M523" s="55" t="n">
        <x:v>0.0363</x:v>
      </x:c>
      <x:c r="N523" s="54" t="n">
        <x:f>ROUND(J523*K523,2)</x:f>
        <x:v>527.04</x:v>
      </x:c>
      <x:c r="O523" s="54" t="n">
        <x:f>ROUND(N523*(1-M523),2)</x:f>
        <x:v>507.91</x:v>
      </x:c>
      <x:c r="P523" s="54" t="n">
        <x:f>ROUND(J523*L523,2)</x:f>
        <x:v>244.88</x:v>
      </x:c>
      <x:c r="Q523" s="54" t="n">
        <x:f>ROUND(O523-P523,2)</x:f>
        <x:v>263.03</x:v>
      </x:c>
      <x:c r="R523" s="55" t="n">
        <x:f>IF(O523=0,0,ROUND(Q523/O523,4))</x:f>
        <x:v>0.5179</x:v>
      </x:c>
      <x:c r="S523" s="53" t="n">
        <x:v>5</x:v>
      </x:c>
      <x:c r="T523" t="str">
        <x:v>Entregue</x:v>
      </x:c>
      <x:c r="U523" t="n">
        <x:v>2</x:v>
      </x:c>
      <x:c r="V523" t="str"/>
    </x:row>
    <x:row r="524">
      <x:c r="A524" s="52" t="n">
        <x:v>46231</x:v>
      </x:c>
      <x:c r="B524" t="str">
        <x:v>PED-100523</x:v>
      </x:c>
      <x:c r="C524" t="str">
        <x:v>Cliente 097</x:v>
      </x:c>
      <x:c r="D524" t="str">
        <x:v>MA</x:v>
      </x:c>
      <x:c r="E524" t="str">
        <x:v>Nordeste</x:v>
      </x:c>
      <x:c r="F524" t="str">
        <x:v>Loja</x:v>
      </x:c>
      <x:c r="G524" t="str">
        <x:v>Tecnologia</x:v>
      </x:c>
      <x:c r="H524" t="str">
        <x:v>Monitor 27</x:v>
      </x:c>
      <x:c r="I524" t="str">
        <x:v>Carla</x:v>
      </x:c>
      <x:c r="J524" s="53" t="n">
        <x:v>2</x:v>
      </x:c>
      <x:c r="K524" s="54" t="n">
        <x:v>1617.9</x:v>
      </x:c>
      <x:c r="L524" s="54" t="n">
        <x:v>1094.9</x:v>
      </x:c>
      <x:c r="M524" s="55" t="n">
        <x:v>0.1155</x:v>
      </x:c>
      <x:c r="N524" s="54" t="n">
        <x:f>ROUND(J524*K524,2)</x:f>
        <x:v>3235.8</x:v>
      </x:c>
      <x:c r="O524" s="54" t="n">
        <x:f>ROUND(N524*(1-M524),2)</x:f>
        <x:v>2862.07</x:v>
      </x:c>
      <x:c r="P524" s="54" t="n">
        <x:f>ROUND(J524*L524,2)</x:f>
        <x:v>2189.8</x:v>
      </x:c>
      <x:c r="Q524" s="54" t="n">
        <x:f>ROUND(O524-P524,2)</x:f>
        <x:v>672.27</x:v>
      </x:c>
      <x:c r="R524" s="55" t="n">
        <x:f>IF(O524=0,0,ROUND(Q524/O524,4))</x:f>
        <x:v>0.2349</x:v>
      </x:c>
      <x:c r="S524" s="53" t="n">
        <x:v>12</x:v>
      </x:c>
      <x:c r="T524" t="str">
        <x:v>Entregue com atraso</x:v>
      </x:c>
      <x:c r="U524" t="n">
        <x:v>5</x:v>
      </x:c>
      <x:c r="V524" t="str"/>
    </x:row>
    <x:row r="525">
      <x:c r="A525" s="52" t="n">
        <x:v>46163</x:v>
      </x:c>
      <x:c r="B525" t="str">
        <x:v>PED-100524</x:v>
      </x:c>
      <x:c r="C525" t="str">
        <x:v>Cliente 111</x:v>
      </x:c>
      <x:c r="D525" t="str">
        <x:v>PR</x:v>
      </x:c>
      <x:c r="E525" t="str">
        <x:v>Sul</x:v>
      </x:c>
      <x:c r="F525" t="str">
        <x:v>Loja</x:v>
      </x:c>
      <x:c r="G525" t="str">
        <x:v>Tecnologia</x:v>
      </x:c>
      <x:c r="H525" t="str">
        <x:v>Headset Office</x:v>
      </x:c>
      <x:c r="I525" t="str">
        <x:v>Isabela</x:v>
      </x:c>
      <x:c r="J525" s="53" t="n">
        <x:v>7</x:v>
      </x:c>
      <x:c r="K525" s="54" t="n">
        <x:v>366.94</x:v>
      </x:c>
      <x:c r="L525" s="54" t="n">
        <x:v>218.47</x:v>
      </x:c>
      <x:c r="M525" s="55" t="n">
        <x:v>0.1103</x:v>
      </x:c>
      <x:c r="N525" s="54" t="n">
        <x:f>ROUND(J525*K525,2)</x:f>
        <x:v>2568.58</x:v>
      </x:c>
      <x:c r="O525" s="54" t="n">
        <x:f>ROUND(N525*(1-M525),2)</x:f>
        <x:v>2285.27</x:v>
      </x:c>
      <x:c r="P525" s="54" t="n">
        <x:f>ROUND(J525*L525,2)</x:f>
        <x:v>1529.29</x:v>
      </x:c>
      <x:c r="Q525" s="54" t="n">
        <x:f>ROUND(O525-P525,2)</x:f>
        <x:v>755.98</x:v>
      </x:c>
      <x:c r="R525" s="55" t="n">
        <x:f>IF(O525=0,0,ROUND(Q525/O525,4))</x:f>
        <x:v>0.3308</x:v>
      </x:c>
      <x:c r="S525" s="53" t="n">
        <x:v>3</x:v>
      </x:c>
      <x:c r="T525" t="str">
        <x:v>Entregue</x:v>
      </x:c>
      <x:c r="U525" t="n">
        <x:v>3</x:v>
      </x:c>
      <x:c r="V525" t="str"/>
    </x:row>
    <x:row r="526">
      <x:c r="A526" s="52" t="n">
        <x:v>46043</x:v>
      </x:c>
      <x:c r="B526" t="str">
        <x:v>PED-100525</x:v>
      </x:c>
      <x:c r="C526" t="str">
        <x:v>Cliente 099</x:v>
      </x:c>
      <x:c r="D526" t="str">
        <x:v>ES</x:v>
      </x:c>
      <x:c r="E526" t="str">
        <x:v>Sudeste</x:v>
      </x:c>
      <x:c r="F526" t="str">
        <x:v>Marketplace</x:v>
      </x:c>
      <x:c r="G526" t="str">
        <x:v>Casa</x:v>
      </x:c>
      <x:c r="H526" t="str">
        <x:v>Cafeteira Smart</x:v>
      </x:c>
      <x:c r="I526" t="str">
        <x:v>João</x:v>
      </x:c>
      <x:c r="J526" s="53" t="n">
        <x:v>2</x:v>
      </x:c>
      <x:c r="K526" s="54" t="n">
        <x:v>745.03</x:v>
      </x:c>
      <x:c r="L526" s="54" t="n">
        <x:v>475.93</x:v>
      </x:c>
      <x:c r="M526" s="55" t="n">
        <x:v>0.1249</x:v>
      </x:c>
      <x:c r="N526" s="54" t="n">
        <x:f>ROUND(J526*K526,2)</x:f>
        <x:v>1490.06</x:v>
      </x:c>
      <x:c r="O526" s="54" t="n">
        <x:f>ROUND(N526*(1-M526),2)</x:f>
        <x:v>1303.95</x:v>
      </x:c>
      <x:c r="P526" s="54" t="n">
        <x:f>ROUND(J526*L526,2)</x:f>
        <x:v>951.86</x:v>
      </x:c>
      <x:c r="Q526" s="54" t="n">
        <x:f>ROUND(O526-P526,2)</x:f>
        <x:v>352.09</x:v>
      </x:c>
      <x:c r="R526" s="55" t="n">
        <x:f>IF(O526=0,0,ROUND(Q526/O526,4))</x:f>
        <x:v>0.27</x:v>
      </x:c>
      <x:c r="S526" s="53" t="n">
        <x:v>11</x:v>
      </x:c>
      <x:c r="T526" t="str">
        <x:v>Entregue com atraso</x:v>
      </x:c>
      <x:c r="U526" t="n">
        <x:v>2</x:v>
      </x:c>
      <x:c r="V526" t="str"/>
    </x:row>
    <x:row r="527">
      <x:c r="A527" s="52" t="n">
        <x:v>46047</x:v>
      </x:c>
      <x:c r="B527" t="str">
        <x:v>PED-100526</x:v>
      </x:c>
      <x:c r="C527" t="str">
        <x:v>Cliente 091</x:v>
      </x:c>
      <x:c r="D527" t="str">
        <x:v>SP</x:v>
      </x:c>
      <x:c r="E527" t="str">
        <x:v>Sudeste</x:v>
      </x:c>
      <x:c r="F527" t="str">
        <x:v>Televendas</x:v>
      </x:c>
      <x:c r="G527" t="str">
        <x:v>Tecnologia</x:v>
      </x:c>
      <x:c r="H527" t="str">
        <x:v>Monitor 27</x:v>
      </x:c>
      <x:c r="I527" t="str">
        <x:v>Felipe</x:v>
      </x:c>
      <x:c r="J527" s="53" t="n">
        <x:v>4</x:v>
      </x:c>
      <x:c r="K527" s="54" t="n">
        <x:v>1771.56</x:v>
      </x:c>
      <x:c r="L527" s="54" t="n">
        <x:v>1055.85</x:v>
      </x:c>
      <x:c r="M527" s="55" t="n">
        <x:v>0.0327</x:v>
      </x:c>
      <x:c r="N527" s="54" t="n">
        <x:f>ROUND(J527*K527,2)</x:f>
        <x:v>7086.24</x:v>
      </x:c>
      <x:c r="O527" s="54" t="n">
        <x:f>ROUND(N527*(1-M527),2)</x:f>
        <x:v>6854.52</x:v>
      </x:c>
      <x:c r="P527" s="54" t="n">
        <x:f>ROUND(J527*L527,2)</x:f>
        <x:v>4223.4</x:v>
      </x:c>
      <x:c r="Q527" s="54" t="n">
        <x:f>ROUND(O527-P527,2)</x:f>
        <x:v>2631.12</x:v>
      </x:c>
      <x:c r="R527" s="55" t="n">
        <x:f>IF(O527=0,0,ROUND(Q527/O527,4))</x:f>
        <x:v>0.3839</x:v>
      </x:c>
      <x:c r="S527" s="53" t="n">
        <x:v>11</x:v>
      </x:c>
      <x:c r="T527" t="str">
        <x:v>Entregue com atraso</x:v>
      </x:c>
      <x:c r="U527" t="n">
        <x:v>4</x:v>
      </x:c>
      <x:c r="V527" t="str"/>
    </x:row>
    <x:row r="528">
      <x:c r="A528" s="52" t="n">
        <x:v>46024</x:v>
      </x:c>
      <x:c r="B528" t="str">
        <x:v>PED-100527</x:v>
      </x:c>
      <x:c r="C528" t="str">
        <x:v>Cliente 104</x:v>
      </x:c>
      <x:c r="D528" t="str">
        <x:v>PR</x:v>
      </x:c>
      <x:c r="E528" t="str">
        <x:v>Sul</x:v>
      </x:c>
      <x:c r="F528" t="str">
        <x:v>Televendas</x:v>
      </x:c>
      <x:c r="G528" t="str">
        <x:v>Tecnologia</x:v>
      </x:c>
      <x:c r="H528" t="str">
        <x:v>Monitor 27</x:v>
      </x:c>
      <x:c r="I528" t="str">
        <x:v>Gabriela</x:v>
      </x:c>
      <x:c r="J528" s="53" t="n">
        <x:v>8</x:v>
      </x:c>
      <x:c r="K528" s="54" t="n">
        <x:v>1735.21</x:v>
      </x:c>
      <x:c r="L528" s="54" t="n">
        <x:v>1058.53</x:v>
      </x:c>
      <x:c r="M528" s="55" t="n">
        <x:v>0</x:v>
      </x:c>
      <x:c r="N528" s="54" t="n">
        <x:f>ROUND(J528*K528,2)</x:f>
        <x:v>13881.68</x:v>
      </x:c>
      <x:c r="O528" s="54" t="n">
        <x:f>ROUND(N528*(1-M528),2)</x:f>
        <x:v>13881.68</x:v>
      </x:c>
      <x:c r="P528" s="54" t="n">
        <x:f>ROUND(J528*L528,2)</x:f>
        <x:v>8468.24</x:v>
      </x:c>
      <x:c r="Q528" s="54" t="n">
        <x:f>ROUND(O528-P528,2)</x:f>
        <x:v>5413.44</x:v>
      </x:c>
      <x:c r="R528" s="55" t="n">
        <x:f>IF(O528=0,0,ROUND(Q528/O528,4))</x:f>
        <x:v>0.39</x:v>
      </x:c>
      <x:c r="S528" s="53" t="n">
        <x:v>8</x:v>
      </x:c>
      <x:c r="T528" t="str">
        <x:v>Entregue</x:v>
      </x:c>
      <x:c r="U528" t="n">
        <x:v>3</x:v>
      </x:c>
      <x:c r="V528" t="str"/>
    </x:row>
    <x:row r="529">
      <x:c r="A529" s="52" t="n">
        <x:v>46078</x:v>
      </x:c>
      <x:c r="B529" t="str">
        <x:v>PED-100528</x:v>
      </x:c>
      <x:c r="C529" t="str">
        <x:v>Cliente 027</x:v>
      </x:c>
      <x:c r="D529" t="str">
        <x:v>GO</x:v>
      </x:c>
      <x:c r="E529" t="str">
        <x:v>Centro-Oeste</x:v>
      </x:c>
      <x:c r="F529" t="str">
        <x:v>Marketplace</x:v>
      </x:c>
      <x:c r="G529" t="str">
        <x:v>Acessórios</x:v>
      </x:c>
      <x:c r="H529" t="str">
        <x:v>Mochila Executiva</x:v>
      </x:c>
      <x:c r="I529" t="str">
        <x:v>Felipe</x:v>
      </x:c>
      <x:c r="J529" s="53" t="n">
        <x:v>6</x:v>
      </x:c>
      <x:c r="K529" s="54" t="n">
        <x:v>408.32</x:v>
      </x:c>
      <x:c r="L529" s="54" t="n">
        <x:v>197.98</x:v>
      </x:c>
      <x:c r="M529" s="55" t="n">
        <x:v>0.1403</x:v>
      </x:c>
      <x:c r="N529" s="54" t="n">
        <x:f>ROUND(J529*K529,2)</x:f>
        <x:v>2449.92</x:v>
      </x:c>
      <x:c r="O529" s="54" t="n">
        <x:f>ROUND(N529*(1-M529),2)</x:f>
        <x:v>2106.2</x:v>
      </x:c>
      <x:c r="P529" s="54" t="n">
        <x:f>ROUND(J529*L529,2)</x:f>
        <x:v>1187.88</x:v>
      </x:c>
      <x:c r="Q529" s="54" t="n">
        <x:f>ROUND(O529-P529,2)</x:f>
        <x:v>918.32</x:v>
      </x:c>
      <x:c r="R529" s="55" t="n">
        <x:f>IF(O529=0,0,ROUND(Q529/O529,4))</x:f>
        <x:v>0.436</x:v>
      </x:c>
      <x:c r="S529" s="53" t="n">
        <x:v>13</x:v>
      </x:c>
      <x:c r="T529" t="str">
        <x:v>Entregue com atraso</x:v>
      </x:c>
      <x:c r="U529" t="n">
        <x:v>3</x:v>
      </x:c>
      <x:c r="V529" t="str"/>
    </x:row>
    <x:row r="530">
      <x:c r="A530" s="52" t="n">
        <x:v>46030</x:v>
      </x:c>
      <x:c r="B530" t="str">
        <x:v>PED-100529</x:v>
      </x:c>
      <x:c r="C530" t="str">
        <x:v>Cliente 037</x:v>
      </x:c>
      <x:c r="D530" t="str">
        <x:v>PA</x:v>
      </x:c>
      <x:c r="E530" t="str">
        <x:v>Norte</x:v>
      </x:c>
      <x:c r="F530" t="str">
        <x:v>Televendas</x:v>
      </x:c>
      <x:c r="G530" t="str">
        <x:v>Acessórios</x:v>
      </x:c>
      <x:c r="H530" t="str">
        <x:v>Hub USB-C</x:v>
      </x:c>
      <x:c r="I530" t="str">
        <x:v>Henrique</x:v>
      </x:c>
      <x:c r="J530" s="53" t="n">
        <x:v>1</x:v>
      </x:c>
      <x:c r="K530" s="54" t="n">
        <x:v>307.28</x:v>
      </x:c>
      <x:c r="L530" s="54" t="n">
        <x:v>136.24</x:v>
      </x:c>
      <x:c r="M530" s="55" t="n">
        <x:v>0</x:v>
      </x:c>
      <x:c r="N530" s="54" t="n">
        <x:f>ROUND(J530*K530,2)</x:f>
        <x:v>307.28</x:v>
      </x:c>
      <x:c r="O530" s="54" t="n">
        <x:f>ROUND(N530*(1-M530),2)</x:f>
        <x:v>307.28</x:v>
      </x:c>
      <x:c r="P530" s="54" t="n">
        <x:f>ROUND(J530*L530,2)</x:f>
        <x:v>136.24</x:v>
      </x:c>
      <x:c r="Q530" s="54" t="n">
        <x:f>ROUND(O530-P530,2)</x:f>
        <x:v>171.04</x:v>
      </x:c>
      <x:c r="R530" s="55" t="n">
        <x:f>IF(O530=0,0,ROUND(Q530/O530,4))</x:f>
        <x:v>0.5566</x:v>
      </x:c>
      <x:c r="S530" s="53" t="n">
        <x:v>13</x:v>
      </x:c>
      <x:c r="T530" t="str">
        <x:v>Entregue com atraso</x:v>
      </x:c>
      <x:c r="U530" t="n">
        <x:v>2</x:v>
      </x:c>
      <x:c r="V530" t="str"/>
    </x:row>
    <x:row r="531">
      <x:c r="A531" s="52" t="n">
        <x:v>46214</x:v>
      </x:c>
      <x:c r="B531" t="str">
        <x:v>PED-100530</x:v>
      </x:c>
      <x:c r="C531" t="str">
        <x:v>Cliente 020</x:v>
      </x:c>
      <x:c r="D531" t="str">
        <x:v>GO</x:v>
      </x:c>
      <x:c r="E531" t="str">
        <x:v>Centro-Oeste</x:v>
      </x:c>
      <x:c r="F531" t="str">
        <x:v>Loja</x:v>
      </x:c>
      <x:c r="G531" t="str">
        <x:v>Escritório</x:v>
      </x:c>
      <x:c r="H531" t="str">
        <x:v>Mesa Ajustável</x:v>
      </x:c>
      <x:c r="I531" t="str">
        <x:v>Isabela</x:v>
      </x:c>
      <x:c r="J531" s="53" t="n">
        <x:v>6</x:v>
      </x:c>
      <x:c r="K531" s="54" t="n">
        <x:v>2911.79</x:v>
      </x:c>
      <x:c r="L531" s="54" t="n">
        <x:v>1824.88</x:v>
      </x:c>
      <x:c r="M531" s="55" t="n">
        <x:v>0.0702</x:v>
      </x:c>
      <x:c r="N531" s="54" t="n">
        <x:f>ROUND(J531*K531,2)</x:f>
        <x:v>17470.74</x:v>
      </x:c>
      <x:c r="O531" s="54" t="n">
        <x:f>ROUND(N531*(1-M531),2)</x:f>
        <x:v>16244.29</x:v>
      </x:c>
      <x:c r="P531" s="54" t="n">
        <x:f>ROUND(J531*L531,2)</x:f>
        <x:v>10949.28</x:v>
      </x:c>
      <x:c r="Q531" s="54" t="n">
        <x:f>ROUND(O531-P531,2)</x:f>
        <x:v>5295.01</x:v>
      </x:c>
      <x:c r="R531" s="55" t="n">
        <x:f>IF(O531=0,0,ROUND(Q531/O531,4))</x:f>
        <x:v>0.326</x:v>
      </x:c>
      <x:c r="S531" s="53" t="n">
        <x:v>11</x:v>
      </x:c>
      <x:c r="T531" t="str">
        <x:v>Entregue com atraso</x:v>
      </x:c>
      <x:c r="U531" t="n">
        <x:v>3</x:v>
      </x:c>
      <x:c r="V531" t="str"/>
    </x:row>
    <x:row r="532">
      <x:c r="A532" s="52" t="n">
        <x:v>46145</x:v>
      </x:c>
      <x:c r="B532" t="str">
        <x:v>PED-100531</x:v>
      </x:c>
      <x:c r="C532" t="str">
        <x:v>Cliente 009</x:v>
      </x:c>
      <x:c r="D532" t="str">
        <x:v>ES</x:v>
      </x:c>
      <x:c r="E532" t="str">
        <x:v>Sudeste</x:v>
      </x:c>
      <x:c r="F532" t="str">
        <x:v>Loja</x:v>
      </x:c>
      <x:c r="G532" t="str">
        <x:v>Tecnologia</x:v>
      </x:c>
      <x:c r="H532" t="str">
        <x:v>Notebook Pro</x:v>
      </x:c>
      <x:c r="I532" t="str">
        <x:v>Henrique</x:v>
      </x:c>
      <x:c r="J532" s="53" t="n">
        <x:v>1</x:v>
      </x:c>
      <x:c r="K532" s="54" t="n">
        <x:v>5915.71</x:v>
      </x:c>
      <x:c r="L532" s="54" t="n">
        <x:v>4478.46</x:v>
      </x:c>
      <x:c r="M532" s="55" t="n">
        <x:v>0.0406</x:v>
      </x:c>
      <x:c r="N532" s="54" t="n">
        <x:f>ROUND(J532*K532,2)</x:f>
        <x:v>5915.71</x:v>
      </x:c>
      <x:c r="O532" s="54" t="n">
        <x:f>ROUND(N532*(1-M532),2)</x:f>
        <x:v>5675.53</x:v>
      </x:c>
      <x:c r="P532" s="54" t="n">
        <x:f>ROUND(J532*L532,2)</x:f>
        <x:v>4478.46</x:v>
      </x:c>
      <x:c r="Q532" s="54" t="n">
        <x:f>ROUND(O532-P532,2)</x:f>
        <x:v>1197.07</x:v>
      </x:c>
      <x:c r="R532" s="55" t="n">
        <x:f>IF(O532=0,0,ROUND(Q532/O532,4))</x:f>
        <x:v>0.2109</x:v>
      </x:c>
      <x:c r="S532" s="53" t="n">
        <x:v>2</x:v>
      </x:c>
      <x:c r="T532" t="str">
        <x:v>Entregue</x:v>
      </x:c>
      <x:c r="U532" t="n">
        <x:v>4</x:v>
      </x:c>
      <x:c r="V532" t="str"/>
    </x:row>
    <x:row r="533">
      <x:c r="A533" s="52" t="n">
        <x:v>46137</x:v>
      </x:c>
      <x:c r="B533" t="str">
        <x:v>PED-100532</x:v>
      </x:c>
      <x:c r="C533" t="str">
        <x:v>Cliente 027</x:v>
      </x:c>
      <x:c r="D533" t="str">
        <x:v>ES</x:v>
      </x:c>
      <x:c r="E533" t="str">
        <x:v>Sudeste</x:v>
      </x:c>
      <x:c r="F533" t="str">
        <x:v>Televendas</x:v>
      </x:c>
      <x:c r="G533" t="str">
        <x:v>Acessórios</x:v>
      </x:c>
      <x:c r="H533" t="str">
        <x:v>Webcam HD</x:v>
      </x:c>
      <x:c r="I533" t="str">
        <x:v>Felipe</x:v>
      </x:c>
      <x:c r="J533" s="53" t="n">
        <x:v>7</x:v>
      </x:c>
      <x:c r="K533" s="54" t="n">
        <x:v>481.65</x:v>
      </x:c>
      <x:c r="L533" s="54" t="n">
        <x:v>236.17</x:v>
      </x:c>
      <x:c r="M533" s="55" t="n">
        <x:v>0.0165</x:v>
      </x:c>
      <x:c r="N533" s="54" t="n">
        <x:f>ROUND(J533*K533,2)</x:f>
        <x:v>3371.55</x:v>
      </x:c>
      <x:c r="O533" s="54" t="n">
        <x:f>ROUND(N533*(1-M533),2)</x:f>
        <x:v>3315.92</x:v>
      </x:c>
      <x:c r="P533" s="54" t="n">
        <x:f>ROUND(J533*L533,2)</x:f>
        <x:v>1653.19</x:v>
      </x:c>
      <x:c r="Q533" s="54" t="n">
        <x:f>ROUND(O533-P533,2)</x:f>
        <x:v>1662.73</x:v>
      </x:c>
      <x:c r="R533" s="55" t="n">
        <x:f>IF(O533=0,0,ROUND(Q533/O533,4))</x:f>
        <x:v>0.5014</x:v>
      </x:c>
      <x:c r="S533" s="53" t="n">
        <x:v>7</x:v>
      </x:c>
      <x:c r="T533" t="str">
        <x:v>Entregue</x:v>
      </x:c>
      <x:c r="U533" t="n">
        <x:v>2</x:v>
      </x:c>
      <x:c r="V533" t="str"/>
    </x:row>
    <x:row r="534">
      <x:c r="A534" s="52" t="n">
        <x:v>46117</x:v>
      </x:c>
      <x:c r="B534" t="str">
        <x:v>PED-100533</x:v>
      </x:c>
      <x:c r="C534" t="str">
        <x:v>Cliente 076</x:v>
      </x:c>
      <x:c r="D534" t="str">
        <x:v>BA</x:v>
      </x:c>
      <x:c r="E534" t="str">
        <x:v>Nordeste</x:v>
      </x:c>
      <x:c r="F534" t="str">
        <x:v>E-commerce</x:v>
      </x:c>
      <x:c r="G534" t="str">
        <x:v>Casa</x:v>
      </x:c>
      <x:c r="H534" t="str">
        <x:v>Aspirador Robô</x:v>
      </x:c>
      <x:c r="I534" t="str">
        <x:v>João</x:v>
      </x:c>
      <x:c r="J534" s="53" t="n">
        <x:v>4</x:v>
      </x:c>
      <x:c r="K534" s="54" t="n">
        <x:v>1976.82</x:v>
      </x:c>
      <x:c r="L534" s="54" t="n">
        <x:v>1233.58</x:v>
      </x:c>
      <x:c r="M534" s="55" t="n">
        <x:v>0</x:v>
      </x:c>
      <x:c r="N534" s="54" t="n">
        <x:f>ROUND(J534*K534,2)</x:f>
        <x:v>7907.28</x:v>
      </x:c>
      <x:c r="O534" s="54" t="n">
        <x:f>ROUND(N534*(1-M534),2)</x:f>
        <x:v>7907.28</x:v>
      </x:c>
      <x:c r="P534" s="54" t="n">
        <x:f>ROUND(J534*L534,2)</x:f>
        <x:v>4934.32</x:v>
      </x:c>
      <x:c r="Q534" s="54" t="n">
        <x:f>ROUND(O534-P534,2)</x:f>
        <x:v>2972.96</x:v>
      </x:c>
      <x:c r="R534" s="55" t="n">
        <x:f>IF(O534=0,0,ROUND(Q534/O534,4))</x:f>
        <x:v>0.376</x:v>
      </x:c>
      <x:c r="S534" s="53" t="n">
        <x:v>6</x:v>
      </x:c>
      <x:c r="T534" t="str">
        <x:v>Entregue</x:v>
      </x:c>
      <x:c r="U534" t="n">
        <x:v>2</x:v>
      </x:c>
      <x:c r="V534" t="str"/>
    </x:row>
    <x:row r="535">
      <x:c r="A535" s="52" t="n">
        <x:v>46134</x:v>
      </x:c>
      <x:c r="B535" t="str">
        <x:v>PED-100534</x:v>
      </x:c>
      <x:c r="C535" t="str">
        <x:v>Cliente 038</x:v>
      </x:c>
      <x:c r="D535" t="str">
        <x:v>SC</x:v>
      </x:c>
      <x:c r="E535" t="str">
        <x:v>Sul</x:v>
      </x:c>
      <x:c r="F535" t="str">
        <x:v>Televendas</x:v>
      </x:c>
      <x:c r="G535" t="str">
        <x:v>Casa</x:v>
      </x:c>
      <x:c r="H535" t="str">
        <x:v>Cafeteira Smart</x:v>
      </x:c>
      <x:c r="I535" t="str">
        <x:v>Isabela</x:v>
      </x:c>
      <x:c r="J535" s="53" t="n">
        <x:v>1</x:v>
      </x:c>
      <x:c r="K535" s="54" t="n">
        <x:v>794.16</x:v>
      </x:c>
      <x:c r="L535" s="54" t="n">
        <x:v>472.73</x:v>
      </x:c>
      <x:c r="M535" s="55" t="n">
        <x:v>0</x:v>
      </x:c>
      <x:c r="N535" s="54" t="n">
        <x:f>ROUND(J535*K535,2)</x:f>
        <x:v>794.16</x:v>
      </x:c>
      <x:c r="O535" s="54" t="n">
        <x:f>ROUND(N535*(1-M535),2)</x:f>
        <x:v>794.16</x:v>
      </x:c>
      <x:c r="P535" s="54" t="n">
        <x:f>ROUND(J535*L535,2)</x:f>
        <x:v>472.73</x:v>
      </x:c>
      <x:c r="Q535" s="54" t="n">
        <x:f>ROUND(O535-P535,2)</x:f>
        <x:v>321.43</x:v>
      </x:c>
      <x:c r="R535" s="55" t="n">
        <x:f>IF(O535=0,0,ROUND(Q535/O535,4))</x:f>
        <x:v>0.4047</x:v>
      </x:c>
      <x:c r="S535" s="53" t="n">
        <x:v>12</x:v>
      </x:c>
      <x:c r="T535" t="str">
        <x:v>Entregue com atraso</x:v>
      </x:c>
      <x:c r="U535" t="n">
        <x:v>3</x:v>
      </x:c>
      <x:c r="V535" t="str"/>
    </x:row>
    <x:row r="536">
      <x:c r="A536" s="52" t="n">
        <x:v>46223</x:v>
      </x:c>
      <x:c r="B536" t="str">
        <x:v>PED-100535</x:v>
      </x:c>
      <x:c r="C536" t="str">
        <x:v>Cliente 004</x:v>
      </x:c>
      <x:c r="D536" t="str">
        <x:v>MA</x:v>
      </x:c>
      <x:c r="E536" t="str">
        <x:v>Nordeste</x:v>
      </x:c>
      <x:c r="F536" t="str">
        <x:v>Marketplace</x:v>
      </x:c>
      <x:c r="G536" t="str">
        <x:v>Acessórios</x:v>
      </x:c>
      <x:c r="H536" t="str">
        <x:v>Mochila Executiva</x:v>
      </x:c>
      <x:c r="I536" t="str">
        <x:v>Carla</x:v>
      </x:c>
      <x:c r="J536" s="53" t="n">
        <x:v>4</x:v>
      </x:c>
      <x:c r="K536" s="54" t="n">
        <x:v>421.94</x:v>
      </x:c>
      <x:c r="L536" s="54" t="n">
        <x:v>189.15</x:v>
      </x:c>
      <x:c r="M536" s="55" t="n">
        <x:v>0.035</x:v>
      </x:c>
      <x:c r="N536" s="54" t="n">
        <x:f>ROUND(J536*K536,2)</x:f>
        <x:v>1687.76</x:v>
      </x:c>
      <x:c r="O536" s="54" t="n">
        <x:f>ROUND(N536*(1-M536),2)</x:f>
        <x:v>1628.69</x:v>
      </x:c>
      <x:c r="P536" s="54" t="n">
        <x:f>ROUND(J536*L536,2)</x:f>
        <x:v>756.6</x:v>
      </x:c>
      <x:c r="Q536" s="54" t="n">
        <x:f>ROUND(O536-P536,2)</x:f>
        <x:v>872.09</x:v>
      </x:c>
      <x:c r="R536" s="55" t="n">
        <x:f>IF(O536=0,0,ROUND(Q536/O536,4))</x:f>
        <x:v>0.5355</x:v>
      </x:c>
      <x:c r="S536" s="53" t="n">
        <x:v>14</x:v>
      </x:c>
      <x:c r="T536" t="str">
        <x:v>Entregue com atraso</x:v>
      </x:c>
      <x:c r="U536" t="n">
        <x:v>2</x:v>
      </x:c>
      <x:c r="V536" t="str"/>
    </x:row>
    <x:row r="537">
      <x:c r="A537" s="52" t="n">
        <x:v>46119</x:v>
      </x:c>
      <x:c r="B537" t="str">
        <x:v>PED-100536</x:v>
      </x:c>
      <x:c r="C537" t="str">
        <x:v>Cliente 012</x:v>
      </x:c>
      <x:c r="D537" t="str">
        <x:v>CE</x:v>
      </x:c>
      <x:c r="E537" t="str">
        <x:v>Nordeste</x:v>
      </x:c>
      <x:c r="F537" t="str">
        <x:v>Televendas</x:v>
      </x:c>
      <x:c r="G537" t="str">
        <x:v>Acessórios</x:v>
      </x:c>
      <x:c r="H537" t="str">
        <x:v>Mochila Executiva</x:v>
      </x:c>
      <x:c r="I537" t="str">
        <x:v>Isabela</x:v>
      </x:c>
      <x:c r="J537" s="53" t="n">
        <x:v>8</x:v>
      </x:c>
      <x:c r="K537" s="54" t="n">
        <x:v>405.21</x:v>
      </x:c>
      <x:c r="L537" s="54" t="n">
        <x:v>194.72</x:v>
      </x:c>
      <x:c r="M537" s="55" t="n">
        <x:v>0.0305</x:v>
      </x:c>
      <x:c r="N537" s="54" t="n">
        <x:f>ROUND(J537*K537,2)</x:f>
        <x:v>3241.68</x:v>
      </x:c>
      <x:c r="O537" s="54" t="n">
        <x:f>ROUND(N537*(1-M537),2)</x:f>
        <x:v>3142.81</x:v>
      </x:c>
      <x:c r="P537" s="54" t="n">
        <x:f>ROUND(J537*L537,2)</x:f>
        <x:v>1557.76</x:v>
      </x:c>
      <x:c r="Q537" s="54" t="n">
        <x:f>ROUND(O537-P537,2)</x:f>
        <x:v>1585.05</x:v>
      </x:c>
      <x:c r="R537" s="55" t="n">
        <x:f>IF(O537=0,0,ROUND(Q537/O537,4))</x:f>
        <x:v>0.5043</x:v>
      </x:c>
      <x:c r="S537" s="53" t="n">
        <x:v>12</x:v>
      </x:c>
      <x:c r="T537" t="str">
        <x:v>Entregue com atraso</x:v>
      </x:c>
      <x:c r="U537" t="n">
        <x:v>4</x:v>
      </x:c>
      <x:c r="V537" t="str"/>
    </x:row>
    <x:row r="538">
      <x:c r="A538" s="52" t="n">
        <x:v>46054</x:v>
      </x:c>
      <x:c r="B538" t="str">
        <x:v>PED-100537</x:v>
      </x:c>
      <x:c r="C538" t="str">
        <x:v>Cliente 113</x:v>
      </x:c>
      <x:c r="D538" t="str">
        <x:v>DF</x:v>
      </x:c>
      <x:c r="E538" t="str">
        <x:v>Centro-Oeste</x:v>
      </x:c>
      <x:c r="F538" t="str">
        <x:v>Marketplace</x:v>
      </x:c>
      <x:c r="G538" t="str">
        <x:v>Casa</x:v>
      </x:c>
      <x:c r="H538" t="str">
        <x:v>Aspirador Robô</x:v>
      </x:c>
      <x:c r="I538" t="str">
        <x:v>Diego</x:v>
      </x:c>
      <x:c r="J538" s="53" t="n">
        <x:v>8</x:v>
      </x:c>
      <x:c r="K538" s="54" t="n">
        <x:v>1780.02</x:v>
      </x:c>
      <x:c r="L538" s="54" t="n">
        <x:v>1177.83</x:v>
      </x:c>
      <x:c r="M538" s="55" t="n">
        <x:v>0.0822</x:v>
      </x:c>
      <x:c r="N538" s="54" t="n">
        <x:f>ROUND(J538*K538,2)</x:f>
        <x:v>14240.16</x:v>
      </x:c>
      <x:c r="O538" s="54" t="n">
        <x:f>ROUND(N538*(1-M538),2)</x:f>
        <x:v>13069.62</x:v>
      </x:c>
      <x:c r="P538" s="54" t="n">
        <x:f>ROUND(J538*L538,2)</x:f>
        <x:v>9422.64</x:v>
      </x:c>
      <x:c r="Q538" s="54" t="n">
        <x:f>ROUND(O538-P538,2)</x:f>
        <x:v>3646.98</x:v>
      </x:c>
      <x:c r="R538" s="55" t="n">
        <x:f>IF(O538=0,0,ROUND(Q538/O538,4))</x:f>
        <x:v>0.279</x:v>
      </x:c>
      <x:c r="S538" s="53" t="n">
        <x:v>10</x:v>
      </x:c>
      <x:c r="T538" t="str">
        <x:v>Entregue</x:v>
      </x:c>
      <x:c r="U538" t="n">
        <x:v>4</x:v>
      </x:c>
      <x:c r="V538" t="str"/>
    </x:row>
    <x:row r="539">
      <x:c r="A539" s="52" t="n">
        <x:v>46222</x:v>
      </x:c>
      <x:c r="B539" t="str">
        <x:v>PED-100538</x:v>
      </x:c>
      <x:c r="C539" t="str">
        <x:v>Cliente 037</x:v>
      </x:c>
      <x:c r="D539" t="str">
        <x:v>MT</x:v>
      </x:c>
      <x:c r="E539" t="str">
        <x:v>Centro-Oeste</x:v>
      </x:c>
      <x:c r="F539" t="str">
        <x:v>Loja</x:v>
      </x:c>
      <x:c r="G539" t="str">
        <x:v>Escritório</x:v>
      </x:c>
      <x:c r="H539" t="str">
        <x:v>Mesa Ajustável</x:v>
      </x:c>
      <x:c r="I539" t="str">
        <x:v>Diego</x:v>
      </x:c>
      <x:c r="J539" s="53" t="n">
        <x:v>8</x:v>
      </x:c>
      <x:c r="K539" s="54" t="n">
        <x:v>2853.11</x:v>
      </x:c>
      <x:c r="L539" s="54" t="n">
        <x:v>1866.86</x:v>
      </x:c>
      <x:c r="M539" s="55" t="n">
        <x:v>0.0332</x:v>
      </x:c>
      <x:c r="N539" s="54" t="n">
        <x:f>ROUND(J539*K539,2)</x:f>
        <x:v>22824.88</x:v>
      </x:c>
      <x:c r="O539" s="54" t="n">
        <x:f>ROUND(N539*(1-M539),2)</x:f>
        <x:v>22067.09</x:v>
      </x:c>
      <x:c r="P539" s="54" t="n">
        <x:f>ROUND(J539*L539,2)</x:f>
        <x:v>14934.88</x:v>
      </x:c>
      <x:c r="Q539" s="54" t="n">
        <x:f>ROUND(O539-P539,2)</x:f>
        <x:v>7132.21</x:v>
      </x:c>
      <x:c r="R539" s="55" t="n">
        <x:f>IF(O539=0,0,ROUND(Q539/O539,4))</x:f>
        <x:v>0.3232</x:v>
      </x:c>
      <x:c r="S539" s="53" t="n">
        <x:v>8</x:v>
      </x:c>
      <x:c r="T539" t="str">
        <x:v>Entregue</x:v>
      </x:c>
      <x:c r="U539" t="n">
        <x:v>2</x:v>
      </x:c>
      <x:c r="V539" t="str"/>
    </x:row>
    <x:row r="540">
      <x:c r="A540" s="52" t="n">
        <x:v>46107</x:v>
      </x:c>
      <x:c r="B540" t="str">
        <x:v>PED-100539</x:v>
      </x:c>
      <x:c r="C540" t="str">
        <x:v>Cliente 061</x:v>
      </x:c>
      <x:c r="D540" t="str">
        <x:v>CE</x:v>
      </x:c>
      <x:c r="E540" t="str">
        <x:v>Nordeste</x:v>
      </x:c>
      <x:c r="F540" t="str">
        <x:v>Marketplace</x:v>
      </x:c>
      <x:c r="G540" t="str">
        <x:v>Tecnologia</x:v>
      </x:c>
      <x:c r="H540" t="str">
        <x:v>Monitor 27</x:v>
      </x:c>
      <x:c r="I540" t="str">
        <x:v>Gabriela</x:v>
      </x:c>
      <x:c r="J540" s="53" t="n">
        <x:v>8</x:v>
      </x:c>
      <x:c r="K540" s="54" t="n">
        <x:v>1774.86</x:v>
      </x:c>
      <x:c r="L540" s="54" t="n">
        <x:v>1158.81</x:v>
      </x:c>
      <x:c r="M540" s="55" t="n">
        <x:v>0.0675</x:v>
      </x:c>
      <x:c r="N540" s="54" t="n">
        <x:f>ROUND(J540*K540,2)</x:f>
        <x:v>14198.88</x:v>
      </x:c>
      <x:c r="O540" s="54" t="n">
        <x:f>ROUND(N540*(1-M540),2)</x:f>
        <x:v>13240.46</x:v>
      </x:c>
      <x:c r="P540" s="54" t="n">
        <x:f>ROUND(J540*L540,2)</x:f>
        <x:v>9270.48</x:v>
      </x:c>
      <x:c r="Q540" s="54" t="n">
        <x:f>ROUND(O540-P540,2)</x:f>
        <x:v>3969.98</x:v>
      </x:c>
      <x:c r="R540" s="55" t="n">
        <x:f>IF(O540=0,0,ROUND(Q540/O540,4))</x:f>
        <x:v>0.2998</x:v>
      </x:c>
      <x:c r="S540" s="53" t="n">
        <x:v>5</x:v>
      </x:c>
      <x:c r="T540" t="str">
        <x:v>Cancelado</x:v>
      </x:c>
      <x:c r="U540"/>
      <x:c r="V540" t="str"/>
    </x:row>
    <x:row r="541">
      <x:c r="A541" s="52" t="n">
        <x:v>46164</x:v>
      </x:c>
      <x:c r="B541" t="str">
        <x:v>PED-100540</x:v>
      </x:c>
      <x:c r="C541" t="str">
        <x:v>Cliente 048</x:v>
      </x:c>
      <x:c r="D541" t="str">
        <x:v>SP</x:v>
      </x:c>
      <x:c r="E541" t="str">
        <x:v>Sudeste</x:v>
      </x:c>
      <x:c r="F541" t="str">
        <x:v>Loja</x:v>
      </x:c>
      <x:c r="G541" t="str">
        <x:v>Casa</x:v>
      </x:c>
      <x:c r="H541" t="str">
        <x:v>Purificador</x:v>
      </x:c>
      <x:c r="I541" t="str">
        <x:v>Gabriela</x:v>
      </x:c>
      <x:c r="J541" s="53" t="n">
        <x:v>5</x:v>
      </x:c>
      <x:c r="K541" s="54" t="n">
        <x:v>1337.51</x:v>
      </x:c>
      <x:c r="L541" s="54" t="n">
        <x:v>779.16</x:v>
      </x:c>
      <x:c r="M541" s="55" t="n">
        <x:v>0</x:v>
      </x:c>
      <x:c r="N541" s="54" t="n">
        <x:f>ROUND(J541*K541,2)</x:f>
        <x:v>6687.55</x:v>
      </x:c>
      <x:c r="O541" s="54" t="n">
        <x:f>ROUND(N541*(1-M541),2)</x:f>
        <x:v>6687.55</x:v>
      </x:c>
      <x:c r="P541" s="54" t="n">
        <x:f>ROUND(J541*L541,2)</x:f>
        <x:v>3895.8</x:v>
      </x:c>
      <x:c r="Q541" s="54" t="n">
        <x:f>ROUND(O541-P541,2)</x:f>
        <x:v>2791.75</x:v>
      </x:c>
      <x:c r="R541" s="55" t="n">
        <x:f>IF(O541=0,0,ROUND(Q541/O541,4))</x:f>
        <x:v>0.4175</x:v>
      </x:c>
      <x:c r="S541" s="53" t="n">
        <x:v>11</x:v>
      </x:c>
      <x:c r="T541" t="str">
        <x:v>Entregue com atraso</x:v>
      </x:c>
      <x:c r="U541" t="n">
        <x:v>3</x:v>
      </x:c>
      <x:c r="V541" t="str"/>
    </x:row>
    <x:row r="542">
      <x:c r="A542" s="52" t="n">
        <x:v>46209</x:v>
      </x:c>
      <x:c r="B542" t="str">
        <x:v>PED-100541</x:v>
      </x:c>
      <x:c r="C542" t="str">
        <x:v>Cliente 071</x:v>
      </x:c>
      <x:c r="D542" t="str">
        <x:v>MG</x:v>
      </x:c>
      <x:c r="E542" t="str">
        <x:v>Sudeste</x:v>
      </x:c>
      <x:c r="F542" t="str">
        <x:v>Marketplace</x:v>
      </x:c>
      <x:c r="G542" t="str">
        <x:v>Casa</x:v>
      </x:c>
      <x:c r="H542" t="str">
        <x:v>Cafeteira Smart</x:v>
      </x:c>
      <x:c r="I542" t="str">
        <x:v>Ana</x:v>
      </x:c>
      <x:c r="J542" s="53" t="n">
        <x:v>7</x:v>
      </x:c>
      <x:c r="K542" s="54" t="n">
        <x:v>773.08</x:v>
      </x:c>
      <x:c r="L542" s="54" t="n">
        <x:v>464.36</x:v>
      </x:c>
      <x:c r="M542" s="55" t="n">
        <x:v>0.035</x:v>
      </x:c>
      <x:c r="N542" s="54" t="n">
        <x:f>ROUND(J542*K542,2)</x:f>
        <x:v>5411.56</x:v>
      </x:c>
      <x:c r="O542" s="54" t="n">
        <x:f>ROUND(N542*(1-M542),2)</x:f>
        <x:v>5222.16</x:v>
      </x:c>
      <x:c r="P542" s="54" t="n">
        <x:f>ROUND(J542*L542,2)</x:f>
        <x:v>3250.52</x:v>
      </x:c>
      <x:c r="Q542" s="54" t="n">
        <x:f>ROUND(O542-P542,2)</x:f>
        <x:v>1971.64</x:v>
      </x:c>
      <x:c r="R542" s="55" t="n">
        <x:f>IF(O542=0,0,ROUND(Q542/O542,4))</x:f>
        <x:v>0.3776</x:v>
      </x:c>
      <x:c r="S542" s="53" t="n">
        <x:v>8</x:v>
      </x:c>
      <x:c r="T542" t="str">
        <x:v>Entregue</x:v>
      </x:c>
      <x:c r="U542" t="n">
        <x:v>5</x:v>
      </x:c>
      <x:c r="V542" t="str"/>
    </x:row>
    <x:row r="543">
      <x:c r="A543" s="52" t="n">
        <x:v>46200</x:v>
      </x:c>
      <x:c r="B543" t="str">
        <x:v>PED-100542</x:v>
      </x:c>
      <x:c r="C543" t="str">
        <x:v>Cliente 099</x:v>
      </x:c>
      <x:c r="D543" t="str">
        <x:v>SP</x:v>
      </x:c>
      <x:c r="E543" t="str">
        <x:v>Sudeste</x:v>
      </x:c>
      <x:c r="F543" t="str">
        <x:v>E-commerce</x:v>
      </x:c>
      <x:c r="G543" t="str">
        <x:v>Acessórios</x:v>
      </x:c>
      <x:c r="H543" t="str">
        <x:v>Mochila Executiva</x:v>
      </x:c>
      <x:c r="I543" t="str">
        <x:v>João</x:v>
      </x:c>
      <x:c r="J543" s="53" t="n">
        <x:v>4</x:v>
      </x:c>
      <x:c r="K543" s="54" t="n">
        <x:v>428.81</x:v>
      </x:c>
      <x:c r="L543" s="54" t="n">
        <x:v>190.32</x:v>
      </x:c>
      <x:c r="M543" s="55" t="n">
        <x:v>0.0888</x:v>
      </x:c>
      <x:c r="N543" s="54" t="n">
        <x:f>ROUND(J543*K543,2)</x:f>
        <x:v>1715.24</x:v>
      </x:c>
      <x:c r="O543" s="54" t="n">
        <x:f>ROUND(N543*(1-M543),2)</x:f>
        <x:v>1562.93</x:v>
      </x:c>
      <x:c r="P543" s="54" t="n">
        <x:f>ROUND(J543*L543,2)</x:f>
        <x:v>761.28</x:v>
      </x:c>
      <x:c r="Q543" s="54" t="n">
        <x:f>ROUND(O543-P543,2)</x:f>
        <x:v>801.65</x:v>
      </x:c>
      <x:c r="R543" s="55" t="n">
        <x:f>IF(O543=0,0,ROUND(Q543/O543,4))</x:f>
        <x:v>0.5129</x:v>
      </x:c>
      <x:c r="S543" s="53" t="n">
        <x:v>7</x:v>
      </x:c>
      <x:c r="T543" t="str">
        <x:v>Entregue</x:v>
      </x:c>
      <x:c r="U543" t="n">
        <x:v>3</x:v>
      </x:c>
      <x:c r="V543" t="str"/>
    </x:row>
    <x:row r="544">
      <x:c r="A544" s="52" t="n">
        <x:v>46173</x:v>
      </x:c>
      <x:c r="B544" t="str">
        <x:v>PED-100543</x:v>
      </x:c>
      <x:c r="C544" t="str">
        <x:v>Cliente 058</x:v>
      </x:c>
      <x:c r="D544" t="str">
        <x:v>SC</x:v>
      </x:c>
      <x:c r="E544" t="str">
        <x:v>Sul</x:v>
      </x:c>
      <x:c r="F544" t="str">
        <x:v>Loja</x:v>
      </x:c>
      <x:c r="G544" t="str">
        <x:v>Casa</x:v>
      </x:c>
      <x:c r="H544" t="str">
        <x:v>Purificador</x:v>
      </x:c>
      <x:c r="I544" t="str">
        <x:v>Carla</x:v>
      </x:c>
      <x:c r="J544" s="53" t="n">
        <x:v>1</x:v>
      </x:c>
      <x:c r="K544" s="54" t="n">
        <x:v>1336.89</x:v>
      </x:c>
      <x:c r="L544" s="54" t="n">
        <x:v>787.99</x:v>
      </x:c>
      <x:c r="M544" s="55" t="n">
        <x:v>0</x:v>
      </x:c>
      <x:c r="N544" s="54" t="n">
        <x:f>ROUND(J544*K544,2)</x:f>
        <x:v>1336.89</x:v>
      </x:c>
      <x:c r="O544" s="54" t="n">
        <x:f>ROUND(N544*(1-M544),2)</x:f>
        <x:v>1336.89</x:v>
      </x:c>
      <x:c r="P544" s="54" t="n">
        <x:f>ROUND(J544*L544,2)</x:f>
        <x:v>787.99</x:v>
      </x:c>
      <x:c r="Q544" s="54" t="n">
        <x:f>ROUND(O544-P544,2)</x:f>
        <x:v>548.9</x:v>
      </x:c>
      <x:c r="R544" s="55" t="n">
        <x:f>IF(O544=0,0,ROUND(Q544/O544,4))</x:f>
        <x:v>0.4106</x:v>
      </x:c>
      <x:c r="S544" s="53" t="n">
        <x:v>12</x:v>
      </x:c>
      <x:c r="T544" t="str">
        <x:v>Entregue com atraso</x:v>
      </x:c>
      <x:c r="U544" t="n">
        <x:v>3</x:v>
      </x:c>
      <x:c r="V544" t="str"/>
    </x:row>
    <x:row r="545">
      <x:c r="A545" s="52" t="n">
        <x:v>46140</x:v>
      </x:c>
      <x:c r="B545" t="str">
        <x:v>PED-100544</x:v>
      </x:c>
      <x:c r="C545" t="str">
        <x:v>Cliente 036</x:v>
      </x:c>
      <x:c r="D545" t="str">
        <x:v>DF</x:v>
      </x:c>
      <x:c r="E545" t="str">
        <x:v>Centro-Oeste</x:v>
      </x:c>
      <x:c r="F545" t="str">
        <x:v>E-commerce</x:v>
      </x:c>
      <x:c r="G545" t="str">
        <x:v>Tecnologia</x:v>
      </x:c>
      <x:c r="H545" t="str">
        <x:v>Monitor 27</x:v>
      </x:c>
      <x:c r="I545" t="str">
        <x:v>Elaine</x:v>
      </x:c>
      <x:c r="J545" s="53" t="n">
        <x:v>7</x:v>
      </x:c>
      <x:c r="K545" s="54" t="n">
        <x:v>1659.37</x:v>
      </x:c>
      <x:c r="L545" s="54" t="n">
        <x:v>1103.16</x:v>
      </x:c>
      <x:c r="M545" s="55" t="n">
        <x:v>0.0835</x:v>
      </x:c>
      <x:c r="N545" s="54" t="n">
        <x:f>ROUND(J545*K545,2)</x:f>
        <x:v>11615.59</x:v>
      </x:c>
      <x:c r="O545" s="54" t="n">
        <x:f>ROUND(N545*(1-M545),2)</x:f>
        <x:v>10645.69</x:v>
      </x:c>
      <x:c r="P545" s="54" t="n">
        <x:f>ROUND(J545*L545,2)</x:f>
        <x:v>7722.12</x:v>
      </x:c>
      <x:c r="Q545" s="54" t="n">
        <x:f>ROUND(O545-P545,2)</x:f>
        <x:v>2923.57</x:v>
      </x:c>
      <x:c r="R545" s="55" t="n">
        <x:f>IF(O545=0,0,ROUND(Q545/O545,4))</x:f>
        <x:v>0.2746</x:v>
      </x:c>
      <x:c r="S545" s="53" t="n">
        <x:v>10</x:v>
      </x:c>
      <x:c r="T545" t="str">
        <x:v>Entregue</x:v>
      </x:c>
      <x:c r="U545" t="n">
        <x:v>3</x:v>
      </x:c>
      <x:c r="V545" t="str"/>
    </x:row>
    <x:row r="546">
      <x:c r="A546" s="52" t="n">
        <x:v>46086</x:v>
      </x:c>
      <x:c r="B546" t="str">
        <x:v>PED-100545</x:v>
      </x:c>
      <x:c r="C546" t="str">
        <x:v>Cliente 093</x:v>
      </x:c>
      <x:c r="D546" t="str">
        <x:v>RJ</x:v>
      </x:c>
      <x:c r="E546" t="str">
        <x:v>Sudeste</x:v>
      </x:c>
      <x:c r="F546" t="str">
        <x:v>Loja</x:v>
      </x:c>
      <x:c r="G546" t="str">
        <x:v>Tecnologia</x:v>
      </x:c>
      <x:c r="H546" t="str">
        <x:v>Monitor 27</x:v>
      </x:c>
      <x:c r="I546" t="str">
        <x:v>Felipe</x:v>
      </x:c>
      <x:c r="J546" s="53" t="n">
        <x:v>5</x:v>
      </x:c>
      <x:c r="K546" s="54" t="n">
        <x:v>1755.4</x:v>
      </x:c>
      <x:c r="L546" s="54" t="n">
        <x:v>1062.89</x:v>
      </x:c>
      <x:c r="M546" s="55" t="n">
        <x:v>0.0512</x:v>
      </x:c>
      <x:c r="N546" s="54" t="n">
        <x:f>ROUND(J546*K546,2)</x:f>
        <x:v>8777</x:v>
      </x:c>
      <x:c r="O546" s="54" t="n">
        <x:f>ROUND(N546*(1-M546),2)</x:f>
        <x:v>8327.62</x:v>
      </x:c>
      <x:c r="P546" s="54" t="n">
        <x:f>ROUND(J546*L546,2)</x:f>
        <x:v>5314.45</x:v>
      </x:c>
      <x:c r="Q546" s="54" t="n">
        <x:f>ROUND(O546-P546,2)</x:f>
        <x:v>3013.17</x:v>
      </x:c>
      <x:c r="R546" s="55" t="n">
        <x:f>IF(O546=0,0,ROUND(Q546/O546,4))</x:f>
        <x:v>0.3618</x:v>
      </x:c>
      <x:c r="S546" s="53" t="n">
        <x:v>14</x:v>
      </x:c>
      <x:c r="T546" t="str">
        <x:v>Entregue com atraso</x:v>
      </x:c>
      <x:c r="U546" t="n">
        <x:v>5</x:v>
      </x:c>
      <x:c r="V546" t="str"/>
    </x:row>
    <x:row r="547">
      <x:c r="A547" s="52" t="n">
        <x:v>46024</x:v>
      </x:c>
      <x:c r="B547" t="str">
        <x:v>PED-100546</x:v>
      </x:c>
      <x:c r="C547" t="str">
        <x:v>Cliente 016</x:v>
      </x:c>
      <x:c r="D547" t="str">
        <x:v>RS</x:v>
      </x:c>
      <x:c r="E547" t="str">
        <x:v>Sul</x:v>
      </x:c>
      <x:c r="F547" t="str">
        <x:v>E-commerce</x:v>
      </x:c>
      <x:c r="G547" t="str">
        <x:v>Escritório</x:v>
      </x:c>
      <x:c r="H547" t="str">
        <x:v>Luminária LED</x:v>
      </x:c>
      <x:c r="I547" t="str">
        <x:v>Carla</x:v>
      </x:c>
      <x:c r="J547" s="53" t="n">
        <x:v>3</x:v>
      </x:c>
      <x:c r="K547" s="54" t="n">
        <x:v>275.12</x:v>
      </x:c>
      <x:c r="L547" s="54" t="n">
        <x:v>118.02</x:v>
      </x:c>
      <x:c r="M547" s="55" t="n">
        <x:v>0.0566</x:v>
      </x:c>
      <x:c r="N547" s="54" t="n">
        <x:f>ROUND(J547*K547,2)</x:f>
        <x:v>825.36</x:v>
      </x:c>
      <x:c r="O547" s="54" t="n">
        <x:f>ROUND(N547*(1-M547),2)</x:f>
        <x:v>778.64</x:v>
      </x:c>
      <x:c r="P547" s="54" t="n">
        <x:f>ROUND(J547*L547,2)</x:f>
        <x:v>354.06</x:v>
      </x:c>
      <x:c r="Q547" s="54" t="n">
        <x:f>ROUND(O547-P547,2)</x:f>
        <x:v>424.58</x:v>
      </x:c>
      <x:c r="R547" s="55" t="n">
        <x:f>IF(O547=0,0,ROUND(Q547/O547,4))</x:f>
        <x:v>0.5453</x:v>
      </x:c>
      <x:c r="S547" s="53" t="n">
        <x:v>9</x:v>
      </x:c>
      <x:c r="T547" t="str">
        <x:v>Entregue</x:v>
      </x:c>
      <x:c r="U547" t="n">
        <x:v>4</x:v>
      </x:c>
      <x:c r="V547" t="str"/>
    </x:row>
    <x:row r="548">
      <x:c r="A548" s="52" t="n">
        <x:v>46024</x:v>
      </x:c>
      <x:c r="B548" t="str">
        <x:v>PED-100547</x:v>
      </x:c>
      <x:c r="C548" t="str">
        <x:v>Cliente 116</x:v>
      </x:c>
      <x:c r="D548" t="str">
        <x:v>GO</x:v>
      </x:c>
      <x:c r="E548" t="str">
        <x:v>Centro-Oeste</x:v>
      </x:c>
      <x:c r="F548" t="str">
        <x:v>Marketplace</x:v>
      </x:c>
      <x:c r="G548" t="str">
        <x:v>Tecnologia</x:v>
      </x:c>
      <x:c r="H548" t="str">
        <x:v>Notebook Pro</x:v>
      </x:c>
      <x:c r="I548" t="str">
        <x:v>Bruno</x:v>
      </x:c>
      <x:c r="J548" s="53" t="n">
        <x:v>6</x:v>
      </x:c>
      <x:c r="K548" s="54" t="n">
        <x:v>5814.95</x:v>
      </x:c>
      <x:c r="L548" s="54" t="n">
        <x:v>4210.28</x:v>
      </x:c>
      <x:c r="M548" s="55" t="n">
        <x:v>0.0628</x:v>
      </x:c>
      <x:c r="N548" s="54" t="n">
        <x:f>ROUND(J548*K548,2)</x:f>
        <x:v>34889.7</x:v>
      </x:c>
      <x:c r="O548" s="54" t="n">
        <x:f>ROUND(N548*(1-M548),2)</x:f>
        <x:v>32698.63</x:v>
      </x:c>
      <x:c r="P548" s="54" t="n">
        <x:f>ROUND(J548*L548,2)</x:f>
        <x:v>25261.68</x:v>
      </x:c>
      <x:c r="Q548" s="54" t="n">
        <x:f>ROUND(O548-P548,2)</x:f>
        <x:v>7436.95</x:v>
      </x:c>
      <x:c r="R548" s="55" t="n">
        <x:f>IF(O548=0,0,ROUND(Q548/O548,4))</x:f>
        <x:v>0.2274</x:v>
      </x:c>
      <x:c r="S548" s="53" t="n">
        <x:v>13</x:v>
      </x:c>
      <x:c r="T548" t="str">
        <x:v>Entregue com atraso</x:v>
      </x:c>
      <x:c r="U548" t="n">
        <x:v>5</x:v>
      </x:c>
      <x:c r="V548" t="str"/>
    </x:row>
    <x:row r="549">
      <x:c r="A549" s="52" t="n">
        <x:v>46085</x:v>
      </x:c>
      <x:c r="B549" t="str">
        <x:v>PED-100548</x:v>
      </x:c>
      <x:c r="C549" t="str">
        <x:v>Cliente 110</x:v>
      </x:c>
      <x:c r="D549" t="str">
        <x:v>MT</x:v>
      </x:c>
      <x:c r="E549" t="str">
        <x:v>Centro-Oeste</x:v>
      </x:c>
      <x:c r="F549" t="str">
        <x:v>E-commerce</x:v>
      </x:c>
      <x:c r="G549" t="str">
        <x:v>Tecnologia</x:v>
      </x:c>
      <x:c r="H549" t="str">
        <x:v>Notebook Pro</x:v>
      </x:c>
      <x:c r="I549" t="str">
        <x:v>Diego</x:v>
      </x:c>
      <x:c r="J549" s="53" t="n">
        <x:v>3</x:v>
      </x:c>
      <x:c r="K549" s="54" t="n">
        <x:v>5672.74</x:v>
      </x:c>
      <x:c r="L549" s="54" t="n">
        <x:v>4470</x:v>
      </x:c>
      <x:c r="M549" s="55" t="n">
        <x:v>0.1135</x:v>
      </x:c>
      <x:c r="N549" s="54" t="n">
        <x:f>ROUND(J549*K549,2)</x:f>
        <x:v>17018.22</x:v>
      </x:c>
      <x:c r="O549" s="54" t="n">
        <x:f>ROUND(N549*(1-M549),2)</x:f>
        <x:v>15086.65</x:v>
      </x:c>
      <x:c r="P549" s="54" t="n">
        <x:f>ROUND(J549*L549,2)</x:f>
        <x:v>13410</x:v>
      </x:c>
      <x:c r="Q549" s="54" t="n">
        <x:f>ROUND(O549-P549,2)</x:f>
        <x:v>1676.65</x:v>
      </x:c>
      <x:c r="R549" s="55" t="n">
        <x:f>IF(O549=0,0,ROUND(Q549/O549,4))</x:f>
        <x:v>0.1111</x:v>
      </x:c>
      <x:c r="S549" s="53" t="n">
        <x:v>3</x:v>
      </x:c>
      <x:c r="T549" t="str">
        <x:v>Entregue</x:v>
      </x:c>
      <x:c r="U549" t="n">
        <x:v>3</x:v>
      </x:c>
      <x:c r="V549" t="str"/>
    </x:row>
    <x:row r="550">
      <x:c r="A550" s="52" t="n">
        <x:v>46189</x:v>
      </x:c>
      <x:c r="B550" t="str">
        <x:v>PED-100549</x:v>
      </x:c>
      <x:c r="C550" t="str">
        <x:v>Cliente 012</x:v>
      </x:c>
      <x:c r="D550" t="str">
        <x:v>PE</x:v>
      </x:c>
      <x:c r="E550" t="str">
        <x:v>Nordeste</x:v>
      </x:c>
      <x:c r="F550" t="str">
        <x:v>Televendas</x:v>
      </x:c>
      <x:c r="G550" t="str">
        <x:v>Tecnologia</x:v>
      </x:c>
      <x:c r="H550" t="str">
        <x:v>Headset Office</x:v>
      </x:c>
      <x:c r="I550" t="str">
        <x:v>Henrique</x:v>
      </x:c>
      <x:c r="J550" s="53" t="n">
        <x:v>2</x:v>
      </x:c>
      <x:c r="K550" s="54" t="n">
        <x:v>407.06</x:v>
      </x:c>
      <x:c r="L550" s="54" t="n">
        <x:v>221.77</x:v>
      </x:c>
      <x:c r="M550" s="55" t="n">
        <x:v>0</x:v>
      </x:c>
      <x:c r="N550" s="54" t="n">
        <x:f>ROUND(J550*K550,2)</x:f>
        <x:v>814.12</x:v>
      </x:c>
      <x:c r="O550" s="54" t="n">
        <x:f>ROUND(N550*(1-M550),2)</x:f>
        <x:v>814.12</x:v>
      </x:c>
      <x:c r="P550" s="54" t="n">
        <x:f>ROUND(J550*L550,2)</x:f>
        <x:v>443.54</x:v>
      </x:c>
      <x:c r="Q550" s="54" t="n">
        <x:f>ROUND(O550-P550,2)</x:f>
        <x:v>370.58</x:v>
      </x:c>
      <x:c r="R550" s="55" t="n">
        <x:f>IF(O550=0,0,ROUND(Q550/O550,4))</x:f>
        <x:v>0.4552</x:v>
      </x:c>
      <x:c r="S550" s="53" t="n">
        <x:v>7</x:v>
      </x:c>
      <x:c r="T550" t="str">
        <x:v>Entregue</x:v>
      </x:c>
      <x:c r="U550" t="n">
        <x:v>5</x:v>
      </x:c>
      <x:c r="V550" t="str"/>
    </x:row>
    <x:row r="551">
      <x:c r="A551" s="52" t="n">
        <x:v>46108</x:v>
      </x:c>
      <x:c r="B551" t="str">
        <x:v>PED-100550</x:v>
      </x:c>
      <x:c r="C551" t="str">
        <x:v>Cliente 022</x:v>
      </x:c>
      <x:c r="D551" t="str">
        <x:v>AM</x:v>
      </x:c>
      <x:c r="E551" t="str">
        <x:v>Norte</x:v>
      </x:c>
      <x:c r="F551" t="str">
        <x:v>Marketplace</x:v>
      </x:c>
      <x:c r="G551" t="str">
        <x:v>Casa</x:v>
      </x:c>
      <x:c r="H551" t="str">
        <x:v>Cafeteira Smart</x:v>
      </x:c>
      <x:c r="I551" t="str">
        <x:v>João</x:v>
      </x:c>
      <x:c r="J551" s="53" t="n">
        <x:v>5</x:v>
      </x:c>
      <x:c r="K551" s="54" t="n">
        <x:v>806.02</x:v>
      </x:c>
      <x:c r="L551" s="54" t="n">
        <x:v>468.95</x:v>
      </x:c>
      <x:c r="M551" s="55" t="n">
        <x:v>0.035</x:v>
      </x:c>
      <x:c r="N551" s="54" t="n">
        <x:f>ROUND(J551*K551,2)</x:f>
        <x:v>4030.1</x:v>
      </x:c>
      <x:c r="O551" s="54" t="n">
        <x:f>ROUND(N551*(1-M551),2)</x:f>
        <x:v>3889.05</x:v>
      </x:c>
      <x:c r="P551" s="54" t="n">
        <x:f>ROUND(J551*L551,2)</x:f>
        <x:v>2344.75</x:v>
      </x:c>
      <x:c r="Q551" s="54" t="n">
        <x:f>ROUND(O551-P551,2)</x:f>
        <x:v>1544.3</x:v>
      </x:c>
      <x:c r="R551" s="55" t="n">
        <x:f>IF(O551=0,0,ROUND(Q551/O551,4))</x:f>
        <x:v>0.3971</x:v>
      </x:c>
      <x:c r="S551" s="53" t="n">
        <x:v>14</x:v>
      </x:c>
      <x:c r="T551" t="str">
        <x:v>Entregue com atraso</x:v>
      </x:c>
      <x:c r="U551" t="n">
        <x:v>2</x:v>
      </x:c>
      <x:c r="V551" t="str"/>
    </x:row>
    <x:row r="552">
      <x:c r="A552" s="52" t="n">
        <x:v>46063</x:v>
      </x:c>
      <x:c r="B552" t="str">
        <x:v>PED-100551</x:v>
      </x:c>
      <x:c r="C552" t="str">
        <x:v>Cliente 057</x:v>
      </x:c>
      <x:c r="D552" t="str">
        <x:v>MG</x:v>
      </x:c>
      <x:c r="E552" t="str">
        <x:v>Sudeste</x:v>
      </x:c>
      <x:c r="F552" t="str">
        <x:v>Loja</x:v>
      </x:c>
      <x:c r="G552" t="str">
        <x:v>Tecnologia</x:v>
      </x:c>
      <x:c r="H552" t="str">
        <x:v>Notebook Pro</x:v>
      </x:c>
      <x:c r="I552" t="str">
        <x:v>Bruno</x:v>
      </x:c>
      <x:c r="J552" s="53" t="n">
        <x:v>3</x:v>
      </x:c>
      <x:c r="K552" s="54" t="n">
        <x:v>6103.48</x:v>
      </x:c>
      <x:c r="L552" s="54" t="n">
        <x:v>4341.06</x:v>
      </x:c>
      <x:c r="M552" s="55" t="n">
        <x:v>0.0909</x:v>
      </x:c>
      <x:c r="N552" s="54" t="n">
        <x:f>ROUND(J552*K552,2)</x:f>
        <x:v>18310.44</x:v>
      </x:c>
      <x:c r="O552" s="54" t="n">
        <x:f>ROUND(N552*(1-M552),2)</x:f>
        <x:v>16646.02</x:v>
      </x:c>
      <x:c r="P552" s="54" t="n">
        <x:f>ROUND(J552*L552,2)</x:f>
        <x:v>13023.18</x:v>
      </x:c>
      <x:c r="Q552" s="54" t="n">
        <x:f>ROUND(O552-P552,2)</x:f>
        <x:v>3622.84</x:v>
      </x:c>
      <x:c r="R552" s="55" t="n">
        <x:f>IF(O552=0,0,ROUND(Q552/O552,4))</x:f>
        <x:v>0.2176</x:v>
      </x:c>
      <x:c r="S552" s="53" t="n">
        <x:v>3</x:v>
      </x:c>
      <x:c r="T552" t="str">
        <x:v>Entregue</x:v>
      </x:c>
      <x:c r="U552" t="n">
        <x:v>3</x:v>
      </x:c>
      <x:c r="V552" t="str"/>
    </x:row>
    <x:row r="553">
      <x:c r="A553" s="52" t="n">
        <x:v>46049</x:v>
      </x:c>
      <x:c r="B553" t="str">
        <x:v>PED-100552</x:v>
      </x:c>
      <x:c r="C553" t="str">
        <x:v>Cliente 022</x:v>
      </x:c>
      <x:c r="D553" t="str">
        <x:v>SC</x:v>
      </x:c>
      <x:c r="E553" t="str">
        <x:v>Sul</x:v>
      </x:c>
      <x:c r="F553" t="str">
        <x:v>E-commerce</x:v>
      </x:c>
      <x:c r="G553" t="str">
        <x:v>Tecnologia</x:v>
      </x:c>
      <x:c r="H553" t="str">
        <x:v>Monitor 27</x:v>
      </x:c>
      <x:c r="I553" t="str">
        <x:v>Henrique</x:v>
      </x:c>
      <x:c r="J553" s="53" t="n">
        <x:v>4</x:v>
      </x:c>
      <x:c r="K553" s="54" t="n">
        <x:v>1758.87</x:v>
      </x:c>
      <x:c r="L553" s="54" t="n">
        <x:v>1064.83</x:v>
      </x:c>
      <x:c r="M553" s="55" t="n">
        <x:v>0.0726</x:v>
      </x:c>
      <x:c r="N553" s="54" t="n">
        <x:f>ROUND(J553*K553,2)</x:f>
        <x:v>7035.48</x:v>
      </x:c>
      <x:c r="O553" s="54" t="n">
        <x:f>ROUND(N553*(1-M553),2)</x:f>
        <x:v>6524.7</x:v>
      </x:c>
      <x:c r="P553" s="54" t="n">
        <x:f>ROUND(J553*L553,2)</x:f>
        <x:v>4259.32</x:v>
      </x:c>
      <x:c r="Q553" s="54" t="n">
        <x:f>ROUND(O553-P553,2)</x:f>
        <x:v>2265.38</x:v>
      </x:c>
      <x:c r="R553" s="55" t="n">
        <x:f>IF(O553=0,0,ROUND(Q553/O553,4))</x:f>
        <x:v>0.3472</x:v>
      </x:c>
      <x:c r="S553" s="53" t="n">
        <x:v>9</x:v>
      </x:c>
      <x:c r="T553" t="str">
        <x:v>Entregue</x:v>
      </x:c>
      <x:c r="U553" t="n">
        <x:v>3</x:v>
      </x:c>
      <x:c r="V553" t="str"/>
    </x:row>
    <x:row r="554">
      <x:c r="A554" s="52" t="n">
        <x:v>46052</x:v>
      </x:c>
      <x:c r="B554" t="str">
        <x:v>PED-100553</x:v>
      </x:c>
      <x:c r="C554" t="str">
        <x:v>Cliente 037</x:v>
      </x:c>
      <x:c r="D554" t="str">
        <x:v>RJ</x:v>
      </x:c>
      <x:c r="E554" t="str">
        <x:v>Sudeste</x:v>
      </x:c>
      <x:c r="F554" t="str">
        <x:v>Marketplace</x:v>
      </x:c>
      <x:c r="G554" t="str">
        <x:v>Escritório</x:v>
      </x:c>
      <x:c r="H554" t="str">
        <x:v>Cadeira Ergonômica</x:v>
      </x:c>
      <x:c r="I554" t="str">
        <x:v>Bruno</x:v>
      </x:c>
      <x:c r="J554" s="53" t="n">
        <x:v>4</x:v>
      </x:c>
      <x:c r="K554" s="54" t="n">
        <x:v>2257.57</x:v>
      </x:c>
      <x:c r="L554" s="54" t="n">
        <x:v>1420.87</x:v>
      </x:c>
      <x:c r="M554" s="55" t="n">
        <x:v>0.035</x:v>
      </x:c>
      <x:c r="N554" s="54" t="n">
        <x:f>ROUND(J554*K554,2)</x:f>
        <x:v>9030.28</x:v>
      </x:c>
      <x:c r="O554" s="54" t="n">
        <x:f>ROUND(N554*(1-M554),2)</x:f>
        <x:v>8714.22</x:v>
      </x:c>
      <x:c r="P554" s="54" t="n">
        <x:f>ROUND(J554*L554,2)</x:f>
        <x:v>5683.48</x:v>
      </x:c>
      <x:c r="Q554" s="54" t="n">
        <x:f>ROUND(O554-P554,2)</x:f>
        <x:v>3030.74</x:v>
      </x:c>
      <x:c r="R554" s="55" t="n">
        <x:f>IF(O554=0,0,ROUND(Q554/O554,4))</x:f>
        <x:v>0.3478</x:v>
      </x:c>
      <x:c r="S554" s="53" t="n">
        <x:v>13</x:v>
      </x:c>
      <x:c r="T554" t="str">
        <x:v>Entregue com atraso</x:v>
      </x:c>
      <x:c r="U554" t="n">
        <x:v>5</x:v>
      </x:c>
      <x:c r="V554" t="str"/>
    </x:row>
    <x:row r="555">
      <x:c r="A555" s="52" t="n">
        <x:v>46146</x:v>
      </x:c>
      <x:c r="B555" t="str">
        <x:v>PED-100554</x:v>
      </x:c>
      <x:c r="C555" t="str">
        <x:v>Cliente 111</x:v>
      </x:c>
      <x:c r="D555" t="str">
        <x:v>AM</x:v>
      </x:c>
      <x:c r="E555" t="str">
        <x:v>Norte</x:v>
      </x:c>
      <x:c r="F555" t="str">
        <x:v>Loja</x:v>
      </x:c>
      <x:c r="G555" t="str">
        <x:v>Tecnologia</x:v>
      </x:c>
      <x:c r="H555" t="str">
        <x:v>Headset Office</x:v>
      </x:c>
      <x:c r="I555" t="str">
        <x:v>Felipe</x:v>
      </x:c>
      <x:c r="J555" s="53" t="n">
        <x:v>4</x:v>
      </x:c>
      <x:c r="K555" s="54" t="n">
        <x:v>410.15</x:v>
      </x:c>
      <x:c r="L555" s="54" t="n">
        <x:v>209.32</x:v>
      </x:c>
      <x:c r="M555" s="55" t="n">
        <x:v>0.1178</x:v>
      </x:c>
      <x:c r="N555" s="54" t="n">
        <x:f>ROUND(J555*K555,2)</x:f>
        <x:v>1640.6</x:v>
      </x:c>
      <x:c r="O555" s="54" t="n">
        <x:f>ROUND(N555*(1-M555),2)</x:f>
        <x:v>1447.34</x:v>
      </x:c>
      <x:c r="P555" s="54" t="n">
        <x:f>ROUND(J555*L555,2)</x:f>
        <x:v>837.28</x:v>
      </x:c>
      <x:c r="Q555" s="54" t="n">
        <x:f>ROUND(O555-P555,2)</x:f>
        <x:v>610.06</x:v>
      </x:c>
      <x:c r="R555" s="55" t="n">
        <x:f>IF(O555=0,0,ROUND(Q555/O555,4))</x:f>
        <x:v>0.4215</x:v>
      </x:c>
      <x:c r="S555" s="53" t="n">
        <x:v>12</x:v>
      </x:c>
      <x:c r="T555" t="str">
        <x:v>Entregue com atraso</x:v>
      </x:c>
      <x:c r="U555" t="n">
        <x:v>5</x:v>
      </x:c>
      <x:c r="V555" t="str"/>
    </x:row>
    <x:row r="556">
      <x:c r="A556" s="52" t="n">
        <x:v>46099</x:v>
      </x:c>
      <x:c r="B556" t="str">
        <x:v>PED-100555</x:v>
      </x:c>
      <x:c r="C556" t="str">
        <x:v>Cliente 041</x:v>
      </x:c>
      <x:c r="D556" t="str">
        <x:v>GO</x:v>
      </x:c>
      <x:c r="E556" t="str">
        <x:v>Centro-Oeste</x:v>
      </x:c>
      <x:c r="F556" t="str">
        <x:v>Marketplace</x:v>
      </x:c>
      <x:c r="G556" t="str">
        <x:v>Acessórios</x:v>
      </x:c>
      <x:c r="H556" t="str">
        <x:v>Hub USB-C</x:v>
      </x:c>
      <x:c r="I556" t="str">
        <x:v>Elaine</x:v>
      </x:c>
      <x:c r="J556" s="53" t="n">
        <x:v>6</x:v>
      </x:c>
      <x:c r="K556" s="54" t="n">
        <x:v>310.9</x:v>
      </x:c>
      <x:c r="L556" s="54" t="n">
        <x:v>141.1</x:v>
      </x:c>
      <x:c r="M556" s="55" t="n">
        <x:v>0.0867</x:v>
      </x:c>
      <x:c r="N556" s="54" t="n">
        <x:f>ROUND(J556*K556,2)</x:f>
        <x:v>1865.4</x:v>
      </x:c>
      <x:c r="O556" s="54" t="n">
        <x:f>ROUND(N556*(1-M556),2)</x:f>
        <x:v>1703.67</x:v>
      </x:c>
      <x:c r="P556" s="54" t="n">
        <x:f>ROUND(J556*L556,2)</x:f>
        <x:v>846.6</x:v>
      </x:c>
      <x:c r="Q556" s="54" t="n">
        <x:f>ROUND(O556-P556,2)</x:f>
        <x:v>857.07</x:v>
      </x:c>
      <x:c r="R556" s="55" t="n">
        <x:f>IF(O556=0,0,ROUND(Q556/O556,4))</x:f>
        <x:v>0.5031</x:v>
      </x:c>
      <x:c r="S556" s="53" t="n">
        <x:v>4</x:v>
      </x:c>
      <x:c r="T556" t="str">
        <x:v>Entregue</x:v>
      </x:c>
      <x:c r="U556" t="n">
        <x:v>2</x:v>
      </x:c>
      <x:c r="V556" t="str"/>
    </x:row>
    <x:row r="557">
      <x:c r="A557" s="52" t="n">
        <x:v>46184</x:v>
      </x:c>
      <x:c r="B557" t="str">
        <x:v>PED-100556</x:v>
      </x:c>
      <x:c r="C557" t="str">
        <x:v>Cliente 120</x:v>
      </x:c>
      <x:c r="D557" t="str">
        <x:v>BA</x:v>
      </x:c>
      <x:c r="E557" t="str">
        <x:v>Nordeste</x:v>
      </x:c>
      <x:c r="F557" t="str">
        <x:v>Loja</x:v>
      </x:c>
      <x:c r="G557" t="str">
        <x:v>Escritório</x:v>
      </x:c>
      <x:c r="H557" t="str">
        <x:v>Cadeira Ergonômica</x:v>
      </x:c>
      <x:c r="I557" t="str">
        <x:v>Gabriela</x:v>
      </x:c>
      <x:c r="J557" s="53" t="n">
        <x:v>6</x:v>
      </x:c>
      <x:c r="K557" s="54" t="n">
        <x:v>2250.4</x:v>
      </x:c>
      <x:c r="L557" s="54" t="n">
        <x:v>1462.68</x:v>
      </x:c>
      <x:c r="M557" s="55" t="n">
        <x:v>0.0097</x:v>
      </x:c>
      <x:c r="N557" s="54" t="n">
        <x:f>ROUND(J557*K557,2)</x:f>
        <x:v>13502.4</x:v>
      </x:c>
      <x:c r="O557" s="54" t="n">
        <x:f>ROUND(N557*(1-M557),2)</x:f>
        <x:v>13371.43</x:v>
      </x:c>
      <x:c r="P557" s="54" t="n">
        <x:f>ROUND(J557*L557,2)</x:f>
        <x:v>8776.08</x:v>
      </x:c>
      <x:c r="Q557" s="54" t="n">
        <x:f>ROUND(O557-P557,2)</x:f>
        <x:v>4595.35</x:v>
      </x:c>
      <x:c r="R557" s="55" t="n">
        <x:f>IF(O557=0,0,ROUND(Q557/O557,4))</x:f>
        <x:v>0.3437</x:v>
      </x:c>
      <x:c r="S557" s="53" t="n">
        <x:v>3</x:v>
      </x:c>
      <x:c r="T557" t="str">
        <x:v>Entregue</x:v>
      </x:c>
      <x:c r="U557" t="n">
        <x:v>3</x:v>
      </x:c>
      <x:c r="V557" t="str"/>
    </x:row>
    <x:row r="558">
      <x:c r="A558" s="52" t="n">
        <x:v>46229</x:v>
      </x:c>
      <x:c r="B558" t="str">
        <x:v>PED-100557</x:v>
      </x:c>
      <x:c r="C558" t="str">
        <x:v>Cliente 070</x:v>
      </x:c>
      <x:c r="D558" t="str">
        <x:v>GO</x:v>
      </x:c>
      <x:c r="E558" t="str">
        <x:v>Centro-Oeste</x:v>
      </x:c>
      <x:c r="F558" t="str">
        <x:v>Loja</x:v>
      </x:c>
      <x:c r="G558" t="str">
        <x:v>Escritório</x:v>
      </x:c>
      <x:c r="H558" t="str">
        <x:v>Luminária LED</x:v>
      </x:c>
      <x:c r="I558" t="str">
        <x:v>Diego</x:v>
      </x:c>
      <x:c r="J558" s="53" t="n">
        <x:v>7</x:v>
      </x:c>
      <x:c r="K558" s="54" t="n">
        <x:v>275.12</x:v>
      </x:c>
      <x:c r="L558" s="54" t="n">
        <x:v>122.59</x:v>
      </x:c>
      <x:c r="M558" s="55" t="n">
        <x:v>0.0159</x:v>
      </x:c>
      <x:c r="N558" s="54" t="n">
        <x:f>ROUND(J558*K558,2)</x:f>
        <x:v>1925.84</x:v>
      </x:c>
      <x:c r="O558" s="54" t="n">
        <x:f>ROUND(N558*(1-M558),2)</x:f>
        <x:v>1895.22</x:v>
      </x:c>
      <x:c r="P558" s="54" t="n">
        <x:f>ROUND(J558*L558,2)</x:f>
        <x:v>858.13</x:v>
      </x:c>
      <x:c r="Q558" s="54" t="n">
        <x:f>ROUND(O558-P558,2)</x:f>
        <x:v>1037.09</x:v>
      </x:c>
      <x:c r="R558" s="55" t="n">
        <x:f>IF(O558=0,0,ROUND(Q558/O558,4))</x:f>
        <x:v>0.5472</x:v>
      </x:c>
      <x:c r="S558" s="53" t="n">
        <x:v>5</x:v>
      </x:c>
      <x:c r="T558" t="str">
        <x:v>Entregue</x:v>
      </x:c>
      <x:c r="U558" t="n">
        <x:v>3</x:v>
      </x:c>
      <x:c r="V558" t="str"/>
    </x:row>
    <x:row r="559">
      <x:c r="A559" s="52" t="n">
        <x:v>46169</x:v>
      </x:c>
      <x:c r="B559" t="str">
        <x:v>PED-100558</x:v>
      </x:c>
      <x:c r="C559" t="str">
        <x:v>Cliente 052</x:v>
      </x:c>
      <x:c r="D559" t="str">
        <x:v>SC</x:v>
      </x:c>
      <x:c r="E559" t="str">
        <x:v>Sul</x:v>
      </x:c>
      <x:c r="F559" t="str">
        <x:v>Televendas</x:v>
      </x:c>
      <x:c r="G559" t="str">
        <x:v>Tecnologia</x:v>
      </x:c>
      <x:c r="H559" t="str">
        <x:v>Monitor 27</x:v>
      </x:c>
      <x:c r="I559" t="str">
        <x:v>Gabriela</x:v>
      </x:c>
      <x:c r="J559" s="53" t="n">
        <x:v>6</x:v>
      </x:c>
      <x:c r="K559" s="54" t="n">
        <x:v>1727.82</x:v>
      </x:c>
      <x:c r="L559" s="54" t="n">
        <x:v>1071.71</x:v>
      </x:c>
      <x:c r="M559" s="55" t="n">
        <x:v>0.0922</x:v>
      </x:c>
      <x:c r="N559" s="54" t="n">
        <x:f>ROUND(J559*K559,2)</x:f>
        <x:v>10366.92</x:v>
      </x:c>
      <x:c r="O559" s="54" t="n">
        <x:f>ROUND(N559*(1-M559),2)</x:f>
        <x:v>9411.09</x:v>
      </x:c>
      <x:c r="P559" s="54" t="n">
        <x:f>ROUND(J559*L559,2)</x:f>
        <x:v>6430.26</x:v>
      </x:c>
      <x:c r="Q559" s="54" t="n">
        <x:f>ROUND(O559-P559,2)</x:f>
        <x:v>2980.83</x:v>
      </x:c>
      <x:c r="R559" s="55" t="n">
        <x:f>IF(O559=0,0,ROUND(Q559/O559,4))</x:f>
        <x:v>0.3167</x:v>
      </x:c>
      <x:c r="S559" s="53" t="n">
        <x:v>4</x:v>
      </x:c>
      <x:c r="T559" t="str">
        <x:v>Entregue</x:v>
      </x:c>
      <x:c r="U559" t="n">
        <x:v>4</x:v>
      </x:c>
      <x:c r="V559" t="str"/>
    </x:row>
    <x:row r="560">
      <x:c r="A560" s="52" t="n">
        <x:v>46132</x:v>
      </x:c>
      <x:c r="B560" t="str">
        <x:v>PED-100559</x:v>
      </x:c>
      <x:c r="C560" t="str">
        <x:v>Cliente 025</x:v>
      </x:c>
      <x:c r="D560" t="str">
        <x:v>CE</x:v>
      </x:c>
      <x:c r="E560" t="str">
        <x:v>Nordeste</x:v>
      </x:c>
      <x:c r="F560" t="str">
        <x:v>E-commerce</x:v>
      </x:c>
      <x:c r="G560" t="str">
        <x:v>Casa</x:v>
      </x:c>
      <x:c r="H560" t="str">
        <x:v>Purificador</x:v>
      </x:c>
      <x:c r="I560" t="str">
        <x:v>Ana</x:v>
      </x:c>
      <x:c r="J560" s="53" t="n">
        <x:v>4</x:v>
      </x:c>
      <x:c r="K560" s="54" t="n">
        <x:v>1339.95</x:v>
      </x:c>
      <x:c r="L560" s="54" t="n">
        <x:v>826.34</x:v>
      </x:c>
      <x:c r="M560" s="55" t="n">
        <x:v>0.0451</x:v>
      </x:c>
      <x:c r="N560" s="54" t="n">
        <x:f>ROUND(J560*K560,2)</x:f>
        <x:v>5359.8</x:v>
      </x:c>
      <x:c r="O560" s="54" t="n">
        <x:f>ROUND(N560*(1-M560),2)</x:f>
        <x:v>5118.07</x:v>
      </x:c>
      <x:c r="P560" s="54" t="n">
        <x:f>ROUND(J560*L560,2)</x:f>
        <x:v>3305.36</x:v>
      </x:c>
      <x:c r="Q560" s="54" t="n">
        <x:f>ROUND(O560-P560,2)</x:f>
        <x:v>1812.71</x:v>
      </x:c>
      <x:c r="R560" s="55" t="n">
        <x:f>IF(O560=0,0,ROUND(Q560/O560,4))</x:f>
        <x:v>0.3542</x:v>
      </x:c>
      <x:c r="S560" s="53" t="n">
        <x:v>11</x:v>
      </x:c>
      <x:c r="T560" t="str">
        <x:v>Entregue com atraso</x:v>
      </x:c>
      <x:c r="U560" t="n">
        <x:v>5</x:v>
      </x:c>
      <x:c r="V560" t="str"/>
    </x:row>
    <x:row r="561">
      <x:c r="A561" s="52" t="n">
        <x:v>46138</x:v>
      </x:c>
      <x:c r="B561" t="str">
        <x:v>PED-100560</x:v>
      </x:c>
      <x:c r="C561" t="str">
        <x:v>Cliente 013</x:v>
      </x:c>
      <x:c r="D561" t="str">
        <x:v>GO</x:v>
      </x:c>
      <x:c r="E561" t="str">
        <x:v>Centro-Oeste</x:v>
      </x:c>
      <x:c r="F561" t="str">
        <x:v>Loja</x:v>
      </x:c>
      <x:c r="G561" t="str">
        <x:v>Acessórios</x:v>
      </x:c>
      <x:c r="H561" t="str">
        <x:v>Hub USB-C</x:v>
      </x:c>
      <x:c r="I561" t="str">
        <x:v>Felipe</x:v>
      </x:c>
      <x:c r="J561" s="53" t="n">
        <x:v>1</x:v>
      </x:c>
      <x:c r="K561" s="54" t="n">
        <x:v>302.09</x:v>
      </x:c>
      <x:c r="L561" s="54" t="n">
        <x:v>131.65</x:v>
      </x:c>
      <x:c r="M561" s="55" t="n">
        <x:v>0.0495</x:v>
      </x:c>
      <x:c r="N561" s="54" t="n">
        <x:f>ROUND(J561*K561,2)</x:f>
        <x:v>302.09</x:v>
      </x:c>
      <x:c r="O561" s="54" t="n">
        <x:f>ROUND(N561*(1-M561),2)</x:f>
        <x:v>287.14</x:v>
      </x:c>
      <x:c r="P561" s="54" t="n">
        <x:f>ROUND(J561*L561,2)</x:f>
        <x:v>131.65</x:v>
      </x:c>
      <x:c r="Q561" s="54" t="n">
        <x:f>ROUND(O561-P561,2)</x:f>
        <x:v>155.49</x:v>
      </x:c>
      <x:c r="R561" s="55" t="n">
        <x:f>IF(O561=0,0,ROUND(Q561/O561,4))</x:f>
        <x:v>0.5415</x:v>
      </x:c>
      <x:c r="S561" s="53" t="n">
        <x:v>11</x:v>
      </x:c>
      <x:c r="T561" t="str">
        <x:v>Entregue com atraso</x:v>
      </x:c>
      <x:c r="U561" t="n">
        <x:v>4</x:v>
      </x:c>
      <x:c r="V561" t="str"/>
    </x:row>
    <x:row r="562">
      <x:c r="A562" s="52" t="n">
        <x:v>46148</x:v>
      </x:c>
      <x:c r="B562" t="str">
        <x:v>PED-100561</x:v>
      </x:c>
      <x:c r="C562" t="str">
        <x:v>Cliente 088</x:v>
      </x:c>
      <x:c r="D562" t="str">
        <x:v>MT</x:v>
      </x:c>
      <x:c r="E562" t="str">
        <x:v>Centro-Oeste</x:v>
      </x:c>
      <x:c r="F562" t="str">
        <x:v>Loja</x:v>
      </x:c>
      <x:c r="G562" t="str">
        <x:v>Casa</x:v>
      </x:c>
      <x:c r="H562" t="str">
        <x:v>Cafeteira Smart</x:v>
      </x:c>
      <x:c r="I562" t="str">
        <x:v>Gabriela</x:v>
      </x:c>
      <x:c r="J562" s="53" t="n">
        <x:v>7</x:v>
      </x:c>
      <x:c r="K562" s="54" t="n">
        <x:v>767.28</x:v>
      </x:c>
      <x:c r="L562" s="54" t="n">
        <x:v>449.55</x:v>
      </x:c>
      <x:c r="M562" s="55" t="n">
        <x:v>0.0412</x:v>
      </x:c>
      <x:c r="N562" s="54" t="n">
        <x:f>ROUND(J562*K562,2)</x:f>
        <x:v>5370.96</x:v>
      </x:c>
      <x:c r="O562" s="54" t="n">
        <x:f>ROUND(N562*(1-M562),2)</x:f>
        <x:v>5149.68</x:v>
      </x:c>
      <x:c r="P562" s="54" t="n">
        <x:f>ROUND(J562*L562,2)</x:f>
        <x:v>3146.85</x:v>
      </x:c>
      <x:c r="Q562" s="54" t="n">
        <x:f>ROUND(O562-P562,2)</x:f>
        <x:v>2002.83</x:v>
      </x:c>
      <x:c r="R562" s="55" t="n">
        <x:f>IF(O562=0,0,ROUND(Q562/O562,4))</x:f>
        <x:v>0.3889</x:v>
      </x:c>
      <x:c r="S562" s="53" t="n">
        <x:v>2</x:v>
      </x:c>
      <x:c r="T562" t="str">
        <x:v>Entregue</x:v>
      </x:c>
      <x:c r="U562" t="n">
        <x:v>5</x:v>
      </x:c>
      <x:c r="V562" t="str"/>
    </x:row>
    <x:row r="563">
      <x:c r="A563" s="52" t="n">
        <x:v>46078</x:v>
      </x:c>
      <x:c r="B563" t="str">
        <x:v>PED-100562</x:v>
      </x:c>
      <x:c r="C563" t="str">
        <x:v>Cliente 116</x:v>
      </x:c>
      <x:c r="D563" t="str">
        <x:v>MG</x:v>
      </x:c>
      <x:c r="E563" t="str">
        <x:v>Sudeste</x:v>
      </x:c>
      <x:c r="F563" t="str">
        <x:v>Marketplace</x:v>
      </x:c>
      <x:c r="G563" t="str">
        <x:v>Casa</x:v>
      </x:c>
      <x:c r="H563" t="str">
        <x:v>Aspirador Robô</x:v>
      </x:c>
      <x:c r="I563" t="str">
        <x:v>Carla</x:v>
      </x:c>
      <x:c r="J563" s="53" t="n">
        <x:v>4</x:v>
      </x:c>
      <x:c r="K563" s="54" t="n">
        <x:v>1906.07</x:v>
      </x:c>
      <x:c r="L563" s="54" t="n">
        <x:v>1232.5</x:v>
      </x:c>
      <x:c r="M563" s="55" t="n">
        <x:v>0.035</x:v>
      </x:c>
      <x:c r="N563" s="54" t="n">
        <x:f>ROUND(J563*K563,2)</x:f>
        <x:v>7624.28</x:v>
      </x:c>
      <x:c r="O563" s="54" t="n">
        <x:f>ROUND(N563*(1-M563),2)</x:f>
        <x:v>7357.43</x:v>
      </x:c>
      <x:c r="P563" s="54" t="n">
        <x:f>ROUND(J563*L563,2)</x:f>
        <x:v>4930</x:v>
      </x:c>
      <x:c r="Q563" s="54" t="n">
        <x:f>ROUND(O563-P563,2)</x:f>
        <x:v>2427.43</x:v>
      </x:c>
      <x:c r="R563" s="55" t="n">
        <x:f>IF(O563=0,0,ROUND(Q563/O563,4))</x:f>
        <x:v>0.3299</x:v>
      </x:c>
      <x:c r="S563" s="53" t="n">
        <x:v>3</x:v>
      </x:c>
      <x:c r="T563" t="str">
        <x:v>Entregue</x:v>
      </x:c>
      <x:c r="U563" t="n">
        <x:v>4</x:v>
      </x:c>
      <x:c r="V563" t="str"/>
    </x:row>
    <x:row r="564">
      <x:c r="A564" s="52" t="n">
        <x:v>46147</x:v>
      </x:c>
      <x:c r="B564" t="str">
        <x:v>PED-100563</x:v>
      </x:c>
      <x:c r="C564" t="str">
        <x:v>Cliente 120</x:v>
      </x:c>
      <x:c r="D564" t="str">
        <x:v>RJ</x:v>
      </x:c>
      <x:c r="E564" t="str">
        <x:v>Sudeste</x:v>
      </x:c>
      <x:c r="F564" t="str">
        <x:v>Loja</x:v>
      </x:c>
      <x:c r="G564" t="str">
        <x:v>Tecnologia</x:v>
      </x:c>
      <x:c r="H564" t="str">
        <x:v>Headset Office</x:v>
      </x:c>
      <x:c r="I564" t="str">
        <x:v>Henrique</x:v>
      </x:c>
      <x:c r="J564" s="53" t="n">
        <x:v>5</x:v>
      </x:c>
      <x:c r="K564" s="54" t="n">
        <x:v>398.81</x:v>
      </x:c>
      <x:c r="L564" s="54" t="n">
        <x:v>211.45</x:v>
      </x:c>
      <x:c r="M564" s="55" t="n">
        <x:v>0</x:v>
      </x:c>
      <x:c r="N564" s="54" t="n">
        <x:f>ROUND(J564*K564,2)</x:f>
        <x:v>1994.05</x:v>
      </x:c>
      <x:c r="O564" s="54" t="n">
        <x:f>ROUND(N564*(1-M564),2)</x:f>
        <x:v>1994.05</x:v>
      </x:c>
      <x:c r="P564" s="54" t="n">
        <x:f>ROUND(J564*L564,2)</x:f>
        <x:v>1057.25</x:v>
      </x:c>
      <x:c r="Q564" s="54" t="n">
        <x:f>ROUND(O564-P564,2)</x:f>
        <x:v>936.8</x:v>
      </x:c>
      <x:c r="R564" s="55" t="n">
        <x:f>IF(O564=0,0,ROUND(Q564/O564,4))</x:f>
        <x:v>0.4698</x:v>
      </x:c>
      <x:c r="S564" s="53" t="n">
        <x:v>4</x:v>
      </x:c>
      <x:c r="T564" t="str">
        <x:v>Entregue</x:v>
      </x:c>
      <x:c r="U564" t="n">
        <x:v>4</x:v>
      </x:c>
      <x:c r="V564" t="str"/>
    </x:row>
    <x:row r="565">
      <x:c r="A565" s="52" t="n">
        <x:v>46219</x:v>
      </x:c>
      <x:c r="B565" t="str">
        <x:v>PED-100564</x:v>
      </x:c>
      <x:c r="C565" t="str">
        <x:v>Cliente 009</x:v>
      </x:c>
      <x:c r="D565" t="str">
        <x:v>CE</x:v>
      </x:c>
      <x:c r="E565" t="str">
        <x:v>Nordeste</x:v>
      </x:c>
      <x:c r="F565" t="str">
        <x:v>Loja</x:v>
      </x:c>
      <x:c r="G565" t="str">
        <x:v>Casa</x:v>
      </x:c>
      <x:c r="H565" t="str">
        <x:v>Aspirador Robô</x:v>
      </x:c>
      <x:c r="I565" t="str">
        <x:v>João</x:v>
      </x:c>
      <x:c r="J565" s="53" t="n">
        <x:v>4</x:v>
      </x:c>
      <x:c r="K565" s="54" t="n">
        <x:v>1882.68</x:v>
      </x:c>
      <x:c r="L565" s="54" t="n">
        <x:v>1275.97</x:v>
      </x:c>
      <x:c r="M565" s="55" t="n">
        <x:v>0</x:v>
      </x:c>
      <x:c r="N565" s="54" t="n">
        <x:f>ROUND(J565*K565,2)</x:f>
        <x:v>7530.72</x:v>
      </x:c>
      <x:c r="O565" s="54" t="n">
        <x:f>ROUND(N565*(1-M565),2)</x:f>
        <x:v>7530.72</x:v>
      </x:c>
      <x:c r="P565" s="54" t="n">
        <x:f>ROUND(J565*L565,2)</x:f>
        <x:v>5103.88</x:v>
      </x:c>
      <x:c r="Q565" s="54" t="n">
        <x:f>ROUND(O565-P565,2)</x:f>
        <x:v>2426.84</x:v>
      </x:c>
      <x:c r="R565" s="55" t="n">
        <x:f>IF(O565=0,0,ROUND(Q565/O565,4))</x:f>
        <x:v>0.3223</x:v>
      </x:c>
      <x:c r="S565" s="53" t="n">
        <x:v>10</x:v>
      </x:c>
      <x:c r="T565" t="str">
        <x:v>Entregue</x:v>
      </x:c>
      <x:c r="U565" t="n">
        <x:v>4</x:v>
      </x:c>
      <x:c r="V565" t="str"/>
    </x:row>
    <x:row r="566">
      <x:c r="A566" s="52" t="n">
        <x:v>46152</x:v>
      </x:c>
      <x:c r="B566" t="str">
        <x:v>PED-100565</x:v>
      </x:c>
      <x:c r="C566" t="str">
        <x:v>Cliente 017</x:v>
      </x:c>
      <x:c r="D566" t="str">
        <x:v>ES</x:v>
      </x:c>
      <x:c r="E566" t="str">
        <x:v>Sudeste</x:v>
      </x:c>
      <x:c r="F566" t="str">
        <x:v>Televendas</x:v>
      </x:c>
      <x:c r="G566" t="str">
        <x:v>Tecnologia</x:v>
      </x:c>
      <x:c r="H566" t="str">
        <x:v>Notebook Pro</x:v>
      </x:c>
      <x:c r="I566" t="str">
        <x:v>Elaine</x:v>
      </x:c>
      <x:c r="J566" s="53" t="n">
        <x:v>4</x:v>
      </x:c>
      <x:c r="K566" s="54" t="n">
        <x:v>5812.63</x:v>
      </x:c>
      <x:c r="L566" s="54" t="n">
        <x:v>4370.5</x:v>
      </x:c>
      <x:c r="M566" s="55" t="n">
        <x:v>0</x:v>
      </x:c>
      <x:c r="N566" s="54" t="n">
        <x:f>ROUND(J566*K566,2)</x:f>
        <x:v>23250.52</x:v>
      </x:c>
      <x:c r="O566" s="54" t="n">
        <x:f>ROUND(N566*(1-M566),2)</x:f>
        <x:v>23250.52</x:v>
      </x:c>
      <x:c r="P566" s="54" t="n">
        <x:f>ROUND(J566*L566,2)</x:f>
        <x:v>17482</x:v>
      </x:c>
      <x:c r="Q566" s="54" t="n">
        <x:f>ROUND(O566-P566,2)</x:f>
        <x:v>5768.52</x:v>
      </x:c>
      <x:c r="R566" s="55" t="n">
        <x:f>IF(O566=0,0,ROUND(Q566/O566,4))</x:f>
        <x:v>0.2481</x:v>
      </x:c>
      <x:c r="S566" s="53" t="n">
        <x:v>9</x:v>
      </x:c>
      <x:c r="T566" t="str">
        <x:v>Entregue</x:v>
      </x:c>
      <x:c r="U566" t="n">
        <x:v>5</x:v>
      </x:c>
      <x:c r="V566" t="str"/>
    </x:row>
    <x:row r="567">
      <x:c r="A567" s="52" t="n">
        <x:v>46079</x:v>
      </x:c>
      <x:c r="B567" t="str">
        <x:v>PED-100566</x:v>
      </x:c>
      <x:c r="C567" t="str">
        <x:v>Cliente 083</x:v>
      </x:c>
      <x:c r="D567" t="str">
        <x:v>AM</x:v>
      </x:c>
      <x:c r="E567" t="str">
        <x:v>Norte</x:v>
      </x:c>
      <x:c r="F567" t="str">
        <x:v>E-commerce</x:v>
      </x:c>
      <x:c r="G567" t="str">
        <x:v>Escritório</x:v>
      </x:c>
      <x:c r="H567" t="str">
        <x:v>Luminária LED</x:v>
      </x:c>
      <x:c r="I567" t="str">
        <x:v>Isabela</x:v>
      </x:c>
      <x:c r="J567" s="53" t="n">
        <x:v>3</x:v>
      </x:c>
      <x:c r="K567" s="54" t="n">
        <x:v>261</x:v>
      </x:c>
      <x:c r="L567" s="54" t="n">
        <x:v>121.33</x:v>
      </x:c>
      <x:c r="M567" s="55" t="n">
        <x:v>0.0833</x:v>
      </x:c>
      <x:c r="N567" s="54" t="n">
        <x:f>ROUND(J567*K567,2)</x:f>
        <x:v>783</x:v>
      </x:c>
      <x:c r="O567" s="54" t="n">
        <x:f>ROUND(N567*(1-M567),2)</x:f>
        <x:v>717.78</x:v>
      </x:c>
      <x:c r="P567" s="54" t="n">
        <x:f>ROUND(J567*L567,2)</x:f>
        <x:v>363.99</x:v>
      </x:c>
      <x:c r="Q567" s="54" t="n">
        <x:f>ROUND(O567-P567,2)</x:f>
        <x:v>353.79</x:v>
      </x:c>
      <x:c r="R567" s="55" t="n">
        <x:f>IF(O567=0,0,ROUND(Q567/O567,4))</x:f>
        <x:v>0.4929</x:v>
      </x:c>
      <x:c r="S567" s="53" t="n">
        <x:v>2</x:v>
      </x:c>
      <x:c r="T567" t="str">
        <x:v>Entregue</x:v>
      </x:c>
      <x:c r="U567" t="n">
        <x:v>5</x:v>
      </x:c>
      <x:c r="V567" t="str"/>
    </x:row>
    <x:row r="568">
      <x:c r="A568" s="52" t="n">
        <x:v>46231</x:v>
      </x:c>
      <x:c r="B568" t="str">
        <x:v>PED-100567</x:v>
      </x:c>
      <x:c r="C568" t="str">
        <x:v>Cliente 031</x:v>
      </x:c>
      <x:c r="D568" t="str">
        <x:v>MG</x:v>
      </x:c>
      <x:c r="E568" t="str">
        <x:v>Sudeste</x:v>
      </x:c>
      <x:c r="F568" t="str">
        <x:v>Marketplace</x:v>
      </x:c>
      <x:c r="G568" t="str">
        <x:v>Tecnologia</x:v>
      </x:c>
      <x:c r="H568" t="str">
        <x:v>Monitor 27</x:v>
      </x:c>
      <x:c r="I568" t="str">
        <x:v>João</x:v>
      </x:c>
      <x:c r="J568" s="53" t="n">
        <x:v>1</x:v>
      </x:c>
      <x:c r="K568" s="54" t="n">
        <x:v>1701.35</x:v>
      </x:c>
      <x:c r="L568" s="54" t="n">
        <x:v>1081.15</x:v>
      </x:c>
      <x:c r="M568" s="55" t="n">
        <x:v>0.1105</x:v>
      </x:c>
      <x:c r="N568" s="54" t="n">
        <x:f>ROUND(J568*K568,2)</x:f>
        <x:v>1701.35</x:v>
      </x:c>
      <x:c r="O568" s="54" t="n">
        <x:f>ROUND(N568*(1-M568),2)</x:f>
        <x:v>1513.35</x:v>
      </x:c>
      <x:c r="P568" s="54" t="n">
        <x:f>ROUND(J568*L568,2)</x:f>
        <x:v>1081.15</x:v>
      </x:c>
      <x:c r="Q568" s="54" t="n">
        <x:f>ROUND(O568-P568,2)</x:f>
        <x:v>432.2</x:v>
      </x:c>
      <x:c r="R568" s="55" t="n">
        <x:f>IF(O568=0,0,ROUND(Q568/O568,4))</x:f>
        <x:v>0.2856</x:v>
      </x:c>
      <x:c r="S568" s="53" t="n">
        <x:v>2</x:v>
      </x:c>
      <x:c r="T568" t="str">
        <x:v>Entregue</x:v>
      </x:c>
      <x:c r="U568" t="n">
        <x:v>2</x:v>
      </x:c>
      <x:c r="V568" t="str"/>
    </x:row>
    <x:row r="569">
      <x:c r="A569" s="52" t="n">
        <x:v>46142</x:v>
      </x:c>
      <x:c r="B569" t="str">
        <x:v>PED-100568</x:v>
      </x:c>
      <x:c r="C569" t="str">
        <x:v>Cliente 062</x:v>
      </x:c>
      <x:c r="D569" t="str">
        <x:v>PA</x:v>
      </x:c>
      <x:c r="E569" t="str">
        <x:v>Norte</x:v>
      </x:c>
      <x:c r="F569" t="str">
        <x:v>Marketplace</x:v>
      </x:c>
      <x:c r="G569" t="str">
        <x:v>Escritório</x:v>
      </x:c>
      <x:c r="H569" t="str">
        <x:v>Luminária LED</x:v>
      </x:c>
      <x:c r="I569" t="str">
        <x:v>Felipe</x:v>
      </x:c>
      <x:c r="J569" s="53" t="n">
        <x:v>3</x:v>
      </x:c>
      <x:c r="K569" s="54" t="n">
        <x:v>263.43</x:v>
      </x:c>
      <x:c r="L569" s="54" t="n">
        <x:v>122.02</x:v>
      </x:c>
      <x:c r="M569" s="55" t="n">
        <x:v>0.035</x:v>
      </x:c>
      <x:c r="N569" s="54" t="n">
        <x:f>ROUND(J569*K569,2)</x:f>
        <x:v>790.29</x:v>
      </x:c>
      <x:c r="O569" s="54" t="n">
        <x:f>ROUND(N569*(1-M569),2)</x:f>
        <x:v>762.63</x:v>
      </x:c>
      <x:c r="P569" s="54" t="n">
        <x:f>ROUND(J569*L569,2)</x:f>
        <x:v>366.06</x:v>
      </x:c>
      <x:c r="Q569" s="54" t="n">
        <x:f>ROUND(O569-P569,2)</x:f>
        <x:v>396.57</x:v>
      </x:c>
      <x:c r="R569" s="55" t="n">
        <x:f>IF(O569=0,0,ROUND(Q569/O569,4))</x:f>
        <x:v>0.52</x:v>
      </x:c>
      <x:c r="S569" s="53" t="n">
        <x:v>3</x:v>
      </x:c>
      <x:c r="T569" t="str">
        <x:v>Entregue</x:v>
      </x:c>
      <x:c r="U569" t="n">
        <x:v>5</x:v>
      </x:c>
      <x:c r="V569" t="str"/>
    </x:row>
    <x:row r="570">
      <x:c r="A570" s="52" t="n">
        <x:v>46123</x:v>
      </x:c>
      <x:c r="B570" t="str">
        <x:v>PED-100569</x:v>
      </x:c>
      <x:c r="C570" t="str">
        <x:v>Cliente 098</x:v>
      </x:c>
      <x:c r="D570" t="str">
        <x:v>MT</x:v>
      </x:c>
      <x:c r="E570" t="str">
        <x:v>Centro-Oeste</x:v>
      </x:c>
      <x:c r="F570" t="str">
        <x:v>Loja</x:v>
      </x:c>
      <x:c r="G570" t="str">
        <x:v>Acessórios</x:v>
      </x:c>
      <x:c r="H570" t="str">
        <x:v>Webcam HD</x:v>
      </x:c>
      <x:c r="I570" t="str">
        <x:v>Bruno</x:v>
      </x:c>
      <x:c r="J570" s="53" t="n">
        <x:v>6</x:v>
      </x:c>
      <x:c r="K570" s="54" t="n">
        <x:v>482.71</x:v>
      </x:c>
      <x:c r="L570" s="54" t="n">
        <x:v>243.38</x:v>
      </x:c>
      <x:c r="M570" s="55" t="n">
        <x:v>0</x:v>
      </x:c>
      <x:c r="N570" s="54" t="n">
        <x:f>ROUND(J570*K570,2)</x:f>
        <x:v>2896.26</x:v>
      </x:c>
      <x:c r="O570" s="54" t="n">
        <x:f>ROUND(N570*(1-M570),2)</x:f>
        <x:v>2896.26</x:v>
      </x:c>
      <x:c r="P570" s="54" t="n">
        <x:f>ROUND(J570*L570,2)</x:f>
        <x:v>1460.28</x:v>
      </x:c>
      <x:c r="Q570" s="54" t="n">
        <x:f>ROUND(O570-P570,2)</x:f>
        <x:v>1435.98</x:v>
      </x:c>
      <x:c r="R570" s="55" t="n">
        <x:f>IF(O570=0,0,ROUND(Q570/O570,4))</x:f>
        <x:v>0.4958</x:v>
      </x:c>
      <x:c r="S570" s="53" t="n">
        <x:v>7</x:v>
      </x:c>
      <x:c r="T570" t="str">
        <x:v>Entregue</x:v>
      </x:c>
      <x:c r="U570" t="n">
        <x:v>4</x:v>
      </x:c>
      <x:c r="V570" t="str"/>
    </x:row>
    <x:row r="571">
      <x:c r="A571" s="52" t="n">
        <x:v>46169</x:v>
      </x:c>
      <x:c r="B571" t="str">
        <x:v>PED-100570</x:v>
      </x:c>
      <x:c r="C571" t="str">
        <x:v>Cliente 102</x:v>
      </x:c>
      <x:c r="D571" t="str">
        <x:v>PA</x:v>
      </x:c>
      <x:c r="E571" t="str">
        <x:v>Norte</x:v>
      </x:c>
      <x:c r="F571" t="str">
        <x:v>Marketplace</x:v>
      </x:c>
      <x:c r="G571" t="str">
        <x:v>Casa</x:v>
      </x:c>
      <x:c r="H571" t="str">
        <x:v>Cafeteira Smart</x:v>
      </x:c>
      <x:c r="I571" t="str">
        <x:v>Carla</x:v>
      </x:c>
      <x:c r="J571" s="53" t="n">
        <x:v>3</x:v>
      </x:c>
      <x:c r="K571" s="54" t="n">
        <x:v>800.13</x:v>
      </x:c>
      <x:c r="L571" s="54" t="n">
        <x:v>479.49</x:v>
      </x:c>
      <x:c r="M571" s="55" t="n">
        <x:v>0.035</x:v>
      </x:c>
      <x:c r="N571" s="54" t="n">
        <x:f>ROUND(J571*K571,2)</x:f>
        <x:v>2400.39</x:v>
      </x:c>
      <x:c r="O571" s="54" t="n">
        <x:f>ROUND(N571*(1-M571),2)</x:f>
        <x:v>2316.38</x:v>
      </x:c>
      <x:c r="P571" s="54" t="n">
        <x:f>ROUND(J571*L571,2)</x:f>
        <x:v>1438.47</x:v>
      </x:c>
      <x:c r="Q571" s="54" t="n">
        <x:f>ROUND(O571-P571,2)</x:f>
        <x:v>877.91</x:v>
      </x:c>
      <x:c r="R571" s="55" t="n">
        <x:f>IF(O571=0,0,ROUND(Q571/O571,4))</x:f>
        <x:v>0.379</x:v>
      </x:c>
      <x:c r="S571" s="53" t="n">
        <x:v>5</x:v>
      </x:c>
      <x:c r="T571" t="str">
        <x:v>Entregue</x:v>
      </x:c>
      <x:c r="U571" t="n">
        <x:v>5</x:v>
      </x:c>
      <x:c r="V571" t="str"/>
    </x:row>
    <x:row r="572">
      <x:c r="A572" s="52" t="n">
        <x:v>46067</x:v>
      </x:c>
      <x:c r="B572" t="str">
        <x:v>PED-100571</x:v>
      </x:c>
      <x:c r="C572" t="str">
        <x:v>Cliente 093</x:v>
      </x:c>
      <x:c r="D572" t="str">
        <x:v>MA</x:v>
      </x:c>
      <x:c r="E572" t="str">
        <x:v>Nordeste</x:v>
      </x:c>
      <x:c r="F572" t="str">
        <x:v>Marketplace</x:v>
      </x:c>
      <x:c r="G572" t="str">
        <x:v>Escritório</x:v>
      </x:c>
      <x:c r="H572" t="str">
        <x:v>Cadeira Ergonômica</x:v>
      </x:c>
      <x:c r="I572" t="str">
        <x:v>João</x:v>
      </x:c>
      <x:c r="J572" s="53" t="n">
        <x:v>4</x:v>
      </x:c>
      <x:c r="K572" s="54" t="n">
        <x:v>2133.16</x:v>
      </x:c>
      <x:c r="L572" s="54" t="n">
        <x:v>1443.68</x:v>
      </x:c>
      <x:c r="M572" s="55" t="n">
        <x:v>0.035</x:v>
      </x:c>
      <x:c r="N572" s="54" t="n">
        <x:f>ROUND(J572*K572,2)</x:f>
        <x:v>8532.64</x:v>
      </x:c>
      <x:c r="O572" s="54" t="n">
        <x:f>ROUND(N572*(1-M572),2)</x:f>
        <x:v>8234</x:v>
      </x:c>
      <x:c r="P572" s="54" t="n">
        <x:f>ROUND(J572*L572,2)</x:f>
        <x:v>5774.72</x:v>
      </x:c>
      <x:c r="Q572" s="54" t="n">
        <x:f>ROUND(O572-P572,2)</x:f>
        <x:v>2459.28</x:v>
      </x:c>
      <x:c r="R572" s="55" t="n">
        <x:f>IF(O572=0,0,ROUND(Q572/O572,4))</x:f>
        <x:v>0.2987</x:v>
      </x:c>
      <x:c r="S572" s="53" t="n">
        <x:v>11</x:v>
      </x:c>
      <x:c r="T572" t="str">
        <x:v>Entregue com atraso</x:v>
      </x:c>
      <x:c r="U572" t="n">
        <x:v>3</x:v>
      </x:c>
      <x:c r="V572" t="str"/>
    </x:row>
    <x:row r="573">
      <x:c r="A573" s="52" t="n">
        <x:v>46139</x:v>
      </x:c>
      <x:c r="B573" t="str">
        <x:v>PED-100572</x:v>
      </x:c>
      <x:c r="C573" t="str">
        <x:v>Cliente 057</x:v>
      </x:c>
      <x:c r="D573" t="str">
        <x:v>MT</x:v>
      </x:c>
      <x:c r="E573" t="str">
        <x:v>Centro-Oeste</x:v>
      </x:c>
      <x:c r="F573" t="str">
        <x:v>Televendas</x:v>
      </x:c>
      <x:c r="G573" t="str">
        <x:v>Tecnologia</x:v>
      </x:c>
      <x:c r="H573" t="str">
        <x:v>Monitor 27</x:v>
      </x:c>
      <x:c r="I573" t="str">
        <x:v>João</x:v>
      </x:c>
      <x:c r="J573" s="53" t="n">
        <x:v>2</x:v>
      </x:c>
      <x:c r="K573" s="54" t="n">
        <x:v>1777.51</x:v>
      </x:c>
      <x:c r="L573" s="54" t="n">
        <x:v>1089.06</x:v>
      </x:c>
      <x:c r="M573" s="55" t="n">
        <x:v>0.0297</x:v>
      </x:c>
      <x:c r="N573" s="54" t="n">
        <x:f>ROUND(J573*K573,2)</x:f>
        <x:v>3555.02</x:v>
      </x:c>
      <x:c r="O573" s="54" t="n">
        <x:f>ROUND(N573*(1-M573),2)</x:f>
        <x:v>3449.44</x:v>
      </x:c>
      <x:c r="P573" s="54" t="n">
        <x:f>ROUND(J573*L573,2)</x:f>
        <x:v>2178.12</x:v>
      </x:c>
      <x:c r="Q573" s="54" t="n">
        <x:f>ROUND(O573-P573,2)</x:f>
        <x:v>1271.32</x:v>
      </x:c>
      <x:c r="R573" s="55" t="n">
        <x:f>IF(O573=0,0,ROUND(Q573/O573,4))</x:f>
        <x:v>0.3686</x:v>
      </x:c>
      <x:c r="S573" s="53" t="n">
        <x:v>14</x:v>
      </x:c>
      <x:c r="T573" t="str">
        <x:v>Entregue com atraso</x:v>
      </x:c>
      <x:c r="U573" t="n">
        <x:v>5</x:v>
      </x:c>
      <x:c r="V573" t="str"/>
    </x:row>
    <x:row r="574">
      <x:c r="A574" s="52" t="n">
        <x:v>46036</x:v>
      </x:c>
      <x:c r="B574" t="str">
        <x:v>PED-100573</x:v>
      </x:c>
      <x:c r="C574" t="str">
        <x:v>Cliente 028</x:v>
      </x:c>
      <x:c r="D574" t="str">
        <x:v>SC</x:v>
      </x:c>
      <x:c r="E574" t="str">
        <x:v>Sul</x:v>
      </x:c>
      <x:c r="F574" t="str">
        <x:v>E-commerce</x:v>
      </x:c>
      <x:c r="G574" t="str">
        <x:v>Escritório</x:v>
      </x:c>
      <x:c r="H574" t="str">
        <x:v>Luminária LED</x:v>
      </x:c>
      <x:c r="I574" t="str">
        <x:v>Elaine</x:v>
      </x:c>
      <x:c r="J574" s="53" t="n">
        <x:v>1</x:v>
      </x:c>
      <x:c r="K574" s="54" t="n">
        <x:v>247.16</x:v>
      </x:c>
      <x:c r="L574" s="54" t="n">
        <x:v>121.86</x:v>
      </x:c>
      <x:c r="M574" s="55" t="n">
        <x:v>0</x:v>
      </x:c>
      <x:c r="N574" s="54" t="n">
        <x:f>ROUND(J574*K574,2)</x:f>
        <x:v>247.16</x:v>
      </x:c>
      <x:c r="O574" s="54" t="n">
        <x:f>ROUND(N574*(1-M574),2)</x:f>
        <x:v>247.16</x:v>
      </x:c>
      <x:c r="P574" s="54" t="n">
        <x:f>ROUND(J574*L574,2)</x:f>
        <x:v>121.86</x:v>
      </x:c>
      <x:c r="Q574" s="54" t="n">
        <x:f>ROUND(O574-P574,2)</x:f>
        <x:v>125.3</x:v>
      </x:c>
      <x:c r="R574" s="55" t="n">
        <x:f>IF(O574=0,0,ROUND(Q574/O574,4))</x:f>
        <x:v>0.507</x:v>
      </x:c>
      <x:c r="S574" s="53" t="n">
        <x:v>11</x:v>
      </x:c>
      <x:c r="T574" t="str">
        <x:v>Entregue com atraso</x:v>
      </x:c>
      <x:c r="U574" t="n">
        <x:v>5</x:v>
      </x:c>
      <x:c r="V574" t="str"/>
    </x:row>
    <x:row r="575">
      <x:c r="A575" s="52" t="n">
        <x:v>46076</x:v>
      </x:c>
      <x:c r="B575" t="str">
        <x:v>PED-100574</x:v>
      </x:c>
      <x:c r="C575" t="str">
        <x:v>Cliente 062</x:v>
      </x:c>
      <x:c r="D575" t="str">
        <x:v>PE</x:v>
      </x:c>
      <x:c r="E575" t="str">
        <x:v>Nordeste</x:v>
      </x:c>
      <x:c r="F575" t="str">
        <x:v>Televendas</x:v>
      </x:c>
      <x:c r="G575" t="str">
        <x:v>Acessórios</x:v>
      </x:c>
      <x:c r="H575" t="str">
        <x:v>Mochila Executiva</x:v>
      </x:c>
      <x:c r="I575" t="str">
        <x:v>Elaine</x:v>
      </x:c>
      <x:c r="J575" s="53" t="n">
        <x:v>2</x:v>
      </x:c>
      <x:c r="K575" s="54" t="n">
        <x:v>421.21</x:v>
      </x:c>
      <x:c r="L575" s="54" t="n">
        <x:v>193.27</x:v>
      </x:c>
      <x:c r="M575" s="55" t="n">
        <x:v>0</x:v>
      </x:c>
      <x:c r="N575" s="54" t="n">
        <x:f>ROUND(J575*K575,2)</x:f>
        <x:v>842.42</x:v>
      </x:c>
      <x:c r="O575" s="54" t="n">
        <x:f>ROUND(N575*(1-M575),2)</x:f>
        <x:v>842.42</x:v>
      </x:c>
      <x:c r="P575" s="54" t="n">
        <x:f>ROUND(J575*L575,2)</x:f>
        <x:v>386.54</x:v>
      </x:c>
      <x:c r="Q575" s="54" t="n">
        <x:f>ROUND(O575-P575,2)</x:f>
        <x:v>455.88</x:v>
      </x:c>
      <x:c r="R575" s="55" t="n">
        <x:f>IF(O575=0,0,ROUND(Q575/O575,4))</x:f>
        <x:v>0.5412</x:v>
      </x:c>
      <x:c r="S575" s="53" t="n">
        <x:v>11</x:v>
      </x:c>
      <x:c r="T575" t="str">
        <x:v>Entregue com atraso</x:v>
      </x:c>
      <x:c r="U575" t="n">
        <x:v>2</x:v>
      </x:c>
      <x:c r="V575" t="str"/>
    </x:row>
    <x:row r="576">
      <x:c r="A576" s="52" t="n">
        <x:v>46188</x:v>
      </x:c>
      <x:c r="B576" t="str">
        <x:v>PED-100575</x:v>
      </x:c>
      <x:c r="C576" t="str">
        <x:v>Cliente 043</x:v>
      </x:c>
      <x:c r="D576" t="str">
        <x:v>RJ</x:v>
      </x:c>
      <x:c r="E576" t="str">
        <x:v>Sudeste</x:v>
      </x:c>
      <x:c r="F576" t="str">
        <x:v>E-commerce</x:v>
      </x:c>
      <x:c r="G576" t="str">
        <x:v>Tecnologia</x:v>
      </x:c>
      <x:c r="H576" t="str">
        <x:v>Monitor 27</x:v>
      </x:c>
      <x:c r="I576" t="str">
        <x:v>Bruno</x:v>
      </x:c>
      <x:c r="J576" s="53" t="n">
        <x:v>5</x:v>
      </x:c>
      <x:c r="K576" s="54" t="n">
        <x:v>1751.85</x:v>
      </x:c>
      <x:c r="L576" s="54" t="n">
        <x:v>1106.05</x:v>
      </x:c>
      <x:c r="M576" s="55" t="n">
        <x:v>0</x:v>
      </x:c>
      <x:c r="N576" s="54" t="n">
        <x:f>ROUND(J576*K576,2)</x:f>
        <x:v>8759.25</x:v>
      </x:c>
      <x:c r="O576" s="54" t="n">
        <x:f>ROUND(N576*(1-M576),2)</x:f>
        <x:v>8759.25</x:v>
      </x:c>
      <x:c r="P576" s="54" t="n">
        <x:f>ROUND(J576*L576,2)</x:f>
        <x:v>5530.25</x:v>
      </x:c>
      <x:c r="Q576" s="54" t="n">
        <x:f>ROUND(O576-P576,2)</x:f>
        <x:v>3229</x:v>
      </x:c>
      <x:c r="R576" s="55" t="n">
        <x:f>IF(O576=0,0,ROUND(Q576/O576,4))</x:f>
        <x:v>0.3686</x:v>
      </x:c>
      <x:c r="S576" s="53" t="n">
        <x:v>6</x:v>
      </x:c>
      <x:c r="T576" t="str">
        <x:v>Entregue</x:v>
      </x:c>
      <x:c r="U576" t="n">
        <x:v>4</x:v>
      </x:c>
      <x:c r="V576" t="str"/>
    </x:row>
    <x:row r="577">
      <x:c r="A577" s="52" t="n">
        <x:v>46145</x:v>
      </x:c>
      <x:c r="B577" t="str">
        <x:v>PED-100576</x:v>
      </x:c>
      <x:c r="C577" t="str">
        <x:v>Cliente 005</x:v>
      </x:c>
      <x:c r="D577" t="str">
        <x:v>GO</x:v>
      </x:c>
      <x:c r="E577" t="str">
        <x:v>Centro-Oeste</x:v>
      </x:c>
      <x:c r="F577" t="str">
        <x:v>E-commerce</x:v>
      </x:c>
      <x:c r="G577" t="str">
        <x:v>Casa</x:v>
      </x:c>
      <x:c r="H577" t="str">
        <x:v>Purificador</x:v>
      </x:c>
      <x:c r="I577" t="str">
        <x:v>Diego</x:v>
      </x:c>
      <x:c r="J577" s="53" t="n">
        <x:v>6</x:v>
      </x:c>
      <x:c r="K577" s="54" t="n">
        <x:v>1349.79</x:v>
      </x:c>
      <x:c r="L577" s="54" t="n">
        <x:v>742.23</x:v>
      </x:c>
      <x:c r="M577" s="55" t="n">
        <x:v>0.1036</x:v>
      </x:c>
      <x:c r="N577" s="54" t="n">
        <x:f>ROUND(J577*K577,2)</x:f>
        <x:v>8098.74</x:v>
      </x:c>
      <x:c r="O577" s="54" t="n">
        <x:f>ROUND(N577*(1-M577),2)</x:f>
        <x:v>7259.71</x:v>
      </x:c>
      <x:c r="P577" s="54" t="n">
        <x:f>ROUND(J577*L577,2)</x:f>
        <x:v>4453.38</x:v>
      </x:c>
      <x:c r="Q577" s="54" t="n">
        <x:f>ROUND(O577-P577,2)</x:f>
        <x:v>2806.33</x:v>
      </x:c>
      <x:c r="R577" s="55" t="n">
        <x:f>IF(O577=0,0,ROUND(Q577/O577,4))</x:f>
        <x:v>0.3866</x:v>
      </x:c>
      <x:c r="S577" s="53" t="n">
        <x:v>3</x:v>
      </x:c>
      <x:c r="T577" t="str">
        <x:v>Entregue</x:v>
      </x:c>
      <x:c r="U577" t="n">
        <x:v>5</x:v>
      </x:c>
      <x:c r="V577" t="str"/>
    </x:row>
    <x:row r="578">
      <x:c r="A578" s="52" t="n">
        <x:v>46161</x:v>
      </x:c>
      <x:c r="B578" t="str">
        <x:v>PED-100577</x:v>
      </x:c>
      <x:c r="C578" t="str">
        <x:v>Cliente 017</x:v>
      </x:c>
      <x:c r="D578" t="str">
        <x:v>BA</x:v>
      </x:c>
      <x:c r="E578" t="str">
        <x:v>Nordeste</x:v>
      </x:c>
      <x:c r="F578" t="str">
        <x:v>Marketplace</x:v>
      </x:c>
      <x:c r="G578" t="str">
        <x:v>Escritório</x:v>
      </x:c>
      <x:c r="H578" t="str">
        <x:v>Mesa Ajustável</x:v>
      </x:c>
      <x:c r="I578" t="str">
        <x:v>Diego</x:v>
      </x:c>
      <x:c r="J578" s="53" t="n">
        <x:v>2</x:v>
      </x:c>
      <x:c r="K578" s="54" t="n">
        <x:v>2892.02</x:v>
      </x:c>
      <x:c r="L578" s="54" t="n">
        <x:v>1959.82</x:v>
      </x:c>
      <x:c r="M578" s="55" t="n">
        <x:v>0.0664</x:v>
      </x:c>
      <x:c r="N578" s="54" t="n">
        <x:f>ROUND(J578*K578,2)</x:f>
        <x:v>5784.04</x:v>
      </x:c>
      <x:c r="O578" s="54" t="n">
        <x:f>ROUND(N578*(1-M578),2)</x:f>
        <x:v>5399.98</x:v>
      </x:c>
      <x:c r="P578" s="54" t="n">
        <x:f>ROUND(J578*L578,2)</x:f>
        <x:v>3919.64</x:v>
      </x:c>
      <x:c r="Q578" s="54" t="n">
        <x:f>ROUND(O578-P578,2)</x:f>
        <x:v>1480.34</x:v>
      </x:c>
      <x:c r="R578" s="55" t="n">
        <x:f>IF(O578=0,0,ROUND(Q578/O578,4))</x:f>
        <x:v>0.2741</x:v>
      </x:c>
      <x:c r="S578" s="53" t="n">
        <x:v>2</x:v>
      </x:c>
      <x:c r="T578" t="str">
        <x:v>Entregue</x:v>
      </x:c>
      <x:c r="U578" t="n">
        <x:v>2</x:v>
      </x:c>
      <x:c r="V578" t="str"/>
    </x:row>
    <x:row r="579">
      <x:c r="A579" s="52" t="n">
        <x:v>46138</x:v>
      </x:c>
      <x:c r="B579" t="str">
        <x:v>PED-100578</x:v>
      </x:c>
      <x:c r="C579" t="str">
        <x:v>Cliente 022</x:v>
      </x:c>
      <x:c r="D579" t="str">
        <x:v>ES</x:v>
      </x:c>
      <x:c r="E579" t="str">
        <x:v>Sudeste</x:v>
      </x:c>
      <x:c r="F579" t="str">
        <x:v>Televendas</x:v>
      </x:c>
      <x:c r="G579" t="str">
        <x:v>Acessórios</x:v>
      </x:c>
      <x:c r="H579" t="str">
        <x:v>Webcam HD</x:v>
      </x:c>
      <x:c r="I579" t="str">
        <x:v>Henrique</x:v>
      </x:c>
      <x:c r="J579" s="53" t="n">
        <x:v>2</x:v>
      </x:c>
      <x:c r="K579" s="54" t="n">
        <x:v>483.47</x:v>
      </x:c>
      <x:c r="L579" s="54" t="n">
        <x:v>251.3</x:v>
      </x:c>
      <x:c r="M579" s="55" t="n">
        <x:v>0.0442</x:v>
      </x:c>
      <x:c r="N579" s="54" t="n">
        <x:f>ROUND(J579*K579,2)</x:f>
        <x:v>966.94</x:v>
      </x:c>
      <x:c r="O579" s="54" t="n">
        <x:f>ROUND(N579*(1-M579),2)</x:f>
        <x:v>924.2</x:v>
      </x:c>
      <x:c r="P579" s="54" t="n">
        <x:f>ROUND(J579*L579,2)</x:f>
        <x:v>502.6</x:v>
      </x:c>
      <x:c r="Q579" s="54" t="n">
        <x:f>ROUND(O579-P579,2)</x:f>
        <x:v>421.6</x:v>
      </x:c>
      <x:c r="R579" s="55" t="n">
        <x:f>IF(O579=0,0,ROUND(Q579/O579,4))</x:f>
        <x:v>0.4562</x:v>
      </x:c>
      <x:c r="S579" s="53" t="n">
        <x:v>8</x:v>
      </x:c>
      <x:c r="T579" t="str">
        <x:v>Entregue</x:v>
      </x:c>
      <x:c r="U579" t="n">
        <x:v>3</x:v>
      </x:c>
      <x:c r="V579" t="str"/>
    </x:row>
    <x:row r="580">
      <x:c r="A580" s="52" t="n">
        <x:v>46156</x:v>
      </x:c>
      <x:c r="B580" t="str">
        <x:v>PED-100579</x:v>
      </x:c>
      <x:c r="C580" t="str">
        <x:v>Cliente 022</x:v>
      </x:c>
      <x:c r="D580" t="str">
        <x:v>PR</x:v>
      </x:c>
      <x:c r="E580" t="str">
        <x:v>Sul</x:v>
      </x:c>
      <x:c r="F580" t="str">
        <x:v>E-commerce</x:v>
      </x:c>
      <x:c r="G580" t="str">
        <x:v>Tecnologia</x:v>
      </x:c>
      <x:c r="H580" t="str">
        <x:v>Notebook Pro</x:v>
      </x:c>
      <x:c r="I580" t="str">
        <x:v>Bruno</x:v>
      </x:c>
      <x:c r="J580" s="53" t="n">
        <x:v>4</x:v>
      </x:c>
      <x:c r="K580" s="54" t="n">
        <x:v>5536.76</x:v>
      </x:c>
      <x:c r="L580" s="54" t="n">
        <x:v>4404.94</x:v>
      </x:c>
      <x:c r="M580" s="55" t="n">
        <x:v>0.0315</x:v>
      </x:c>
      <x:c r="N580" s="54" t="n">
        <x:f>ROUND(J580*K580,2)</x:f>
        <x:v>22147.04</x:v>
      </x:c>
      <x:c r="O580" s="54" t="n">
        <x:f>ROUND(N580*(1-M580),2)</x:f>
        <x:v>21449.41</x:v>
      </x:c>
      <x:c r="P580" s="54" t="n">
        <x:f>ROUND(J580*L580,2)</x:f>
        <x:v>17619.76</x:v>
      </x:c>
      <x:c r="Q580" s="54" t="n">
        <x:f>ROUND(O580-P580,2)</x:f>
        <x:v>3829.65</x:v>
      </x:c>
      <x:c r="R580" s="55" t="n">
        <x:f>IF(O580=0,0,ROUND(Q580/O580,4))</x:f>
        <x:v>0.1785</x:v>
      </x:c>
      <x:c r="S580" s="53" t="n">
        <x:v>5</x:v>
      </x:c>
      <x:c r="T580" t="str">
        <x:v>Entregue</x:v>
      </x:c>
      <x:c r="U580" t="n">
        <x:v>4</x:v>
      </x:c>
      <x:c r="V580" t="str"/>
    </x:row>
    <x:row r="581">
      <x:c r="A581" s="52" t="n">
        <x:v>46044</x:v>
      </x:c>
      <x:c r="B581" t="str">
        <x:v>PED-100580</x:v>
      </x:c>
      <x:c r="C581" t="str">
        <x:v>Cliente 019</x:v>
      </x:c>
      <x:c r="D581" t="str">
        <x:v>AM</x:v>
      </x:c>
      <x:c r="E581" t="str">
        <x:v>Norte</x:v>
      </x:c>
      <x:c r="F581" t="str">
        <x:v>Televendas</x:v>
      </x:c>
      <x:c r="G581" t="str">
        <x:v>Escritório</x:v>
      </x:c>
      <x:c r="H581" t="str">
        <x:v>Luminária LED</x:v>
      </x:c>
      <x:c r="I581" t="str">
        <x:v>Elaine</x:v>
      </x:c>
      <x:c r="J581" s="53" t="n">
        <x:v>8</x:v>
      </x:c>
      <x:c r="K581" s="54" t="n">
        <x:v>246.34</x:v>
      </x:c>
      <x:c r="L581" s="54" t="n">
        <x:v>124.19</x:v>
      </x:c>
      <x:c r="M581" s="55" t="n">
        <x:v>0.1034</x:v>
      </x:c>
      <x:c r="N581" s="54" t="n">
        <x:f>ROUND(J581*K581,2)</x:f>
        <x:v>1970.72</x:v>
      </x:c>
      <x:c r="O581" s="54" t="n">
        <x:f>ROUND(N581*(1-M581),2)</x:f>
        <x:v>1766.95</x:v>
      </x:c>
      <x:c r="P581" s="54" t="n">
        <x:f>ROUND(J581*L581,2)</x:f>
        <x:v>993.52</x:v>
      </x:c>
      <x:c r="Q581" s="54" t="n">
        <x:f>ROUND(O581-P581,2)</x:f>
        <x:v>773.43</x:v>
      </x:c>
      <x:c r="R581" s="55" t="n">
        <x:f>IF(O581=0,0,ROUND(Q581/O581,4))</x:f>
        <x:v>0.4377</x:v>
      </x:c>
      <x:c r="S581" s="53" t="n">
        <x:v>12</x:v>
      </x:c>
      <x:c r="T581" t="str">
        <x:v>Entregue com atraso</x:v>
      </x:c>
      <x:c r="U581" t="n">
        <x:v>3</x:v>
      </x:c>
      <x:c r="V581" t="str"/>
    </x:row>
    <x:row r="582">
      <x:c r="A582" s="52" t="n">
        <x:v>46172</x:v>
      </x:c>
      <x:c r="B582" t="str">
        <x:v>PED-100581</x:v>
      </x:c>
      <x:c r="C582" t="str">
        <x:v>Cliente 113</x:v>
      </x:c>
      <x:c r="D582" t="str">
        <x:v>RJ</x:v>
      </x:c>
      <x:c r="E582" t="str">
        <x:v>Sudeste</x:v>
      </x:c>
      <x:c r="F582" t="str">
        <x:v>Marketplace</x:v>
      </x:c>
      <x:c r="G582" t="str">
        <x:v>Acessórios</x:v>
      </x:c>
      <x:c r="H582" t="str">
        <x:v>Hub USB-C</x:v>
      </x:c>
      <x:c r="I582" t="str">
        <x:v>Felipe</x:v>
      </x:c>
      <x:c r="J582" s="53" t="n">
        <x:v>6</x:v>
      </x:c>
      <x:c r="K582" s="54" t="n">
        <x:v>338.46</x:v>
      </x:c>
      <x:c r="L582" s="54" t="n">
        <x:v>136.22</x:v>
      </x:c>
      <x:c r="M582" s="55" t="n">
        <x:v>0.067</x:v>
      </x:c>
      <x:c r="N582" s="54" t="n">
        <x:f>ROUND(J582*K582,2)</x:f>
        <x:v>2030.76</x:v>
      </x:c>
      <x:c r="O582" s="54" t="n">
        <x:f>ROUND(N582*(1-M582),2)</x:f>
        <x:v>1894.7</x:v>
      </x:c>
      <x:c r="P582" s="54" t="n">
        <x:f>ROUND(J582*L582,2)</x:f>
        <x:v>817.32</x:v>
      </x:c>
      <x:c r="Q582" s="54" t="n">
        <x:f>ROUND(O582-P582,2)</x:f>
        <x:v>1077.38</x:v>
      </x:c>
      <x:c r="R582" s="55" t="n">
        <x:f>IF(O582=0,0,ROUND(Q582/O582,4))</x:f>
        <x:v>0.5686</x:v>
      </x:c>
      <x:c r="S582" s="53" t="n">
        <x:v>4</x:v>
      </x:c>
      <x:c r="T582" t="str">
        <x:v>Entregue</x:v>
      </x:c>
      <x:c r="U582" t="n">
        <x:v>4</x:v>
      </x:c>
      <x:c r="V582" t="str"/>
    </x:row>
    <x:row r="583">
      <x:c r="A583" s="52" t="n">
        <x:v>46181</x:v>
      </x:c>
      <x:c r="B583" t="str">
        <x:v>PED-100582</x:v>
      </x:c>
      <x:c r="C583" t="str">
        <x:v>Cliente 097</x:v>
      </x:c>
      <x:c r="D583" t="str">
        <x:v>PE</x:v>
      </x:c>
      <x:c r="E583" t="str">
        <x:v>Nordeste</x:v>
      </x:c>
      <x:c r="F583" t="str">
        <x:v>E-commerce</x:v>
      </x:c>
      <x:c r="G583" t="str">
        <x:v>Casa</x:v>
      </x:c>
      <x:c r="H583" t="str">
        <x:v>Purificador</x:v>
      </x:c>
      <x:c r="I583" t="str">
        <x:v>Ana</x:v>
      </x:c>
      <x:c r="J583" s="53" t="n">
        <x:v>3</x:v>
      </x:c>
      <x:c r="K583" s="54" t="n">
        <x:v>1224.64</x:v>
      </x:c>
      <x:c r="L583" s="54" t="n">
        <x:v>769.51</x:v>
      </x:c>
      <x:c r="M583" s="55" t="n">
        <x:v>0</x:v>
      </x:c>
      <x:c r="N583" s="54" t="n">
        <x:f>ROUND(J583*K583,2)</x:f>
        <x:v>3673.92</x:v>
      </x:c>
      <x:c r="O583" s="54" t="n">
        <x:f>ROUND(N583*(1-M583),2)</x:f>
        <x:v>3673.92</x:v>
      </x:c>
      <x:c r="P583" s="54" t="n">
        <x:f>ROUND(J583*L583,2)</x:f>
        <x:v>2308.53</x:v>
      </x:c>
      <x:c r="Q583" s="54" t="n">
        <x:f>ROUND(O583-P583,2)</x:f>
        <x:v>1365.39</x:v>
      </x:c>
      <x:c r="R583" s="55" t="n">
        <x:f>IF(O583=0,0,ROUND(Q583/O583,4))</x:f>
        <x:v>0.3716</x:v>
      </x:c>
      <x:c r="S583" s="53" t="n">
        <x:v>8</x:v>
      </x:c>
      <x:c r="T583" t="str">
        <x:v>Entregue</x:v>
      </x:c>
      <x:c r="U583" t="n">
        <x:v>2</x:v>
      </x:c>
      <x:c r="V583" t="str"/>
    </x:row>
    <x:row r="584">
      <x:c r="A584" s="52" t="n">
        <x:v>46079</x:v>
      </x:c>
      <x:c r="B584" t="str">
        <x:v>PED-100583</x:v>
      </x:c>
      <x:c r="C584" t="str">
        <x:v>Cliente 057</x:v>
      </x:c>
      <x:c r="D584" t="str">
        <x:v>ES</x:v>
      </x:c>
      <x:c r="E584" t="str">
        <x:v>Sudeste</x:v>
      </x:c>
      <x:c r="F584" t="str">
        <x:v>Marketplace</x:v>
      </x:c>
      <x:c r="G584" t="str">
        <x:v>Escritório</x:v>
      </x:c>
      <x:c r="H584" t="str">
        <x:v>Cadeira Ergonômica</x:v>
      </x:c>
      <x:c r="I584" t="str">
        <x:v>Ana</x:v>
      </x:c>
      <x:c r="J584" s="53" t="n">
        <x:v>1</x:v>
      </x:c>
      <x:c r="K584" s="54" t="n">
        <x:v>2246.68</x:v>
      </x:c>
      <x:c r="L584" s="54" t="n">
        <x:v>1377.34</x:v>
      </x:c>
      <x:c r="M584" s="55" t="n">
        <x:v>0.0768</x:v>
      </x:c>
      <x:c r="N584" s="54" t="n">
        <x:f>ROUND(J584*K584,2)</x:f>
        <x:v>2246.68</x:v>
      </x:c>
      <x:c r="O584" s="54" t="n">
        <x:f>ROUND(N584*(1-M584),2)</x:f>
        <x:v>2074.13</x:v>
      </x:c>
      <x:c r="P584" s="54" t="n">
        <x:f>ROUND(J584*L584,2)</x:f>
        <x:v>1377.34</x:v>
      </x:c>
      <x:c r="Q584" s="54" t="n">
        <x:f>ROUND(O584-P584,2)</x:f>
        <x:v>696.79</x:v>
      </x:c>
      <x:c r="R584" s="55" t="n">
        <x:f>IF(O584=0,0,ROUND(Q584/O584,4))</x:f>
        <x:v>0.3359</x:v>
      </x:c>
      <x:c r="S584" s="53" t="n">
        <x:v>4</x:v>
      </x:c>
      <x:c r="T584" t="str">
        <x:v>Entregue</x:v>
      </x:c>
      <x:c r="U584" t="n">
        <x:v>3</x:v>
      </x:c>
      <x:c r="V584" t="str"/>
    </x:row>
    <x:row r="585">
      <x:c r="A585" s="52" t="n">
        <x:v>46207</x:v>
      </x:c>
      <x:c r="B585" t="str">
        <x:v>PED-100584</x:v>
      </x:c>
      <x:c r="C585" t="str">
        <x:v>Cliente 003</x:v>
      </x:c>
      <x:c r="D585" t="str">
        <x:v>ES</x:v>
      </x:c>
      <x:c r="E585" t="str">
        <x:v>Sudeste</x:v>
      </x:c>
      <x:c r="F585" t="str">
        <x:v>Loja</x:v>
      </x:c>
      <x:c r="G585" t="str">
        <x:v>Casa</x:v>
      </x:c>
      <x:c r="H585" t="str">
        <x:v>Aspirador Robô</x:v>
      </x:c>
      <x:c r="I585" t="str">
        <x:v>Diego</x:v>
      </x:c>
      <x:c r="J585" s="53" t="n">
        <x:v>3</x:v>
      </x:c>
      <x:c r="K585" s="54" t="n">
        <x:v>1943.85</x:v>
      </x:c>
      <x:c r="L585" s="54" t="n">
        <x:v>1170.08</x:v>
      </x:c>
      <x:c r="M585" s="55" t="n">
        <x:v>0</x:v>
      </x:c>
      <x:c r="N585" s="54" t="n">
        <x:f>ROUND(J585*K585,2)</x:f>
        <x:v>5831.55</x:v>
      </x:c>
      <x:c r="O585" s="54" t="n">
        <x:f>ROUND(N585*(1-M585),2)</x:f>
        <x:v>5831.55</x:v>
      </x:c>
      <x:c r="P585" s="54" t="n">
        <x:f>ROUND(J585*L585,2)</x:f>
        <x:v>3510.24</x:v>
      </x:c>
      <x:c r="Q585" s="54" t="n">
        <x:f>ROUND(O585-P585,2)</x:f>
        <x:v>2321.31</x:v>
      </x:c>
      <x:c r="R585" s="55" t="n">
        <x:f>IF(O585=0,0,ROUND(Q585/O585,4))</x:f>
        <x:v>0.3981</x:v>
      </x:c>
      <x:c r="S585" s="53" t="n">
        <x:v>10</x:v>
      </x:c>
      <x:c r="T585" t="str">
        <x:v>Entregue</x:v>
      </x:c>
      <x:c r="U585" t="n">
        <x:v>2</x:v>
      </x:c>
      <x:c r="V585" t="str"/>
    </x:row>
    <x:row r="586">
      <x:c r="A586" s="52" t="n">
        <x:v>46100</x:v>
      </x:c>
      <x:c r="B586" t="str">
        <x:v>PED-100585</x:v>
      </x:c>
      <x:c r="C586" t="str">
        <x:v>Cliente 074</x:v>
      </x:c>
      <x:c r="D586" t="str">
        <x:v>PR</x:v>
      </x:c>
      <x:c r="E586" t="str">
        <x:v>Sul</x:v>
      </x:c>
      <x:c r="F586" t="str">
        <x:v>Loja</x:v>
      </x:c>
      <x:c r="G586" t="str">
        <x:v>Casa</x:v>
      </x:c>
      <x:c r="H586" t="str">
        <x:v>Aspirador Robô</x:v>
      </x:c>
      <x:c r="I586" t="str">
        <x:v>João</x:v>
      </x:c>
      <x:c r="J586" s="53" t="n">
        <x:v>8</x:v>
      </x:c>
      <x:c r="K586" s="54" t="n">
        <x:v>1934.36</x:v>
      </x:c>
      <x:c r="L586" s="54" t="n">
        <x:v>1156.84</x:v>
      </x:c>
      <x:c r="M586" s="55" t="n">
        <x:v>0.0454</x:v>
      </x:c>
      <x:c r="N586" s="54" t="n">
        <x:f>ROUND(J586*K586,2)</x:f>
        <x:v>15474.88</x:v>
      </x:c>
      <x:c r="O586" s="54" t="n">
        <x:f>ROUND(N586*(1-M586),2)</x:f>
        <x:v>14772.32</x:v>
      </x:c>
      <x:c r="P586" s="54" t="n">
        <x:f>ROUND(J586*L586,2)</x:f>
        <x:v>9254.72</x:v>
      </x:c>
      <x:c r="Q586" s="54" t="n">
        <x:f>ROUND(O586-P586,2)</x:f>
        <x:v>5517.6</x:v>
      </x:c>
      <x:c r="R586" s="55" t="n">
        <x:f>IF(O586=0,0,ROUND(Q586/O586,4))</x:f>
        <x:v>0.3735</x:v>
      </x:c>
      <x:c r="S586" s="53" t="n">
        <x:v>19</x:v>
      </x:c>
      <x:c r="T586" t="str">
        <x:v>Entregue com atraso</x:v>
      </x:c>
      <x:c r="U586" t="n">
        <x:v>2</x:v>
      </x:c>
      <x:c r="V586" t="str">
        <x:v>Ocorrência logística</x:v>
      </x:c>
    </x:row>
    <x:row r="587">
      <x:c r="A587" s="52" t="n">
        <x:v>46143</x:v>
      </x:c>
      <x:c r="B587" t="str">
        <x:v>PED-100586</x:v>
      </x:c>
      <x:c r="C587" t="str">
        <x:v>Cliente 001</x:v>
      </x:c>
      <x:c r="D587" t="str">
        <x:v>CE</x:v>
      </x:c>
      <x:c r="E587" t="str">
        <x:v>Nordeste</x:v>
      </x:c>
      <x:c r="F587" t="str">
        <x:v>Marketplace</x:v>
      </x:c>
      <x:c r="G587" t="str">
        <x:v>Casa</x:v>
      </x:c>
      <x:c r="H587" t="str">
        <x:v>Cafeteira Smart</x:v>
      </x:c>
      <x:c r="I587" t="str">
        <x:v>João</x:v>
      </x:c>
      <x:c r="J587" s="53" t="n">
        <x:v>5</x:v>
      </x:c>
      <x:c r="K587" s="54" t="n">
        <x:v>832.38</x:v>
      </x:c>
      <x:c r="L587" s="54" t="n">
        <x:v>489.78</x:v>
      </x:c>
      <x:c r="M587" s="55" t="n">
        <x:v>0.0779</x:v>
      </x:c>
      <x:c r="N587" s="54" t="n">
        <x:f>ROUND(J587*K587,2)</x:f>
        <x:v>4161.9</x:v>
      </x:c>
      <x:c r="O587" s="54" t="n">
        <x:f>ROUND(N587*(1-M587),2)</x:f>
        <x:v>3837.69</x:v>
      </x:c>
      <x:c r="P587" s="54" t="n">
        <x:f>ROUND(J587*L587,2)</x:f>
        <x:v>2448.9</x:v>
      </x:c>
      <x:c r="Q587" s="54" t="n">
        <x:f>ROUND(O587-P587,2)</x:f>
        <x:v>1388.79</x:v>
      </x:c>
      <x:c r="R587" s="55" t="n">
        <x:f>IF(O587=0,0,ROUND(Q587/O587,4))</x:f>
        <x:v>0.3619</x:v>
      </x:c>
      <x:c r="S587" s="53" t="n">
        <x:v>6</x:v>
      </x:c>
      <x:c r="T587" t="str">
        <x:v>Entregue</x:v>
      </x:c>
      <x:c r="U587" t="n">
        <x:v>3</x:v>
      </x:c>
      <x:c r="V587" t="str"/>
    </x:row>
    <x:row r="588">
      <x:c r="A588" s="52" t="n">
        <x:v>46056</x:v>
      </x:c>
      <x:c r="B588" t="str">
        <x:v>PED-100587</x:v>
      </x:c>
      <x:c r="C588" t="str">
        <x:v>Cliente 110</x:v>
      </x:c>
      <x:c r="D588" t="str">
        <x:v>MG</x:v>
      </x:c>
      <x:c r="E588" t="str">
        <x:v>Sudeste</x:v>
      </x:c>
      <x:c r="F588" t="str">
        <x:v>Loja</x:v>
      </x:c>
      <x:c r="G588" t="str">
        <x:v>Escritório</x:v>
      </x:c>
      <x:c r="H588" t="str">
        <x:v>Mesa Ajustável</x:v>
      </x:c>
      <x:c r="I588" t="str">
        <x:v>Henrique</x:v>
      </x:c>
      <x:c r="J588" s="53" t="n">
        <x:v>5</x:v>
      </x:c>
      <x:c r="K588" s="54" t="n">
        <x:v>2805.46</x:v>
      </x:c>
      <x:c r="L588" s="54" t="n">
        <x:v>1888.18</x:v>
      </x:c>
      <x:c r="M588" s="55" t="n">
        <x:v>0</x:v>
      </x:c>
      <x:c r="N588" s="54" t="n">
        <x:f>ROUND(J588*K588,2)</x:f>
        <x:v>14027.3</x:v>
      </x:c>
      <x:c r="O588" s="54" t="n">
        <x:f>ROUND(N588*(1-M588),2)</x:f>
        <x:v>14027.3</x:v>
      </x:c>
      <x:c r="P588" s="54" t="n">
        <x:f>ROUND(J588*L588,2)</x:f>
        <x:v>9440.9</x:v>
      </x:c>
      <x:c r="Q588" s="54" t="n">
        <x:f>ROUND(O588-P588,2)</x:f>
        <x:v>4586.4</x:v>
      </x:c>
      <x:c r="R588" s="55" t="n">
        <x:f>IF(O588=0,0,ROUND(Q588/O588,4))</x:f>
        <x:v>0.327</x:v>
      </x:c>
      <x:c r="S588" s="53" t="n">
        <x:v>14</x:v>
      </x:c>
      <x:c r="T588" t="str">
        <x:v>Entregue com atraso</x:v>
      </x:c>
      <x:c r="U588" t="n">
        <x:v>4</x:v>
      </x:c>
      <x:c r="V588" t="str"/>
    </x:row>
    <x:row r="589">
      <x:c r="A589" s="52" t="n">
        <x:v>46059</x:v>
      </x:c>
      <x:c r="B589" t="str">
        <x:v>PED-100588</x:v>
      </x:c>
      <x:c r="C589" t="str">
        <x:v>Cliente 083</x:v>
      </x:c>
      <x:c r="D589" t="str">
        <x:v>PE</x:v>
      </x:c>
      <x:c r="E589" t="str">
        <x:v>Nordeste</x:v>
      </x:c>
      <x:c r="F589" t="str">
        <x:v>Marketplace</x:v>
      </x:c>
      <x:c r="G589" t="str">
        <x:v>Tecnologia</x:v>
      </x:c>
      <x:c r="H589" t="str">
        <x:v>Headset Office</x:v>
      </x:c>
      <x:c r="I589" t="str">
        <x:v>Ana</x:v>
      </x:c>
      <x:c r="J589" s="53" t="n">
        <x:v>2</x:v>
      </x:c>
      <x:c r="K589" s="54" t="n">
        <x:v>369.87</x:v>
      </x:c>
      <x:c r="L589" s="54" t="n">
        <x:v>215.21</x:v>
      </x:c>
      <x:c r="M589" s="55" t="n">
        <x:v>0.035</x:v>
      </x:c>
      <x:c r="N589" s="54" t="n">
        <x:f>ROUND(J589*K589,2)</x:f>
        <x:v>739.74</x:v>
      </x:c>
      <x:c r="O589" s="54" t="n">
        <x:f>ROUND(N589*(1-M589),2)</x:f>
        <x:v>713.85</x:v>
      </x:c>
      <x:c r="P589" s="54" t="n">
        <x:f>ROUND(J589*L589,2)</x:f>
        <x:v>430.42</x:v>
      </x:c>
      <x:c r="Q589" s="54" t="n">
        <x:f>ROUND(O589-P589,2)</x:f>
        <x:v>283.43</x:v>
      </x:c>
      <x:c r="R589" s="55" t="n">
        <x:f>IF(O589=0,0,ROUND(Q589/O589,4))</x:f>
        <x:v>0.397</x:v>
      </x:c>
      <x:c r="S589" s="53" t="n">
        <x:v>6</x:v>
      </x:c>
      <x:c r="T589" t="str">
        <x:v>Entregue</x:v>
      </x:c>
      <x:c r="U589" t="n">
        <x:v>2</x:v>
      </x:c>
      <x:c r="V589" t="str"/>
    </x:row>
    <x:row r="590">
      <x:c r="A590" s="52" t="n">
        <x:v>46218</x:v>
      </x:c>
      <x:c r="B590" t="str">
        <x:v>PED-100589</x:v>
      </x:c>
      <x:c r="C590" t="str">
        <x:v>Cliente 030</x:v>
      </x:c>
      <x:c r="D590" t="str">
        <x:v>MA</x:v>
      </x:c>
      <x:c r="E590" t="str">
        <x:v>Nordeste</x:v>
      </x:c>
      <x:c r="F590" t="str">
        <x:v>E-commerce</x:v>
      </x:c>
      <x:c r="G590" t="str">
        <x:v>Escritório</x:v>
      </x:c>
      <x:c r="H590" t="str">
        <x:v>Mesa Ajustável</x:v>
      </x:c>
      <x:c r="I590" t="str">
        <x:v>Elaine</x:v>
      </x:c>
      <x:c r="J590" s="53" t="n">
        <x:v>6</x:v>
      </x:c>
      <x:c r="K590" s="54" t="n">
        <x:v>2706.15</x:v>
      </x:c>
      <x:c r="L590" s="54" t="n">
        <x:v>1945.1</x:v>
      </x:c>
      <x:c r="M590" s="55" t="n">
        <x:v>0.0745</x:v>
      </x:c>
      <x:c r="N590" s="54" t="n">
        <x:f>ROUND(J590*K590,2)</x:f>
        <x:v>16236.9</x:v>
      </x:c>
      <x:c r="O590" s="54" t="n">
        <x:f>ROUND(N590*(1-M590),2)</x:f>
        <x:v>15027.25</x:v>
      </x:c>
      <x:c r="P590" s="54" t="n">
        <x:f>ROUND(J590*L590,2)</x:f>
        <x:v>11670.6</x:v>
      </x:c>
      <x:c r="Q590" s="54" t="n">
        <x:f>ROUND(O590-P590,2)</x:f>
        <x:v>3356.65</x:v>
      </x:c>
      <x:c r="R590" s="55" t="n">
        <x:f>IF(O590=0,0,ROUND(Q590/O590,4))</x:f>
        <x:v>0.2234</x:v>
      </x:c>
      <x:c r="S590" s="53" t="n">
        <x:v>6</x:v>
      </x:c>
      <x:c r="T590" t="str">
        <x:v>Entregue</x:v>
      </x:c>
      <x:c r="U590" t="n">
        <x:v>3</x:v>
      </x:c>
      <x:c r="V590" t="str"/>
    </x:row>
    <x:row r="591">
      <x:c r="A591" s="52" t="n">
        <x:v>46175</x:v>
      </x:c>
      <x:c r="B591" t="str">
        <x:v>PED-100590</x:v>
      </x:c>
      <x:c r="C591" t="str">
        <x:v>Cliente 117</x:v>
      </x:c>
      <x:c r="D591" t="str">
        <x:v>DF</x:v>
      </x:c>
      <x:c r="E591" t="str">
        <x:v>Centro-Oeste</x:v>
      </x:c>
      <x:c r="F591" t="str">
        <x:v>Televendas</x:v>
      </x:c>
      <x:c r="G591" t="str">
        <x:v>Acessórios</x:v>
      </x:c>
      <x:c r="H591" t="str">
        <x:v>Hub USB-C</x:v>
      </x:c>
      <x:c r="I591" t="str">
        <x:v>Ana</x:v>
      </x:c>
      <x:c r="J591" s="53" t="n">
        <x:v>3</x:v>
      </x:c>
      <x:c r="K591" s="54" t="n">
        <x:v>331.99</x:v>
      </x:c>
      <x:c r="L591" s="54" t="n">
        <x:v>133.84</x:v>
      </x:c>
      <x:c r="M591" s="55" t="n">
        <x:v>0</x:v>
      </x:c>
      <x:c r="N591" s="54" t="n">
        <x:f>ROUND(J591*K591,2)</x:f>
        <x:v>995.97</x:v>
      </x:c>
      <x:c r="O591" s="54" t="n">
        <x:f>ROUND(N591*(1-M591),2)</x:f>
        <x:v>995.97</x:v>
      </x:c>
      <x:c r="P591" s="54" t="n">
        <x:f>ROUND(J591*L591,2)</x:f>
        <x:v>401.52</x:v>
      </x:c>
      <x:c r="Q591" s="54" t="n">
        <x:f>ROUND(O591-P591,2)</x:f>
        <x:v>594.45</x:v>
      </x:c>
      <x:c r="R591" s="55" t="n">
        <x:f>IF(O591=0,0,ROUND(Q591/O591,4))</x:f>
        <x:v>0.5969</x:v>
      </x:c>
      <x:c r="S591" s="53" t="n">
        <x:v>4</x:v>
      </x:c>
      <x:c r="T591" t="str">
        <x:v>Entregue</x:v>
      </x:c>
      <x:c r="U591" t="n">
        <x:v>3</x:v>
      </x:c>
      <x:c r="V591" t="str"/>
    </x:row>
    <x:row r="592">
      <x:c r="A592" s="52" t="n">
        <x:v>46081</x:v>
      </x:c>
      <x:c r="B592" t="str">
        <x:v>PED-100591</x:v>
      </x:c>
      <x:c r="C592" t="str">
        <x:v>Cliente 098</x:v>
      </x:c>
      <x:c r="D592" t="str">
        <x:v>PR</x:v>
      </x:c>
      <x:c r="E592" t="str">
        <x:v>Sul</x:v>
      </x:c>
      <x:c r="F592" t="str">
        <x:v>E-commerce</x:v>
      </x:c>
      <x:c r="G592" t="str">
        <x:v>Acessórios</x:v>
      </x:c>
      <x:c r="H592" t="str">
        <x:v>Hub USB-C</x:v>
      </x:c>
      <x:c r="I592" t="str">
        <x:v>Ana</x:v>
      </x:c>
      <x:c r="J592" s="53" t="n">
        <x:v>1</x:v>
      </x:c>
      <x:c r="K592" s="54" t="n">
        <x:v>312.17</x:v>
      </x:c>
      <x:c r="L592" s="54" t="n">
        <x:v>135.31</x:v>
      </x:c>
      <x:c r="M592" s="55" t="n">
        <x:v>0</x:v>
      </x:c>
      <x:c r="N592" s="54" t="n">
        <x:f>ROUND(J592*K592,2)</x:f>
        <x:v>312.17</x:v>
      </x:c>
      <x:c r="O592" s="54" t="n">
        <x:f>ROUND(N592*(1-M592),2)</x:f>
        <x:v>312.17</x:v>
      </x:c>
      <x:c r="P592" s="54" t="n">
        <x:f>ROUND(J592*L592,2)</x:f>
        <x:v>135.31</x:v>
      </x:c>
      <x:c r="Q592" s="54" t="n">
        <x:f>ROUND(O592-P592,2)</x:f>
        <x:v>176.86</x:v>
      </x:c>
      <x:c r="R592" s="55" t="n">
        <x:f>IF(O592=0,0,ROUND(Q592/O592,4))</x:f>
        <x:v>0.5666</x:v>
      </x:c>
      <x:c r="S592" s="53" t="n">
        <x:v>10</x:v>
      </x:c>
      <x:c r="T592" t="str">
        <x:v>Entregue</x:v>
      </x:c>
      <x:c r="U592" t="n">
        <x:v>5</x:v>
      </x:c>
      <x:c r="V592" t="str"/>
    </x:row>
    <x:row r="593">
      <x:c r="A593" s="52" t="n">
        <x:v>46118</x:v>
      </x:c>
      <x:c r="B593" t="str">
        <x:v>PED-100592</x:v>
      </x:c>
      <x:c r="C593" t="str">
        <x:v>Cliente 039</x:v>
      </x:c>
      <x:c r="D593" t="str">
        <x:v>MG</x:v>
      </x:c>
      <x:c r="E593" t="str">
        <x:v>Sudeste</x:v>
      </x:c>
      <x:c r="F593" t="str">
        <x:v>Marketplace</x:v>
      </x:c>
      <x:c r="G593" t="str">
        <x:v>Acessórios</x:v>
      </x:c>
      <x:c r="H593" t="str">
        <x:v>Mochila Executiva</x:v>
      </x:c>
      <x:c r="I593" t="str">
        <x:v>Felipe</x:v>
      </x:c>
      <x:c r="J593" s="53" t="n">
        <x:v>6</x:v>
      </x:c>
      <x:c r="K593" s="54" t="n">
        <x:v>434.94</x:v>
      </x:c>
      <x:c r="L593" s="54" t="n">
        <x:v>194.55</x:v>
      </x:c>
      <x:c r="M593" s="55" t="n">
        <x:v>0.5264</x:v>
      </x:c>
      <x:c r="N593" s="54" t="n">
        <x:f>ROUND(J593*K593,2)</x:f>
        <x:v>2609.64</x:v>
      </x:c>
      <x:c r="O593" s="54" t="n">
        <x:f>ROUND(N593*(1-M593),2)</x:f>
        <x:v>1235.93</x:v>
      </x:c>
      <x:c r="P593" s="54" t="n">
        <x:f>ROUND(J593*L593,2)</x:f>
        <x:v>1167.3</x:v>
      </x:c>
      <x:c r="Q593" s="54" t="n">
        <x:f>ROUND(O593-P593,2)</x:f>
        <x:v>68.63</x:v>
      </x:c>
      <x:c r="R593" s="55" t="n">
        <x:f>IF(O593=0,0,ROUND(Q593/O593,4))</x:f>
        <x:v>0.0555</x:v>
      </x:c>
      <x:c r="S593" s="53" t="n">
        <x:v>12</x:v>
      </x:c>
      <x:c r="T593" t="str">
        <x:v>Entregue com atraso</x:v>
      </x:c>
      <x:c r="U593" t="n">
        <x:v>5</x:v>
      </x:c>
      <x:c r="V593" t="str">
        <x:v>Desconto autorizado fora da campanha</x:v>
      </x:c>
    </x:row>
    <x:row r="594">
      <x:c r="A594" s="52" t="n">
        <x:v>46117</x:v>
      </x:c>
      <x:c r="B594" t="str">
        <x:v>PED-100593</x:v>
      </x:c>
      <x:c r="C594" t="str">
        <x:v>Cliente 086</x:v>
      </x:c>
      <x:c r="D594" t="str">
        <x:v>SP</x:v>
      </x:c>
      <x:c r="E594" t="str">
        <x:v>Sudeste</x:v>
      </x:c>
      <x:c r="F594" t="str">
        <x:v>Televendas</x:v>
      </x:c>
      <x:c r="G594" t="str">
        <x:v>Acessórios</x:v>
      </x:c>
      <x:c r="H594" t="str">
        <x:v>Webcam HD</x:v>
      </x:c>
      <x:c r="I594" t="str">
        <x:v>João</x:v>
      </x:c>
      <x:c r="J594" s="53" t="n">
        <x:v>4</x:v>
      </x:c>
      <x:c r="K594" s="54" t="n">
        <x:v>480.22</x:v>
      </x:c>
      <x:c r="L594" s="54" t="n">
        <x:v>249.84</x:v>
      </x:c>
      <x:c r="M594" s="55" t="n">
        <x:v>0</x:v>
      </x:c>
      <x:c r="N594" s="54" t="n">
        <x:f>ROUND(J594*K594,2)</x:f>
        <x:v>1920.88</x:v>
      </x:c>
      <x:c r="O594" s="54" t="n">
        <x:f>ROUND(N594*(1-M594),2)</x:f>
        <x:v>1920.88</x:v>
      </x:c>
      <x:c r="P594" s="54" t="n">
        <x:f>ROUND(J594*L594,2)</x:f>
        <x:v>999.36</x:v>
      </x:c>
      <x:c r="Q594" s="54" t="n">
        <x:f>ROUND(O594-P594,2)</x:f>
        <x:v>921.52</x:v>
      </x:c>
      <x:c r="R594" s="55" t="n">
        <x:f>IF(O594=0,0,ROUND(Q594/O594,4))</x:f>
        <x:v>0.4797</x:v>
      </x:c>
      <x:c r="S594" s="53" t="n">
        <x:v>14</x:v>
      </x:c>
      <x:c r="T594" t="str">
        <x:v>Entregue com atraso</x:v>
      </x:c>
      <x:c r="U594" t="n">
        <x:v>4</x:v>
      </x:c>
      <x:c r="V594" t="str"/>
    </x:row>
    <x:row r="595">
      <x:c r="A595" s="52" t="n">
        <x:v>46040</x:v>
      </x:c>
      <x:c r="B595" t="str">
        <x:v>PED-100594</x:v>
      </x:c>
      <x:c r="C595" t="str">
        <x:v>Cliente 038</x:v>
      </x:c>
      <x:c r="D595" t="str">
        <x:v>MG</x:v>
      </x:c>
      <x:c r="E595" t="str">
        <x:v>Sudeste</x:v>
      </x:c>
      <x:c r="F595" t="str">
        <x:v>Loja</x:v>
      </x:c>
      <x:c r="G595" t="str">
        <x:v>Acessórios</x:v>
      </x:c>
      <x:c r="H595" t="str">
        <x:v>Hub USB-C</x:v>
      </x:c>
      <x:c r="I595" t="str">
        <x:v>Diego</x:v>
      </x:c>
      <x:c r="J595" s="53" t="n">
        <x:v>5</x:v>
      </x:c>
      <x:c r="K595" s="54" t="n">
        <x:v>336.86</x:v>
      </x:c>
      <x:c r="L595" s="54" t="n">
        <x:v>133.48</x:v>
      </x:c>
      <x:c r="M595" s="55" t="n">
        <x:v>0</x:v>
      </x:c>
      <x:c r="N595" s="54" t="n">
        <x:f>ROUND(J595*K595,2)</x:f>
        <x:v>1684.3</x:v>
      </x:c>
      <x:c r="O595" s="54" t="n">
        <x:f>ROUND(N595*(1-M595),2)</x:f>
        <x:v>1684.3</x:v>
      </x:c>
      <x:c r="P595" s="54" t="n">
        <x:f>ROUND(J595*L595,2)</x:f>
        <x:v>667.4</x:v>
      </x:c>
      <x:c r="Q595" s="54" t="n">
        <x:f>ROUND(O595-P595,2)</x:f>
        <x:v>1016.9</x:v>
      </x:c>
      <x:c r="R595" s="55" t="n">
        <x:f>IF(O595=0,0,ROUND(Q595/O595,4))</x:f>
        <x:v>0.6038</x:v>
      </x:c>
      <x:c r="S595" s="53" t="n">
        <x:v>6</x:v>
      </x:c>
      <x:c r="T595" t="str">
        <x:v>Entregue</x:v>
      </x:c>
      <x:c r="U595" t="n">
        <x:v>5</x:v>
      </x:c>
      <x:c r="V595" t="str"/>
    </x:row>
    <x:row r="596">
      <x:c r="A596" s="52" t="n">
        <x:v>46184</x:v>
      </x:c>
      <x:c r="B596" t="str">
        <x:v>PED-100595</x:v>
      </x:c>
      <x:c r="C596" t="str">
        <x:v>Cliente 046</x:v>
      </x:c>
      <x:c r="D596" t="str">
        <x:v>PR</x:v>
      </x:c>
      <x:c r="E596" t="str">
        <x:v>Sul</x:v>
      </x:c>
      <x:c r="F596" t="str">
        <x:v>Televendas</x:v>
      </x:c>
      <x:c r="G596" t="str">
        <x:v>Casa</x:v>
      </x:c>
      <x:c r="H596" t="str">
        <x:v>Aspirador Robô</x:v>
      </x:c>
      <x:c r="I596" t="str">
        <x:v>Gabriela</x:v>
      </x:c>
      <x:c r="J596" s="53" t="n">
        <x:v>7</x:v>
      </x:c>
      <x:c r="K596" s="54" t="n">
        <x:v>1807.75</x:v>
      </x:c>
      <x:c r="L596" s="54" t="n">
        <x:v>1157.74</x:v>
      </x:c>
      <x:c r="M596" s="55" t="n">
        <x:v>0.0865</x:v>
      </x:c>
      <x:c r="N596" s="54" t="n">
        <x:f>ROUND(J596*K596,2)</x:f>
        <x:v>12654.25</x:v>
      </x:c>
      <x:c r="O596" s="54" t="n">
        <x:f>ROUND(N596*(1-M596),2)</x:f>
        <x:v>11559.66</x:v>
      </x:c>
      <x:c r="P596" s="54" t="n">
        <x:f>ROUND(J596*L596,2)</x:f>
        <x:v>8104.18</x:v>
      </x:c>
      <x:c r="Q596" s="54" t="n">
        <x:f>ROUND(O596-P596,2)</x:f>
        <x:v>3455.48</x:v>
      </x:c>
      <x:c r="R596" s="55" t="n">
        <x:f>IF(O596=0,0,ROUND(Q596/O596,4))</x:f>
        <x:v>0.2989</x:v>
      </x:c>
      <x:c r="S596" s="53" t="n">
        <x:v>10</x:v>
      </x:c>
      <x:c r="T596" t="str">
        <x:v>Entregue</x:v>
      </x:c>
      <x:c r="U596" t="n">
        <x:v>3</x:v>
      </x:c>
      <x:c r="V596" t="str"/>
    </x:row>
    <x:row r="597">
      <x:c r="A597" s="52" t="n">
        <x:v>46144</x:v>
      </x:c>
      <x:c r="B597" t="str">
        <x:v>PED-100596</x:v>
      </x:c>
      <x:c r="C597" t="str">
        <x:v>Cliente 085</x:v>
      </x:c>
      <x:c r="D597" t="str">
        <x:v>PE</x:v>
      </x:c>
      <x:c r="E597" t="str">
        <x:v>Nordeste</x:v>
      </x:c>
      <x:c r="F597" t="str">
        <x:v>Loja</x:v>
      </x:c>
      <x:c r="G597" t="str">
        <x:v>Casa</x:v>
      </x:c>
      <x:c r="H597" t="str">
        <x:v>Purificador</x:v>
      </x:c>
      <x:c r="I597" t="str">
        <x:v>Henrique</x:v>
      </x:c>
      <x:c r="J597" s="53" t="n">
        <x:v>3</x:v>
      </x:c>
      <x:c r="K597" s="54" t="n">
        <x:v>1219.87</x:v>
      </x:c>
      <x:c r="L597" s="54" t="n">
        <x:v>773.73</x:v>
      </x:c>
      <x:c r="M597" s="55" t="n">
        <x:v>0.0936</x:v>
      </x:c>
      <x:c r="N597" s="54" t="n">
        <x:f>ROUND(J597*K597,2)</x:f>
        <x:v>3659.61</x:v>
      </x:c>
      <x:c r="O597" s="54" t="n">
        <x:f>ROUND(N597*(1-M597),2)</x:f>
        <x:v>3317.07</x:v>
      </x:c>
      <x:c r="P597" s="54" t="n">
        <x:f>ROUND(J597*L597,2)</x:f>
        <x:v>2321.19</x:v>
      </x:c>
      <x:c r="Q597" s="54" t="n">
        <x:f>ROUND(O597-P597,2)</x:f>
        <x:v>995.88</x:v>
      </x:c>
      <x:c r="R597" s="55" t="n">
        <x:f>IF(O597=0,0,ROUND(Q597/O597,4))</x:f>
        <x:v>0.3002</x:v>
      </x:c>
      <x:c r="S597" s="53" t="n">
        <x:v>7</x:v>
      </x:c>
      <x:c r="T597" t="str">
        <x:v>Entregue</x:v>
      </x:c>
      <x:c r="U597" t="n">
        <x:v>5</x:v>
      </x:c>
      <x:c r="V597" t="str"/>
    </x:row>
    <x:row r="598">
      <x:c r="A598" s="52" t="n">
        <x:v>46093</x:v>
      </x:c>
      <x:c r="B598" t="str">
        <x:v>PED-100597</x:v>
      </x:c>
      <x:c r="C598" t="str">
        <x:v>Cliente 087</x:v>
      </x:c>
      <x:c r="D598" t="str">
        <x:v>BA</x:v>
      </x:c>
      <x:c r="E598" t="str">
        <x:v>Nordeste</x:v>
      </x:c>
      <x:c r="F598" t="str">
        <x:v>Loja</x:v>
      </x:c>
      <x:c r="G598" t="str">
        <x:v>Escritório</x:v>
      </x:c>
      <x:c r="H598" t="str">
        <x:v>Luminária LED</x:v>
      </x:c>
      <x:c r="I598" t="str">
        <x:v>Carla</x:v>
      </x:c>
      <x:c r="J598" s="53" t="n">
        <x:v>3</x:v>
      </x:c>
      <x:c r="K598" s="54" t="n">
        <x:v>245.84</x:v>
      </x:c>
      <x:c r="L598" s="54" t="n">
        <x:v>123.35</x:v>
      </x:c>
      <x:c r="M598" s="55" t="n">
        <x:v>0.0037</x:v>
      </x:c>
      <x:c r="N598" s="54" t="n">
        <x:f>ROUND(J598*K598,2)</x:f>
        <x:v>737.52</x:v>
      </x:c>
      <x:c r="O598" s="54" t="n">
        <x:f>ROUND(N598*(1-M598),2)</x:f>
        <x:v>734.79</x:v>
      </x:c>
      <x:c r="P598" s="54" t="n">
        <x:f>ROUND(J598*L598,2)</x:f>
        <x:v>370.05</x:v>
      </x:c>
      <x:c r="Q598" s="54" t="n">
        <x:f>ROUND(O598-P598,2)</x:f>
        <x:v>364.74</x:v>
      </x:c>
      <x:c r="R598" s="55" t="n">
        <x:f>IF(O598=0,0,ROUND(Q598/O598,4))</x:f>
        <x:v>0.4964</x:v>
      </x:c>
      <x:c r="S598" s="53" t="n">
        <x:v>10</x:v>
      </x:c>
      <x:c r="T598" t="str">
        <x:v>Cancelado</x:v>
      </x:c>
      <x:c r="U598"/>
      <x:c r="V598" t="str"/>
    </x:row>
    <x:row r="599">
      <x:c r="A599" s="52" t="n">
        <x:v>46077</x:v>
      </x:c>
      <x:c r="B599" t="str">
        <x:v>PED-100598</x:v>
      </x:c>
      <x:c r="C599" t="str">
        <x:v>Cliente 033</x:v>
      </x:c>
      <x:c r="D599" t="str">
        <x:v>ES</x:v>
      </x:c>
      <x:c r="E599" t="str">
        <x:v>Sudeste</x:v>
      </x:c>
      <x:c r="F599" t="str">
        <x:v>Televendas</x:v>
      </x:c>
      <x:c r="G599" t="str">
        <x:v>Escritório</x:v>
      </x:c>
      <x:c r="H599" t="str">
        <x:v>Luminária LED</x:v>
      </x:c>
      <x:c r="I599" t="str">
        <x:v>João</x:v>
      </x:c>
      <x:c r="J599" s="53" t="n">
        <x:v>8</x:v>
      </x:c>
      <x:c r="K599" s="54" t="n">
        <x:v>267.12</x:v>
      </x:c>
      <x:c r="L599" s="54" t="n">
        <x:v>116.55</x:v>
      </x:c>
      <x:c r="M599" s="55" t="n">
        <x:v>0</x:v>
      </x:c>
      <x:c r="N599" s="54" t="n">
        <x:f>ROUND(J599*K599,2)</x:f>
        <x:v>2136.96</x:v>
      </x:c>
      <x:c r="O599" s="54" t="n">
        <x:f>ROUND(N599*(1-M599),2)</x:f>
        <x:v>2136.96</x:v>
      </x:c>
      <x:c r="P599" s="54" t="n">
        <x:f>ROUND(J599*L599,2)</x:f>
        <x:v>932.4</x:v>
      </x:c>
      <x:c r="Q599" s="54" t="n">
        <x:f>ROUND(O599-P599,2)</x:f>
        <x:v>1204.56</x:v>
      </x:c>
      <x:c r="R599" s="55" t="n">
        <x:f>IF(O599=0,0,ROUND(Q599/O599,4))</x:f>
        <x:v>0.5637</x:v>
      </x:c>
      <x:c r="S599" s="53" t="n">
        <x:v>10</x:v>
      </x:c>
      <x:c r="T599" t="str">
        <x:v>Entregue</x:v>
      </x:c>
      <x:c r="U599" t="n">
        <x:v>2</x:v>
      </x:c>
      <x:c r="V599" t="str"/>
    </x:row>
    <x:row r="600">
      <x:c r="A600" s="52" t="n">
        <x:v>46165</x:v>
      </x:c>
      <x:c r="B600" t="str">
        <x:v>PED-100599</x:v>
      </x:c>
      <x:c r="C600" t="str">
        <x:v>Cliente 091</x:v>
      </x:c>
      <x:c r="D600" t="str">
        <x:v>AM</x:v>
      </x:c>
      <x:c r="E600" t="str">
        <x:v>Norte</x:v>
      </x:c>
      <x:c r="F600" t="str">
        <x:v>Loja</x:v>
      </x:c>
      <x:c r="G600" t="str">
        <x:v>Acessórios</x:v>
      </x:c>
      <x:c r="H600" t="str">
        <x:v>Webcam HD</x:v>
      </x:c>
      <x:c r="I600" t="str">
        <x:v>Elaine</x:v>
      </x:c>
      <x:c r="J600" s="53" t="n">
        <x:v>8</x:v>
      </x:c>
      <x:c r="K600" s="54" t="n">
        <x:v>526.3</x:v>
      </x:c>
      <x:c r="L600" s="54" t="n">
        <x:v>244.44</x:v>
      </x:c>
      <x:c r="M600" s="55" t="n">
        <x:v>0.0382</x:v>
      </x:c>
      <x:c r="N600" s="54" t="n">
        <x:f>ROUND(J600*K600,2)</x:f>
        <x:v>4210.4</x:v>
      </x:c>
      <x:c r="O600" s="54" t="n">
        <x:f>ROUND(N600*(1-M600),2)</x:f>
        <x:v>4049.56</x:v>
      </x:c>
      <x:c r="P600" s="54" t="n">
        <x:f>ROUND(J600*L600,2)</x:f>
        <x:v>1955.52</x:v>
      </x:c>
      <x:c r="Q600" s="54" t="n">
        <x:f>ROUND(O600-P600,2)</x:f>
        <x:v>2094.04</x:v>
      </x:c>
      <x:c r="R600" s="55" t="n">
        <x:f>IF(O600=0,0,ROUND(Q600/O600,4))</x:f>
        <x:v>0.5171</x:v>
      </x:c>
      <x:c r="S600" s="53" t="n">
        <x:v>14</x:v>
      </x:c>
      <x:c r="T600" t="str">
        <x:v>Entregue com atraso</x:v>
      </x:c>
      <x:c r="U600" t="n">
        <x:v>5</x:v>
      </x:c>
      <x:c r="V600" t="str"/>
    </x:row>
    <x:row r="601">
      <x:c r="A601" s="52" t="n">
        <x:v>46182</x:v>
      </x:c>
      <x:c r="B601" t="str">
        <x:v>PED-100600</x:v>
      </x:c>
      <x:c r="C601" t="str">
        <x:v>Cliente 091</x:v>
      </x:c>
      <x:c r="D601" t="str">
        <x:v>PA</x:v>
      </x:c>
      <x:c r="E601" t="str">
        <x:v>Norte</x:v>
      </x:c>
      <x:c r="F601" t="str">
        <x:v>Televendas</x:v>
      </x:c>
      <x:c r="G601" t="str">
        <x:v>Escritório</x:v>
      </x:c>
      <x:c r="H601" t="str">
        <x:v>Luminária LED</x:v>
      </x:c>
      <x:c r="I601" t="str">
        <x:v>Diego</x:v>
      </x:c>
      <x:c r="J601" s="53" t="n">
        <x:v>4</x:v>
      </x:c>
      <x:c r="K601" s="54" t="n">
        <x:v>253.41</x:v>
      </x:c>
      <x:c r="L601" s="54" t="n">
        <x:v>126.44</x:v>
      </x:c>
      <x:c r="M601" s="55" t="n">
        <x:v>0</x:v>
      </x:c>
      <x:c r="N601" s="54" t="n">
        <x:f>ROUND(J601*K601,2)</x:f>
        <x:v>1013.64</x:v>
      </x:c>
      <x:c r="O601" s="54" t="n">
        <x:f>ROUND(N601*(1-M601),2)</x:f>
        <x:v>1013.64</x:v>
      </x:c>
      <x:c r="P601" s="54" t="n">
        <x:f>ROUND(J601*L601,2)</x:f>
        <x:v>505.76</x:v>
      </x:c>
      <x:c r="Q601" s="54" t="n">
        <x:f>ROUND(O601-P601,2)</x:f>
        <x:v>507.88</x:v>
      </x:c>
      <x:c r="R601" s="55" t="n">
        <x:f>IF(O601=0,0,ROUND(Q601/O601,4))</x:f>
        <x:v>0.501</x:v>
      </x:c>
      <x:c r="S601" s="53" t="n">
        <x:v>3</x:v>
      </x:c>
      <x:c r="T601" t="str">
        <x:v>Entregue</x:v>
      </x:c>
      <x:c r="U601" t="n">
        <x:v>4</x:v>
      </x:c>
      <x:c r="V601" t="str"/>
    </x:row>
    <x:row r="602">
      <x:c r="A602" s="52" t="n">
        <x:v>46216</x:v>
      </x:c>
      <x:c r="B602" t="str">
        <x:v>PED-100601</x:v>
      </x:c>
      <x:c r="C602" t="str">
        <x:v>Cliente 116</x:v>
      </x:c>
      <x:c r="D602" t="str">
        <x:v>MG</x:v>
      </x:c>
      <x:c r="E602" t="str">
        <x:v>Sudeste</x:v>
      </x:c>
      <x:c r="F602" t="str">
        <x:v>E-commerce</x:v>
      </x:c>
      <x:c r="G602" t="str">
        <x:v>Casa</x:v>
      </x:c>
      <x:c r="H602" t="str">
        <x:v>Cafeteira Smart</x:v>
      </x:c>
      <x:c r="I602" t="str">
        <x:v>Henrique</x:v>
      </x:c>
      <x:c r="J602" s="53" t="n">
        <x:v>5</x:v>
      </x:c>
      <x:c r="K602" s="54" t="n">
        <x:v>821.74</x:v>
      </x:c>
      <x:c r="L602" s="54" t="n">
        <x:v>444.84</x:v>
      </x:c>
      <x:c r="M602" s="55" t="n">
        <x:v>0</x:v>
      </x:c>
      <x:c r="N602" s="54" t="n">
        <x:f>ROUND(J602*K602,2)</x:f>
        <x:v>4108.7</x:v>
      </x:c>
      <x:c r="O602" s="54" t="n">
        <x:f>ROUND(N602*(1-M602),2)</x:f>
        <x:v>4108.7</x:v>
      </x:c>
      <x:c r="P602" s="54" t="n">
        <x:f>ROUND(J602*L602,2)</x:f>
        <x:v>2224.2</x:v>
      </x:c>
      <x:c r="Q602" s="54" t="n">
        <x:f>ROUND(O602-P602,2)</x:f>
        <x:v>1884.5</x:v>
      </x:c>
      <x:c r="R602" s="55" t="n">
        <x:f>IF(O602=0,0,ROUND(Q602/O602,4))</x:f>
        <x:v>0.4587</x:v>
      </x:c>
      <x:c r="S602" s="53" t="n">
        <x:v>8</x:v>
      </x:c>
      <x:c r="T602" t="str">
        <x:v>Entregue</x:v>
      </x:c>
      <x:c r="U602" t="n">
        <x:v>4</x:v>
      </x:c>
      <x:c r="V602" t="str"/>
    </x:row>
    <x:row r="603">
      <x:c r="A603" s="52" t="n">
        <x:v>46051</x:v>
      </x:c>
      <x:c r="B603" t="str">
        <x:v>PED-100602</x:v>
      </x:c>
      <x:c r="C603" t="str">
        <x:v>Cliente 046</x:v>
      </x:c>
      <x:c r="D603" t="str">
        <x:v>RS</x:v>
      </x:c>
      <x:c r="E603" t="str">
        <x:v>Sul</x:v>
      </x:c>
      <x:c r="F603" t="str">
        <x:v>Loja</x:v>
      </x:c>
      <x:c r="G603" t="str">
        <x:v>Acessórios</x:v>
      </x:c>
      <x:c r="H603" t="str">
        <x:v>Mochila Executiva</x:v>
      </x:c>
      <x:c r="I603" t="str">
        <x:v>João</x:v>
      </x:c>
      <x:c r="J603" s="53" t="n">
        <x:v>6</x:v>
      </x:c>
      <x:c r="K603" s="54" t="n">
        <x:v>440.82</x:v>
      </x:c>
      <x:c r="L603" s="54" t="n">
        <x:v>186.62</x:v>
      </x:c>
      <x:c r="M603" s="55" t="n">
        <x:v>0.0981</x:v>
      </x:c>
      <x:c r="N603" s="54" t="n">
        <x:f>ROUND(J603*K603,2)</x:f>
        <x:v>2644.92</x:v>
      </x:c>
      <x:c r="O603" s="54" t="n">
        <x:f>ROUND(N603*(1-M603),2)</x:f>
        <x:v>2385.45</x:v>
      </x:c>
      <x:c r="P603" s="54" t="n">
        <x:f>ROUND(J603*L603,2)</x:f>
        <x:v>1119.72</x:v>
      </x:c>
      <x:c r="Q603" s="54" t="n">
        <x:f>ROUND(O603-P603,2)</x:f>
        <x:v>1265.73</x:v>
      </x:c>
      <x:c r="R603" s="55" t="n">
        <x:f>IF(O603=0,0,ROUND(Q603/O603,4))</x:f>
        <x:v>0.5306</x:v>
      </x:c>
      <x:c r="S603" s="53" t="n">
        <x:v>2</x:v>
      </x:c>
      <x:c r="T603" t="str">
        <x:v>Cancelado</x:v>
      </x:c>
      <x:c r="U603"/>
      <x:c r="V603" t="str"/>
    </x:row>
    <x:row r="604">
      <x:c r="A604" s="52" t="n">
        <x:v>46172</x:v>
      </x:c>
      <x:c r="B604" t="str">
        <x:v>PED-100603</x:v>
      </x:c>
      <x:c r="C604" t="str">
        <x:v>Cliente 084</x:v>
      </x:c>
      <x:c r="D604" t="str">
        <x:v>RJ</x:v>
      </x:c>
      <x:c r="E604" t="str">
        <x:v>Sudeste</x:v>
      </x:c>
      <x:c r="F604" t="str">
        <x:v>Televendas</x:v>
      </x:c>
      <x:c r="G604" t="str">
        <x:v>Acessórios</x:v>
      </x:c>
      <x:c r="H604" t="str">
        <x:v>Webcam HD</x:v>
      </x:c>
      <x:c r="I604" t="str">
        <x:v>Diego</x:v>
      </x:c>
      <x:c r="J604" s="53" t="n">
        <x:v>3</x:v>
      </x:c>
      <x:c r="K604" s="54" t="n">
        <x:v>509.01</x:v>
      </x:c>
      <x:c r="L604" s="54" t="n">
        <x:v>245.54</x:v>
      </x:c>
      <x:c r="M604" s="55" t="n">
        <x:v>0.0657</x:v>
      </x:c>
      <x:c r="N604" s="54" t="n">
        <x:f>ROUND(J604*K604,2)</x:f>
        <x:v>1527.03</x:v>
      </x:c>
      <x:c r="O604" s="54" t="n">
        <x:f>ROUND(N604*(1-M604),2)</x:f>
        <x:v>1426.7</x:v>
      </x:c>
      <x:c r="P604" s="54" t="n">
        <x:f>ROUND(J604*L604,2)</x:f>
        <x:v>736.62</x:v>
      </x:c>
      <x:c r="Q604" s="54" t="n">
        <x:f>ROUND(O604-P604,2)</x:f>
        <x:v>690.08</x:v>
      </x:c>
      <x:c r="R604" s="55" t="n">
        <x:f>IF(O604=0,0,ROUND(Q604/O604,4))</x:f>
        <x:v>0.4837</x:v>
      </x:c>
      <x:c r="S604" s="53" t="n">
        <x:v>8</x:v>
      </x:c>
      <x:c r="T604" t="str">
        <x:v>Entregue</x:v>
      </x:c>
      <x:c r="U604" t="n">
        <x:v>5</x:v>
      </x:c>
      <x:c r="V604" t="str"/>
    </x:row>
    <x:row r="605">
      <x:c r="A605" s="52" t="n">
        <x:v>46234</x:v>
      </x:c>
      <x:c r="B605" t="str">
        <x:v>PED-100604</x:v>
      </x:c>
      <x:c r="C605" t="str">
        <x:v>Cliente 049</x:v>
      </x:c>
      <x:c r="D605" t="str">
        <x:v>PR</x:v>
      </x:c>
      <x:c r="E605" t="str">
        <x:v>Sul</x:v>
      </x:c>
      <x:c r="F605" t="str">
        <x:v>Marketplace</x:v>
      </x:c>
      <x:c r="G605" t="str">
        <x:v>Tecnologia</x:v>
      </x:c>
      <x:c r="H605" t="str">
        <x:v>Notebook Pro</x:v>
      </x:c>
      <x:c r="I605" t="str">
        <x:v>Ana</x:v>
      </x:c>
      <x:c r="J605" s="53" t="n">
        <x:v>2</x:v>
      </x:c>
      <x:c r="K605" s="54" t="n">
        <x:v>6236.28</x:v>
      </x:c>
      <x:c r="L605" s="54" t="n">
        <x:v>4195.95</x:v>
      </x:c>
      <x:c r="M605" s="55" t="n">
        <x:v>0.1384</x:v>
      </x:c>
      <x:c r="N605" s="54" t="n">
        <x:f>ROUND(J605*K605,2)</x:f>
        <x:v>12472.56</x:v>
      </x:c>
      <x:c r="O605" s="54" t="n">
        <x:f>ROUND(N605*(1-M605),2)</x:f>
        <x:v>10746.36</x:v>
      </x:c>
      <x:c r="P605" s="54" t="n">
        <x:f>ROUND(J605*L605,2)</x:f>
        <x:v>8391.9</x:v>
      </x:c>
      <x:c r="Q605" s="54" t="n">
        <x:f>ROUND(O605-P605,2)</x:f>
        <x:v>2354.46</x:v>
      </x:c>
      <x:c r="R605" s="55" t="n">
        <x:f>IF(O605=0,0,ROUND(Q605/O605,4))</x:f>
        <x:v>0.2191</x:v>
      </x:c>
      <x:c r="S605" s="53" t="n">
        <x:v>2</x:v>
      </x:c>
      <x:c r="T605" t="str">
        <x:v>Entregue</x:v>
      </x:c>
      <x:c r="U605" t="n">
        <x:v>2</x:v>
      </x:c>
      <x:c r="V605" t="str"/>
    </x:row>
    <x:row r="606">
      <x:c r="A606" s="52" t="n">
        <x:v>46190</x:v>
      </x:c>
      <x:c r="B606" t="str">
        <x:v>PED-100605</x:v>
      </x:c>
      <x:c r="C606" t="str">
        <x:v>Cliente 031</x:v>
      </x:c>
      <x:c r="D606" t="str">
        <x:v>PE</x:v>
      </x:c>
      <x:c r="E606" t="str">
        <x:v>Nordeste</x:v>
      </x:c>
      <x:c r="F606" t="str">
        <x:v>Marketplace</x:v>
      </x:c>
      <x:c r="G606" t="str">
        <x:v>Acessórios</x:v>
      </x:c>
      <x:c r="H606" t="str">
        <x:v>Mochila Executiva</x:v>
      </x:c>
      <x:c r="I606" t="str">
        <x:v>Henrique</x:v>
      </x:c>
      <x:c r="J606" s="53" t="n">
        <x:v>8</x:v>
      </x:c>
      <x:c r="K606" s="54" t="n">
        <x:v>450.53</x:v>
      </x:c>
      <x:c r="L606" s="54" t="n">
        <x:v>190.16</x:v>
      </x:c>
      <x:c r="M606" s="55" t="n">
        <x:v>0.1485</x:v>
      </x:c>
      <x:c r="N606" s="54" t="n">
        <x:f>ROUND(J606*K606,2)</x:f>
        <x:v>3604.24</x:v>
      </x:c>
      <x:c r="O606" s="54" t="n">
        <x:f>ROUND(N606*(1-M606),2)</x:f>
        <x:v>3069.01</x:v>
      </x:c>
      <x:c r="P606" s="54" t="n">
        <x:f>ROUND(J606*L606,2)</x:f>
        <x:v>1521.28</x:v>
      </x:c>
      <x:c r="Q606" s="54" t="n">
        <x:f>ROUND(O606-P606,2)</x:f>
        <x:v>1547.73</x:v>
      </x:c>
      <x:c r="R606" s="55" t="n">
        <x:f>IF(O606=0,0,ROUND(Q606/O606,4))</x:f>
        <x:v>0.5043</x:v>
      </x:c>
      <x:c r="S606" s="53" t="n">
        <x:v>2</x:v>
      </x:c>
      <x:c r="T606" t="str">
        <x:v>Entregue</x:v>
      </x:c>
      <x:c r="U606" t="n">
        <x:v>3</x:v>
      </x:c>
      <x:c r="V606" t="str"/>
    </x:row>
    <x:row r="607">
      <x:c r="A607" s="52" t="n">
        <x:v>46163</x:v>
      </x:c>
      <x:c r="B607" t="str">
        <x:v>PED-100606</x:v>
      </x:c>
      <x:c r="C607" t="str">
        <x:v>Cliente 095</x:v>
      </x:c>
      <x:c r="D607" t="str">
        <x:v>GO</x:v>
      </x:c>
      <x:c r="E607" t="str">
        <x:v>Centro-Oeste</x:v>
      </x:c>
      <x:c r="F607" t="str">
        <x:v>E-commerce</x:v>
      </x:c>
      <x:c r="G607" t="str">
        <x:v>Casa</x:v>
      </x:c>
      <x:c r="H607" t="str">
        <x:v>Aspirador Robô</x:v>
      </x:c>
      <x:c r="I607" t="str">
        <x:v>Diego</x:v>
      </x:c>
      <x:c r="J607" s="53" t="n">
        <x:v>4</x:v>
      </x:c>
      <x:c r="K607" s="54" t="n">
        <x:v>1880.53</x:v>
      </x:c>
      <x:c r="L607" s="54" t="n">
        <x:v>1228.68</x:v>
      </x:c>
      <x:c r="M607" s="55" t="n">
        <x:v>0</x:v>
      </x:c>
      <x:c r="N607" s="54" t="n">
        <x:f>ROUND(J607*K607,2)</x:f>
        <x:v>7522.12</x:v>
      </x:c>
      <x:c r="O607" s="54" t="n">
        <x:f>ROUND(N607*(1-M607),2)</x:f>
        <x:v>7522.12</x:v>
      </x:c>
      <x:c r="P607" s="54" t="n">
        <x:f>ROUND(J607*L607,2)</x:f>
        <x:v>4914.72</x:v>
      </x:c>
      <x:c r="Q607" s="54" t="n">
        <x:f>ROUND(O607-P607,2)</x:f>
        <x:v>2607.4</x:v>
      </x:c>
      <x:c r="R607" s="55" t="n">
        <x:f>IF(O607=0,0,ROUND(Q607/O607,4))</x:f>
        <x:v>0.3466</x:v>
      </x:c>
      <x:c r="S607" s="53" t="n">
        <x:v>7</x:v>
      </x:c>
      <x:c r="T607" t="str">
        <x:v>Entregue</x:v>
      </x:c>
      <x:c r="U607" t="n">
        <x:v>3</x:v>
      </x:c>
      <x:c r="V607" t="str"/>
    </x:row>
    <x:row r="608">
      <x:c r="A608" s="52" t="n">
        <x:v>46040</x:v>
      </x:c>
      <x:c r="B608" t="str">
        <x:v>PED-100607</x:v>
      </x:c>
      <x:c r="C608" t="str">
        <x:v>Cliente 034</x:v>
      </x:c>
      <x:c r="D608" t="str">
        <x:v>GO</x:v>
      </x:c>
      <x:c r="E608" t="str">
        <x:v>Centro-Oeste</x:v>
      </x:c>
      <x:c r="F608" t="str">
        <x:v>Marketplace</x:v>
      </x:c>
      <x:c r="G608" t="str">
        <x:v>Acessórios</x:v>
      </x:c>
      <x:c r="H608" t="str">
        <x:v>Webcam HD</x:v>
      </x:c>
      <x:c r="I608" t="str">
        <x:v>Gabriela</x:v>
      </x:c>
      <x:c r="J608" s="53" t="n">
        <x:v>2</x:v>
      </x:c>
      <x:c r="K608" s="54" t="n">
        <x:v>516.02</x:v>
      </x:c>
      <x:c r="L608" s="54" t="n">
        <x:v>236.06</x:v>
      </x:c>
      <x:c r="M608" s="55" t="n">
        <x:v>0.1561</x:v>
      </x:c>
      <x:c r="N608" s="54" t="n">
        <x:f>ROUND(J608*K608,2)</x:f>
        <x:v>1032.04</x:v>
      </x:c>
      <x:c r="O608" s="54" t="n">
        <x:f>ROUND(N608*(1-M608),2)</x:f>
        <x:v>870.94</x:v>
      </x:c>
      <x:c r="P608" s="54" t="n">
        <x:f>ROUND(J608*L608,2)</x:f>
        <x:v>472.12</x:v>
      </x:c>
      <x:c r="Q608" s="54" t="n">
        <x:f>ROUND(O608-P608,2)</x:f>
        <x:v>398.82</x:v>
      </x:c>
      <x:c r="R608" s="55" t="n">
        <x:f>IF(O608=0,0,ROUND(Q608/O608,4))</x:f>
        <x:v>0.4579</x:v>
      </x:c>
      <x:c r="S608" s="53" t="n">
        <x:v>8</x:v>
      </x:c>
      <x:c r="T608" t="str">
        <x:v>Entregue</x:v>
      </x:c>
      <x:c r="U608" t="n">
        <x:v>3</x:v>
      </x:c>
      <x:c r="V608" t="str"/>
    </x:row>
    <x:row r="609">
      <x:c r="A609" s="52" t="n">
        <x:v>46029</x:v>
      </x:c>
      <x:c r="B609" t="str">
        <x:v>PED-100608</x:v>
      </x:c>
      <x:c r="C609" t="str">
        <x:v>Cliente 100</x:v>
      </x:c>
      <x:c r="D609" t="str">
        <x:v>MA</x:v>
      </x:c>
      <x:c r="E609" t="str">
        <x:v>Nordeste</x:v>
      </x:c>
      <x:c r="F609" t="str">
        <x:v>E-commerce</x:v>
      </x:c>
      <x:c r="G609" t="str">
        <x:v>Casa</x:v>
      </x:c>
      <x:c r="H609" t="str">
        <x:v>Purificador</x:v>
      </x:c>
      <x:c r="I609" t="str">
        <x:v>Diego</x:v>
      </x:c>
      <x:c r="J609" s="53" t="n">
        <x:v>5</x:v>
      </x:c>
      <x:c r="K609" s="54" t="n">
        <x:v>1293.03</x:v>
      </x:c>
      <x:c r="L609" s="54" t="n">
        <x:v>784.98</x:v>
      </x:c>
      <x:c r="M609" s="55" t="n">
        <x:v>0</x:v>
      </x:c>
      <x:c r="N609" s="54" t="n">
        <x:f>ROUND(J609*K609,2)</x:f>
        <x:v>6465.15</x:v>
      </x:c>
      <x:c r="O609" s="54" t="n">
        <x:f>ROUND(N609*(1-M609),2)</x:f>
        <x:v>6465.15</x:v>
      </x:c>
      <x:c r="P609" s="54" t="n">
        <x:f>ROUND(J609*L609,2)</x:f>
        <x:v>3924.9</x:v>
      </x:c>
      <x:c r="Q609" s="54" t="n">
        <x:f>ROUND(O609-P609,2)</x:f>
        <x:v>2540.25</x:v>
      </x:c>
      <x:c r="R609" s="55" t="n">
        <x:f>IF(O609=0,0,ROUND(Q609/O609,4))</x:f>
        <x:v>0.3929</x:v>
      </x:c>
      <x:c r="S609" s="53" t="n">
        <x:v>6</x:v>
      </x:c>
      <x:c r="T609" t="str">
        <x:v>Entregue</x:v>
      </x:c>
      <x:c r="U609" t="n">
        <x:v>3</x:v>
      </x:c>
      <x:c r="V609" t="str"/>
    </x:row>
    <x:row r="610">
      <x:c r="A610" s="52" t="n">
        <x:v>46224</x:v>
      </x:c>
      <x:c r="B610" t="str">
        <x:v>PED-100609</x:v>
      </x:c>
      <x:c r="C610" t="str">
        <x:v>Cliente 082</x:v>
      </x:c>
      <x:c r="D610" t="str">
        <x:v>SC</x:v>
      </x:c>
      <x:c r="E610" t="str">
        <x:v>Sul</x:v>
      </x:c>
      <x:c r="F610" t="str">
        <x:v>Loja</x:v>
      </x:c>
      <x:c r="G610" t="str">
        <x:v>Tecnologia</x:v>
      </x:c>
      <x:c r="H610" t="str">
        <x:v>Monitor 27</x:v>
      </x:c>
      <x:c r="I610" t="str">
        <x:v>Felipe</x:v>
      </x:c>
      <x:c r="J610" s="53" t="n">
        <x:v>6</x:v>
      </x:c>
      <x:c r="K610" s="54" t="n">
        <x:v>1588.99</x:v>
      </x:c>
      <x:c r="L610" s="54" t="n">
        <x:v>1073.29</x:v>
      </x:c>
      <x:c r="M610" s="55" t="n">
        <x:v>0</x:v>
      </x:c>
      <x:c r="N610" s="54" t="n">
        <x:f>ROUND(J610*K610,2)</x:f>
        <x:v>9533.94</x:v>
      </x:c>
      <x:c r="O610" s="54" t="n">
        <x:f>ROUND(N610*(1-M610),2)</x:f>
        <x:v>9533.94</x:v>
      </x:c>
      <x:c r="P610" s="54" t="n">
        <x:f>ROUND(J610*L610,2)</x:f>
        <x:v>6439.74</x:v>
      </x:c>
      <x:c r="Q610" s="54" t="n">
        <x:f>ROUND(O610-P610,2)</x:f>
        <x:v>3094.2</x:v>
      </x:c>
      <x:c r="R610" s="55" t="n">
        <x:f>IF(O610=0,0,ROUND(Q610/O610,4))</x:f>
        <x:v>0.3245</x:v>
      </x:c>
      <x:c r="S610" s="53" t="n">
        <x:v>6</x:v>
      </x:c>
      <x:c r="T610" t="str">
        <x:v>Entregue</x:v>
      </x:c>
      <x:c r="U610" t="n">
        <x:v>3</x:v>
      </x:c>
      <x:c r="V610" t="str"/>
    </x:row>
    <x:row r="611">
      <x:c r="A611" s="52" t="n">
        <x:v>46100</x:v>
      </x:c>
      <x:c r="B611" t="str">
        <x:v>PED-100610</x:v>
      </x:c>
      <x:c r="C611" t="str">
        <x:v>Cliente 029</x:v>
      </x:c>
      <x:c r="D611" t="str">
        <x:v>MA</x:v>
      </x:c>
      <x:c r="E611" t="str">
        <x:v>Nordeste</x:v>
      </x:c>
      <x:c r="F611" t="str">
        <x:v>E-commerce</x:v>
      </x:c>
      <x:c r="G611" t="str">
        <x:v>Escritório</x:v>
      </x:c>
      <x:c r="H611" t="str">
        <x:v>Cadeira Ergonômica</x:v>
      </x:c>
      <x:c r="I611" t="str">
        <x:v>Henrique</x:v>
      </x:c>
      <x:c r="J611" s="53" t="n">
        <x:v>1</x:v>
      </x:c>
      <x:c r="K611" s="54" t="n">
        <x:v>2309.96</x:v>
      </x:c>
      <x:c r="L611" s="54" t="n">
        <x:v>1484.15</x:v>
      </x:c>
      <x:c r="M611" s="55" t="n">
        <x:v>0</x:v>
      </x:c>
      <x:c r="N611" s="54" t="n">
        <x:f>ROUND(J611*K611,2)</x:f>
        <x:v>2309.96</x:v>
      </x:c>
      <x:c r="O611" s="54" t="n">
        <x:f>ROUND(N611*(1-M611),2)</x:f>
        <x:v>2309.96</x:v>
      </x:c>
      <x:c r="P611" s="54" t="n">
        <x:f>ROUND(J611*L611,2)</x:f>
        <x:v>1484.15</x:v>
      </x:c>
      <x:c r="Q611" s="54" t="n">
        <x:f>ROUND(O611-P611,2)</x:f>
        <x:v>825.81</x:v>
      </x:c>
      <x:c r="R611" s="55" t="n">
        <x:f>IF(O611=0,0,ROUND(Q611/O611,4))</x:f>
        <x:v>0.3575</x:v>
      </x:c>
      <x:c r="S611" s="53" t="n">
        <x:v>12</x:v>
      </x:c>
      <x:c r="T611" t="str">
        <x:v>Entregue com atraso</x:v>
      </x:c>
      <x:c r="U611" t="n">
        <x:v>5</x:v>
      </x:c>
      <x:c r="V611" t="str"/>
    </x:row>
    <x:row r="612">
      <x:c r="A612" s="52" t="n">
        <x:v>46136</x:v>
      </x:c>
      <x:c r="B612" t="str">
        <x:v>PED-100611</x:v>
      </x:c>
      <x:c r="C612" t="str">
        <x:v>Cliente 114</x:v>
      </x:c>
      <x:c r="D612" t="str">
        <x:v>MG</x:v>
      </x:c>
      <x:c r="E612" t="str">
        <x:v>Sudeste</x:v>
      </x:c>
      <x:c r="F612" t="str">
        <x:v>Televendas</x:v>
      </x:c>
      <x:c r="G612" t="str">
        <x:v>Casa</x:v>
      </x:c>
      <x:c r="H612" t="str">
        <x:v>Purificador</x:v>
      </x:c>
      <x:c r="I612" t="str">
        <x:v>Isabela</x:v>
      </x:c>
      <x:c r="J612" s="53" t="n">
        <x:v>4</x:v>
      </x:c>
      <x:c r="K612" s="54" t="n">
        <x:v>1327.02</x:v>
      </x:c>
      <x:c r="L612" s="54" t="n">
        <x:v>744.78</x:v>
      </x:c>
      <x:c r="M612" s="55" t="n">
        <x:v>0.0418</x:v>
      </x:c>
      <x:c r="N612" s="54" t="n">
        <x:f>ROUND(J612*K612,2)</x:f>
        <x:v>5308.08</x:v>
      </x:c>
      <x:c r="O612" s="54" t="n">
        <x:f>ROUND(N612*(1-M612),2)</x:f>
        <x:v>5086.2</x:v>
      </x:c>
      <x:c r="P612" s="54" t="n">
        <x:f>ROUND(J612*L612,2)</x:f>
        <x:v>2979.12</x:v>
      </x:c>
      <x:c r="Q612" s="54" t="n">
        <x:f>ROUND(O612-P612,2)</x:f>
        <x:v>2107.08</x:v>
      </x:c>
      <x:c r="R612" s="55" t="n">
        <x:f>IF(O612=0,0,ROUND(Q612/O612,4))</x:f>
        <x:v>0.4143</x:v>
      </x:c>
      <x:c r="S612" s="53" t="n">
        <x:v>3</x:v>
      </x:c>
      <x:c r="T612" t="str">
        <x:v>Entregue</x:v>
      </x:c>
      <x:c r="U612" t="n">
        <x:v>3</x:v>
      </x:c>
      <x:c r="V612" t="str"/>
    </x:row>
    <x:row r="613">
      <x:c r="A613" s="52" t="n">
        <x:v>46197</x:v>
      </x:c>
      <x:c r="B613" t="str">
        <x:v>PED-100612</x:v>
      </x:c>
      <x:c r="C613" t="str">
        <x:v>Cliente 107</x:v>
      </x:c>
      <x:c r="D613" t="str">
        <x:v>BA</x:v>
      </x:c>
      <x:c r="E613" t="str">
        <x:v>Nordeste</x:v>
      </x:c>
      <x:c r="F613" t="str">
        <x:v>Loja</x:v>
      </x:c>
      <x:c r="G613" t="str">
        <x:v>Tecnologia</x:v>
      </x:c>
      <x:c r="H613" t="str">
        <x:v>Headset Office</x:v>
      </x:c>
      <x:c r="I613" t="str">
        <x:v>Ana</x:v>
      </x:c>
      <x:c r="J613" s="53" t="n">
        <x:v>7</x:v>
      </x:c>
      <x:c r="K613" s="54" t="n">
        <x:v>393.02</x:v>
      </x:c>
      <x:c r="L613" s="54" t="n">
        <x:v>225.87</x:v>
      </x:c>
      <x:c r="M613" s="55" t="n">
        <x:v>0.1097</x:v>
      </x:c>
      <x:c r="N613" s="54" t="n">
        <x:f>ROUND(J613*K613,2)</x:f>
        <x:v>2751.14</x:v>
      </x:c>
      <x:c r="O613" s="54" t="n">
        <x:f>ROUND(N613*(1-M613),2)</x:f>
        <x:v>2449.34</x:v>
      </x:c>
      <x:c r="P613" s="54" t="n">
        <x:f>ROUND(J613*L613,2)</x:f>
        <x:v>1581.09</x:v>
      </x:c>
      <x:c r="Q613" s="54" t="n">
        <x:f>ROUND(O613-P613,2)</x:f>
        <x:v>868.25</x:v>
      </x:c>
      <x:c r="R613" s="55" t="n">
        <x:f>IF(O613=0,0,ROUND(Q613/O613,4))</x:f>
        <x:v>0.3545</x:v>
      </x:c>
      <x:c r="S613" s="53" t="n">
        <x:v>11</x:v>
      </x:c>
      <x:c r="T613" t="str">
        <x:v>Entregue com atraso</x:v>
      </x:c>
      <x:c r="U613" t="n">
        <x:v>2</x:v>
      </x:c>
      <x:c r="V613" t="str"/>
    </x:row>
    <x:row r="614">
      <x:c r="A614" s="52" t="n">
        <x:v>46105</x:v>
      </x:c>
      <x:c r="B614" t="str">
        <x:v>PED-100613</x:v>
      </x:c>
      <x:c r="C614" t="str">
        <x:v>Cliente 001</x:v>
      </x:c>
      <x:c r="D614" t="str">
        <x:v>AM</x:v>
      </x:c>
      <x:c r="E614" t="str">
        <x:v>Norte</x:v>
      </x:c>
      <x:c r="F614" t="str">
        <x:v>Loja</x:v>
      </x:c>
      <x:c r="G614" t="str">
        <x:v>Tecnologia</x:v>
      </x:c>
      <x:c r="H614" t="str">
        <x:v>Headset Office</x:v>
      </x:c>
      <x:c r="I614" t="str">
        <x:v>Diego</x:v>
      </x:c>
      <x:c r="J614" s="53" t="n">
        <x:v>1</x:v>
      </x:c>
      <x:c r="K614" s="54" t="n">
        <x:v>378.47</x:v>
      </x:c>
      <x:c r="L614" s="54" t="n">
        <x:v>221.08</x:v>
      </x:c>
      <x:c r="M614" s="55" t="n">
        <x:v>0</x:v>
      </x:c>
      <x:c r="N614" s="54" t="n">
        <x:f>ROUND(J614*K614,2)</x:f>
        <x:v>378.47</x:v>
      </x:c>
      <x:c r="O614" s="54" t="n">
        <x:f>ROUND(N614*(1-M614),2)</x:f>
        <x:v>378.47</x:v>
      </x:c>
      <x:c r="P614" s="54" t="n">
        <x:f>ROUND(J614*L614,2)</x:f>
        <x:v>221.08</x:v>
      </x:c>
      <x:c r="Q614" s="54" t="n">
        <x:f>ROUND(O614-P614,2)</x:f>
        <x:v>157.39</x:v>
      </x:c>
      <x:c r="R614" s="55" t="n">
        <x:f>IF(O614=0,0,ROUND(Q614/O614,4))</x:f>
        <x:v>0.4159</x:v>
      </x:c>
      <x:c r="S614" s="53" t="n">
        <x:v>3</x:v>
      </x:c>
      <x:c r="T614" t="str">
        <x:v>Entregue</x:v>
      </x:c>
      <x:c r="U614" t="n">
        <x:v>3</x:v>
      </x:c>
      <x:c r="V614" t="str"/>
    </x:row>
    <x:row r="615">
      <x:c r="A615" s="52" t="n">
        <x:v>46168</x:v>
      </x:c>
      <x:c r="B615" t="str">
        <x:v>PED-100614</x:v>
      </x:c>
      <x:c r="C615" t="str">
        <x:v>Cliente 119</x:v>
      </x:c>
      <x:c r="D615" t="str">
        <x:v>SP</x:v>
      </x:c>
      <x:c r="E615" t="str">
        <x:v>Sudeste</x:v>
      </x:c>
      <x:c r="F615" t="str">
        <x:v>Marketplace</x:v>
      </x:c>
      <x:c r="G615" t="str">
        <x:v>Casa</x:v>
      </x:c>
      <x:c r="H615" t="str">
        <x:v>Purificador</x:v>
      </x:c>
      <x:c r="I615" t="str">
        <x:v>Carla</x:v>
      </x:c>
      <x:c r="J615" s="53" t="n">
        <x:v>1</x:v>
      </x:c>
      <x:c r="K615" s="54" t="n">
        <x:v>1273.73</x:v>
      </x:c>
      <x:c r="L615" s="54" t="n">
        <x:v>791.19</x:v>
      </x:c>
      <x:c r="M615" s="55" t="n">
        <x:v>0.0939</x:v>
      </x:c>
      <x:c r="N615" s="54" t="n">
        <x:f>ROUND(J615*K615,2)</x:f>
        <x:v>1273.73</x:v>
      </x:c>
      <x:c r="O615" s="54" t="n">
        <x:f>ROUND(N615*(1-M615),2)</x:f>
        <x:v>1154.13</x:v>
      </x:c>
      <x:c r="P615" s="54" t="n">
        <x:f>ROUND(J615*L615,2)</x:f>
        <x:v>791.19</x:v>
      </x:c>
      <x:c r="Q615" s="54" t="n">
        <x:f>ROUND(O615-P615,2)</x:f>
        <x:v>362.94</x:v>
      </x:c>
      <x:c r="R615" s="55" t="n">
        <x:f>IF(O615=0,0,ROUND(Q615/O615,4))</x:f>
        <x:v>0.3145</x:v>
      </x:c>
      <x:c r="S615" s="53" t="n">
        <x:v>2</x:v>
      </x:c>
      <x:c r="T615" t="str">
        <x:v>Entregue</x:v>
      </x:c>
      <x:c r="U615" t="n">
        <x:v>5</x:v>
      </x:c>
      <x:c r="V615" t="str"/>
    </x:row>
    <x:row r="616">
      <x:c r="A616" s="52" t="n">
        <x:v>46034</x:v>
      </x:c>
      <x:c r="B616" t="str">
        <x:v>PED-100615</x:v>
      </x:c>
      <x:c r="C616" t="str">
        <x:v>Cliente 073</x:v>
      </x:c>
      <x:c r="D616" t="str">
        <x:v>DF</x:v>
      </x:c>
      <x:c r="E616" t="str">
        <x:v>Centro-Oeste</x:v>
      </x:c>
      <x:c r="F616" t="str">
        <x:v>E-commerce</x:v>
      </x:c>
      <x:c r="G616" t="str">
        <x:v>Tecnologia</x:v>
      </x:c>
      <x:c r="H616" t="str">
        <x:v>Headset Office</x:v>
      </x:c>
      <x:c r="I616" t="str">
        <x:v>Elaine</x:v>
      </x:c>
      <x:c r="J616" s="53" t="n">
        <x:v>1</x:v>
      </x:c>
      <x:c r="K616" s="54" t="n">
        <x:v>381.75</x:v>
      </x:c>
      <x:c r="L616" s="54" t="n">
        <x:v>218.7</x:v>
      </x:c>
      <x:c r="M616" s="55" t="n">
        <x:v>0.0077</x:v>
      </x:c>
      <x:c r="N616" s="54" t="n">
        <x:f>ROUND(J616*K616,2)</x:f>
        <x:v>381.75</x:v>
      </x:c>
      <x:c r="O616" s="54" t="n">
        <x:f>ROUND(N616*(1-M616),2)</x:f>
        <x:v>378.81</x:v>
      </x:c>
      <x:c r="P616" s="54" t="n">
        <x:f>ROUND(J616*L616,2)</x:f>
        <x:v>218.7</x:v>
      </x:c>
      <x:c r="Q616" s="54" t="n">
        <x:f>ROUND(O616-P616,2)</x:f>
        <x:v>160.11</x:v>
      </x:c>
      <x:c r="R616" s="55" t="n">
        <x:f>IF(O616=0,0,ROUND(Q616/O616,4))</x:f>
        <x:v>0.4227</x:v>
      </x:c>
      <x:c r="S616" s="53" t="n">
        <x:v>13</x:v>
      </x:c>
      <x:c r="T616" t="str">
        <x:v>Entregue com atraso</x:v>
      </x:c>
      <x:c r="U616" t="n">
        <x:v>4</x:v>
      </x:c>
      <x:c r="V616" t="str"/>
    </x:row>
    <x:row r="617">
      <x:c r="A617" s="52" t="n">
        <x:v>46156</x:v>
      </x:c>
      <x:c r="B617" t="str">
        <x:v>PED-100616</x:v>
      </x:c>
      <x:c r="C617" t="str">
        <x:v>Cliente 046</x:v>
      </x:c>
      <x:c r="D617" t="str">
        <x:v>RJ</x:v>
      </x:c>
      <x:c r="E617" t="str">
        <x:v>Sudeste</x:v>
      </x:c>
      <x:c r="F617" t="str">
        <x:v>Loja</x:v>
      </x:c>
      <x:c r="G617" t="str">
        <x:v>Escritório</x:v>
      </x:c>
      <x:c r="H617" t="str">
        <x:v>Mesa Ajustável</x:v>
      </x:c>
      <x:c r="I617" t="str">
        <x:v>Diego</x:v>
      </x:c>
      <x:c r="J617" s="53" t="n">
        <x:v>7</x:v>
      </x:c>
      <x:c r="K617" s="54" t="n">
        <x:v>2854.2</x:v>
      </x:c>
      <x:c r="L617" s="54" t="n">
        <x:v>1831.33</x:v>
      </x:c>
      <x:c r="M617" s="55" t="n">
        <x:v>0</x:v>
      </x:c>
      <x:c r="N617" s="54" t="n">
        <x:f>ROUND(J617*K617,2)</x:f>
        <x:v>19979.4</x:v>
      </x:c>
      <x:c r="O617" s="54" t="n">
        <x:f>ROUND(N617*(1-M617),2)</x:f>
        <x:v>19979.4</x:v>
      </x:c>
      <x:c r="P617" s="54" t="n">
        <x:f>ROUND(J617*L617,2)</x:f>
        <x:v>12819.31</x:v>
      </x:c>
      <x:c r="Q617" s="54" t="n">
        <x:f>ROUND(O617-P617,2)</x:f>
        <x:v>7160.09</x:v>
      </x:c>
      <x:c r="R617" s="55" t="n">
        <x:f>IF(O617=0,0,ROUND(Q617/O617,4))</x:f>
        <x:v>0.3584</x:v>
      </x:c>
      <x:c r="S617" s="53" t="n">
        <x:v>14</x:v>
      </x:c>
      <x:c r="T617" t="str">
        <x:v>Entregue com atraso</x:v>
      </x:c>
      <x:c r="U617" t="n">
        <x:v>2</x:v>
      </x:c>
      <x:c r="V617" t="str"/>
    </x:row>
    <x:row r="618">
      <x:c r="A618" s="52" t="n">
        <x:v>46052</x:v>
      </x:c>
      <x:c r="B618" t="str">
        <x:v>PED-100617</x:v>
      </x:c>
      <x:c r="C618" t="str">
        <x:v>Cliente 046</x:v>
      </x:c>
      <x:c r="D618" t="str">
        <x:v>MA</x:v>
      </x:c>
      <x:c r="E618" t="str">
        <x:v>Nordeste</x:v>
      </x:c>
      <x:c r="F618" t="str">
        <x:v>Loja</x:v>
      </x:c>
      <x:c r="G618" t="str">
        <x:v>Acessórios</x:v>
      </x:c>
      <x:c r="H618" t="str">
        <x:v>Hub USB-C</x:v>
      </x:c>
      <x:c r="I618" t="str">
        <x:v>Diego</x:v>
      </x:c>
      <x:c r="J618" s="53" t="n">
        <x:v>8</x:v>
      </x:c>
      <x:c r="K618" s="54" t="n">
        <x:v>328.13</x:v>
      </x:c>
      <x:c r="L618" s="54" t="n">
        <x:v>141.41</x:v>
      </x:c>
      <x:c r="M618" s="55" t="n">
        <x:v>0</x:v>
      </x:c>
      <x:c r="N618" s="54" t="n">
        <x:f>ROUND(J618*K618,2)</x:f>
        <x:v>2625.04</x:v>
      </x:c>
      <x:c r="O618" s="54" t="n">
        <x:f>ROUND(N618*(1-M618),2)</x:f>
        <x:v>2625.04</x:v>
      </x:c>
      <x:c r="P618" s="54" t="n">
        <x:f>ROUND(J618*L618,2)</x:f>
        <x:v>1131.28</x:v>
      </x:c>
      <x:c r="Q618" s="54" t="n">
        <x:f>ROUND(O618-P618,2)</x:f>
        <x:v>1493.76</x:v>
      </x:c>
      <x:c r="R618" s="55" t="n">
        <x:f>IF(O618=0,0,ROUND(Q618/O618,4))</x:f>
        <x:v>0.569</x:v>
      </x:c>
      <x:c r="S618" s="53" t="n">
        <x:v>9</x:v>
      </x:c>
      <x:c r="T618" t="str">
        <x:v>Entregue</x:v>
      </x:c>
      <x:c r="U618" t="n">
        <x:v>3</x:v>
      </x:c>
      <x:c r="V618" t="str"/>
    </x:row>
    <x:row r="619">
      <x:c r="A619" s="52" t="n">
        <x:v>46150</x:v>
      </x:c>
      <x:c r="B619" t="str">
        <x:v>PED-100618</x:v>
      </x:c>
      <x:c r="C619" t="str">
        <x:v>Cliente 083</x:v>
      </x:c>
      <x:c r="D619" t="str">
        <x:v>GO</x:v>
      </x:c>
      <x:c r="E619" t="str">
        <x:v>Centro-Oeste</x:v>
      </x:c>
      <x:c r="F619" t="str">
        <x:v>E-commerce</x:v>
      </x:c>
      <x:c r="G619" t="str">
        <x:v>Tecnologia</x:v>
      </x:c>
      <x:c r="H619" t="str">
        <x:v>Notebook Pro</x:v>
      </x:c>
      <x:c r="I619" t="str">
        <x:v>Isabela</x:v>
      </x:c>
      <x:c r="J619" s="53" t="n">
        <x:v>4</x:v>
      </x:c>
      <x:c r="K619" s="54" t="n">
        <x:v>6102.16</x:v>
      </x:c>
      <x:c r="L619" s="54" t="n">
        <x:v>4155.68</x:v>
      </x:c>
      <x:c r="M619" s="55" t="n">
        <x:v>0</x:v>
      </x:c>
      <x:c r="N619" s="54" t="n">
        <x:f>ROUND(J619*K619,2)</x:f>
        <x:v>24408.64</x:v>
      </x:c>
      <x:c r="O619" s="54" t="n">
        <x:f>ROUND(N619*(1-M619),2)</x:f>
        <x:v>24408.64</x:v>
      </x:c>
      <x:c r="P619" s="54" t="n">
        <x:f>ROUND(J619*L619,2)</x:f>
        <x:v>16622.72</x:v>
      </x:c>
      <x:c r="Q619" s="54" t="n">
        <x:f>ROUND(O619-P619,2)</x:f>
        <x:v>7785.92</x:v>
      </x:c>
      <x:c r="R619" s="55" t="n">
        <x:f>IF(O619=0,0,ROUND(Q619/O619,4))</x:f>
        <x:v>0.319</x:v>
      </x:c>
      <x:c r="S619" s="53" t="n">
        <x:v>12</x:v>
      </x:c>
      <x:c r="T619" t="str">
        <x:v>Entregue com atraso</x:v>
      </x:c>
      <x:c r="U619" t="n">
        <x:v>2</x:v>
      </x:c>
      <x:c r="V619" t="str"/>
    </x:row>
    <x:row r="620">
      <x:c r="A620" s="52" t="n">
        <x:v>46027</x:v>
      </x:c>
      <x:c r="B620" t="str">
        <x:v>PED-100619</x:v>
      </x:c>
      <x:c r="C620" t="str">
        <x:v>Cliente 032</x:v>
      </x:c>
      <x:c r="D620" t="str">
        <x:v>PR</x:v>
      </x:c>
      <x:c r="E620" t="str">
        <x:v>Sul</x:v>
      </x:c>
      <x:c r="F620" t="str">
        <x:v>Marketplace</x:v>
      </x:c>
      <x:c r="G620" t="str">
        <x:v>Acessórios</x:v>
      </x:c>
      <x:c r="H620" t="str">
        <x:v>Webcam HD</x:v>
      </x:c>
      <x:c r="I620" t="str">
        <x:v>Henrique</x:v>
      </x:c>
      <x:c r="J620" s="53" t="n">
        <x:v>8</x:v>
      </x:c>
      <x:c r="K620" s="54" t="n">
        <x:v>535.02</x:v>
      </x:c>
      <x:c r="L620" s="54" t="n">
        <x:v>231.18</x:v>
      </x:c>
      <x:c r="M620" s="55" t="n">
        <x:v>0.1336</x:v>
      </x:c>
      <x:c r="N620" s="54" t="n">
        <x:f>ROUND(J620*K620,2)</x:f>
        <x:v>4280.16</x:v>
      </x:c>
      <x:c r="O620" s="54" t="n">
        <x:f>ROUND(N620*(1-M620),2)</x:f>
        <x:v>3708.33</x:v>
      </x:c>
      <x:c r="P620" s="54" t="n">
        <x:f>ROUND(J620*L620,2)</x:f>
        <x:v>1849.44</x:v>
      </x:c>
      <x:c r="Q620" s="54" t="n">
        <x:f>ROUND(O620-P620,2)</x:f>
        <x:v>1858.89</x:v>
      </x:c>
      <x:c r="R620" s="55" t="n">
        <x:f>IF(O620=0,0,ROUND(Q620/O620,4))</x:f>
        <x:v>0.5013</x:v>
      </x:c>
      <x:c r="S620" s="53" t="n">
        <x:v>10</x:v>
      </x:c>
      <x:c r="T620" t="str">
        <x:v>Entregue</x:v>
      </x:c>
      <x:c r="U620" t="n">
        <x:v>3</x:v>
      </x:c>
      <x:c r="V620" t="str"/>
    </x:row>
    <x:row r="621">
      <x:c r="A621" s="52" t="n">
        <x:v>46201</x:v>
      </x:c>
      <x:c r="B621" t="str">
        <x:v>PED-100620</x:v>
      </x:c>
      <x:c r="C621" t="str">
        <x:v>Cliente 056</x:v>
      </x:c>
      <x:c r="D621" t="str">
        <x:v>AM</x:v>
      </x:c>
      <x:c r="E621" t="str">
        <x:v>Norte</x:v>
      </x:c>
      <x:c r="F621" t="str">
        <x:v>Marketplace</x:v>
      </x:c>
      <x:c r="G621" t="str">
        <x:v>Tecnologia</x:v>
      </x:c>
      <x:c r="H621" t="str">
        <x:v>Notebook Pro</x:v>
      </x:c>
      <x:c r="I621" t="str">
        <x:v>Isabela</x:v>
      </x:c>
      <x:c r="J621" s="53" t="n">
        <x:v>4</x:v>
      </x:c>
      <x:c r="K621" s="54" t="n">
        <x:v>6111.1</x:v>
      </x:c>
      <x:c r="L621" s="54" t="n">
        <x:v>4639.88</x:v>
      </x:c>
      <x:c r="M621" s="55" t="n">
        <x:v>0.035</x:v>
      </x:c>
      <x:c r="N621" s="54" t="n">
        <x:f>ROUND(J621*K621,2)</x:f>
        <x:v>24444.4</x:v>
      </x:c>
      <x:c r="O621" s="54" t="n">
        <x:f>ROUND(N621*(1-M621),2)</x:f>
        <x:v>23588.85</x:v>
      </x:c>
      <x:c r="P621" s="54" t="n">
        <x:f>ROUND(J621*L621,2)</x:f>
        <x:v>18559.52</x:v>
      </x:c>
      <x:c r="Q621" s="54" t="n">
        <x:f>ROUND(O621-P621,2)</x:f>
        <x:v>5029.33</x:v>
      </x:c>
      <x:c r="R621" s="55" t="n">
        <x:f>IF(O621=0,0,ROUND(Q621/O621,4))</x:f>
        <x:v>0.2132</x:v>
      </x:c>
      <x:c r="S621" s="53" t="n">
        <x:v>7</x:v>
      </x:c>
      <x:c r="T621" t="str">
        <x:v>Entregue</x:v>
      </x:c>
      <x:c r="U621" t="n">
        <x:v>2</x:v>
      </x:c>
      <x:c r="V621" t="str"/>
    </x:row>
    <x:row r="622">
      <x:c r="A622" s="52" t="n">
        <x:v>46131</x:v>
      </x:c>
      <x:c r="B622" t="str">
        <x:v>PED-100621</x:v>
      </x:c>
      <x:c r="C622" t="str">
        <x:v>Cliente 061</x:v>
      </x:c>
      <x:c r="D622" t="str">
        <x:v>AM</x:v>
      </x:c>
      <x:c r="E622" t="str">
        <x:v>Norte</x:v>
      </x:c>
      <x:c r="F622" t="str">
        <x:v>E-commerce</x:v>
      </x:c>
      <x:c r="G622" t="str">
        <x:v>Tecnologia</x:v>
      </x:c>
      <x:c r="H622" t="str">
        <x:v>Notebook Pro</x:v>
      </x:c>
      <x:c r="I622" t="str">
        <x:v>Henrique</x:v>
      </x:c>
      <x:c r="J622" s="53" t="n">
        <x:v>1</x:v>
      </x:c>
      <x:c r="K622" s="54" t="n">
        <x:v>5954</x:v>
      </x:c>
      <x:c r="L622" s="54" t="n">
        <x:v>4326.14</x:v>
      </x:c>
      <x:c r="M622" s="55" t="n">
        <x:v>0.103</x:v>
      </x:c>
      <x:c r="N622" s="54" t="n">
        <x:f>ROUND(J622*K622,2)</x:f>
        <x:v>5954</x:v>
      </x:c>
      <x:c r="O622" s="54" t="n">
        <x:f>ROUND(N622*(1-M622),2)</x:f>
        <x:v>5340.74</x:v>
      </x:c>
      <x:c r="P622" s="54" t="n">
        <x:f>ROUND(J622*L622,2)</x:f>
        <x:v>4326.14</x:v>
      </x:c>
      <x:c r="Q622" s="54" t="n">
        <x:f>ROUND(O622-P622,2)</x:f>
        <x:v>1014.6</x:v>
      </x:c>
      <x:c r="R622" s="55" t="n">
        <x:f>IF(O622=0,0,ROUND(Q622/O622,4))</x:f>
        <x:v>0.19</x:v>
      </x:c>
      <x:c r="S622" s="53" t="n">
        <x:v>11</x:v>
      </x:c>
      <x:c r="T622" t="str">
        <x:v>Entregue com atraso</x:v>
      </x:c>
      <x:c r="U622" t="n">
        <x:v>3</x:v>
      </x:c>
      <x:c r="V622" t="str"/>
    </x:row>
    <x:row r="623">
      <x:c r="A623" s="52" t="n">
        <x:v>46060</x:v>
      </x:c>
      <x:c r="B623" t="str">
        <x:v>PED-100622</x:v>
      </x:c>
      <x:c r="C623" t="str">
        <x:v>Cliente 034</x:v>
      </x:c>
      <x:c r="D623" t="str">
        <x:v>SC</x:v>
      </x:c>
      <x:c r="E623" t="str">
        <x:v>Sul</x:v>
      </x:c>
      <x:c r="F623" t="str">
        <x:v>Televendas</x:v>
      </x:c>
      <x:c r="G623" t="str">
        <x:v>Tecnologia</x:v>
      </x:c>
      <x:c r="H623" t="str">
        <x:v>Monitor 27</x:v>
      </x:c>
      <x:c r="I623" t="str">
        <x:v>Isabela</x:v>
      </x:c>
      <x:c r="J623" s="53" t="n">
        <x:v>5</x:v>
      </x:c>
      <x:c r="K623" s="54" t="n">
        <x:v>1707.81</x:v>
      </x:c>
      <x:c r="L623" s="54" t="n">
        <x:v>1129.37</x:v>
      </x:c>
      <x:c r="M623" s="55" t="n">
        <x:v>0.0705</x:v>
      </x:c>
      <x:c r="N623" s="54" t="n">
        <x:f>ROUND(J623*K623,2)</x:f>
        <x:v>8539.05</x:v>
      </x:c>
      <x:c r="O623" s="54" t="n">
        <x:f>ROUND(N623*(1-M623),2)</x:f>
        <x:v>7937.05</x:v>
      </x:c>
      <x:c r="P623" s="54" t="n">
        <x:f>ROUND(J623*L623,2)</x:f>
        <x:v>5646.85</x:v>
      </x:c>
      <x:c r="Q623" s="54" t="n">
        <x:f>ROUND(O623-P623,2)</x:f>
        <x:v>2290.2</x:v>
      </x:c>
      <x:c r="R623" s="55" t="n">
        <x:f>IF(O623=0,0,ROUND(Q623/O623,4))</x:f>
        <x:v>0.2885</x:v>
      </x:c>
      <x:c r="S623" s="53" t="n">
        <x:v>13</x:v>
      </x:c>
      <x:c r="T623" t="str">
        <x:v>Entregue com atraso</x:v>
      </x:c>
      <x:c r="U623" t="n">
        <x:v>3</x:v>
      </x:c>
      <x:c r="V623" t="str"/>
    </x:row>
    <x:row r="624">
      <x:c r="A624" s="52" t="n">
        <x:v>46132</x:v>
      </x:c>
      <x:c r="B624" t="str">
        <x:v>PED-100623</x:v>
      </x:c>
      <x:c r="C624" t="str">
        <x:v>Cliente 044</x:v>
      </x:c>
      <x:c r="D624" t="str">
        <x:v>RJ</x:v>
      </x:c>
      <x:c r="E624" t="str">
        <x:v>Sudeste</x:v>
      </x:c>
      <x:c r="F624" t="str">
        <x:v>Loja</x:v>
      </x:c>
      <x:c r="G624" t="str">
        <x:v>Acessórios</x:v>
      </x:c>
      <x:c r="H624" t="str">
        <x:v>Hub USB-C</x:v>
      </x:c>
      <x:c r="I624" t="str">
        <x:v>Diego</x:v>
      </x:c>
      <x:c r="J624" s="53" t="n">
        <x:v>2</x:v>
      </x:c>
      <x:c r="K624" s="54" t="n">
        <x:v>333.68</x:v>
      </x:c>
      <x:c r="L624" s="54" t="n">
        <x:v>130.02</x:v>
      </x:c>
      <x:c r="M624" s="55" t="n">
        <x:v>0.119</x:v>
      </x:c>
      <x:c r="N624" s="54" t="n">
        <x:f>ROUND(J624*K624,2)</x:f>
        <x:v>667.36</x:v>
      </x:c>
      <x:c r="O624" s="54" t="n">
        <x:f>ROUND(N624*(1-M624),2)</x:f>
        <x:v>587.94</x:v>
      </x:c>
      <x:c r="P624" s="54" t="n">
        <x:f>ROUND(J624*L624,2)</x:f>
        <x:v>260.04</x:v>
      </x:c>
      <x:c r="Q624" s="54" t="n">
        <x:f>ROUND(O624-P624,2)</x:f>
        <x:v>327.9</x:v>
      </x:c>
      <x:c r="R624" s="55" t="n">
        <x:f>IF(O624=0,0,ROUND(Q624/O624,4))</x:f>
        <x:v>0.5577</x:v>
      </x:c>
      <x:c r="S624" s="53" t="n">
        <x:v>13</x:v>
      </x:c>
      <x:c r="T624" t="str">
        <x:v>Entregue com atraso</x:v>
      </x:c>
      <x:c r="U624" t="n">
        <x:v>4</x:v>
      </x:c>
      <x:c r="V624" t="str"/>
    </x:row>
    <x:row r="625">
      <x:c r="A625" s="52" t="n">
        <x:v>46069</x:v>
      </x:c>
      <x:c r="B625" t="str">
        <x:v>PED-100624</x:v>
      </x:c>
      <x:c r="C625" t="str">
        <x:v>Cliente 019</x:v>
      </x:c>
      <x:c r="D625" t="str">
        <x:v>PE</x:v>
      </x:c>
      <x:c r="E625" t="str">
        <x:v>Nordeste</x:v>
      </x:c>
      <x:c r="F625" t="str">
        <x:v>E-commerce</x:v>
      </x:c>
      <x:c r="G625" t="str">
        <x:v>Escritório</x:v>
      </x:c>
      <x:c r="H625" t="str">
        <x:v>Luminária LED</x:v>
      </x:c>
      <x:c r="I625" t="str">
        <x:v>João</x:v>
      </x:c>
      <x:c r="J625" s="53" t="n">
        <x:v>5</x:v>
      </x:c>
      <x:c r="K625" s="54" t="n">
        <x:v>251.3</x:v>
      </x:c>
      <x:c r="L625" s="54" t="n">
        <x:v>120.09</x:v>
      </x:c>
      <x:c r="M625" s="55" t="n">
        <x:v>0.0215</x:v>
      </x:c>
      <x:c r="N625" s="54" t="n">
        <x:f>ROUND(J625*K625,2)</x:f>
        <x:v>1256.5</x:v>
      </x:c>
      <x:c r="O625" s="54" t="n">
        <x:f>ROUND(N625*(1-M625),2)</x:f>
        <x:v>1229.49</x:v>
      </x:c>
      <x:c r="P625" s="54" t="n">
        <x:f>ROUND(J625*L625,2)</x:f>
        <x:v>600.45</x:v>
      </x:c>
      <x:c r="Q625" s="54" t="n">
        <x:f>ROUND(O625-P625,2)</x:f>
        <x:v>629.04</x:v>
      </x:c>
      <x:c r="R625" s="55" t="n">
        <x:f>IF(O625=0,0,ROUND(Q625/O625,4))</x:f>
        <x:v>0.5116</x:v>
      </x:c>
      <x:c r="S625" s="53" t="n">
        <x:v>6</x:v>
      </x:c>
      <x:c r="T625" t="str">
        <x:v>Entregue</x:v>
      </x:c>
      <x:c r="U625" t="n">
        <x:v>2</x:v>
      </x:c>
      <x:c r="V625" t="str"/>
    </x:row>
    <x:row r="626">
      <x:c r="A626" s="52" t="n">
        <x:v>46196</x:v>
      </x:c>
      <x:c r="B626" t="str">
        <x:v>PED-100625</x:v>
      </x:c>
      <x:c r="C626" t="str">
        <x:v>Cliente 022</x:v>
      </x:c>
      <x:c r="D626" t="str">
        <x:v>MA</x:v>
      </x:c>
      <x:c r="E626" t="str">
        <x:v>Nordeste</x:v>
      </x:c>
      <x:c r="F626" t="str">
        <x:v>Marketplace</x:v>
      </x:c>
      <x:c r="G626" t="str">
        <x:v>Casa</x:v>
      </x:c>
      <x:c r="H626" t="str">
        <x:v>Cafeteira Smart</x:v>
      </x:c>
      <x:c r="I626" t="str">
        <x:v>Isabela</x:v>
      </x:c>
      <x:c r="J626" s="53" t="n">
        <x:v>6</x:v>
      </x:c>
      <x:c r="K626" s="54" t="n">
        <x:v>795.61</x:v>
      </x:c>
      <x:c r="L626" s="54" t="n">
        <x:v>487.18</x:v>
      </x:c>
      <x:c r="M626" s="55" t="n">
        <x:v>0.0498</x:v>
      </x:c>
      <x:c r="N626" s="54" t="n">
        <x:f>ROUND(J626*K626,2)</x:f>
        <x:v>4773.66</x:v>
      </x:c>
      <x:c r="O626" s="54" t="n">
        <x:f>ROUND(N626*(1-M626),2)</x:f>
        <x:v>4535.93</x:v>
      </x:c>
      <x:c r="P626" s="54" t="n">
        <x:f>ROUND(J626*L626,2)</x:f>
        <x:v>2923.08</x:v>
      </x:c>
      <x:c r="Q626" s="54" t="n">
        <x:f>ROUND(O626-P626,2)</x:f>
        <x:v>1612.85</x:v>
      </x:c>
      <x:c r="R626" s="55" t="n">
        <x:f>IF(O626=0,0,ROUND(Q626/O626,4))</x:f>
        <x:v>0.3556</x:v>
      </x:c>
      <x:c r="S626" s="53" t="n">
        <x:v>9</x:v>
      </x:c>
      <x:c r="T626" t="str">
        <x:v>Entregue</x:v>
      </x:c>
      <x:c r="U626" t="n">
        <x:v>3</x:v>
      </x:c>
      <x:c r="V626" t="str"/>
    </x:row>
    <x:row r="627">
      <x:c r="A627" s="52" t="n">
        <x:v>46199</x:v>
      </x:c>
      <x:c r="B627" t="str">
        <x:v>PED-100626</x:v>
      </x:c>
      <x:c r="C627" t="str">
        <x:v>Cliente 037</x:v>
      </x:c>
      <x:c r="D627" t="str">
        <x:v>AM</x:v>
      </x:c>
      <x:c r="E627" t="str">
        <x:v>Norte</x:v>
      </x:c>
      <x:c r="F627" t="str">
        <x:v>Televendas</x:v>
      </x:c>
      <x:c r="G627" t="str">
        <x:v>Casa</x:v>
      </x:c>
      <x:c r="H627" t="str">
        <x:v>Cafeteira Smart</x:v>
      </x:c>
      <x:c r="I627" t="str">
        <x:v>Elaine</x:v>
      </x:c>
      <x:c r="J627" s="53" t="n">
        <x:v>4</x:v>
      </x:c>
      <x:c r="K627" s="54" t="n">
        <x:v>821.16</x:v>
      </x:c>
      <x:c r="L627" s="54" t="n">
        <x:v>492.2</x:v>
      </x:c>
      <x:c r="M627" s="55" t="n">
        <x:v>0</x:v>
      </x:c>
      <x:c r="N627" s="54" t="n">
        <x:f>ROUND(J627*K627,2)</x:f>
        <x:v>3284.64</x:v>
      </x:c>
      <x:c r="O627" s="54" t="n">
        <x:f>ROUND(N627*(1-M627),2)</x:f>
        <x:v>3284.64</x:v>
      </x:c>
      <x:c r="P627" s="54" t="n">
        <x:f>ROUND(J627*L627,2)</x:f>
        <x:v>1968.8</x:v>
      </x:c>
      <x:c r="Q627" s="54" t="n">
        <x:f>ROUND(O627-P627,2)</x:f>
        <x:v>1315.84</x:v>
      </x:c>
      <x:c r="R627" s="55" t="n">
        <x:f>IF(O627=0,0,ROUND(Q627/O627,4))</x:f>
        <x:v>0.4006</x:v>
      </x:c>
      <x:c r="S627" s="53" t="n">
        <x:v>7</x:v>
      </x:c>
      <x:c r="T627" t="str">
        <x:v>Entregue</x:v>
      </x:c>
      <x:c r="U627" t="n">
        <x:v>4</x:v>
      </x:c>
      <x:c r="V627" t="str"/>
    </x:row>
    <x:row r="628">
      <x:c r="A628" s="52" t="n">
        <x:v>46208</x:v>
      </x:c>
      <x:c r="B628" t="str">
        <x:v>PED-100627</x:v>
      </x:c>
      <x:c r="C628" t="str">
        <x:v>Cliente 050</x:v>
      </x:c>
      <x:c r="D628" t="str">
        <x:v>SP</x:v>
      </x:c>
      <x:c r="E628" t="str">
        <x:v>Sudeste</x:v>
      </x:c>
      <x:c r="F628" t="str">
        <x:v>Loja</x:v>
      </x:c>
      <x:c r="G628" t="str">
        <x:v>Tecnologia</x:v>
      </x:c>
      <x:c r="H628" t="str">
        <x:v>Headset Office</x:v>
      </x:c>
      <x:c r="I628" t="str">
        <x:v>João</x:v>
      </x:c>
      <x:c r="J628" s="53" t="n">
        <x:v>6</x:v>
      </x:c>
      <x:c r="K628" s="54" t="n">
        <x:v>375.8</x:v>
      </x:c>
      <x:c r="L628" s="54" t="n">
        <x:v>212.94</x:v>
      </x:c>
      <x:c r="M628" s="55" t="n">
        <x:v>0.1123</x:v>
      </x:c>
      <x:c r="N628" s="54" t="n">
        <x:f>ROUND(J628*K628,2)</x:f>
        <x:v>2254.8</x:v>
      </x:c>
      <x:c r="O628" s="54" t="n">
        <x:f>ROUND(N628*(1-M628),2)</x:f>
        <x:v>2001.59</x:v>
      </x:c>
      <x:c r="P628" s="54" t="n">
        <x:f>ROUND(J628*L628,2)</x:f>
        <x:v>1277.64</x:v>
      </x:c>
      <x:c r="Q628" s="54" t="n">
        <x:f>ROUND(O628-P628,2)</x:f>
        <x:v>723.95</x:v>
      </x:c>
      <x:c r="R628" s="55" t="n">
        <x:f>IF(O628=0,0,ROUND(Q628/O628,4))</x:f>
        <x:v>0.3617</x:v>
      </x:c>
      <x:c r="S628" s="53" t="n">
        <x:v>13</x:v>
      </x:c>
      <x:c r="T628" t="str">
        <x:v>Entregue com atraso</x:v>
      </x:c>
      <x:c r="U628" t="n">
        <x:v>3</x:v>
      </x:c>
      <x:c r="V628" t="str"/>
    </x:row>
    <x:row r="629">
      <x:c r="A629" s="52" t="n">
        <x:v>46137</x:v>
      </x:c>
      <x:c r="B629" t="str">
        <x:v>PED-100628</x:v>
      </x:c>
      <x:c r="C629" t="str">
        <x:v>Cliente 105</x:v>
      </x:c>
      <x:c r="D629" t="str">
        <x:v>DF</x:v>
      </x:c>
      <x:c r="E629" t="str">
        <x:v>Centro-Oeste</x:v>
      </x:c>
      <x:c r="F629" t="str">
        <x:v>Loja</x:v>
      </x:c>
      <x:c r="G629" t="str">
        <x:v>Casa</x:v>
      </x:c>
      <x:c r="H629" t="str">
        <x:v>Cafeteira Smart</x:v>
      </x:c>
      <x:c r="I629" t="str">
        <x:v>Ana</x:v>
      </x:c>
      <x:c r="J629" s="53" t="n">
        <x:v>3</x:v>
      </x:c>
      <x:c r="K629" s="54" t="n">
        <x:v>793.04</x:v>
      </x:c>
      <x:c r="L629" s="54" t="n">
        <x:v>456.47</x:v>
      </x:c>
      <x:c r="M629" s="55" t="n">
        <x:v>0.1015</x:v>
      </x:c>
      <x:c r="N629" s="54" t="n">
        <x:f>ROUND(J629*K629,2)</x:f>
        <x:v>2379.12</x:v>
      </x:c>
      <x:c r="O629" s="54" t="n">
        <x:f>ROUND(N629*(1-M629),2)</x:f>
        <x:v>2137.64</x:v>
      </x:c>
      <x:c r="P629" s="54" t="n">
        <x:f>ROUND(J629*L629,2)</x:f>
        <x:v>1369.41</x:v>
      </x:c>
      <x:c r="Q629" s="54" t="n">
        <x:f>ROUND(O629-P629,2)</x:f>
        <x:v>768.23</x:v>
      </x:c>
      <x:c r="R629" s="55" t="n">
        <x:f>IF(O629=0,0,ROUND(Q629/O629,4))</x:f>
        <x:v>0.3594</x:v>
      </x:c>
      <x:c r="S629" s="53" t="n">
        <x:v>7</x:v>
      </x:c>
      <x:c r="T629" t="str">
        <x:v>Entregue</x:v>
      </x:c>
      <x:c r="U629" t="n">
        <x:v>4</x:v>
      </x:c>
      <x:c r="V629" t="str"/>
    </x:row>
    <x:row r="630">
      <x:c r="A630" s="52" t="n">
        <x:v>46186</x:v>
      </x:c>
      <x:c r="B630" t="str">
        <x:v>PED-100629</x:v>
      </x:c>
      <x:c r="C630" t="str">
        <x:v>Cliente 003</x:v>
      </x:c>
      <x:c r="D630" t="str">
        <x:v>GO</x:v>
      </x:c>
      <x:c r="E630" t="str">
        <x:v>Centro-Oeste</x:v>
      </x:c>
      <x:c r="F630" t="str">
        <x:v>Loja</x:v>
      </x:c>
      <x:c r="G630" t="str">
        <x:v>Acessórios</x:v>
      </x:c>
      <x:c r="H630" t="str">
        <x:v>Mochila Executiva</x:v>
      </x:c>
      <x:c r="I630" t="str">
        <x:v>Gabriela</x:v>
      </x:c>
      <x:c r="J630" s="53" t="n">
        <x:v>5</x:v>
      </x:c>
      <x:c r="K630" s="54" t="n">
        <x:v>448.79</x:v>
      </x:c>
      <x:c r="L630" s="54" t="n">
        <x:v>193.36</x:v>
      </x:c>
      <x:c r="M630" s="55" t="n">
        <x:v>0</x:v>
      </x:c>
      <x:c r="N630" s="54" t="n">
        <x:f>ROUND(J630*K630,2)</x:f>
        <x:v>2243.95</x:v>
      </x:c>
      <x:c r="O630" s="54" t="n">
        <x:f>ROUND(N630*(1-M630),2)</x:f>
        <x:v>2243.95</x:v>
      </x:c>
      <x:c r="P630" s="54" t="n">
        <x:f>ROUND(J630*L630,2)</x:f>
        <x:v>966.8</x:v>
      </x:c>
      <x:c r="Q630" s="54" t="n">
        <x:f>ROUND(O630-P630,2)</x:f>
        <x:v>1277.15</x:v>
      </x:c>
      <x:c r="R630" s="55" t="n">
        <x:f>IF(O630=0,0,ROUND(Q630/O630,4))</x:f>
        <x:v>0.5692</x:v>
      </x:c>
      <x:c r="S630" s="53" t="n">
        <x:v>8</x:v>
      </x:c>
      <x:c r="T630" t="str">
        <x:v>Entregue</x:v>
      </x:c>
      <x:c r="U630" t="n">
        <x:v>5</x:v>
      </x:c>
      <x:c r="V630" t="str"/>
    </x:row>
    <x:row r="631">
      <x:c r="A631" s="52" t="n">
        <x:v>46148</x:v>
      </x:c>
      <x:c r="B631" t="str">
        <x:v>PED-100630</x:v>
      </x:c>
      <x:c r="C631" t="str">
        <x:v>Cliente 116</x:v>
      </x:c>
      <x:c r="D631" t="str">
        <x:v>GO</x:v>
      </x:c>
      <x:c r="E631" t="str">
        <x:v>Centro-Oeste</x:v>
      </x:c>
      <x:c r="F631" t="str">
        <x:v>Televendas</x:v>
      </x:c>
      <x:c r="G631" t="str">
        <x:v>Escritório</x:v>
      </x:c>
      <x:c r="H631" t="str">
        <x:v>Cadeira Ergonômica</x:v>
      </x:c>
      <x:c r="I631" t="str">
        <x:v>Carla</x:v>
      </x:c>
      <x:c r="J631" s="53" t="n">
        <x:v>7</x:v>
      </x:c>
      <x:c r="K631" s="54" t="n">
        <x:v>2168.8</x:v>
      </x:c>
      <x:c r="L631" s="54" t="n">
        <x:v>1375.95</x:v>
      </x:c>
      <x:c r="M631" s="55" t="n">
        <x:v>0.0703</x:v>
      </x:c>
      <x:c r="N631" s="54" t="n">
        <x:f>ROUND(J631*K631,2)</x:f>
        <x:v>15181.6</x:v>
      </x:c>
      <x:c r="O631" s="54" t="n">
        <x:f>ROUND(N631*(1-M631),2)</x:f>
        <x:v>14114.33</x:v>
      </x:c>
      <x:c r="P631" s="54" t="n">
        <x:f>ROUND(J631*L631,2)</x:f>
        <x:v>9631.65</x:v>
      </x:c>
      <x:c r="Q631" s="54" t="n">
        <x:f>ROUND(O631-P631,2)</x:f>
        <x:v>4482.68</x:v>
      </x:c>
      <x:c r="R631" s="55" t="n">
        <x:f>IF(O631=0,0,ROUND(Q631/O631,4))</x:f>
        <x:v>0.3176</x:v>
      </x:c>
      <x:c r="S631" s="53" t="n">
        <x:v>6</x:v>
      </x:c>
      <x:c r="T631" t="str">
        <x:v>Entregue</x:v>
      </x:c>
      <x:c r="U631" t="n">
        <x:v>5</x:v>
      </x:c>
      <x:c r="V631" t="str"/>
    </x:row>
    <x:row r="632">
      <x:c r="A632" s="52" t="n">
        <x:v>46201</x:v>
      </x:c>
      <x:c r="B632" t="str">
        <x:v>PED-100631</x:v>
      </x:c>
      <x:c r="C632" t="str">
        <x:v>Cliente 114</x:v>
      </x:c>
      <x:c r="D632" t="str">
        <x:v>MG</x:v>
      </x:c>
      <x:c r="E632" t="str">
        <x:v>Sudeste</x:v>
      </x:c>
      <x:c r="F632" t="str">
        <x:v>Marketplace</x:v>
      </x:c>
      <x:c r="G632" t="str">
        <x:v>Casa</x:v>
      </x:c>
      <x:c r="H632" t="str">
        <x:v>Aspirador Robô</x:v>
      </x:c>
      <x:c r="I632" t="str">
        <x:v>Gabriela</x:v>
      </x:c>
      <x:c r="J632" s="53" t="n">
        <x:v>7</x:v>
      </x:c>
      <x:c r="K632" s="54" t="n">
        <x:v>1993.53</x:v>
      </x:c>
      <x:c r="L632" s="54" t="n">
        <x:v>1156.84</x:v>
      </x:c>
      <x:c r="M632" s="55" t="n">
        <x:v>0.035</x:v>
      </x:c>
      <x:c r="N632" s="54" t="n">
        <x:f>ROUND(J632*K632,2)</x:f>
        <x:v>13954.71</x:v>
      </x:c>
      <x:c r="O632" s="54" t="n">
        <x:f>ROUND(N632*(1-M632),2)</x:f>
        <x:v>13466.3</x:v>
      </x:c>
      <x:c r="P632" s="54" t="n">
        <x:f>ROUND(J632*L632,2)</x:f>
        <x:v>8097.88</x:v>
      </x:c>
      <x:c r="Q632" s="54" t="n">
        <x:f>ROUND(O632-P632,2)</x:f>
        <x:v>5368.42</x:v>
      </x:c>
      <x:c r="R632" s="55" t="n">
        <x:f>IF(O632=0,0,ROUND(Q632/O632,4))</x:f>
        <x:v>0.3987</x:v>
      </x:c>
      <x:c r="S632" s="53" t="n">
        <x:v>10</x:v>
      </x:c>
      <x:c r="T632" t="str">
        <x:v>Entregue</x:v>
      </x:c>
      <x:c r="U632" t="n">
        <x:v>4</x:v>
      </x:c>
      <x:c r="V632" t="str"/>
    </x:row>
    <x:row r="633">
      <x:c r="A633" s="52" t="n">
        <x:v>46136</x:v>
      </x:c>
      <x:c r="B633" t="str">
        <x:v>PED-100632</x:v>
      </x:c>
      <x:c r="C633" t="str">
        <x:v>Cliente 064</x:v>
      </x:c>
      <x:c r="D633" t="str">
        <x:v>ES</x:v>
      </x:c>
      <x:c r="E633" t="str">
        <x:v>Sudeste</x:v>
      </x:c>
      <x:c r="F633" t="str">
        <x:v>E-commerce</x:v>
      </x:c>
      <x:c r="G633" t="str">
        <x:v>Acessórios</x:v>
      </x:c>
      <x:c r="H633" t="str">
        <x:v>Hub USB-C</x:v>
      </x:c>
      <x:c r="I633" t="str">
        <x:v>Henrique</x:v>
      </x:c>
      <x:c r="J633" s="53" t="n">
        <x:v>7</x:v>
      </x:c>
      <x:c r="K633" s="54" t="n">
        <x:v>310.99</x:v>
      </x:c>
      <x:c r="L633" s="54" t="n">
        <x:v>133.64</x:v>
      </x:c>
      <x:c r="M633" s="55" t="n">
        <x:v>0.1148</x:v>
      </x:c>
      <x:c r="N633" s="54" t="n">
        <x:f>ROUND(J633*K633,2)</x:f>
        <x:v>2176.93</x:v>
      </x:c>
      <x:c r="O633" s="54" t="n">
        <x:f>ROUND(N633*(1-M633),2)</x:f>
        <x:v>1927.02</x:v>
      </x:c>
      <x:c r="P633" s="54" t="n">
        <x:f>ROUND(J633*L633,2)</x:f>
        <x:v>935.48</x:v>
      </x:c>
      <x:c r="Q633" s="54" t="n">
        <x:f>ROUND(O633-P633,2)</x:f>
        <x:v>991.54</x:v>
      </x:c>
      <x:c r="R633" s="55" t="n">
        <x:f>IF(O633=0,0,ROUND(Q633/O633,4))</x:f>
        <x:v>0.5145</x:v>
      </x:c>
      <x:c r="S633" s="53" t="n">
        <x:v>11</x:v>
      </x:c>
      <x:c r="T633" t="str">
        <x:v>Entregue com atraso</x:v>
      </x:c>
      <x:c r="U633" t="n">
        <x:v>5</x:v>
      </x:c>
      <x:c r="V633" t="str"/>
    </x:row>
    <x:row r="634">
      <x:c r="A634" s="52" t="n">
        <x:v>46141</x:v>
      </x:c>
      <x:c r="B634" t="str">
        <x:v>PED-100633</x:v>
      </x:c>
      <x:c r="C634" t="str">
        <x:v>Cliente 009</x:v>
      </x:c>
      <x:c r="D634" t="str">
        <x:v>DF</x:v>
      </x:c>
      <x:c r="E634" t="str">
        <x:v>Centro-Oeste</x:v>
      </x:c>
      <x:c r="F634" t="str">
        <x:v>Marketplace</x:v>
      </x:c>
      <x:c r="G634" t="str">
        <x:v>Escritório</x:v>
      </x:c>
      <x:c r="H634" t="str">
        <x:v>Mesa Ajustável</x:v>
      </x:c>
      <x:c r="I634" t="str">
        <x:v>Gabriela</x:v>
      </x:c>
      <x:c r="J634" s="53" t="n">
        <x:v>2</x:v>
      </x:c>
      <x:c r="K634" s="54" t="n">
        <x:v>2875.73</x:v>
      </x:c>
      <x:c r="L634" s="54" t="n">
        <x:v>1787.6</x:v>
      </x:c>
      <x:c r="M634" s="55" t="n">
        <x:v>0.0448</x:v>
      </x:c>
      <x:c r="N634" s="54" t="n">
        <x:f>ROUND(J634*K634,2)</x:f>
        <x:v>5751.46</x:v>
      </x:c>
      <x:c r="O634" s="54" t="n">
        <x:f>ROUND(N634*(1-M634),2)</x:f>
        <x:v>5493.79</x:v>
      </x:c>
      <x:c r="P634" s="54" t="n">
        <x:f>ROUND(J634*L634,2)</x:f>
        <x:v>3575.2</x:v>
      </x:c>
      <x:c r="Q634" s="54" t="n">
        <x:f>ROUND(O634-P634,2)</x:f>
        <x:v>1918.59</x:v>
      </x:c>
      <x:c r="R634" s="55" t="n">
        <x:f>IF(O634=0,0,ROUND(Q634/O634,4))</x:f>
        <x:v>0.3492</x:v>
      </x:c>
      <x:c r="S634" s="53" t="n">
        <x:v>5</x:v>
      </x:c>
      <x:c r="T634" t="str">
        <x:v>Entregue</x:v>
      </x:c>
      <x:c r="U634" t="n">
        <x:v>5</x:v>
      </x:c>
      <x:c r="V634" t="str"/>
    </x:row>
    <x:row r="635">
      <x:c r="A635" s="52" t="n">
        <x:v>46188</x:v>
      </x:c>
      <x:c r="B635" t="str">
        <x:v>PED-100634</x:v>
      </x:c>
      <x:c r="C635" t="str">
        <x:v>Cliente 057</x:v>
      </x:c>
      <x:c r="D635" t="str">
        <x:v>SP</x:v>
      </x:c>
      <x:c r="E635" t="str">
        <x:v>Sudeste</x:v>
      </x:c>
      <x:c r="F635" t="str">
        <x:v>Televendas</x:v>
      </x:c>
      <x:c r="G635" t="str">
        <x:v>Escritório</x:v>
      </x:c>
      <x:c r="H635" t="str">
        <x:v>Cadeira Ergonômica</x:v>
      </x:c>
      <x:c r="I635" t="str">
        <x:v>Henrique</x:v>
      </x:c>
      <x:c r="J635" s="53" t="n">
        <x:v>5</x:v>
      </x:c>
      <x:c r="K635" s="54" t="n">
        <x:v>2230.15</x:v>
      </x:c>
      <x:c r="L635" s="54" t="n">
        <x:v>2344.46</x:v>
      </x:c>
      <x:c r="M635" s="55" t="n">
        <x:v>0</x:v>
      </x:c>
      <x:c r="N635" s="54" t="n">
        <x:f>ROUND(J635*K635,2)</x:f>
        <x:v>11150.75</x:v>
      </x:c>
      <x:c r="O635" s="54" t="n">
        <x:f>ROUND(N635*(1-M635),2)</x:f>
        <x:v>11150.75</x:v>
      </x:c>
      <x:c r="P635" s="54" t="n">
        <x:f>ROUND(J635*L635,2)</x:f>
        <x:v>11722.3</x:v>
      </x:c>
      <x:c r="Q635" s="54" t="n">
        <x:f>ROUND(O635-P635,2)</x:f>
        <x:v>-571.55</x:v>
      </x:c>
      <x:c r="R635" s="55" t="n">
        <x:f>IF(O635=0,0,ROUND(Q635/O635,4))</x:f>
        <x:v>-0.0513</x:v>
      </x:c>
      <x:c r="S635" s="53" t="n">
        <x:v>9</x:v>
      </x:c>
      <x:c r="T635" t="str">
        <x:v>Entregue</x:v>
      </x:c>
      <x:c r="U635" t="n">
        <x:v>5</x:v>
      </x:c>
      <x:c r="V635" t="str">
        <x:v>Custo revisado após fechamento</x:v>
      </x:c>
    </x:row>
    <x:row r="636">
      <x:c r="A636" s="52" t="n">
        <x:v>46115</x:v>
      </x:c>
      <x:c r="B636" t="str">
        <x:v>PED-100635</x:v>
      </x:c>
      <x:c r="C636" t="str">
        <x:v>Cliente 037</x:v>
      </x:c>
      <x:c r="D636" t="str">
        <x:v>RS</x:v>
      </x:c>
      <x:c r="E636" t="str">
        <x:v>Sul</x:v>
      </x:c>
      <x:c r="F636" t="str">
        <x:v>Marketplace</x:v>
      </x:c>
      <x:c r="G636" t="str">
        <x:v>Tecnologia</x:v>
      </x:c>
      <x:c r="H636" t="str">
        <x:v>Monitor 27</x:v>
      </x:c>
      <x:c r="I636" t="str">
        <x:v>Carla</x:v>
      </x:c>
      <x:c r="J636" s="53" t="n">
        <x:v>1</x:v>
      </x:c>
      <x:c r="K636" s="54" t="n">
        <x:v>1734.28</x:v>
      </x:c>
      <x:c r="L636" s="54" t="n">
        <x:v>1054</x:v>
      </x:c>
      <x:c r="M636" s="55" t="n">
        <x:v>0.035</x:v>
      </x:c>
      <x:c r="N636" s="54" t="n">
        <x:f>ROUND(J636*K636,2)</x:f>
        <x:v>1734.28</x:v>
      </x:c>
      <x:c r="O636" s="54" t="n">
        <x:f>ROUND(N636*(1-M636),2)</x:f>
        <x:v>1673.58</x:v>
      </x:c>
      <x:c r="P636" s="54" t="n">
        <x:f>ROUND(J636*L636,2)</x:f>
        <x:v>1054</x:v>
      </x:c>
      <x:c r="Q636" s="54" t="n">
        <x:f>ROUND(O636-P636,2)</x:f>
        <x:v>619.58</x:v>
      </x:c>
      <x:c r="R636" s="55" t="n">
        <x:f>IF(O636=0,0,ROUND(Q636/O636,4))</x:f>
        <x:v>0.3702</x:v>
      </x:c>
      <x:c r="S636" s="53" t="n">
        <x:v>10</x:v>
      </x:c>
      <x:c r="T636" t="str">
        <x:v>Entregue</x:v>
      </x:c>
      <x:c r="U636" t="n">
        <x:v>3</x:v>
      </x:c>
      <x:c r="V636" t="str"/>
    </x:row>
    <x:row r="637">
      <x:c r="A637" s="52" t="n">
        <x:v>46154</x:v>
      </x:c>
      <x:c r="B637" t="str">
        <x:v>PED-100636</x:v>
      </x:c>
      <x:c r="C637" t="str">
        <x:v>Cliente 062</x:v>
      </x:c>
      <x:c r="D637" t="str">
        <x:v>DF</x:v>
      </x:c>
      <x:c r="E637" t="str">
        <x:v>Centro-Oeste</x:v>
      </x:c>
      <x:c r="F637" t="str">
        <x:v>Televendas</x:v>
      </x:c>
      <x:c r="G637" t="str">
        <x:v>Acessórios</x:v>
      </x:c>
      <x:c r="H637" t="str">
        <x:v>Mochila Executiva</x:v>
      </x:c>
      <x:c r="I637" t="str">
        <x:v>Ana</x:v>
      </x:c>
      <x:c r="J637" s="53" t="n">
        <x:v>6</x:v>
      </x:c>
      <x:c r="K637" s="54" t="n">
        <x:v>437.34</x:v>
      </x:c>
      <x:c r="L637" s="54" t="n">
        <x:v>187.82</x:v>
      </x:c>
      <x:c r="M637" s="55" t="n">
        <x:v>0</x:v>
      </x:c>
      <x:c r="N637" s="54" t="n">
        <x:f>ROUND(J637*K637,2)</x:f>
        <x:v>2624.04</x:v>
      </x:c>
      <x:c r="O637" s="54" t="n">
        <x:f>ROUND(N637*(1-M637),2)</x:f>
        <x:v>2624.04</x:v>
      </x:c>
      <x:c r="P637" s="54" t="n">
        <x:f>ROUND(J637*L637,2)</x:f>
        <x:v>1126.92</x:v>
      </x:c>
      <x:c r="Q637" s="54" t="n">
        <x:f>ROUND(O637-P637,2)</x:f>
        <x:v>1497.12</x:v>
      </x:c>
      <x:c r="R637" s="55" t="n">
        <x:f>IF(O637=0,0,ROUND(Q637/O637,4))</x:f>
        <x:v>0.5705</x:v>
      </x:c>
      <x:c r="S637" s="53" t="n">
        <x:v>3</x:v>
      </x:c>
      <x:c r="T637" t="str">
        <x:v>Entregue</x:v>
      </x:c>
      <x:c r="U637" t="n">
        <x:v>3</x:v>
      </x:c>
      <x:c r="V637" t="str"/>
    </x:row>
    <x:row r="638">
      <x:c r="A638" s="52" t="n">
        <x:v>46115</x:v>
      </x:c>
      <x:c r="B638" t="str">
        <x:v>PED-100637</x:v>
      </x:c>
      <x:c r="C638" t="str">
        <x:v>Cliente 031</x:v>
      </x:c>
      <x:c r="D638" t="str">
        <x:v>SC</x:v>
      </x:c>
      <x:c r="E638" t="str">
        <x:v>Sul</x:v>
      </x:c>
      <x:c r="F638" t="str">
        <x:v>E-commerce</x:v>
      </x:c>
      <x:c r="G638" t="str">
        <x:v>Escritório</x:v>
      </x:c>
      <x:c r="H638" t="str">
        <x:v>Mesa Ajustável</x:v>
      </x:c>
      <x:c r="I638" t="str">
        <x:v>Elaine</x:v>
      </x:c>
      <x:c r="J638" s="53" t="n">
        <x:v>1</x:v>
      </x:c>
      <x:c r="K638" s="54" t="n">
        <x:v>2901.14</x:v>
      </x:c>
      <x:c r="L638" s="54" t="n">
        <x:v>1805.07</x:v>
      </x:c>
      <x:c r="M638" s="55" t="n">
        <x:v>0</x:v>
      </x:c>
      <x:c r="N638" s="54" t="n">
        <x:f>ROUND(J638*K638,2)</x:f>
        <x:v>2901.14</x:v>
      </x:c>
      <x:c r="O638" s="54" t="n">
        <x:f>ROUND(N638*(1-M638),2)</x:f>
        <x:v>2901.14</x:v>
      </x:c>
      <x:c r="P638" s="54" t="n">
        <x:f>ROUND(J638*L638,2)</x:f>
        <x:v>1805.07</x:v>
      </x:c>
      <x:c r="Q638" s="54" t="n">
        <x:f>ROUND(O638-P638,2)</x:f>
        <x:v>1096.07</x:v>
      </x:c>
      <x:c r="R638" s="55" t="n">
        <x:f>IF(O638=0,0,ROUND(Q638/O638,4))</x:f>
        <x:v>0.3778</x:v>
      </x:c>
      <x:c r="S638" s="53" t="n">
        <x:v>9</x:v>
      </x:c>
      <x:c r="T638" t="str">
        <x:v>Entregue</x:v>
      </x:c>
      <x:c r="U638" t="n">
        <x:v>2</x:v>
      </x:c>
      <x:c r="V638" t="str"/>
    </x:row>
    <x:row r="639">
      <x:c r="A639" s="52" t="n">
        <x:v>46032</x:v>
      </x:c>
      <x:c r="B639" t="str">
        <x:v>PED-100638</x:v>
      </x:c>
      <x:c r="C639" t="str">
        <x:v>Cliente 011</x:v>
      </x:c>
      <x:c r="D639" t="str">
        <x:v>GO</x:v>
      </x:c>
      <x:c r="E639" t="str">
        <x:v>Centro-Oeste</x:v>
      </x:c>
      <x:c r="F639" t="str">
        <x:v>E-commerce</x:v>
      </x:c>
      <x:c r="G639" t="str">
        <x:v>Escritório</x:v>
      </x:c>
      <x:c r="H639" t="str">
        <x:v>Cadeira Ergonômica</x:v>
      </x:c>
      <x:c r="I639" t="str">
        <x:v>Ana</x:v>
      </x:c>
      <x:c r="J639" s="53" t="n">
        <x:v>4</x:v>
      </x:c>
      <x:c r="K639" s="54" t="n">
        <x:v>2250.8</x:v>
      </x:c>
      <x:c r="L639" s="54" t="n">
        <x:v>1462.34</x:v>
      </x:c>
      <x:c r="M639" s="55" t="n">
        <x:v>0</x:v>
      </x:c>
      <x:c r="N639" s="54" t="n">
        <x:f>ROUND(J639*K639,2)</x:f>
        <x:v>9003.2</x:v>
      </x:c>
      <x:c r="O639" s="54" t="n">
        <x:f>ROUND(N639*(1-M639),2)</x:f>
        <x:v>9003.2</x:v>
      </x:c>
      <x:c r="P639" s="54" t="n">
        <x:f>ROUND(J639*L639,2)</x:f>
        <x:v>5849.36</x:v>
      </x:c>
      <x:c r="Q639" s="54" t="n">
        <x:f>ROUND(O639-P639,2)</x:f>
        <x:v>3153.84</x:v>
      </x:c>
      <x:c r="R639" s="55" t="n">
        <x:f>IF(O639=0,0,ROUND(Q639/O639,4))</x:f>
        <x:v>0.3503</x:v>
      </x:c>
      <x:c r="S639" s="53" t="n">
        <x:v>7</x:v>
      </x:c>
      <x:c r="T639" t="str">
        <x:v>Entregue</x:v>
      </x:c>
      <x:c r="U639" t="n">
        <x:v>4</x:v>
      </x:c>
      <x:c r="V639" t="str"/>
    </x:row>
    <x:row r="640">
      <x:c r="A640" s="52" t="n">
        <x:v>46173</x:v>
      </x:c>
      <x:c r="B640" t="str">
        <x:v>PED-100639</x:v>
      </x:c>
      <x:c r="C640" t="str">
        <x:v>Cliente 092</x:v>
      </x:c>
      <x:c r="D640" t="str">
        <x:v>PA</x:v>
      </x:c>
      <x:c r="E640" t="str">
        <x:v>Norte</x:v>
      </x:c>
      <x:c r="F640" t="str">
        <x:v>Loja</x:v>
      </x:c>
      <x:c r="G640" t="str">
        <x:v>Acessórios</x:v>
      </x:c>
      <x:c r="H640" t="str">
        <x:v>Webcam HD</x:v>
      </x:c>
      <x:c r="I640" t="str">
        <x:v>Carla</x:v>
      </x:c>
      <x:c r="J640" s="53" t="n">
        <x:v>1</x:v>
      </x:c>
      <x:c r="K640" s="54" t="n">
        <x:v>513.06</x:v>
      </x:c>
      <x:c r="L640" s="54" t="n">
        <x:v>244.48</x:v>
      </x:c>
      <x:c r="M640" s="55" t="n">
        <x:v>0.0249</x:v>
      </x:c>
      <x:c r="N640" s="54" t="n">
        <x:f>ROUND(J640*K640,2)</x:f>
        <x:v>513.06</x:v>
      </x:c>
      <x:c r="O640" s="54" t="n">
        <x:f>ROUND(N640*(1-M640),2)</x:f>
        <x:v>500.28</x:v>
      </x:c>
      <x:c r="P640" s="54" t="n">
        <x:f>ROUND(J640*L640,2)</x:f>
        <x:v>244.48</x:v>
      </x:c>
      <x:c r="Q640" s="54" t="n">
        <x:f>ROUND(O640-P640,2)</x:f>
        <x:v>255.8</x:v>
      </x:c>
      <x:c r="R640" s="55" t="n">
        <x:f>IF(O640=0,0,ROUND(Q640/O640,4))</x:f>
        <x:v>0.5113</x:v>
      </x:c>
      <x:c r="S640" s="53" t="n">
        <x:v>6</x:v>
      </x:c>
      <x:c r="T640" t="str">
        <x:v>Entregue</x:v>
      </x:c>
      <x:c r="U640" t="n">
        <x:v>3</x:v>
      </x:c>
      <x:c r="V640" t="str"/>
    </x:row>
    <x:row r="641">
      <x:c r="A641" s="52" t="n">
        <x:v>46116</x:v>
      </x:c>
      <x:c r="B641" t="str">
        <x:v>PED-100640</x:v>
      </x:c>
      <x:c r="C641" t="str">
        <x:v>Cliente 096</x:v>
      </x:c>
      <x:c r="D641" t="str">
        <x:v>BA</x:v>
      </x:c>
      <x:c r="E641" t="str">
        <x:v>Nordeste</x:v>
      </x:c>
      <x:c r="F641" t="str">
        <x:v>Loja</x:v>
      </x:c>
      <x:c r="G641" t="str">
        <x:v>Tecnologia</x:v>
      </x:c>
      <x:c r="H641" t="str">
        <x:v>Notebook Pro</x:v>
      </x:c>
      <x:c r="I641" t="str">
        <x:v>Carla</x:v>
      </x:c>
      <x:c r="J641" s="53" t="n">
        <x:v>6</x:v>
      </x:c>
      <x:c r="K641" s="54" t="n">
        <x:v>6232.47</x:v>
      </x:c>
      <x:c r="L641" s="54" t="n">
        <x:v>4292.91</x:v>
      </x:c>
      <x:c r="M641" s="55" t="n">
        <x:v>0.0697</x:v>
      </x:c>
      <x:c r="N641" s="54" t="n">
        <x:f>ROUND(J641*K641,2)</x:f>
        <x:v>37394.82</x:v>
      </x:c>
      <x:c r="O641" s="54" t="n">
        <x:f>ROUND(N641*(1-M641),2)</x:f>
        <x:v>34788.4</x:v>
      </x:c>
      <x:c r="P641" s="54" t="n">
        <x:f>ROUND(J641*L641,2)</x:f>
        <x:v>25757.46</x:v>
      </x:c>
      <x:c r="Q641" s="54" t="n">
        <x:f>ROUND(O641-P641,2)</x:f>
        <x:v>9030.94</x:v>
      </x:c>
      <x:c r="R641" s="55" t="n">
        <x:f>IF(O641=0,0,ROUND(Q641/O641,4))</x:f>
        <x:v>0.2596</x:v>
      </x:c>
      <x:c r="S641" s="53" t="n">
        <x:v>3</x:v>
      </x:c>
      <x:c r="T641" t="str">
        <x:v>Entregue</x:v>
      </x:c>
      <x:c r="U641" t="n">
        <x:v>5</x:v>
      </x:c>
      <x:c r="V641" t="str"/>
    </x:row>
    <x:row r="642">
      <x:c r="A642" s="52" t="n">
        <x:v>46026</x:v>
      </x:c>
      <x:c r="B642" t="str">
        <x:v>PED-100641</x:v>
      </x:c>
      <x:c r="C642" t="str">
        <x:v>Cliente 022</x:v>
      </x:c>
      <x:c r="D642" t="str">
        <x:v>BA</x:v>
      </x:c>
      <x:c r="E642" t="str">
        <x:v>Nordeste</x:v>
      </x:c>
      <x:c r="F642" t="str">
        <x:v>Marketplace</x:v>
      </x:c>
      <x:c r="G642" t="str">
        <x:v>Acessórios</x:v>
      </x:c>
      <x:c r="H642" t="str">
        <x:v>Hub USB-C</x:v>
      </x:c>
      <x:c r="I642" t="str">
        <x:v>Felipe</x:v>
      </x:c>
      <x:c r="J642" s="53" t="n">
        <x:v>7</x:v>
      </x:c>
      <x:c r="K642" s="54" t="n">
        <x:v>325.93</x:v>
      </x:c>
      <x:c r="L642" s="54" t="n">
        <x:v>139.18</x:v>
      </x:c>
      <x:c r="M642" s="55" t="n">
        <x:v>0.035</x:v>
      </x:c>
      <x:c r="N642" s="54" t="n">
        <x:f>ROUND(J642*K642,2)</x:f>
        <x:v>2281.51</x:v>
      </x:c>
      <x:c r="O642" s="54" t="n">
        <x:f>ROUND(N642*(1-M642),2)</x:f>
        <x:v>2201.66</x:v>
      </x:c>
      <x:c r="P642" s="54" t="n">
        <x:f>ROUND(J642*L642,2)</x:f>
        <x:v>974.26</x:v>
      </x:c>
      <x:c r="Q642" s="54" t="n">
        <x:f>ROUND(O642-P642,2)</x:f>
        <x:v>1227.4</x:v>
      </x:c>
      <x:c r="R642" s="55" t="n">
        <x:f>IF(O642=0,0,ROUND(Q642/O642,4))</x:f>
        <x:v>0.5575</x:v>
      </x:c>
      <x:c r="S642" s="53" t="n">
        <x:v>10</x:v>
      </x:c>
      <x:c r="T642" t="str">
        <x:v>Entregue</x:v>
      </x:c>
      <x:c r="U642" t="n">
        <x:v>4</x:v>
      </x:c>
      <x:c r="V642" t="str"/>
    </x:row>
    <x:row r="643">
      <x:c r="A643" s="52" t="n">
        <x:v>46142</x:v>
      </x:c>
      <x:c r="B643" t="str">
        <x:v>PED-100642</x:v>
      </x:c>
      <x:c r="C643" t="str">
        <x:v>Cliente 085</x:v>
      </x:c>
      <x:c r="D643" t="str">
        <x:v>MG</x:v>
      </x:c>
      <x:c r="E643" t="str">
        <x:v>Sudeste</x:v>
      </x:c>
      <x:c r="F643" t="str">
        <x:v>Televendas</x:v>
      </x:c>
      <x:c r="G643" t="str">
        <x:v>Tecnologia</x:v>
      </x:c>
      <x:c r="H643" t="str">
        <x:v>Notebook Pro</x:v>
      </x:c>
      <x:c r="I643" t="str">
        <x:v>Felipe</x:v>
      </x:c>
      <x:c r="J643" s="53" t="n">
        <x:v>2</x:v>
      </x:c>
      <x:c r="K643" s="54" t="n">
        <x:v>5812.62</x:v>
      </x:c>
      <x:c r="L643" s="54" t="n">
        <x:v>4256.14</x:v>
      </x:c>
      <x:c r="M643" s="55" t="n">
        <x:v>0.0703</x:v>
      </x:c>
      <x:c r="N643" s="54" t="n">
        <x:f>ROUND(J643*K643,2)</x:f>
        <x:v>11625.24</x:v>
      </x:c>
      <x:c r="O643" s="54" t="n">
        <x:f>ROUND(N643*(1-M643),2)</x:f>
        <x:v>10807.99</x:v>
      </x:c>
      <x:c r="P643" s="54" t="n">
        <x:f>ROUND(J643*L643,2)</x:f>
        <x:v>8512.28</x:v>
      </x:c>
      <x:c r="Q643" s="54" t="n">
        <x:f>ROUND(O643-P643,2)</x:f>
        <x:v>2295.71</x:v>
      </x:c>
      <x:c r="R643" s="55" t="n">
        <x:f>IF(O643=0,0,ROUND(Q643/O643,4))</x:f>
        <x:v>0.2124</x:v>
      </x:c>
      <x:c r="S643" s="53" t="n">
        <x:v>8</x:v>
      </x:c>
      <x:c r="T643" t="str">
        <x:v>Entregue</x:v>
      </x:c>
      <x:c r="U643" t="n">
        <x:v>2</x:v>
      </x:c>
      <x:c r="V643" t="str"/>
    </x:row>
    <x:row r="644">
      <x:c r="A644" s="52" t="n">
        <x:v>46168</x:v>
      </x:c>
      <x:c r="B644" t="str">
        <x:v>PED-100643</x:v>
      </x:c>
      <x:c r="C644" t="str">
        <x:v>Cliente 091</x:v>
      </x:c>
      <x:c r="D644" t="str">
        <x:v>PA</x:v>
      </x:c>
      <x:c r="E644" t="str">
        <x:v>Norte</x:v>
      </x:c>
      <x:c r="F644" t="str">
        <x:v>E-commerce</x:v>
      </x:c>
      <x:c r="G644" t="str">
        <x:v>Acessórios</x:v>
      </x:c>
      <x:c r="H644" t="str">
        <x:v>Hub USB-C</x:v>
      </x:c>
      <x:c r="I644" t="str">
        <x:v>Carla</x:v>
      </x:c>
      <x:c r="J644" s="53" t="n">
        <x:v>4</x:v>
      </x:c>
      <x:c r="K644" s="54" t="n">
        <x:v>301.42</x:v>
      </x:c>
      <x:c r="L644" s="54" t="n">
        <x:v>140.77</x:v>
      </x:c>
      <x:c r="M644" s="55" t="n">
        <x:v>0.0543</x:v>
      </x:c>
      <x:c r="N644" s="54" t="n">
        <x:f>ROUND(J644*K644,2)</x:f>
        <x:v>1205.68</x:v>
      </x:c>
      <x:c r="O644" s="54" t="n">
        <x:f>ROUND(N644*(1-M644),2)</x:f>
        <x:v>1140.21</x:v>
      </x:c>
      <x:c r="P644" s="54" t="n">
        <x:f>ROUND(J644*L644,2)</x:f>
        <x:v>563.08</x:v>
      </x:c>
      <x:c r="Q644" s="54" t="n">
        <x:f>ROUND(O644-P644,2)</x:f>
        <x:v>577.13</x:v>
      </x:c>
      <x:c r="R644" s="55" t="n">
        <x:f>IF(O644=0,0,ROUND(Q644/O644,4))</x:f>
        <x:v>0.5062</x:v>
      </x:c>
      <x:c r="S644" s="53" t="n">
        <x:v>4</x:v>
      </x:c>
      <x:c r="T644" t="str">
        <x:v>Entregue</x:v>
      </x:c>
      <x:c r="U644" t="n">
        <x:v>2</x:v>
      </x:c>
      <x:c r="V644" t="str"/>
    </x:row>
    <x:row r="645">
      <x:c r="A645" s="52" t="n">
        <x:v>46107</x:v>
      </x:c>
      <x:c r="B645" t="str">
        <x:v>PED-100644</x:v>
      </x:c>
      <x:c r="C645" t="str">
        <x:v>Cliente 009</x:v>
      </x:c>
      <x:c r="D645" t="str">
        <x:v>BA</x:v>
      </x:c>
      <x:c r="E645" t="str">
        <x:v>Nordeste</x:v>
      </x:c>
      <x:c r="F645" t="str">
        <x:v>E-commerce</x:v>
      </x:c>
      <x:c r="G645" t="str">
        <x:v>Casa</x:v>
      </x:c>
      <x:c r="H645" t="str">
        <x:v>Purificador</x:v>
      </x:c>
      <x:c r="I645" t="str">
        <x:v>Elaine</x:v>
      </x:c>
      <x:c r="J645" s="53" t="n">
        <x:v>6</x:v>
      </x:c>
      <x:c r="K645" s="54" t="n">
        <x:v>1228.46</x:v>
      </x:c>
      <x:c r="L645" s="54" t="n">
        <x:v>826.69</x:v>
      </x:c>
      <x:c r="M645" s="55" t="n">
        <x:v>0</x:v>
      </x:c>
      <x:c r="N645" s="54" t="n">
        <x:f>ROUND(J645*K645,2)</x:f>
        <x:v>7370.76</x:v>
      </x:c>
      <x:c r="O645" s="54" t="n">
        <x:f>ROUND(N645*(1-M645),2)</x:f>
        <x:v>7370.76</x:v>
      </x:c>
      <x:c r="P645" s="54" t="n">
        <x:f>ROUND(J645*L645,2)</x:f>
        <x:v>4960.14</x:v>
      </x:c>
      <x:c r="Q645" s="54" t="n">
        <x:f>ROUND(O645-P645,2)</x:f>
        <x:v>2410.62</x:v>
      </x:c>
      <x:c r="R645" s="55" t="n">
        <x:f>IF(O645=0,0,ROUND(Q645/O645,4))</x:f>
        <x:v>0.3271</x:v>
      </x:c>
      <x:c r="S645" s="53" t="n">
        <x:v>6</x:v>
      </x:c>
      <x:c r="T645" t="str">
        <x:v>Entregue</x:v>
      </x:c>
      <x:c r="U645" t="n">
        <x:v>4</x:v>
      </x:c>
      <x:c r="V645" t="str"/>
    </x:row>
    <x:row r="646">
      <x:c r="A646" s="52" t="n">
        <x:v>46031</x:v>
      </x:c>
      <x:c r="B646" t="str">
        <x:v>PED-100645</x:v>
      </x:c>
      <x:c r="C646" t="str">
        <x:v>Cliente 009</x:v>
      </x:c>
      <x:c r="D646" t="str">
        <x:v>RJ</x:v>
      </x:c>
      <x:c r="E646" t="str">
        <x:v>Sudeste</x:v>
      </x:c>
      <x:c r="F646" t="str">
        <x:v>Loja</x:v>
      </x:c>
      <x:c r="G646" t="str">
        <x:v>Tecnologia</x:v>
      </x:c>
      <x:c r="H646" t="str">
        <x:v>Notebook Pro</x:v>
      </x:c>
      <x:c r="I646" t="str">
        <x:v>Bruno</x:v>
      </x:c>
      <x:c r="J646" s="53" t="n">
        <x:v>8</x:v>
      </x:c>
      <x:c r="K646" s="54" t="n">
        <x:v>6210.89</x:v>
      </x:c>
      <x:c r="L646" s="54" t="n">
        <x:v>4204.56</x:v>
      </x:c>
      <x:c r="M646" s="55" t="n">
        <x:v>0</x:v>
      </x:c>
      <x:c r="N646" s="54" t="n">
        <x:f>ROUND(J646*K646,2)</x:f>
        <x:v>49687.12</x:v>
      </x:c>
      <x:c r="O646" s="54" t="n">
        <x:f>ROUND(N646*(1-M646),2)</x:f>
        <x:v>49687.12</x:v>
      </x:c>
      <x:c r="P646" s="54" t="n">
        <x:f>ROUND(J646*L646,2)</x:f>
        <x:v>33636.48</x:v>
      </x:c>
      <x:c r="Q646" s="54" t="n">
        <x:f>ROUND(O646-P646,2)</x:f>
        <x:v>16050.64</x:v>
      </x:c>
      <x:c r="R646" s="55" t="n">
        <x:f>IF(O646=0,0,ROUND(Q646/O646,4))</x:f>
        <x:v>0.323</x:v>
      </x:c>
      <x:c r="S646" s="53" t="n">
        <x:v>10</x:v>
      </x:c>
      <x:c r="T646" t="str">
        <x:v>Entregue</x:v>
      </x:c>
      <x:c r="U646" t="n">
        <x:v>4</x:v>
      </x:c>
      <x:c r="V646" t="str"/>
    </x:row>
    <x:row r="647">
      <x:c r="A647" s="52" t="n">
        <x:v>46126</x:v>
      </x:c>
      <x:c r="B647" t="str">
        <x:v>PED-100646</x:v>
      </x:c>
      <x:c r="C647" t="str">
        <x:v>Cliente 010</x:v>
      </x:c>
      <x:c r="D647" t="str">
        <x:v>RJ</x:v>
      </x:c>
      <x:c r="E647" t="str">
        <x:v>Sudeste</x:v>
      </x:c>
      <x:c r="F647" t="str">
        <x:v>Televendas</x:v>
      </x:c>
      <x:c r="G647" t="str">
        <x:v>Acessórios</x:v>
      </x:c>
      <x:c r="H647" t="str">
        <x:v>Mochila Executiva</x:v>
      </x:c>
      <x:c r="I647" t="str">
        <x:v>Henrique</x:v>
      </x:c>
      <x:c r="J647" s="53" t="n">
        <x:v>5</x:v>
      </x:c>
      <x:c r="K647" s="54" t="n">
        <x:v>432.81</x:v>
      </x:c>
      <x:c r="L647" s="54" t="n">
        <x:v>191.12</x:v>
      </x:c>
      <x:c r="M647" s="55" t="n">
        <x:v>0.0222</x:v>
      </x:c>
      <x:c r="N647" s="54" t="n">
        <x:f>ROUND(J647*K647,2)</x:f>
        <x:v>2164.05</x:v>
      </x:c>
      <x:c r="O647" s="54" t="n">
        <x:f>ROUND(N647*(1-M647),2)</x:f>
        <x:v>2116.01</x:v>
      </x:c>
      <x:c r="P647" s="54" t="n">
        <x:f>ROUND(J647*L647,2)</x:f>
        <x:v>955.6</x:v>
      </x:c>
      <x:c r="Q647" s="54" t="n">
        <x:f>ROUND(O647-P647,2)</x:f>
        <x:v>1160.41</x:v>
      </x:c>
      <x:c r="R647" s="55" t="n">
        <x:f>IF(O647=0,0,ROUND(Q647/O647,4))</x:f>
        <x:v>0.5484</x:v>
      </x:c>
      <x:c r="S647" s="53" t="n">
        <x:v>11</x:v>
      </x:c>
      <x:c r="T647" t="str">
        <x:v>Entregue com atraso</x:v>
      </x:c>
      <x:c r="U647" t="n">
        <x:v>2</x:v>
      </x:c>
      <x:c r="V647" t="str"/>
    </x:row>
    <x:row r="648">
      <x:c r="A648" s="52" t="n">
        <x:v>46084</x:v>
      </x:c>
      <x:c r="B648" t="str">
        <x:v>PED-100647</x:v>
      </x:c>
      <x:c r="C648" t="str">
        <x:v>Cliente 055</x:v>
      </x:c>
      <x:c r="D648" t="str">
        <x:v>CE</x:v>
      </x:c>
      <x:c r="E648" t="str">
        <x:v>Nordeste</x:v>
      </x:c>
      <x:c r="F648" t="str">
        <x:v>Loja</x:v>
      </x:c>
      <x:c r="G648" t="str">
        <x:v>Casa</x:v>
      </x:c>
      <x:c r="H648" t="str">
        <x:v>Purificador</x:v>
      </x:c>
      <x:c r="I648" t="str">
        <x:v>João</x:v>
      </x:c>
      <x:c r="J648" s="53" t="n">
        <x:v>5</x:v>
      </x:c>
      <x:c r="K648" s="54" t="n">
        <x:v>1289.55</x:v>
      </x:c>
      <x:c r="L648" s="54" t="n">
        <x:v>831.15</x:v>
      </x:c>
      <x:c r="M648" s="55" t="n">
        <x:v>0.0795</x:v>
      </x:c>
      <x:c r="N648" s="54" t="n">
        <x:f>ROUND(J648*K648,2)</x:f>
        <x:v>6447.75</x:v>
      </x:c>
      <x:c r="O648" s="54" t="n">
        <x:f>ROUND(N648*(1-M648),2)</x:f>
        <x:v>5935.15</x:v>
      </x:c>
      <x:c r="P648" s="54" t="n">
        <x:f>ROUND(J648*L648,2)</x:f>
        <x:v>4155.75</x:v>
      </x:c>
      <x:c r="Q648" s="54" t="n">
        <x:f>ROUND(O648-P648,2)</x:f>
        <x:v>1779.4</x:v>
      </x:c>
      <x:c r="R648" s="55" t="n">
        <x:f>IF(O648=0,0,ROUND(Q648/O648,4))</x:f>
        <x:v>0.2998</x:v>
      </x:c>
      <x:c r="S648" s="53" t="n">
        <x:v>5</x:v>
      </x:c>
      <x:c r="T648" t="str">
        <x:v>Entregue</x:v>
      </x:c>
      <x:c r="U648" t="n">
        <x:v>3</x:v>
      </x:c>
      <x:c r="V648" t="str"/>
    </x:row>
    <x:row r="649">
      <x:c r="A649" s="52" t="n">
        <x:v>46104</x:v>
      </x:c>
      <x:c r="B649" t="str">
        <x:v>PED-100648</x:v>
      </x:c>
      <x:c r="C649" t="str">
        <x:v>Cliente 003</x:v>
      </x:c>
      <x:c r="D649" t="str">
        <x:v>MT</x:v>
      </x:c>
      <x:c r="E649" t="str">
        <x:v>Centro-Oeste</x:v>
      </x:c>
      <x:c r="F649" t="str">
        <x:v>Loja</x:v>
      </x:c>
      <x:c r="G649" t="str">
        <x:v>Tecnologia</x:v>
      </x:c>
      <x:c r="H649" t="str">
        <x:v>Monitor 27</x:v>
      </x:c>
      <x:c r="I649" t="str">
        <x:v>Carla</x:v>
      </x:c>
      <x:c r="J649" s="53" t="n">
        <x:v>2</x:v>
      </x:c>
      <x:c r="K649" s="54" t="n">
        <x:v>1650.38</x:v>
      </x:c>
      <x:c r="L649" s="54" t="n">
        <x:v>1068.28</x:v>
      </x:c>
      <x:c r="M649" s="55" t="n">
        <x:v>0</x:v>
      </x:c>
      <x:c r="N649" s="54" t="n">
        <x:f>ROUND(J649*K649,2)</x:f>
        <x:v>3300.76</x:v>
      </x:c>
      <x:c r="O649" s="54" t="n">
        <x:f>ROUND(N649*(1-M649),2)</x:f>
        <x:v>3300.76</x:v>
      </x:c>
      <x:c r="P649" s="54" t="n">
        <x:f>ROUND(J649*L649,2)</x:f>
        <x:v>2136.56</x:v>
      </x:c>
      <x:c r="Q649" s="54" t="n">
        <x:f>ROUND(O649-P649,2)</x:f>
        <x:v>1164.2</x:v>
      </x:c>
      <x:c r="R649" s="55" t="n">
        <x:f>IF(O649=0,0,ROUND(Q649/O649,4))</x:f>
        <x:v>0.3527</x:v>
      </x:c>
      <x:c r="S649" s="53" t="n">
        <x:v>3</x:v>
      </x:c>
      <x:c r="T649" t="str">
        <x:v>Entregue</x:v>
      </x:c>
      <x:c r="U649" t="n">
        <x:v>2</x:v>
      </x:c>
      <x:c r="V649" t="str"/>
    </x:row>
    <x:row r="650">
      <x:c r="A650" s="52" t="n">
        <x:v>46062</x:v>
      </x:c>
      <x:c r="B650" t="str">
        <x:v>PED-100649</x:v>
      </x:c>
      <x:c r="C650" t="str">
        <x:v>Cliente 034</x:v>
      </x:c>
      <x:c r="D650" t="str">
        <x:v>CE</x:v>
      </x:c>
      <x:c r="E650" t="str">
        <x:v>Nordeste</x:v>
      </x:c>
      <x:c r="F650" t="str">
        <x:v>Marketplace</x:v>
      </x:c>
      <x:c r="G650" t="str">
        <x:v>Casa</x:v>
      </x:c>
      <x:c r="H650" t="str">
        <x:v>Cafeteira Smart</x:v>
      </x:c>
      <x:c r="I650" t="str">
        <x:v>Henrique</x:v>
      </x:c>
      <x:c r="J650" s="53" t="n">
        <x:v>4</x:v>
      </x:c>
      <x:c r="K650" s="54" t="n">
        <x:v>745.67</x:v>
      </x:c>
      <x:c r="L650" s="54" t="n">
        <x:v>488.17</x:v>
      </x:c>
      <x:c r="M650" s="55" t="n">
        <x:v>0.035</x:v>
      </x:c>
      <x:c r="N650" s="54" t="n">
        <x:f>ROUND(J650*K650,2)</x:f>
        <x:v>2982.68</x:v>
      </x:c>
      <x:c r="O650" s="54" t="n">
        <x:f>ROUND(N650*(1-M650),2)</x:f>
        <x:v>2878.29</x:v>
      </x:c>
      <x:c r="P650" s="54" t="n">
        <x:f>ROUND(J650*L650,2)</x:f>
        <x:v>1952.68</x:v>
      </x:c>
      <x:c r="Q650" s="54" t="n">
        <x:f>ROUND(O650-P650,2)</x:f>
        <x:v>925.61</x:v>
      </x:c>
      <x:c r="R650" s="55" t="n">
        <x:f>IF(O650=0,0,ROUND(Q650/O650,4))</x:f>
        <x:v>0.3216</x:v>
      </x:c>
      <x:c r="S650" s="53" t="n">
        <x:v>11</x:v>
      </x:c>
      <x:c r="T650" t="str">
        <x:v>Entregue com atraso</x:v>
      </x:c>
      <x:c r="U650" t="n">
        <x:v>5</x:v>
      </x:c>
      <x:c r="V650" t="str"/>
    </x:row>
    <x:row r="651">
      <x:c r="A651" s="52" t="n">
        <x:v>46100</x:v>
      </x:c>
      <x:c r="B651" t="str">
        <x:v>PED-100650</x:v>
      </x:c>
      <x:c r="C651" t="str">
        <x:v>Cliente 033</x:v>
      </x:c>
      <x:c r="D651" t="str">
        <x:v>MT</x:v>
      </x:c>
      <x:c r="E651" t="str">
        <x:v>Centro-Oeste</x:v>
      </x:c>
      <x:c r="F651" t="str">
        <x:v>E-commerce</x:v>
      </x:c>
      <x:c r="G651" t="str">
        <x:v>Tecnologia</x:v>
      </x:c>
      <x:c r="H651" t="str">
        <x:v>Monitor 27</x:v>
      </x:c>
      <x:c r="I651" t="str">
        <x:v>Felipe</x:v>
      </x:c>
      <x:c r="J651" s="53" t="n">
        <x:v>4</x:v>
      </x:c>
      <x:c r="K651" s="54" t="n">
        <x:v>1642.11</x:v>
      </x:c>
      <x:c r="L651" s="54" t="n">
        <x:v>1117.06</x:v>
      </x:c>
      <x:c r="M651" s="55" t="n">
        <x:v>0</x:v>
      </x:c>
      <x:c r="N651" s="54" t="n">
        <x:f>ROUND(J651*K651,2)</x:f>
        <x:v>6568.44</x:v>
      </x:c>
      <x:c r="O651" s="54" t="n">
        <x:f>ROUND(N651*(1-M651),2)</x:f>
        <x:v>6568.44</x:v>
      </x:c>
      <x:c r="P651" s="54" t="n">
        <x:f>ROUND(J651*L651,2)</x:f>
        <x:v>4468.24</x:v>
      </x:c>
      <x:c r="Q651" s="54" t="n">
        <x:f>ROUND(O651-P651,2)</x:f>
        <x:v>2100.2</x:v>
      </x:c>
      <x:c r="R651" s="55" t="n">
        <x:f>IF(O651=0,0,ROUND(Q651/O651,4))</x:f>
        <x:v>0.3197</x:v>
      </x:c>
      <x:c r="S651" s="53" t="n">
        <x:v>8</x:v>
      </x:c>
      <x:c r="T651" t="str">
        <x:v>Entregue</x:v>
      </x:c>
      <x:c r="U651" t="n">
        <x:v>2</x:v>
      </x:c>
      <x:c r="V651" t="str"/>
    </x:row>
    <x:row r="652">
      <x:c r="A652" s="52" t="n">
        <x:v>46033</x:v>
      </x:c>
      <x:c r="B652" t="str">
        <x:v>PED-100651</x:v>
      </x:c>
      <x:c r="C652" t="str">
        <x:v>Cliente 003</x:v>
      </x:c>
      <x:c r="D652" t="str">
        <x:v>MA</x:v>
      </x:c>
      <x:c r="E652" t="str">
        <x:v>Nordeste</x:v>
      </x:c>
      <x:c r="F652" t="str">
        <x:v>Loja</x:v>
      </x:c>
      <x:c r="G652" t="str">
        <x:v>Tecnologia</x:v>
      </x:c>
      <x:c r="H652" t="str">
        <x:v>Headset Office</x:v>
      </x:c>
      <x:c r="I652" t="str">
        <x:v>Felipe</x:v>
      </x:c>
      <x:c r="J652" s="53" t="n">
        <x:v>6</x:v>
      </x:c>
      <x:c r="K652" s="54" t="n">
        <x:v>400.9</x:v>
      </x:c>
      <x:c r="L652" s="54" t="n">
        <x:v>220.38</x:v>
      </x:c>
      <x:c r="M652" s="55" t="n">
        <x:v>0</x:v>
      </x:c>
      <x:c r="N652" s="54" t="n">
        <x:f>ROUND(J652*K652,2)</x:f>
        <x:v>2405.4</x:v>
      </x:c>
      <x:c r="O652" s="54" t="n">
        <x:f>ROUND(N652*(1-M652),2)</x:f>
        <x:v>2405.4</x:v>
      </x:c>
      <x:c r="P652" s="54" t="n">
        <x:f>ROUND(J652*L652,2)</x:f>
        <x:v>1322.28</x:v>
      </x:c>
      <x:c r="Q652" s="54" t="n">
        <x:f>ROUND(O652-P652,2)</x:f>
        <x:v>1083.12</x:v>
      </x:c>
      <x:c r="R652" s="55" t="n">
        <x:f>IF(O652=0,0,ROUND(Q652/O652,4))</x:f>
        <x:v>0.4503</x:v>
      </x:c>
      <x:c r="S652" s="53" t="n">
        <x:v>12</x:v>
      </x:c>
      <x:c r="T652" t="str">
        <x:v>Entregue com atraso</x:v>
      </x:c>
      <x:c r="U652" t="n">
        <x:v>3</x:v>
      </x:c>
      <x:c r="V652" t="str"/>
    </x:row>
    <x:row r="653">
      <x:c r="A653" s="52" t="n">
        <x:v>46084</x:v>
      </x:c>
      <x:c r="B653" t="str">
        <x:v>PED-100652</x:v>
      </x:c>
      <x:c r="C653" t="str">
        <x:v>Cliente 106</x:v>
      </x:c>
      <x:c r="D653" t="str">
        <x:v>SC</x:v>
      </x:c>
      <x:c r="E653" t="str">
        <x:v>Sul</x:v>
      </x:c>
      <x:c r="F653" t="str">
        <x:v>Marketplace</x:v>
      </x:c>
      <x:c r="G653" t="str">
        <x:v>Escritório</x:v>
      </x:c>
      <x:c r="H653" t="str">
        <x:v>Luminária LED</x:v>
      </x:c>
      <x:c r="I653" t="str">
        <x:v>João</x:v>
      </x:c>
      <x:c r="J653" s="53" t="n">
        <x:v>1</x:v>
      </x:c>
      <x:c r="K653" s="54" t="n">
        <x:v>257.11</x:v>
      </x:c>
      <x:c r="L653" s="54" t="n">
        <x:v>115.57</x:v>
      </x:c>
      <x:c r="M653" s="55" t="n">
        <x:v>0.0749</x:v>
      </x:c>
      <x:c r="N653" s="54" t="n">
        <x:f>ROUND(J653*K653,2)</x:f>
        <x:v>257.11</x:v>
      </x:c>
      <x:c r="O653" s="54" t="n">
        <x:f>ROUND(N653*(1-M653),2)</x:f>
        <x:v>237.85</x:v>
      </x:c>
      <x:c r="P653" s="54" t="n">
        <x:f>ROUND(J653*L653,2)</x:f>
        <x:v>115.57</x:v>
      </x:c>
      <x:c r="Q653" s="54" t="n">
        <x:f>ROUND(O653-P653,2)</x:f>
        <x:v>122.28</x:v>
      </x:c>
      <x:c r="R653" s="55" t="n">
        <x:f>IF(O653=0,0,ROUND(Q653/O653,4))</x:f>
        <x:v>0.5141</x:v>
      </x:c>
      <x:c r="S653" s="53" t="n">
        <x:v>4</x:v>
      </x:c>
      <x:c r="T653" t="str">
        <x:v>Entregue</x:v>
      </x:c>
      <x:c r="U653" t="n">
        <x:v>5</x:v>
      </x:c>
      <x:c r="V653" t="str"/>
    </x:row>
    <x:row r="654">
      <x:c r="A654" s="52" t="n">
        <x:v>46208</x:v>
      </x:c>
      <x:c r="B654" t="str">
        <x:v>PED-100653</x:v>
      </x:c>
      <x:c r="C654" t="str">
        <x:v>Cliente 057</x:v>
      </x:c>
      <x:c r="D654" t="str">
        <x:v>PA</x:v>
      </x:c>
      <x:c r="E654" t="str">
        <x:v>Norte</x:v>
      </x:c>
      <x:c r="F654" t="str">
        <x:v>Loja</x:v>
      </x:c>
      <x:c r="G654" t="str">
        <x:v>Tecnologia</x:v>
      </x:c>
      <x:c r="H654" t="str">
        <x:v>Notebook Pro</x:v>
      </x:c>
      <x:c r="I654" t="str">
        <x:v>Gabriela</x:v>
      </x:c>
      <x:c r="J654" s="53" t="n">
        <x:v>6</x:v>
      </x:c>
      <x:c r="K654" s="54" t="n">
        <x:v>5683.81</x:v>
      </x:c>
      <x:c r="L654" s="54" t="n">
        <x:v>4626.53</x:v>
      </x:c>
      <x:c r="M654" s="55" t="n">
        <x:v>0.0158</x:v>
      </x:c>
      <x:c r="N654" s="54" t="n">
        <x:f>ROUND(J654*K654,2)</x:f>
        <x:v>34102.86</x:v>
      </x:c>
      <x:c r="O654" s="54" t="n">
        <x:f>ROUND(N654*(1-M654),2)</x:f>
        <x:v>33564.03</x:v>
      </x:c>
      <x:c r="P654" s="54" t="n">
        <x:f>ROUND(J654*L654,2)</x:f>
        <x:v>27759.18</x:v>
      </x:c>
      <x:c r="Q654" s="54" t="n">
        <x:f>ROUND(O654-P654,2)</x:f>
        <x:v>5804.85</x:v>
      </x:c>
      <x:c r="R654" s="55" t="n">
        <x:f>IF(O654=0,0,ROUND(Q654/O654,4))</x:f>
        <x:v>0.1729</x:v>
      </x:c>
      <x:c r="S654" s="53" t="n">
        <x:v>11</x:v>
      </x:c>
      <x:c r="T654" t="str">
        <x:v>Entregue com atraso</x:v>
      </x:c>
      <x:c r="U654" t="n">
        <x:v>4</x:v>
      </x:c>
      <x:c r="V654" t="str"/>
    </x:row>
    <x:row r="655">
      <x:c r="A655" s="52" t="n">
        <x:v>46089</x:v>
      </x:c>
      <x:c r="B655" t="str">
        <x:v>PED-100654</x:v>
      </x:c>
      <x:c r="C655" t="str">
        <x:v>Cliente 036</x:v>
      </x:c>
      <x:c r="D655" t="str">
        <x:v>RJ</x:v>
      </x:c>
      <x:c r="E655" t="str">
        <x:v>Sudeste</x:v>
      </x:c>
      <x:c r="F655" t="str">
        <x:v>Loja</x:v>
      </x:c>
      <x:c r="G655" t="str">
        <x:v>Acessórios</x:v>
      </x:c>
      <x:c r="H655" t="str">
        <x:v>Webcam HD</x:v>
      </x:c>
      <x:c r="I655" t="str">
        <x:v>Isabela</x:v>
      </x:c>
      <x:c r="J655" s="53" t="n">
        <x:v>6</x:v>
      </x:c>
      <x:c r="K655" s="54" t="n">
        <x:v>527.75</x:v>
      </x:c>
      <x:c r="L655" s="54" t="n">
        <x:v>239.56</x:v>
      </x:c>
      <x:c r="M655" s="55" t="n">
        <x:v>0.0885</x:v>
      </x:c>
      <x:c r="N655" s="54" t="n">
        <x:f>ROUND(J655*K655,2)</x:f>
        <x:v>3166.5</x:v>
      </x:c>
      <x:c r="O655" s="54" t="n">
        <x:f>ROUND(N655*(1-M655),2)</x:f>
        <x:v>2886.26</x:v>
      </x:c>
      <x:c r="P655" s="54" t="n">
        <x:f>ROUND(J655*L655,2)</x:f>
        <x:v>1437.36</x:v>
      </x:c>
      <x:c r="Q655" s="54" t="n">
        <x:f>ROUND(O655-P655,2)</x:f>
        <x:v>1448.9</x:v>
      </x:c>
      <x:c r="R655" s="55" t="n">
        <x:f>IF(O655=0,0,ROUND(Q655/O655,4))</x:f>
        <x:v>0.502</x:v>
      </x:c>
      <x:c r="S655" s="53" t="n">
        <x:v>8</x:v>
      </x:c>
      <x:c r="T655" t="str">
        <x:v>Entregue</x:v>
      </x:c>
      <x:c r="U655" t="n">
        <x:v>4</x:v>
      </x:c>
      <x:c r="V655" t="str"/>
    </x:row>
    <x:row r="656">
      <x:c r="A656" s="52" t="n">
        <x:v>46213</x:v>
      </x:c>
      <x:c r="B656" t="str">
        <x:v>PED-100655</x:v>
      </x:c>
      <x:c r="C656" t="str">
        <x:v>Cliente 053</x:v>
      </x:c>
      <x:c r="D656" t="str">
        <x:v>PE</x:v>
      </x:c>
      <x:c r="E656" t="str">
        <x:v>Nordeste</x:v>
      </x:c>
      <x:c r="F656" t="str">
        <x:v>Marketplace</x:v>
      </x:c>
      <x:c r="G656" t="str">
        <x:v>Acessórios</x:v>
      </x:c>
      <x:c r="H656" t="str">
        <x:v>Hub USB-C</x:v>
      </x:c>
      <x:c r="I656" t="str">
        <x:v>Felipe</x:v>
      </x:c>
      <x:c r="J656" s="53" t="n">
        <x:v>6</x:v>
      </x:c>
      <x:c r="K656" s="54" t="n">
        <x:v>312.35</x:v>
      </x:c>
      <x:c r="L656" s="54" t="n">
        <x:v>144.1</x:v>
      </x:c>
      <x:c r="M656" s="55" t="n">
        <x:v>0.148</x:v>
      </x:c>
      <x:c r="N656" s="54" t="n">
        <x:f>ROUND(J656*K656,2)</x:f>
        <x:v>1874.1</x:v>
      </x:c>
      <x:c r="O656" s="54" t="n">
        <x:f>ROUND(N656*(1-M656),2)</x:f>
        <x:v>1596.73</x:v>
      </x:c>
      <x:c r="P656" s="54" t="n">
        <x:f>ROUND(J656*L656,2)</x:f>
        <x:v>864.6</x:v>
      </x:c>
      <x:c r="Q656" s="54" t="n">
        <x:f>ROUND(O656-P656,2)</x:f>
        <x:v>732.13</x:v>
      </x:c>
      <x:c r="R656" s="55" t="n">
        <x:f>IF(O656=0,0,ROUND(Q656/O656,4))</x:f>
        <x:v>0.4585</x:v>
      </x:c>
      <x:c r="S656" s="53" t="n">
        <x:v>2</x:v>
      </x:c>
      <x:c r="T656" t="str">
        <x:v>Entregue</x:v>
      </x:c>
      <x:c r="U656" t="n">
        <x:v>5</x:v>
      </x:c>
      <x:c r="V656" t="str"/>
    </x:row>
    <x:row r="657">
      <x:c r="A657" s="52" t="n">
        <x:v>46103</x:v>
      </x:c>
      <x:c r="B657" t="str">
        <x:v>PED-100656</x:v>
      </x:c>
      <x:c r="C657" t="str">
        <x:v>Cliente 049</x:v>
      </x:c>
      <x:c r="D657" t="str">
        <x:v>ES</x:v>
      </x:c>
      <x:c r="E657" t="str">
        <x:v>Sudeste</x:v>
      </x:c>
      <x:c r="F657" t="str">
        <x:v>Loja</x:v>
      </x:c>
      <x:c r="G657" t="str">
        <x:v>Acessórios</x:v>
      </x:c>
      <x:c r="H657" t="str">
        <x:v>Webcam HD</x:v>
      </x:c>
      <x:c r="I657" t="str">
        <x:v>Ana</x:v>
      </x:c>
      <x:c r="J657" s="53" t="n">
        <x:v>1</x:v>
      </x:c>
      <x:c r="K657" s="54" t="n">
        <x:v>526.58</x:v>
      </x:c>
      <x:c r="L657" s="54" t="n">
        <x:v>249.3</x:v>
      </x:c>
      <x:c r="M657" s="55" t="n">
        <x:v>0</x:v>
      </x:c>
      <x:c r="N657" s="54" t="n">
        <x:f>ROUND(J657*K657,2)</x:f>
        <x:v>526.58</x:v>
      </x:c>
      <x:c r="O657" s="54" t="n">
        <x:f>ROUND(N657*(1-M657),2)</x:f>
        <x:v>526.58</x:v>
      </x:c>
      <x:c r="P657" s="54" t="n">
        <x:f>ROUND(J657*L657,2)</x:f>
        <x:v>249.3</x:v>
      </x:c>
      <x:c r="Q657" s="54" t="n">
        <x:f>ROUND(O657-P657,2)</x:f>
        <x:v>277.28</x:v>
      </x:c>
      <x:c r="R657" s="55" t="n">
        <x:f>IF(O657=0,0,ROUND(Q657/O657,4))</x:f>
        <x:v>0.5266</x:v>
      </x:c>
      <x:c r="S657" s="53" t="n">
        <x:v>14</x:v>
      </x:c>
      <x:c r="T657" t="str">
        <x:v>Entregue com atraso</x:v>
      </x:c>
      <x:c r="U657" t="n">
        <x:v>5</x:v>
      </x:c>
      <x:c r="V657" t="str"/>
    </x:row>
    <x:row r="658">
      <x:c r="A658" s="52" t="n">
        <x:v>46082</x:v>
      </x:c>
      <x:c r="B658" t="str">
        <x:v>PED-100657</x:v>
      </x:c>
      <x:c r="C658" t="str">
        <x:v>Cliente 102</x:v>
      </x:c>
      <x:c r="D658" t="str">
        <x:v>GO</x:v>
      </x:c>
      <x:c r="E658" t="str">
        <x:v>Centro-Oeste</x:v>
      </x:c>
      <x:c r="F658" t="str">
        <x:v>Televendas</x:v>
      </x:c>
      <x:c r="G658" t="str">
        <x:v>Tecnologia</x:v>
      </x:c>
      <x:c r="H658" t="str">
        <x:v>Headset Office</x:v>
      </x:c>
      <x:c r="I658" t="str">
        <x:v>João</x:v>
      </x:c>
      <x:c r="J658" s="53" t="n">
        <x:v>5</x:v>
      </x:c>
      <x:c r="K658" s="54" t="n">
        <x:v>381.36</x:v>
      </x:c>
      <x:c r="L658" s="54" t="n">
        <x:v>212.17</x:v>
      </x:c>
      <x:c r="M658" s="55" t="n">
        <x:v>0</x:v>
      </x:c>
      <x:c r="N658" s="54" t="n">
        <x:f>ROUND(J658*K658,2)</x:f>
        <x:v>1906.8</x:v>
      </x:c>
      <x:c r="O658" s="54" t="n">
        <x:f>ROUND(N658*(1-M658),2)</x:f>
        <x:v>1906.8</x:v>
      </x:c>
      <x:c r="P658" s="54" t="n">
        <x:f>ROUND(J658*L658,2)</x:f>
        <x:v>1060.85</x:v>
      </x:c>
      <x:c r="Q658" s="54" t="n">
        <x:f>ROUND(O658-P658,2)</x:f>
        <x:v>845.95</x:v>
      </x:c>
      <x:c r="R658" s="55" t="n">
        <x:f>IF(O658=0,0,ROUND(Q658/O658,4))</x:f>
        <x:v>0.4436</x:v>
      </x:c>
      <x:c r="S658" s="53" t="n">
        <x:v>13</x:v>
      </x:c>
      <x:c r="T658" t="str">
        <x:v>Entregue com atraso</x:v>
      </x:c>
      <x:c r="U658" t="n">
        <x:v>3</x:v>
      </x:c>
      <x:c r="V658" t="str"/>
    </x:row>
    <x:row r="659">
      <x:c r="A659" s="52" t="n">
        <x:v>46198</x:v>
      </x:c>
      <x:c r="B659" t="str">
        <x:v>PED-100658</x:v>
      </x:c>
      <x:c r="C659" t="str">
        <x:v>Cliente 074</x:v>
      </x:c>
      <x:c r="D659" t="str">
        <x:v>RJ</x:v>
      </x:c>
      <x:c r="E659" t="str">
        <x:v>Sudeste</x:v>
      </x:c>
      <x:c r="F659" t="str">
        <x:v>E-commerce</x:v>
      </x:c>
      <x:c r="G659" t="str">
        <x:v>Escritório</x:v>
      </x:c>
      <x:c r="H659" t="str">
        <x:v>Cadeira Ergonômica</x:v>
      </x:c>
      <x:c r="I659" t="str">
        <x:v>Elaine</x:v>
      </x:c>
      <x:c r="J659" s="53" t="n">
        <x:v>2</x:v>
      </x:c>
      <x:c r="K659" s="54" t="n">
        <x:v>2148.02</x:v>
      </x:c>
      <x:c r="L659" s="54" t="n">
        <x:v>1435.44</x:v>
      </x:c>
      <x:c r="M659" s="55" t="n">
        <x:v>0.0324</x:v>
      </x:c>
      <x:c r="N659" s="54" t="n">
        <x:f>ROUND(J659*K659,2)</x:f>
        <x:v>4296.04</x:v>
      </x:c>
      <x:c r="O659" s="54" t="n">
        <x:f>ROUND(N659*(1-M659),2)</x:f>
        <x:v>4156.85</x:v>
      </x:c>
      <x:c r="P659" s="54" t="n">
        <x:f>ROUND(J659*L659,2)</x:f>
        <x:v>2870.88</x:v>
      </x:c>
      <x:c r="Q659" s="54" t="n">
        <x:f>ROUND(O659-P659,2)</x:f>
        <x:v>1285.97</x:v>
      </x:c>
      <x:c r="R659" s="55" t="n">
        <x:f>IF(O659=0,0,ROUND(Q659/O659,4))</x:f>
        <x:v>0.3094</x:v>
      </x:c>
      <x:c r="S659" s="53" t="n">
        <x:v>31</x:v>
      </x:c>
      <x:c r="T659" t="str">
        <x:v>Entregue com atraso</x:v>
      </x:c>
      <x:c r="U659" t="n">
        <x:v>1</x:v>
      </x:c>
      <x:c r="V659" t="str">
        <x:v>Ocorrência logística</x:v>
      </x:c>
    </x:row>
    <x:row r="660">
      <x:c r="A660" s="52" t="n">
        <x:v>46067</x:v>
      </x:c>
      <x:c r="B660" t="str">
        <x:v>PED-100659</x:v>
      </x:c>
      <x:c r="C660" t="str">
        <x:v>Cliente 098</x:v>
      </x:c>
      <x:c r="D660" t="str">
        <x:v>PE</x:v>
      </x:c>
      <x:c r="E660" t="str">
        <x:v>Nordeste</x:v>
      </x:c>
      <x:c r="F660" t="str">
        <x:v>E-commerce</x:v>
      </x:c>
      <x:c r="G660" t="str">
        <x:v>Casa</x:v>
      </x:c>
      <x:c r="H660" t="str">
        <x:v>Purificador</x:v>
      </x:c>
      <x:c r="I660" t="str">
        <x:v>Diego</x:v>
      </x:c>
      <x:c r="J660" s="53" t="n">
        <x:v>8</x:v>
      </x:c>
      <x:c r="K660" s="54" t="n">
        <x:v>1316.08</x:v>
      </x:c>
      <x:c r="L660" s="54" t="n">
        <x:v>774.39</x:v>
      </x:c>
      <x:c r="M660" s="55" t="n">
        <x:v>0.1118</x:v>
      </x:c>
      <x:c r="N660" s="54" t="n">
        <x:f>ROUND(J660*K660,2)</x:f>
        <x:v>10528.64</x:v>
      </x:c>
      <x:c r="O660" s="54" t="n">
        <x:f>ROUND(N660*(1-M660),2)</x:f>
        <x:v>9351.54</x:v>
      </x:c>
      <x:c r="P660" s="54" t="n">
        <x:f>ROUND(J660*L660,2)</x:f>
        <x:v>6195.12</x:v>
      </x:c>
      <x:c r="Q660" s="54" t="n">
        <x:f>ROUND(O660-P660,2)</x:f>
        <x:v>3156.42</x:v>
      </x:c>
      <x:c r="R660" s="55" t="n">
        <x:f>IF(O660=0,0,ROUND(Q660/O660,4))</x:f>
        <x:v>0.3375</x:v>
      </x:c>
      <x:c r="S660" s="53" t="n">
        <x:v>6</x:v>
      </x:c>
      <x:c r="T660" t="str">
        <x:v>Entregue</x:v>
      </x:c>
      <x:c r="U660" t="n">
        <x:v>2</x:v>
      </x:c>
      <x:c r="V660" t="str"/>
    </x:row>
    <x:row r="661">
      <x:c r="A661" s="52" t="n">
        <x:v>46078</x:v>
      </x:c>
      <x:c r="B661" t="str">
        <x:v>PED-100660</x:v>
      </x:c>
      <x:c r="C661" t="str">
        <x:v>Cliente 041</x:v>
      </x:c>
      <x:c r="D661" t="str">
        <x:v>MT</x:v>
      </x:c>
      <x:c r="E661" t="str">
        <x:v>Centro-Oeste</x:v>
      </x:c>
      <x:c r="F661" t="str">
        <x:v>Televendas</x:v>
      </x:c>
      <x:c r="G661" t="str">
        <x:v>Casa</x:v>
      </x:c>
      <x:c r="H661" t="str">
        <x:v>Aspirador Robô</x:v>
      </x:c>
      <x:c r="I661" t="str">
        <x:v>Elaine</x:v>
      </x:c>
      <x:c r="J661" s="53" t="n">
        <x:v>1</x:v>
      </x:c>
      <x:c r="K661" s="54" t="n">
        <x:v>1820.64</x:v>
      </x:c>
      <x:c r="L661" s="54" t="n">
        <x:v>1214.49</x:v>
      </x:c>
      <x:c r="M661" s="55" t="n">
        <x:v>0.0083</x:v>
      </x:c>
      <x:c r="N661" s="54" t="n">
        <x:f>ROUND(J661*K661,2)</x:f>
        <x:v>1820.64</x:v>
      </x:c>
      <x:c r="O661" s="54" t="n">
        <x:f>ROUND(N661*(1-M661),2)</x:f>
        <x:v>1805.53</x:v>
      </x:c>
      <x:c r="P661" s="54" t="n">
        <x:f>ROUND(J661*L661,2)</x:f>
        <x:v>1214.49</x:v>
      </x:c>
      <x:c r="Q661" s="54" t="n">
        <x:f>ROUND(O661-P661,2)</x:f>
        <x:v>591.04</x:v>
      </x:c>
      <x:c r="R661" s="55" t="n">
        <x:f>IF(O661=0,0,ROUND(Q661/O661,4))</x:f>
        <x:v>0.3273</x:v>
      </x:c>
      <x:c r="S661" s="53" t="n">
        <x:v>3</x:v>
      </x:c>
      <x:c r="T661" t="str">
        <x:v>Entregue</x:v>
      </x:c>
      <x:c r="U661" t="n">
        <x:v>2</x:v>
      </x:c>
      <x:c r="V661" t="str"/>
    </x:row>
    <x:row r="662">
      <x:c r="A662" s="52" t="n">
        <x:v>46111</x:v>
      </x:c>
      <x:c r="B662" t="str">
        <x:v>PED-100661</x:v>
      </x:c>
      <x:c r="C662" t="str">
        <x:v>Cliente 022</x:v>
      </x:c>
      <x:c r="D662" t="str">
        <x:v>PE</x:v>
      </x:c>
      <x:c r="E662" t="str">
        <x:v>Nordeste</x:v>
      </x:c>
      <x:c r="F662" t="str">
        <x:v>E-commerce</x:v>
      </x:c>
      <x:c r="G662" t="str">
        <x:v>Escritório</x:v>
      </x:c>
      <x:c r="H662" t="str">
        <x:v>Cadeira Ergonômica</x:v>
      </x:c>
      <x:c r="I662" t="str">
        <x:v>Bruno</x:v>
      </x:c>
      <x:c r="J662" s="53" t="n">
        <x:v>6</x:v>
      </x:c>
      <x:c r="K662" s="54" t="n">
        <x:v>2082.54</x:v>
      </x:c>
      <x:c r="L662" s="54" t="n">
        <x:v>1482.98</x:v>
      </x:c>
      <x:c r="M662" s="55" t="n">
        <x:v>0.13</x:v>
      </x:c>
      <x:c r="N662" s="54" t="n">
        <x:f>ROUND(J662*K662,2)</x:f>
        <x:v>12495.24</x:v>
      </x:c>
      <x:c r="O662" s="54" t="n">
        <x:f>ROUND(N662*(1-M662),2)</x:f>
        <x:v>10870.86</x:v>
      </x:c>
      <x:c r="P662" s="54" t="n">
        <x:f>ROUND(J662*L662,2)</x:f>
        <x:v>8897.88</x:v>
      </x:c>
      <x:c r="Q662" s="54" t="n">
        <x:f>ROUND(O662-P662,2)</x:f>
        <x:v>1972.98</x:v>
      </x:c>
      <x:c r="R662" s="55" t="n">
        <x:f>IF(O662=0,0,ROUND(Q662/O662,4))</x:f>
        <x:v>0.1815</x:v>
      </x:c>
      <x:c r="S662" s="53" t="n">
        <x:v>11</x:v>
      </x:c>
      <x:c r="T662" t="str">
        <x:v>Entregue com atraso</x:v>
      </x:c>
      <x:c r="U662" t="n">
        <x:v>5</x:v>
      </x:c>
      <x:c r="V662" t="str"/>
    </x:row>
    <x:row r="663">
      <x:c r="A663" s="52" t="n">
        <x:v>46148</x:v>
      </x:c>
      <x:c r="B663" t="str">
        <x:v>PED-100662</x:v>
      </x:c>
      <x:c r="C663" t="str">
        <x:v>Cliente 044</x:v>
      </x:c>
      <x:c r="D663" t="str">
        <x:v>ES</x:v>
      </x:c>
      <x:c r="E663" t="str">
        <x:v>Sudeste</x:v>
      </x:c>
      <x:c r="F663" t="str">
        <x:v>E-commerce</x:v>
      </x:c>
      <x:c r="G663" t="str">
        <x:v>Tecnologia</x:v>
      </x:c>
      <x:c r="H663" t="str">
        <x:v>Headset Office</x:v>
      </x:c>
      <x:c r="I663" t="str">
        <x:v>Diego</x:v>
      </x:c>
      <x:c r="J663" s="53" t="n">
        <x:v>8</x:v>
      </x:c>
      <x:c r="K663" s="54" t="n">
        <x:v>396.34</x:v>
      </x:c>
      <x:c r="L663" s="54" t="n">
        <x:v>216.99</x:v>
      </x:c>
      <x:c r="M663" s="55" t="n">
        <x:v>0.0495</x:v>
      </x:c>
      <x:c r="N663" s="54" t="n">
        <x:f>ROUND(J663*K663,2)</x:f>
        <x:v>3170.72</x:v>
      </x:c>
      <x:c r="O663" s="54" t="n">
        <x:f>ROUND(N663*(1-M663),2)</x:f>
        <x:v>3013.77</x:v>
      </x:c>
      <x:c r="P663" s="54" t="n">
        <x:f>ROUND(J663*L663,2)</x:f>
        <x:v>1735.92</x:v>
      </x:c>
      <x:c r="Q663" s="54" t="n">
        <x:f>ROUND(O663-P663,2)</x:f>
        <x:v>1277.85</x:v>
      </x:c>
      <x:c r="R663" s="55" t="n">
        <x:f>IF(O663=0,0,ROUND(Q663/O663,4))</x:f>
        <x:v>0.424</x:v>
      </x:c>
      <x:c r="S663" s="53" t="n">
        <x:v>8</x:v>
      </x:c>
      <x:c r="T663" t="str">
        <x:v>Entregue</x:v>
      </x:c>
      <x:c r="U663" t="n">
        <x:v>3</x:v>
      </x:c>
      <x:c r="V663" t="str"/>
    </x:row>
    <x:row r="664">
      <x:c r="A664" s="52" t="n">
        <x:v>46203</x:v>
      </x:c>
      <x:c r="B664" t="str">
        <x:v>PED-100663</x:v>
      </x:c>
      <x:c r="C664" t="str">
        <x:v>Cliente 105</x:v>
      </x:c>
      <x:c r="D664" t="str">
        <x:v>ES</x:v>
      </x:c>
      <x:c r="E664" t="str">
        <x:v>Sudeste</x:v>
      </x:c>
      <x:c r="F664" t="str">
        <x:v>Marketplace</x:v>
      </x:c>
      <x:c r="G664" t="str">
        <x:v>Tecnologia</x:v>
      </x:c>
      <x:c r="H664" t="str">
        <x:v>Monitor 27</x:v>
      </x:c>
      <x:c r="I664" t="str">
        <x:v>Henrique</x:v>
      </x:c>
      <x:c r="J664" s="53" t="n">
        <x:v>2</x:v>
      </x:c>
      <x:c r="K664" s="54" t="n">
        <x:v>1758.91</x:v>
      </x:c>
      <x:c r="L664" s="54" t="n">
        <x:v>1090.21</x:v>
      </x:c>
      <x:c r="M664" s="55" t="n">
        <x:v>0.0534</x:v>
      </x:c>
      <x:c r="N664" s="54" t="n">
        <x:f>ROUND(J664*K664,2)</x:f>
        <x:v>3517.82</x:v>
      </x:c>
      <x:c r="O664" s="54" t="n">
        <x:f>ROUND(N664*(1-M664),2)</x:f>
        <x:v>3329.97</x:v>
      </x:c>
      <x:c r="P664" s="54" t="n">
        <x:f>ROUND(J664*L664,2)</x:f>
        <x:v>2180.42</x:v>
      </x:c>
      <x:c r="Q664" s="54" t="n">
        <x:f>ROUND(O664-P664,2)</x:f>
        <x:v>1149.55</x:v>
      </x:c>
      <x:c r="R664" s="55" t="n">
        <x:f>IF(O664=0,0,ROUND(Q664/O664,4))</x:f>
        <x:v>0.3452</x:v>
      </x:c>
      <x:c r="S664" s="53" t="n">
        <x:v>12</x:v>
      </x:c>
      <x:c r="T664" t="str">
        <x:v>Entregue com atraso</x:v>
      </x:c>
      <x:c r="U664" t="n">
        <x:v>3</x:v>
      </x:c>
      <x:c r="V664" t="str"/>
    </x:row>
    <x:row r="665">
      <x:c r="A665" s="52" t="n">
        <x:v>46031</x:v>
      </x:c>
      <x:c r="B665" t="str">
        <x:v>PED-100664</x:v>
      </x:c>
      <x:c r="C665" t="str">
        <x:v>Cliente 104</x:v>
      </x:c>
      <x:c r="D665" t="str">
        <x:v>MA</x:v>
      </x:c>
      <x:c r="E665" t="str">
        <x:v>Nordeste</x:v>
      </x:c>
      <x:c r="F665" t="str">
        <x:v>E-commerce</x:v>
      </x:c>
      <x:c r="G665" t="str">
        <x:v>Escritório</x:v>
      </x:c>
      <x:c r="H665" t="str">
        <x:v>Cadeira Ergonômica</x:v>
      </x:c>
      <x:c r="I665" t="str">
        <x:v>Elaine</x:v>
      </x:c>
      <x:c r="J665" s="53" t="n">
        <x:v>5</x:v>
      </x:c>
      <x:c r="K665" s="54" t="n">
        <x:v>2165.02</x:v>
      </x:c>
      <x:c r="L665" s="54" t="n">
        <x:v>1504.13</x:v>
      </x:c>
      <x:c r="M665" s="55" t="n">
        <x:v>0.0564</x:v>
      </x:c>
      <x:c r="N665" s="54" t="n">
        <x:f>ROUND(J665*K665,2)</x:f>
        <x:v>10825.1</x:v>
      </x:c>
      <x:c r="O665" s="54" t="n">
        <x:f>ROUND(N665*(1-M665),2)</x:f>
        <x:v>10214.56</x:v>
      </x:c>
      <x:c r="P665" s="54" t="n">
        <x:f>ROUND(J665*L665,2)</x:f>
        <x:v>7520.65</x:v>
      </x:c>
      <x:c r="Q665" s="54" t="n">
        <x:f>ROUND(O665-P665,2)</x:f>
        <x:v>2693.91</x:v>
      </x:c>
      <x:c r="R665" s="55" t="n">
        <x:f>IF(O665=0,0,ROUND(Q665/O665,4))</x:f>
        <x:v>0.2637</x:v>
      </x:c>
      <x:c r="S665" s="53" t="n">
        <x:v>13</x:v>
      </x:c>
      <x:c r="T665" t="str">
        <x:v>Entregue com atraso</x:v>
      </x:c>
      <x:c r="U665" t="n">
        <x:v>3</x:v>
      </x:c>
      <x:c r="V665" t="str"/>
    </x:row>
    <x:row r="666">
      <x:c r="A666" s="52" t="n">
        <x:v>46062</x:v>
      </x:c>
      <x:c r="B666" t="str">
        <x:v>PED-100665</x:v>
      </x:c>
      <x:c r="C666" t="str">
        <x:v>Cliente 080</x:v>
      </x:c>
      <x:c r="D666" t="str">
        <x:v>SP</x:v>
      </x:c>
      <x:c r="E666" t="str">
        <x:v>Sudeste</x:v>
      </x:c>
      <x:c r="F666" t="str">
        <x:v>Marketplace</x:v>
      </x:c>
      <x:c r="G666" t="str">
        <x:v>Tecnologia</x:v>
      </x:c>
      <x:c r="H666" t="str">
        <x:v>Monitor 27</x:v>
      </x:c>
      <x:c r="I666" t="str">
        <x:v>Carla</x:v>
      </x:c>
      <x:c r="J666" s="53" t="n">
        <x:v>7</x:v>
      </x:c>
      <x:c r="K666" s="54" t="n">
        <x:v>1779.27</x:v>
      </x:c>
      <x:c r="L666" s="54" t="n">
        <x:v>1125.83</x:v>
      </x:c>
      <x:c r="M666" s="55" t="n">
        <x:v>0.0467</x:v>
      </x:c>
      <x:c r="N666" s="54" t="n">
        <x:f>ROUND(J666*K666,2)</x:f>
        <x:v>12454.89</x:v>
      </x:c>
      <x:c r="O666" s="54" t="n">
        <x:f>ROUND(N666*(1-M666),2)</x:f>
        <x:v>11873.25</x:v>
      </x:c>
      <x:c r="P666" s="54" t="n">
        <x:f>ROUND(J666*L666,2)</x:f>
        <x:v>7880.81</x:v>
      </x:c>
      <x:c r="Q666" s="54" t="n">
        <x:f>ROUND(O666-P666,2)</x:f>
        <x:v>3992.44</x:v>
      </x:c>
      <x:c r="R666" s="55" t="n">
        <x:f>IF(O666=0,0,ROUND(Q666/O666,4))</x:f>
        <x:v>0.3363</x:v>
      </x:c>
      <x:c r="S666" s="53" t="n">
        <x:v>7</x:v>
      </x:c>
      <x:c r="T666" t="str">
        <x:v>Entregue</x:v>
      </x:c>
      <x:c r="U666" t="n">
        <x:v>5</x:v>
      </x:c>
      <x:c r="V666" t="str"/>
    </x:row>
    <x:row r="667">
      <x:c r="A667" s="52" t="n">
        <x:v>46225</x:v>
      </x:c>
      <x:c r="B667" t="str">
        <x:v>PED-100666</x:v>
      </x:c>
      <x:c r="C667" t="str">
        <x:v>Cliente 025</x:v>
      </x:c>
      <x:c r="D667" t="str">
        <x:v>SC</x:v>
      </x:c>
      <x:c r="E667" t="str">
        <x:v>Sul</x:v>
      </x:c>
      <x:c r="F667" t="str">
        <x:v>Marketplace</x:v>
      </x:c>
      <x:c r="G667" t="str">
        <x:v>Acessórios</x:v>
      </x:c>
      <x:c r="H667" t="str">
        <x:v>Hub USB-C</x:v>
      </x:c>
      <x:c r="I667" t="str">
        <x:v>Henrique</x:v>
      </x:c>
      <x:c r="J667" s="53" t="n">
        <x:v>1</x:v>
      </x:c>
      <x:c r="K667" s="54" t="n">
        <x:v>316.66</x:v>
      </x:c>
      <x:c r="L667" s="54" t="n">
        <x:v>133.79</x:v>
      </x:c>
      <x:c r="M667" s="55" t="n">
        <x:v>0.1285</x:v>
      </x:c>
      <x:c r="N667" s="54" t="n">
        <x:f>ROUND(J667*K667,2)</x:f>
        <x:v>316.66</x:v>
      </x:c>
      <x:c r="O667" s="54" t="n">
        <x:f>ROUND(N667*(1-M667),2)</x:f>
        <x:v>275.97</x:v>
      </x:c>
      <x:c r="P667" s="54" t="n">
        <x:f>ROUND(J667*L667,2)</x:f>
        <x:v>133.79</x:v>
      </x:c>
      <x:c r="Q667" s="54" t="n">
        <x:f>ROUND(O667-P667,2)</x:f>
        <x:v>142.18</x:v>
      </x:c>
      <x:c r="R667" s="55" t="n">
        <x:f>IF(O667=0,0,ROUND(Q667/O667,4))</x:f>
        <x:v>0.5152</x:v>
      </x:c>
      <x:c r="S667" s="53" t="n">
        <x:v>2</x:v>
      </x:c>
      <x:c r="T667" t="str">
        <x:v>Entregue</x:v>
      </x:c>
      <x:c r="U667" t="n">
        <x:v>4</x:v>
      </x:c>
      <x:c r="V667" t="str"/>
    </x:row>
    <x:row r="668">
      <x:c r="A668" s="52" t="n">
        <x:v>46166</x:v>
      </x:c>
      <x:c r="B668" t="str">
        <x:v>PED-100667</x:v>
      </x:c>
      <x:c r="C668" t="str">
        <x:v>Cliente 089</x:v>
      </x:c>
      <x:c r="D668" t="str">
        <x:v>RS</x:v>
      </x:c>
      <x:c r="E668" t="str">
        <x:v>Sul</x:v>
      </x:c>
      <x:c r="F668" t="str">
        <x:v>Televendas</x:v>
      </x:c>
      <x:c r="G668" t="str">
        <x:v>Tecnologia</x:v>
      </x:c>
      <x:c r="H668" t="str">
        <x:v>Notebook Pro</x:v>
      </x:c>
      <x:c r="I668" t="str">
        <x:v>Elaine</x:v>
      </x:c>
      <x:c r="J668" s="53" t="n">
        <x:v>5</x:v>
      </x:c>
      <x:c r="K668" s="54" t="n">
        <x:v>5576.97</x:v>
      </x:c>
      <x:c r="L668" s="54" t="n">
        <x:v>4446.52</x:v>
      </x:c>
      <x:c r="M668" s="55" t="n">
        <x:v>0.0735</x:v>
      </x:c>
      <x:c r="N668" s="54" t="n">
        <x:f>ROUND(J668*K668,2)</x:f>
        <x:v>27884.85</x:v>
      </x:c>
      <x:c r="O668" s="54" t="n">
        <x:f>ROUND(N668*(1-M668),2)</x:f>
        <x:v>25835.31</x:v>
      </x:c>
      <x:c r="P668" s="54" t="n">
        <x:f>ROUND(J668*L668,2)</x:f>
        <x:v>22232.6</x:v>
      </x:c>
      <x:c r="Q668" s="54" t="n">
        <x:f>ROUND(O668-P668,2)</x:f>
        <x:v>3602.71</x:v>
      </x:c>
      <x:c r="R668" s="55" t="n">
        <x:f>IF(O668=0,0,ROUND(Q668/O668,4))</x:f>
        <x:v>0.1394</x:v>
      </x:c>
      <x:c r="S668" s="53" t="n">
        <x:v>8</x:v>
      </x:c>
      <x:c r="T668" t="str">
        <x:v>Entregue</x:v>
      </x:c>
      <x:c r="U668" t="n">
        <x:v>3</x:v>
      </x:c>
      <x:c r="V668" t="str"/>
    </x:row>
    <x:row r="669">
      <x:c r="A669" s="52" t="n">
        <x:v>46069</x:v>
      </x:c>
      <x:c r="B669" t="str">
        <x:v>PED-100668</x:v>
      </x:c>
      <x:c r="C669" t="str">
        <x:v>Cliente 020</x:v>
      </x:c>
      <x:c r="D669" t="str">
        <x:v>MA</x:v>
      </x:c>
      <x:c r="E669" t="str">
        <x:v>Nordeste</x:v>
      </x:c>
      <x:c r="F669" t="str">
        <x:v>Loja</x:v>
      </x:c>
      <x:c r="G669" t="str">
        <x:v>Acessórios</x:v>
      </x:c>
      <x:c r="H669" t="str">
        <x:v>Mochila Executiva</x:v>
      </x:c>
      <x:c r="I669" t="str">
        <x:v>Gabriela</x:v>
      </x:c>
      <x:c r="J669" s="53" t="n">
        <x:v>4</x:v>
      </x:c>
      <x:c r="K669" s="54" t="n">
        <x:v>447.24</x:v>
      </x:c>
      <x:c r="L669" s="54" t="n">
        <x:v>192.25</x:v>
      </x:c>
      <x:c r="M669" s="55" t="n">
        <x:v>0</x:v>
      </x:c>
      <x:c r="N669" s="54" t="n">
        <x:f>ROUND(J669*K669,2)</x:f>
        <x:v>1788.96</x:v>
      </x:c>
      <x:c r="O669" s="54" t="n">
        <x:f>ROUND(N669*(1-M669),2)</x:f>
        <x:v>1788.96</x:v>
      </x:c>
      <x:c r="P669" s="54" t="n">
        <x:f>ROUND(J669*L669,2)</x:f>
        <x:v>769</x:v>
      </x:c>
      <x:c r="Q669" s="54" t="n">
        <x:f>ROUND(O669-P669,2)</x:f>
        <x:v>1019.96</x:v>
      </x:c>
      <x:c r="R669" s="55" t="n">
        <x:f>IF(O669=0,0,ROUND(Q669/O669,4))</x:f>
        <x:v>0.5701</x:v>
      </x:c>
      <x:c r="S669" s="53" t="n">
        <x:v>4</x:v>
      </x:c>
      <x:c r="T669" t="str">
        <x:v>Entregue</x:v>
      </x:c>
      <x:c r="U669" t="n">
        <x:v>4</x:v>
      </x:c>
      <x:c r="V669" t="str"/>
    </x:row>
    <x:row r="670">
      <x:c r="A670" s="52" t="n">
        <x:v>46047</x:v>
      </x:c>
      <x:c r="B670" t="str">
        <x:v>PED-100669</x:v>
      </x:c>
      <x:c r="C670" t="str">
        <x:v>Cliente 027</x:v>
      </x:c>
      <x:c r="D670" t="str">
        <x:v>PR</x:v>
      </x:c>
      <x:c r="E670" t="str">
        <x:v>Sul</x:v>
      </x:c>
      <x:c r="F670" t="str">
        <x:v>E-commerce</x:v>
      </x:c>
      <x:c r="G670" t="str">
        <x:v>Escritório</x:v>
      </x:c>
      <x:c r="H670" t="str">
        <x:v>Mesa Ajustável</x:v>
      </x:c>
      <x:c r="I670" t="str">
        <x:v>João</x:v>
      </x:c>
      <x:c r="J670" s="53" t="n">
        <x:v>3</x:v>
      </x:c>
      <x:c r="K670" s="54" t="n">
        <x:v>2944.59</x:v>
      </x:c>
      <x:c r="L670" s="54" t="n">
        <x:v>1762.45</x:v>
      </x:c>
      <x:c r="M670" s="55" t="n">
        <x:v>0.0219</x:v>
      </x:c>
      <x:c r="N670" s="54" t="n">
        <x:f>ROUND(J670*K670,2)</x:f>
        <x:v>8833.77</x:v>
      </x:c>
      <x:c r="O670" s="54" t="n">
        <x:f>ROUND(N670*(1-M670),2)</x:f>
        <x:v>8640.31</x:v>
      </x:c>
      <x:c r="P670" s="54" t="n">
        <x:f>ROUND(J670*L670,2)</x:f>
        <x:v>5287.35</x:v>
      </x:c>
      <x:c r="Q670" s="54" t="n">
        <x:f>ROUND(O670-P670,2)</x:f>
        <x:v>3352.96</x:v>
      </x:c>
      <x:c r="R670" s="55" t="n">
        <x:f>IF(O670=0,0,ROUND(Q670/O670,4))</x:f>
        <x:v>0.3881</x:v>
      </x:c>
      <x:c r="S670" s="53" t="n">
        <x:v>9</x:v>
      </x:c>
      <x:c r="T670" t="str">
        <x:v>Entregue</x:v>
      </x:c>
      <x:c r="U670" t="n">
        <x:v>5</x:v>
      </x:c>
      <x:c r="V670" t="str"/>
    </x:row>
    <x:row r="671">
      <x:c r="A671" s="52" t="n">
        <x:v>46214</x:v>
      </x:c>
      <x:c r="B671" t="str">
        <x:v>PED-100670</x:v>
      </x:c>
      <x:c r="C671" t="str">
        <x:v>Cliente 017</x:v>
      </x:c>
      <x:c r="D671" t="str">
        <x:v>PA</x:v>
      </x:c>
      <x:c r="E671" t="str">
        <x:v>Norte</x:v>
      </x:c>
      <x:c r="F671" t="str">
        <x:v>Televendas</x:v>
      </x:c>
      <x:c r="G671" t="str">
        <x:v>Escritório</x:v>
      </x:c>
      <x:c r="H671" t="str">
        <x:v>Cadeira Ergonômica</x:v>
      </x:c>
      <x:c r="I671" t="str">
        <x:v>Gabriela</x:v>
      </x:c>
      <x:c r="J671" s="53" t="n">
        <x:v>8</x:v>
      </x:c>
      <x:c r="K671" s="54" t="n">
        <x:v>2282.46</x:v>
      </x:c>
      <x:c r="L671" s="54" t="n">
        <x:v>1468.8</x:v>
      </x:c>
      <x:c r="M671" s="55" t="n">
        <x:v>0.0823</x:v>
      </x:c>
      <x:c r="N671" s="54" t="n">
        <x:f>ROUND(J671*K671,2)</x:f>
        <x:v>18259.68</x:v>
      </x:c>
      <x:c r="O671" s="54" t="n">
        <x:f>ROUND(N671*(1-M671),2)</x:f>
        <x:v>16756.91</x:v>
      </x:c>
      <x:c r="P671" s="54" t="n">
        <x:f>ROUND(J671*L671,2)</x:f>
        <x:v>11750.4</x:v>
      </x:c>
      <x:c r="Q671" s="54" t="n">
        <x:f>ROUND(O671-P671,2)</x:f>
        <x:v>5006.51</x:v>
      </x:c>
      <x:c r="R671" s="55" t="n">
        <x:f>IF(O671=0,0,ROUND(Q671/O671,4))</x:f>
        <x:v>0.2988</x:v>
      </x:c>
      <x:c r="S671" s="53" t="n">
        <x:v>10</x:v>
      </x:c>
      <x:c r="T671" t="str">
        <x:v>Entregue</x:v>
      </x:c>
      <x:c r="U671" t="n">
        <x:v>5</x:v>
      </x:c>
      <x:c r="V671" t="str"/>
    </x:row>
    <x:row r="672">
      <x:c r="A672" s="52" t="n">
        <x:v>46207</x:v>
      </x:c>
      <x:c r="B672" t="str">
        <x:v>PED-100671</x:v>
      </x:c>
      <x:c r="C672" t="str">
        <x:v>Cliente 034</x:v>
      </x:c>
      <x:c r="D672" t="str">
        <x:v>MA</x:v>
      </x:c>
      <x:c r="E672" t="str">
        <x:v>Nordeste</x:v>
      </x:c>
      <x:c r="F672" t="str">
        <x:v>Loja</x:v>
      </x:c>
      <x:c r="G672" t="str">
        <x:v>Tecnologia</x:v>
      </x:c>
      <x:c r="H672" t="str">
        <x:v>Headset Office</x:v>
      </x:c>
      <x:c r="I672" t="str">
        <x:v>Felipe</x:v>
      </x:c>
      <x:c r="J672" s="53" t="n">
        <x:v>3</x:v>
      </x:c>
      <x:c r="K672" s="54" t="n">
        <x:v>385.25</x:v>
      </x:c>
      <x:c r="L672" s="54" t="n">
        <x:v>222.24</x:v>
      </x:c>
      <x:c r="M672" s="55" t="n">
        <x:v>0.071</x:v>
      </x:c>
      <x:c r="N672" s="54" t="n">
        <x:f>ROUND(J672*K672,2)</x:f>
        <x:v>1155.75</x:v>
      </x:c>
      <x:c r="O672" s="54" t="n">
        <x:f>ROUND(N672*(1-M672),2)</x:f>
        <x:v>1073.69</x:v>
      </x:c>
      <x:c r="P672" s="54" t="n">
        <x:f>ROUND(J672*L672,2)</x:f>
        <x:v>666.72</x:v>
      </x:c>
      <x:c r="Q672" s="54" t="n">
        <x:f>ROUND(O672-P672,2)</x:f>
        <x:v>406.97</x:v>
      </x:c>
      <x:c r="R672" s="55" t="n">
        <x:f>IF(O672=0,0,ROUND(Q672/O672,4))</x:f>
        <x:v>0.379</x:v>
      </x:c>
      <x:c r="S672" s="53" t="n">
        <x:v>8</x:v>
      </x:c>
      <x:c r="T672" t="str">
        <x:v>Entregue</x:v>
      </x:c>
      <x:c r="U672" t="n">
        <x:v>3</x:v>
      </x:c>
      <x:c r="V672" t="str"/>
    </x:row>
    <x:row r="673">
      <x:c r="A673" s="52" t="n">
        <x:v>46214</x:v>
      </x:c>
      <x:c r="B673" t="str">
        <x:v>PED-100672</x:v>
      </x:c>
      <x:c r="C673" t="str">
        <x:v>Cliente 115</x:v>
      </x:c>
      <x:c r="D673" t="str">
        <x:v>PA</x:v>
      </x:c>
      <x:c r="E673" t="str">
        <x:v>Norte</x:v>
      </x:c>
      <x:c r="F673" t="str">
        <x:v>Loja</x:v>
      </x:c>
      <x:c r="G673" t="str">
        <x:v>Escritório</x:v>
      </x:c>
      <x:c r="H673" t="str">
        <x:v>Mesa Ajustável</x:v>
      </x:c>
      <x:c r="I673" t="str">
        <x:v>Gabriela</x:v>
      </x:c>
      <x:c r="J673" s="53" t="n">
        <x:v>4</x:v>
      </x:c>
      <x:c r="K673" s="54" t="n">
        <x:v>2926.47</x:v>
      </x:c>
      <x:c r="L673" s="54" t="n">
        <x:v>1883.22</x:v>
      </x:c>
      <x:c r="M673" s="55" t="n">
        <x:v>0</x:v>
      </x:c>
      <x:c r="N673" s="54" t="n">
        <x:f>ROUND(J673*K673,2)</x:f>
        <x:v>11705.88</x:v>
      </x:c>
      <x:c r="O673" s="54" t="n">
        <x:f>ROUND(N673*(1-M673),2)</x:f>
        <x:v>11705.88</x:v>
      </x:c>
      <x:c r="P673" s="54" t="n">
        <x:f>ROUND(J673*L673,2)</x:f>
        <x:v>7532.88</x:v>
      </x:c>
      <x:c r="Q673" s="54" t="n">
        <x:f>ROUND(O673-P673,2)</x:f>
        <x:v>4173</x:v>
      </x:c>
      <x:c r="R673" s="55" t="n">
        <x:f>IF(O673=0,0,ROUND(Q673/O673,4))</x:f>
        <x:v>0.3565</x:v>
      </x:c>
      <x:c r="S673" s="53" t="n">
        <x:v>13</x:v>
      </x:c>
      <x:c r="T673" t="str">
        <x:v>Entregue com atraso</x:v>
      </x:c>
      <x:c r="U673" t="n">
        <x:v>3</x:v>
      </x:c>
      <x:c r="V673" t="str"/>
    </x:row>
    <x:row r="674">
      <x:c r="A674" s="52" t="n">
        <x:v>46095</x:v>
      </x:c>
      <x:c r="B674" t="str">
        <x:v>PED-100673</x:v>
      </x:c>
      <x:c r="C674" t="str">
        <x:v>Cliente 115</x:v>
      </x:c>
      <x:c r="D674" t="str">
        <x:v>BA</x:v>
      </x:c>
      <x:c r="E674" t="str">
        <x:v>Nordeste</x:v>
      </x:c>
      <x:c r="F674" t="str">
        <x:v>Loja</x:v>
      </x:c>
      <x:c r="G674" t="str">
        <x:v>Acessórios</x:v>
      </x:c>
      <x:c r="H674" t="str">
        <x:v>Mochila Executiva</x:v>
      </x:c>
      <x:c r="I674" t="str">
        <x:v>Felipe</x:v>
      </x:c>
      <x:c r="J674" s="53" t="n">
        <x:v>2</x:v>
      </x:c>
      <x:c r="K674" s="54" t="n">
        <x:v>413.57</x:v>
      </x:c>
      <x:c r="L674" s="54" t="n">
        <x:v>193.34</x:v>
      </x:c>
      <x:c r="M674" s="55" t="n">
        <x:v>0</x:v>
      </x:c>
      <x:c r="N674" s="54" t="n">
        <x:f>ROUND(J674*K674,2)</x:f>
        <x:v>827.14</x:v>
      </x:c>
      <x:c r="O674" s="54" t="n">
        <x:f>ROUND(N674*(1-M674),2)</x:f>
        <x:v>827.14</x:v>
      </x:c>
      <x:c r="P674" s="54" t="n">
        <x:f>ROUND(J674*L674,2)</x:f>
        <x:v>386.68</x:v>
      </x:c>
      <x:c r="Q674" s="54" t="n">
        <x:f>ROUND(O674-P674,2)</x:f>
        <x:v>440.46</x:v>
      </x:c>
      <x:c r="R674" s="55" t="n">
        <x:f>IF(O674=0,0,ROUND(Q674/O674,4))</x:f>
        <x:v>0.5325</x:v>
      </x:c>
      <x:c r="S674" s="53" t="n">
        <x:v>14</x:v>
      </x:c>
      <x:c r="T674" t="str">
        <x:v>Entregue com atraso</x:v>
      </x:c>
      <x:c r="U674" t="n">
        <x:v>5</x:v>
      </x:c>
      <x:c r="V674" t="str"/>
    </x:row>
    <x:row r="675">
      <x:c r="A675" s="52" t="n">
        <x:v>46120</x:v>
      </x:c>
      <x:c r="B675" t="str">
        <x:v>PED-100674</x:v>
      </x:c>
      <x:c r="C675" t="str">
        <x:v>Cliente 098</x:v>
      </x:c>
      <x:c r="D675" t="str">
        <x:v>RS</x:v>
      </x:c>
      <x:c r="E675" t="str">
        <x:v>Sul</x:v>
      </x:c>
      <x:c r="F675" t="str">
        <x:v>Televendas</x:v>
      </x:c>
      <x:c r="G675" t="str">
        <x:v>Escritório</x:v>
      </x:c>
      <x:c r="H675" t="str">
        <x:v>Mesa Ajustável</x:v>
      </x:c>
      <x:c r="I675" t="str">
        <x:v>Elaine</x:v>
      </x:c>
      <x:c r="J675" s="53" t="n">
        <x:v>5</x:v>
      </x:c>
      <x:c r="K675" s="54" t="n">
        <x:v>2812.25</x:v>
      </x:c>
      <x:c r="L675" s="54" t="n">
        <x:v>1852.45</x:v>
      </x:c>
      <x:c r="M675" s="55" t="n">
        <x:v>0.0519</x:v>
      </x:c>
      <x:c r="N675" s="54" t="n">
        <x:f>ROUND(J675*K675,2)</x:f>
        <x:v>14061.25</x:v>
      </x:c>
      <x:c r="O675" s="54" t="n">
        <x:f>ROUND(N675*(1-M675),2)</x:f>
        <x:v>13331.47</x:v>
      </x:c>
      <x:c r="P675" s="54" t="n">
        <x:f>ROUND(J675*L675,2)</x:f>
        <x:v>9262.25</x:v>
      </x:c>
      <x:c r="Q675" s="54" t="n">
        <x:f>ROUND(O675-P675,2)</x:f>
        <x:v>4069.22</x:v>
      </x:c>
      <x:c r="R675" s="55" t="n">
        <x:f>IF(O675=0,0,ROUND(Q675/O675,4))</x:f>
        <x:v>0.3052</x:v>
      </x:c>
      <x:c r="S675" s="53" t="n">
        <x:v>8</x:v>
      </x:c>
      <x:c r="T675" t="str">
        <x:v>Entregue</x:v>
      </x:c>
      <x:c r="U675" t="n">
        <x:v>2</x:v>
      </x:c>
      <x:c r="V675" t="str"/>
    </x:row>
    <x:row r="676">
      <x:c r="A676" s="52" t="n">
        <x:v>46106</x:v>
      </x:c>
      <x:c r="B676" t="str">
        <x:v>PED-100675</x:v>
      </x:c>
      <x:c r="C676" t="str">
        <x:v>Cliente 113</x:v>
      </x:c>
      <x:c r="D676" t="str">
        <x:v>PR</x:v>
      </x:c>
      <x:c r="E676" t="str">
        <x:v>Sul</x:v>
      </x:c>
      <x:c r="F676" t="str">
        <x:v>Loja</x:v>
      </x:c>
      <x:c r="G676" t="str">
        <x:v>Casa</x:v>
      </x:c>
      <x:c r="H676" t="str">
        <x:v>Cafeteira Smart</x:v>
      </x:c>
      <x:c r="I676" t="str">
        <x:v>Gabriela</x:v>
      </x:c>
      <x:c r="J676" s="53" t="n">
        <x:v>5</x:v>
      </x:c>
      <x:c r="K676" s="54" t="n">
        <x:v>802.89</x:v>
      </x:c>
      <x:c r="L676" s="54" t="n">
        <x:v>454.71</x:v>
      </x:c>
      <x:c r="M676" s="55" t="n">
        <x:v>0.1058</x:v>
      </x:c>
      <x:c r="N676" s="54" t="n">
        <x:f>ROUND(J676*K676,2)</x:f>
        <x:v>4014.45</x:v>
      </x:c>
      <x:c r="O676" s="54" t="n">
        <x:f>ROUND(N676*(1-M676),2)</x:f>
        <x:v>3589.72</x:v>
      </x:c>
      <x:c r="P676" s="54" t="n">
        <x:f>ROUND(J676*L676,2)</x:f>
        <x:v>2273.55</x:v>
      </x:c>
      <x:c r="Q676" s="54" t="n">
        <x:f>ROUND(O676-P676,2)</x:f>
        <x:v>1316.17</x:v>
      </x:c>
      <x:c r="R676" s="55" t="n">
        <x:f>IF(O676=0,0,ROUND(Q676/O676,4))</x:f>
        <x:v>0.3666</x:v>
      </x:c>
      <x:c r="S676" s="53" t="n">
        <x:v>11</x:v>
      </x:c>
      <x:c r="T676" t="str">
        <x:v>Entregue com atraso</x:v>
      </x:c>
      <x:c r="U676" t="n">
        <x:v>5</x:v>
      </x:c>
      <x:c r="V676" t="str"/>
    </x:row>
    <x:row r="677">
      <x:c r="A677" s="52" t="n">
        <x:v>46151</x:v>
      </x:c>
      <x:c r="B677" t="str">
        <x:v>PED-100676</x:v>
      </x:c>
      <x:c r="C677" t="str">
        <x:v>Cliente 061</x:v>
      </x:c>
      <x:c r="D677" t="str">
        <x:v>CE</x:v>
      </x:c>
      <x:c r="E677" t="str">
        <x:v>Nordeste</x:v>
      </x:c>
      <x:c r="F677" t="str">
        <x:v>Marketplace</x:v>
      </x:c>
      <x:c r="G677" t="str">
        <x:v>Casa</x:v>
      </x:c>
      <x:c r="H677" t="str">
        <x:v>Aspirador Robô</x:v>
      </x:c>
      <x:c r="I677" t="str">
        <x:v>Elaine</x:v>
      </x:c>
      <x:c r="J677" s="53" t="n">
        <x:v>6</x:v>
      </x:c>
      <x:c r="K677" s="54" t="n">
        <x:v>1828.15</x:v>
      </x:c>
      <x:c r="L677" s="54" t="n">
        <x:v>1254.25</x:v>
      </x:c>
      <x:c r="M677" s="55" t="n">
        <x:v>0.035</x:v>
      </x:c>
      <x:c r="N677" s="54" t="n">
        <x:f>ROUND(J677*K677,2)</x:f>
        <x:v>10968.9</x:v>
      </x:c>
      <x:c r="O677" s="54" t="n">
        <x:f>ROUND(N677*(1-M677),2)</x:f>
        <x:v>10584.99</x:v>
      </x:c>
      <x:c r="P677" s="54" t="n">
        <x:f>ROUND(J677*L677,2)</x:f>
        <x:v>7525.5</x:v>
      </x:c>
      <x:c r="Q677" s="54" t="n">
        <x:f>ROUND(O677-P677,2)</x:f>
        <x:v>3059.49</x:v>
      </x:c>
      <x:c r="R677" s="55" t="n">
        <x:f>IF(O677=0,0,ROUND(Q677/O677,4))</x:f>
        <x:v>0.289</x:v>
      </x:c>
      <x:c r="S677" s="53" t="n">
        <x:v>7</x:v>
      </x:c>
      <x:c r="T677" t="str">
        <x:v>Entregue</x:v>
      </x:c>
      <x:c r="U677" t="n">
        <x:v>2</x:v>
      </x:c>
      <x:c r="V677" t="str"/>
    </x:row>
    <x:row r="678">
      <x:c r="A678" s="52" t="n">
        <x:v>46214</x:v>
      </x:c>
      <x:c r="B678" t="str">
        <x:v>PED-100677</x:v>
      </x:c>
      <x:c r="C678" t="str">
        <x:v>Cliente 015</x:v>
      </x:c>
      <x:c r="D678" t="str">
        <x:v>MA</x:v>
      </x:c>
      <x:c r="E678" t="str">
        <x:v>Nordeste</x:v>
      </x:c>
      <x:c r="F678" t="str">
        <x:v>E-commerce</x:v>
      </x:c>
      <x:c r="G678" t="str">
        <x:v>Acessórios</x:v>
      </x:c>
      <x:c r="H678" t="str">
        <x:v>Mochila Executiva</x:v>
      </x:c>
      <x:c r="I678" t="str">
        <x:v>Carla</x:v>
      </x:c>
      <x:c r="J678" s="53" t="n">
        <x:v>3</x:v>
      </x:c>
      <x:c r="K678" s="54" t="n">
        <x:v>443.52</x:v>
      </x:c>
      <x:c r="L678" s="54" t="n">
        <x:v>200.32</x:v>
      </x:c>
      <x:c r="M678" s="55" t="n">
        <x:v>0</x:v>
      </x:c>
      <x:c r="N678" s="54" t="n">
        <x:f>ROUND(J678*K678,2)</x:f>
        <x:v>1330.56</x:v>
      </x:c>
      <x:c r="O678" s="54" t="n">
        <x:f>ROUND(N678*(1-M678),2)</x:f>
        <x:v>1330.56</x:v>
      </x:c>
      <x:c r="P678" s="54" t="n">
        <x:f>ROUND(J678*L678,2)</x:f>
        <x:v>600.96</x:v>
      </x:c>
      <x:c r="Q678" s="54" t="n">
        <x:f>ROUND(O678-P678,2)</x:f>
        <x:v>729.6</x:v>
      </x:c>
      <x:c r="R678" s="55" t="n">
        <x:f>IF(O678=0,0,ROUND(Q678/O678,4))</x:f>
        <x:v>0.5483</x:v>
      </x:c>
      <x:c r="S678" s="53" t="n">
        <x:v>11</x:v>
      </x:c>
      <x:c r="T678" t="str">
        <x:v>Entregue com atraso</x:v>
      </x:c>
      <x:c r="U678" t="n">
        <x:v>5</x:v>
      </x:c>
      <x:c r="V678" t="str"/>
    </x:row>
    <x:row r="679">
      <x:c r="A679" s="52" t="n">
        <x:v>46106</x:v>
      </x:c>
      <x:c r="B679" t="str">
        <x:v>PED-100678</x:v>
      </x:c>
      <x:c r="C679" t="str">
        <x:v>Cliente 066</x:v>
      </x:c>
      <x:c r="D679" t="str">
        <x:v>RS</x:v>
      </x:c>
      <x:c r="E679" t="str">
        <x:v>Sul</x:v>
      </x:c>
      <x:c r="F679" t="str">
        <x:v>Televendas</x:v>
      </x:c>
      <x:c r="G679" t="str">
        <x:v>Casa</x:v>
      </x:c>
      <x:c r="H679" t="str">
        <x:v>Purificador</x:v>
      </x:c>
      <x:c r="I679" t="str">
        <x:v>Bruno</x:v>
      </x:c>
      <x:c r="J679" s="53" t="n">
        <x:v>3</x:v>
      </x:c>
      <x:c r="K679" s="54" t="n">
        <x:v>1311.27</x:v>
      </x:c>
      <x:c r="L679" s="54" t="n">
        <x:v>779.66</x:v>
      </x:c>
      <x:c r="M679" s="55" t="n">
        <x:v>0.1116</x:v>
      </x:c>
      <x:c r="N679" s="54" t="n">
        <x:f>ROUND(J679*K679,2)</x:f>
        <x:v>3933.81</x:v>
      </x:c>
      <x:c r="O679" s="54" t="n">
        <x:f>ROUND(N679*(1-M679),2)</x:f>
        <x:v>3494.8</x:v>
      </x:c>
      <x:c r="P679" s="54" t="n">
        <x:f>ROUND(J679*L679,2)</x:f>
        <x:v>2338.98</x:v>
      </x:c>
      <x:c r="Q679" s="54" t="n">
        <x:f>ROUND(O679-P679,2)</x:f>
        <x:v>1155.82</x:v>
      </x:c>
      <x:c r="R679" s="55" t="n">
        <x:f>IF(O679=0,0,ROUND(Q679/O679,4))</x:f>
        <x:v>0.3307</x:v>
      </x:c>
      <x:c r="S679" s="53" t="n">
        <x:v>3</x:v>
      </x:c>
      <x:c r="T679" t="str">
        <x:v>Entregue</x:v>
      </x:c>
      <x:c r="U679" t="n">
        <x:v>3</x:v>
      </x:c>
      <x:c r="V679" t="str"/>
    </x:row>
    <x:row r="680">
      <x:c r="A680" s="52" t="n">
        <x:v>46027</x:v>
      </x:c>
      <x:c r="B680" t="str">
        <x:v>PED-100679</x:v>
      </x:c>
      <x:c r="C680" t="str">
        <x:v>Cliente 004</x:v>
      </x:c>
      <x:c r="D680" t="str">
        <x:v>RJ</x:v>
      </x:c>
      <x:c r="E680" t="str">
        <x:v>Sudeste</x:v>
      </x:c>
      <x:c r="F680" t="str">
        <x:v>Loja</x:v>
      </x:c>
      <x:c r="G680" t="str">
        <x:v>Acessórios</x:v>
      </x:c>
      <x:c r="H680" t="str">
        <x:v>Webcam HD</x:v>
      </x:c>
      <x:c r="I680" t="str">
        <x:v>Diego</x:v>
      </x:c>
      <x:c r="J680" s="53" t="n">
        <x:v>1</x:v>
      </x:c>
      <x:c r="K680" s="54" t="n">
        <x:v>529.44</x:v>
      </x:c>
      <x:c r="L680" s="54" t="n">
        <x:v>231.24</x:v>
      </x:c>
      <x:c r="M680" s="55" t="n">
        <x:v>0.0549</x:v>
      </x:c>
      <x:c r="N680" s="54" t="n">
        <x:f>ROUND(J680*K680,2)</x:f>
        <x:v>529.44</x:v>
      </x:c>
      <x:c r="O680" s="54" t="n">
        <x:f>ROUND(N680*(1-M680),2)</x:f>
        <x:v>500.37</x:v>
      </x:c>
      <x:c r="P680" s="54" t="n">
        <x:f>ROUND(J680*L680,2)</x:f>
        <x:v>231.24</x:v>
      </x:c>
      <x:c r="Q680" s="54" t="n">
        <x:f>ROUND(O680-P680,2)</x:f>
        <x:v>269.13</x:v>
      </x:c>
      <x:c r="R680" s="55" t="n">
        <x:f>IF(O680=0,0,ROUND(Q680/O680,4))</x:f>
        <x:v>0.5379</x:v>
      </x:c>
      <x:c r="S680" s="53" t="n">
        <x:v>5</x:v>
      </x:c>
      <x:c r="T680" t="str">
        <x:v>Entregue</x:v>
      </x:c>
      <x:c r="U680" t="n">
        <x:v>4</x:v>
      </x:c>
      <x:c r="V680" t="str"/>
    </x:row>
    <x:row r="681">
      <x:c r="A681" s="52" t="n">
        <x:v>46148</x:v>
      </x:c>
      <x:c r="B681" t="str">
        <x:v>PED-100680</x:v>
      </x:c>
      <x:c r="C681" t="str">
        <x:v>Cliente 054</x:v>
      </x:c>
      <x:c r="D681" t="str">
        <x:v>PA</x:v>
      </x:c>
      <x:c r="E681" t="str">
        <x:v>Norte</x:v>
      </x:c>
      <x:c r="F681" t="str">
        <x:v>E-commerce</x:v>
      </x:c>
      <x:c r="G681" t="str">
        <x:v>Acessórios</x:v>
      </x:c>
      <x:c r="H681" t="str">
        <x:v>Webcam HD</x:v>
      </x:c>
      <x:c r="I681" t="str">
        <x:v>Elaine</x:v>
      </x:c>
      <x:c r="J681" s="53" t="n">
        <x:v>8</x:v>
      </x:c>
      <x:c r="K681" s="54" t="n">
        <x:v>528.83</x:v>
      </x:c>
      <x:c r="L681" s="54" t="n">
        <x:v>251.67</x:v>
      </x:c>
      <x:c r="M681" s="55" t="n">
        <x:v>0</x:v>
      </x:c>
      <x:c r="N681" s="54" t="n">
        <x:f>ROUND(J681*K681,2)</x:f>
        <x:v>4230.64</x:v>
      </x:c>
      <x:c r="O681" s="54" t="n">
        <x:f>ROUND(N681*(1-M681),2)</x:f>
        <x:v>4230.64</x:v>
      </x:c>
      <x:c r="P681" s="54" t="n">
        <x:f>ROUND(J681*L681,2)</x:f>
        <x:v>2013.36</x:v>
      </x:c>
      <x:c r="Q681" s="54" t="n">
        <x:f>ROUND(O681-P681,2)</x:f>
        <x:v>2217.28</x:v>
      </x:c>
      <x:c r="R681" s="55" t="n">
        <x:f>IF(O681=0,0,ROUND(Q681/O681,4))</x:f>
        <x:v>0.5241</x:v>
      </x:c>
      <x:c r="S681" s="53" t="n">
        <x:v>4</x:v>
      </x:c>
      <x:c r="T681" t="str">
        <x:v>Entregue</x:v>
      </x:c>
      <x:c r="U681" t="n">
        <x:v>5</x:v>
      </x:c>
      <x:c r="V681" t="str"/>
    </x:row>
    <x:row r="682">
      <x:c r="A682" s="52" t="n">
        <x:v>46076</x:v>
      </x:c>
      <x:c r="B682" t="str">
        <x:v>PED-100681</x:v>
      </x:c>
      <x:c r="C682" t="str">
        <x:v>Cliente 055</x:v>
      </x:c>
      <x:c r="D682" t="str">
        <x:v>PR</x:v>
      </x:c>
      <x:c r="E682" t="str">
        <x:v>Sul</x:v>
      </x:c>
      <x:c r="F682" t="str">
        <x:v>E-commerce</x:v>
      </x:c>
      <x:c r="G682" t="str">
        <x:v>Casa</x:v>
      </x:c>
      <x:c r="H682" t="str">
        <x:v>Aspirador Robô</x:v>
      </x:c>
      <x:c r="I682" t="str">
        <x:v>Bruno</x:v>
      </x:c>
      <x:c r="J682" s="53" t="n">
        <x:v>2</x:v>
      </x:c>
      <x:c r="K682" s="54" t="n">
        <x:v>1913.3</x:v>
      </x:c>
      <x:c r="L682" s="54" t="n">
        <x:v>1246.43</x:v>
      </x:c>
      <x:c r="M682" s="55" t="n">
        <x:v>0.0363</x:v>
      </x:c>
      <x:c r="N682" s="54" t="n">
        <x:f>ROUND(J682*K682,2)</x:f>
        <x:v>3826.6</x:v>
      </x:c>
      <x:c r="O682" s="54" t="n">
        <x:f>ROUND(N682*(1-M682),2)</x:f>
        <x:v>3687.69</x:v>
      </x:c>
      <x:c r="P682" s="54" t="n">
        <x:f>ROUND(J682*L682,2)</x:f>
        <x:v>2492.86</x:v>
      </x:c>
      <x:c r="Q682" s="54" t="n">
        <x:f>ROUND(O682-P682,2)</x:f>
        <x:v>1194.83</x:v>
      </x:c>
      <x:c r="R682" s="55" t="n">
        <x:f>IF(O682=0,0,ROUND(Q682/O682,4))</x:f>
        <x:v>0.324</x:v>
      </x:c>
      <x:c r="S682" s="53" t="n">
        <x:v>5</x:v>
      </x:c>
      <x:c r="T682" t="str">
        <x:v>Entregue</x:v>
      </x:c>
      <x:c r="U682" t="n">
        <x:v>5</x:v>
      </x:c>
      <x:c r="V682" t="str"/>
    </x:row>
    <x:row r="683">
      <x:c r="A683" s="52" t="n">
        <x:v>46035</x:v>
      </x:c>
      <x:c r="B683" t="str">
        <x:v>PED-100682</x:v>
      </x:c>
      <x:c r="C683" t="str">
        <x:v>Cliente 087</x:v>
      </x:c>
      <x:c r="D683" t="str">
        <x:v>DF</x:v>
      </x:c>
      <x:c r="E683" t="str">
        <x:v>Centro-Oeste</x:v>
      </x:c>
      <x:c r="F683" t="str">
        <x:v>Televendas</x:v>
      </x:c>
      <x:c r="G683" t="str">
        <x:v>Escritório</x:v>
      </x:c>
      <x:c r="H683" t="str">
        <x:v>Cadeira Ergonômica</x:v>
      </x:c>
      <x:c r="I683" t="str">
        <x:v>Ana</x:v>
      </x:c>
      <x:c r="J683" s="53" t="n">
        <x:v>3</x:v>
      </x:c>
      <x:c r="K683" s="54" t="n">
        <x:v>2303.67</x:v>
      </x:c>
      <x:c r="L683" s="54" t="n">
        <x:v>1451.59</x:v>
      </x:c>
      <x:c r="M683" s="55" t="n">
        <x:v>0</x:v>
      </x:c>
      <x:c r="N683" s="54" t="n">
        <x:f>ROUND(J683*K683,2)</x:f>
        <x:v>6911.01</x:v>
      </x:c>
      <x:c r="O683" s="54" t="n">
        <x:f>ROUND(N683*(1-M683),2)</x:f>
        <x:v>6911.01</x:v>
      </x:c>
      <x:c r="P683" s="54" t="n">
        <x:f>ROUND(J683*L683,2)</x:f>
        <x:v>4354.77</x:v>
      </x:c>
      <x:c r="Q683" s="54" t="n">
        <x:f>ROUND(O683-P683,2)</x:f>
        <x:v>2556.24</x:v>
      </x:c>
      <x:c r="R683" s="55" t="n">
        <x:f>IF(O683=0,0,ROUND(Q683/O683,4))</x:f>
        <x:v>0.3699</x:v>
      </x:c>
      <x:c r="S683" s="53" t="n">
        <x:v>14</x:v>
      </x:c>
      <x:c r="T683" t="str">
        <x:v>Cancelado</x:v>
      </x:c>
      <x:c r="U683"/>
      <x:c r="V683" t="str"/>
    </x:row>
    <x:row r="684">
      <x:c r="A684" s="52" t="n">
        <x:v>46158</x:v>
      </x:c>
      <x:c r="B684" t="str">
        <x:v>PED-100683</x:v>
      </x:c>
      <x:c r="C684" t="str">
        <x:v>Cliente 097</x:v>
      </x:c>
      <x:c r="D684" t="str">
        <x:v>AM</x:v>
      </x:c>
      <x:c r="E684" t="str">
        <x:v>Norte</x:v>
      </x:c>
      <x:c r="F684" t="str">
        <x:v>Marketplace</x:v>
      </x:c>
      <x:c r="G684" t="str">
        <x:v>Casa</x:v>
      </x:c>
      <x:c r="H684" t="str">
        <x:v>Purificador</x:v>
      </x:c>
      <x:c r="I684" t="str">
        <x:v>Henrique</x:v>
      </x:c>
      <x:c r="J684" s="53" t="n">
        <x:v>3</x:v>
      </x:c>
      <x:c r="K684" s="54" t="n">
        <x:v>1303.61</x:v>
      </x:c>
      <x:c r="L684" s="54" t="n">
        <x:v>824.22</x:v>
      </x:c>
      <x:c r="M684" s="55" t="n">
        <x:v>0.035</x:v>
      </x:c>
      <x:c r="N684" s="54" t="n">
        <x:f>ROUND(J684*K684,2)</x:f>
        <x:v>3910.83</x:v>
      </x:c>
      <x:c r="O684" s="54" t="n">
        <x:f>ROUND(N684*(1-M684),2)</x:f>
        <x:v>3773.95</x:v>
      </x:c>
      <x:c r="P684" s="54" t="n">
        <x:f>ROUND(J684*L684,2)</x:f>
        <x:v>2472.66</x:v>
      </x:c>
      <x:c r="Q684" s="54" t="n">
        <x:f>ROUND(O684-P684,2)</x:f>
        <x:v>1301.29</x:v>
      </x:c>
      <x:c r="R684" s="55" t="n">
        <x:f>IF(O684=0,0,ROUND(Q684/O684,4))</x:f>
        <x:v>0.3448</x:v>
      </x:c>
      <x:c r="S684" s="53" t="n">
        <x:v>8</x:v>
      </x:c>
      <x:c r="T684" t="str">
        <x:v>Entregue</x:v>
      </x:c>
      <x:c r="U684" t="n">
        <x:v>2</x:v>
      </x:c>
      <x:c r="V684" t="str"/>
    </x:row>
    <x:row r="685">
      <x:c r="A685" s="52" t="n">
        <x:v>46164</x:v>
      </x:c>
      <x:c r="B685" t="str">
        <x:v>PED-100684</x:v>
      </x:c>
      <x:c r="C685" t="str">
        <x:v>Cliente 065</x:v>
      </x:c>
      <x:c r="D685" t="str">
        <x:v>AM</x:v>
      </x:c>
      <x:c r="E685" t="str">
        <x:v>Norte</x:v>
      </x:c>
      <x:c r="F685" t="str">
        <x:v>Marketplace</x:v>
      </x:c>
      <x:c r="G685" t="str">
        <x:v>Casa</x:v>
      </x:c>
      <x:c r="H685" t="str">
        <x:v>Purificador</x:v>
      </x:c>
      <x:c r="I685" t="str">
        <x:v>Bruno</x:v>
      </x:c>
      <x:c r="J685" s="53" t="n">
        <x:v>1</x:v>
      </x:c>
      <x:c r="K685" s="54" t="n">
        <x:v>1292.24</x:v>
      </x:c>
      <x:c r="L685" s="54" t="n">
        <x:v>829.64</x:v>
      </x:c>
      <x:c r="M685" s="55" t="n">
        <x:v>0.0642</x:v>
      </x:c>
      <x:c r="N685" s="54" t="n">
        <x:f>ROUND(J685*K685,2)</x:f>
        <x:v>1292.24</x:v>
      </x:c>
      <x:c r="O685" s="54" t="n">
        <x:f>ROUND(N685*(1-M685),2)</x:f>
        <x:v>1209.28</x:v>
      </x:c>
      <x:c r="P685" s="54" t="n">
        <x:f>ROUND(J685*L685,2)</x:f>
        <x:v>829.64</x:v>
      </x:c>
      <x:c r="Q685" s="54" t="n">
        <x:f>ROUND(O685-P685,2)</x:f>
        <x:v>379.64</x:v>
      </x:c>
      <x:c r="R685" s="55" t="n">
        <x:f>IF(O685=0,0,ROUND(Q685/O685,4))</x:f>
        <x:v>0.3139</x:v>
      </x:c>
      <x:c r="S685" s="53" t="n">
        <x:v>6</x:v>
      </x:c>
      <x:c r="T685" t="str">
        <x:v>Entregue</x:v>
      </x:c>
      <x:c r="U685" t="n">
        <x:v>3</x:v>
      </x:c>
      <x:c r="V685" t="str"/>
    </x:row>
    <x:row r="686">
      <x:c r="A686" s="52" t="n">
        <x:v>46109</x:v>
      </x:c>
      <x:c r="B686" t="str">
        <x:v>PED-100685</x:v>
      </x:c>
      <x:c r="C686" t="str">
        <x:v>Cliente 074</x:v>
      </x:c>
      <x:c r="D686" t="str">
        <x:v>RJ</x:v>
      </x:c>
      <x:c r="E686" t="str">
        <x:v>Sudeste</x:v>
      </x:c>
      <x:c r="F686" t="str">
        <x:v>Televendas</x:v>
      </x:c>
      <x:c r="G686" t="str">
        <x:v>Escritório</x:v>
      </x:c>
      <x:c r="H686" t="str">
        <x:v>Cadeira Ergonômica</x:v>
      </x:c>
      <x:c r="I686" t="str">
        <x:v>Elaine</x:v>
      </x:c>
      <x:c r="J686" s="53" t="n">
        <x:v>5</x:v>
      </x:c>
      <x:c r="K686" s="54" t="n">
        <x:v>2104.33</x:v>
      </x:c>
      <x:c r="L686" s="54" t="n">
        <x:v>1479.34</x:v>
      </x:c>
      <x:c r="M686" s="55" t="n">
        <x:v>0.096</x:v>
      </x:c>
      <x:c r="N686" s="54" t="n">
        <x:f>ROUND(J686*K686,2)</x:f>
        <x:v>10521.65</x:v>
      </x:c>
      <x:c r="O686" s="54" t="n">
        <x:f>ROUND(N686*(1-M686),2)</x:f>
        <x:v>9511.57</x:v>
      </x:c>
      <x:c r="P686" s="54" t="n">
        <x:f>ROUND(J686*L686,2)</x:f>
        <x:v>7396.7</x:v>
      </x:c>
      <x:c r="Q686" s="54" t="n">
        <x:f>ROUND(O686-P686,2)</x:f>
        <x:v>2114.87</x:v>
      </x:c>
      <x:c r="R686" s="55" t="n">
        <x:f>IF(O686=0,0,ROUND(Q686/O686,4))</x:f>
        <x:v>0.2223</x:v>
      </x:c>
      <x:c r="S686" s="53" t="n">
        <x:v>11</x:v>
      </x:c>
      <x:c r="T686" t="str">
        <x:v>Entregue com atraso</x:v>
      </x:c>
      <x:c r="U686" t="n">
        <x:v>3</x:v>
      </x:c>
      <x:c r="V686" t="str"/>
    </x:row>
    <x:row r="687">
      <x:c r="A687" s="52" t="n">
        <x:v>46059</x:v>
      </x:c>
      <x:c r="B687" t="str">
        <x:v>PED-100686</x:v>
      </x:c>
      <x:c r="C687" t="str">
        <x:v>Cliente 042</x:v>
      </x:c>
      <x:c r="D687" t="str">
        <x:v>PE</x:v>
      </x:c>
      <x:c r="E687" t="str">
        <x:v>Nordeste</x:v>
      </x:c>
      <x:c r="F687" t="str">
        <x:v>Loja</x:v>
      </x:c>
      <x:c r="G687" t="str">
        <x:v>Escritório</x:v>
      </x:c>
      <x:c r="H687" t="str">
        <x:v>Cadeira Ergonômica</x:v>
      </x:c>
      <x:c r="I687" t="str">
        <x:v>Bruno</x:v>
      </x:c>
      <x:c r="J687" s="53" t="n">
        <x:v>2</x:v>
      </x:c>
      <x:c r="K687" s="54" t="n">
        <x:v>2113.09</x:v>
      </x:c>
      <x:c r="L687" s="54" t="n">
        <x:v>1516.4</x:v>
      </x:c>
      <x:c r="M687" s="55" t="n">
        <x:v>0</x:v>
      </x:c>
      <x:c r="N687" s="54" t="n">
        <x:f>ROUND(J687*K687,2)</x:f>
        <x:v>4226.18</x:v>
      </x:c>
      <x:c r="O687" s="54" t="n">
        <x:f>ROUND(N687*(1-M687),2)</x:f>
        <x:v>4226.18</x:v>
      </x:c>
      <x:c r="P687" s="54" t="n">
        <x:f>ROUND(J687*L687,2)</x:f>
        <x:v>3032.8</x:v>
      </x:c>
      <x:c r="Q687" s="54" t="n">
        <x:f>ROUND(O687-P687,2)</x:f>
        <x:v>1193.38</x:v>
      </x:c>
      <x:c r="R687" s="55" t="n">
        <x:f>IF(O687=0,0,ROUND(Q687/O687,4))</x:f>
        <x:v>0.2824</x:v>
      </x:c>
      <x:c r="S687" s="53" t="n">
        <x:v>9</x:v>
      </x:c>
      <x:c r="T687" t="str">
        <x:v>Entregue</x:v>
      </x:c>
      <x:c r="U687" t="n">
        <x:v>4</x:v>
      </x:c>
      <x:c r="V687" t="str"/>
    </x:row>
    <x:row r="688">
      <x:c r="A688" s="52" t="n">
        <x:v>46213</x:v>
      </x:c>
      <x:c r="B688" t="str">
        <x:v>PED-100687</x:v>
      </x:c>
      <x:c r="C688" t="str">
        <x:v>Cliente 065</x:v>
      </x:c>
      <x:c r="D688" t="str">
        <x:v>MA</x:v>
      </x:c>
      <x:c r="E688" t="str">
        <x:v>Nordeste</x:v>
      </x:c>
      <x:c r="F688" t="str">
        <x:v>Televendas</x:v>
      </x:c>
      <x:c r="G688" t="str">
        <x:v>Escritório</x:v>
      </x:c>
      <x:c r="H688" t="str">
        <x:v>Luminária LED</x:v>
      </x:c>
      <x:c r="I688" t="str">
        <x:v>Diego</x:v>
      </x:c>
      <x:c r="J688" s="53" t="n">
        <x:v>1</x:v>
      </x:c>
      <x:c r="K688" s="54" t="n">
        <x:v>262</x:v>
      </x:c>
      <x:c r="L688" s="54" t="n">
        <x:v>119.15</x:v>
      </x:c>
      <x:c r="M688" s="55" t="n">
        <x:v>0.0109</x:v>
      </x:c>
      <x:c r="N688" s="54" t="n">
        <x:f>ROUND(J688*K688,2)</x:f>
        <x:v>262</x:v>
      </x:c>
      <x:c r="O688" s="54" t="n">
        <x:f>ROUND(N688*(1-M688),2)</x:f>
        <x:v>259.14</x:v>
      </x:c>
      <x:c r="P688" s="54" t="n">
        <x:f>ROUND(J688*L688,2)</x:f>
        <x:v>119.15</x:v>
      </x:c>
      <x:c r="Q688" s="54" t="n">
        <x:f>ROUND(O688-P688,2)</x:f>
        <x:v>139.99</x:v>
      </x:c>
      <x:c r="R688" s="55" t="n">
        <x:f>IF(O688=0,0,ROUND(Q688/O688,4))</x:f>
        <x:v>0.5402</x:v>
      </x:c>
      <x:c r="S688" s="53" t="n">
        <x:v>9</x:v>
      </x:c>
      <x:c r="T688" t="str">
        <x:v>Entregue</x:v>
      </x:c>
      <x:c r="U688" t="n">
        <x:v>3</x:v>
      </x:c>
      <x:c r="V688" t="str"/>
    </x:row>
    <x:row r="689">
      <x:c r="A689" s="52" t="n">
        <x:v>46148</x:v>
      </x:c>
      <x:c r="B689" t="str">
        <x:v>PED-100688</x:v>
      </x:c>
      <x:c r="C689" t="str">
        <x:v>Cliente 116</x:v>
      </x:c>
      <x:c r="D689" t="str">
        <x:v>GO</x:v>
      </x:c>
      <x:c r="E689" t="str">
        <x:v>Centro-Oeste</x:v>
      </x:c>
      <x:c r="F689" t="str">
        <x:v>Marketplace</x:v>
      </x:c>
      <x:c r="G689" t="str">
        <x:v>Casa</x:v>
      </x:c>
      <x:c r="H689" t="str">
        <x:v>Aspirador Robô</x:v>
      </x:c>
      <x:c r="I689" t="str">
        <x:v>Henrique</x:v>
      </x:c>
      <x:c r="J689" s="53" t="n">
        <x:v>2</x:v>
      </x:c>
      <x:c r="K689" s="54" t="n">
        <x:v>1834.15</x:v>
      </x:c>
      <x:c r="L689" s="54" t="n">
        <x:v>1149.52</x:v>
      </x:c>
      <x:c r="M689" s="55" t="n">
        <x:v>0.067</x:v>
      </x:c>
      <x:c r="N689" s="54" t="n">
        <x:f>ROUND(J689*K689,2)</x:f>
        <x:v>3668.3</x:v>
      </x:c>
      <x:c r="O689" s="54" t="n">
        <x:f>ROUND(N689*(1-M689),2)</x:f>
        <x:v>3422.52</x:v>
      </x:c>
      <x:c r="P689" s="54" t="n">
        <x:f>ROUND(J689*L689,2)</x:f>
        <x:v>2299.04</x:v>
      </x:c>
      <x:c r="Q689" s="54" t="n">
        <x:f>ROUND(O689-P689,2)</x:f>
        <x:v>1123.48</x:v>
      </x:c>
      <x:c r="R689" s="55" t="n">
        <x:f>IF(O689=0,0,ROUND(Q689/O689,4))</x:f>
        <x:v>0.3283</x:v>
      </x:c>
      <x:c r="S689" s="53" t="n">
        <x:v>4</x:v>
      </x:c>
      <x:c r="T689" t="str">
        <x:v>Entregue</x:v>
      </x:c>
      <x:c r="U689" t="n">
        <x:v>4</x:v>
      </x:c>
      <x:c r="V689" t="str"/>
    </x:row>
    <x:row r="690">
      <x:c r="A690" s="52" t="n">
        <x:v>46169</x:v>
      </x:c>
      <x:c r="B690" t="str">
        <x:v>PED-100689</x:v>
      </x:c>
      <x:c r="C690" t="str">
        <x:v>Cliente 071</x:v>
      </x:c>
      <x:c r="D690" t="str">
        <x:v>SP</x:v>
      </x:c>
      <x:c r="E690" t="str">
        <x:v>Sudeste</x:v>
      </x:c>
      <x:c r="F690" t="str">
        <x:v>Televendas</x:v>
      </x:c>
      <x:c r="G690" t="str">
        <x:v>Casa</x:v>
      </x:c>
      <x:c r="H690" t="str">
        <x:v>Cafeteira Smart</x:v>
      </x:c>
      <x:c r="I690" t="str">
        <x:v>Henrique</x:v>
      </x:c>
      <x:c r="J690" s="53" t="n">
        <x:v>3</x:v>
      </x:c>
      <x:c r="K690" s="54" t="n">
        <x:v>768.68</x:v>
      </x:c>
      <x:c r="L690" s="54" t="n">
        <x:v>454.41</x:v>
      </x:c>
      <x:c r="M690" s="55" t="n">
        <x:v>0.0071</x:v>
      </x:c>
      <x:c r="N690" s="54" t="n">
        <x:f>ROUND(J690*K690,2)</x:f>
        <x:v>2306.04</x:v>
      </x:c>
      <x:c r="O690" s="54" t="n">
        <x:f>ROUND(N690*(1-M690),2)</x:f>
        <x:v>2289.67</x:v>
      </x:c>
      <x:c r="P690" s="54" t="n">
        <x:f>ROUND(J690*L690,2)</x:f>
        <x:v>1363.23</x:v>
      </x:c>
      <x:c r="Q690" s="54" t="n">
        <x:f>ROUND(O690-P690,2)</x:f>
        <x:v>926.44</x:v>
      </x:c>
      <x:c r="R690" s="55" t="n">
        <x:f>IF(O690=0,0,ROUND(Q690/O690,4))</x:f>
        <x:v>0.4046</x:v>
      </x:c>
      <x:c r="S690" s="53" t="n">
        <x:v>12</x:v>
      </x:c>
      <x:c r="T690" t="str">
        <x:v>Entregue com atraso</x:v>
      </x:c>
      <x:c r="U690" t="n">
        <x:v>5</x:v>
      </x:c>
      <x:c r="V690" t="str"/>
    </x:row>
    <x:row r="691">
      <x:c r="A691" s="52" t="n">
        <x:v>46100</x:v>
      </x:c>
      <x:c r="B691" t="str">
        <x:v>PED-100690</x:v>
      </x:c>
      <x:c r="C691" t="str">
        <x:v>Cliente 053</x:v>
      </x:c>
      <x:c r="D691" t="str">
        <x:v>SC</x:v>
      </x:c>
      <x:c r="E691" t="str">
        <x:v>Sul</x:v>
      </x:c>
      <x:c r="F691" t="str">
        <x:v>Marketplace</x:v>
      </x:c>
      <x:c r="G691" t="str">
        <x:v>Acessórios</x:v>
      </x:c>
      <x:c r="H691" t="str">
        <x:v>Hub USB-C</x:v>
      </x:c>
      <x:c r="I691" t="str">
        <x:v>Isabela</x:v>
      </x:c>
      <x:c r="J691" s="53" t="n">
        <x:v>3</x:v>
      </x:c>
      <x:c r="K691" s="54" t="n">
        <x:v>313.94</x:v>
      </x:c>
      <x:c r="L691" s="54" t="n">
        <x:v>130.41</x:v>
      </x:c>
      <x:c r="M691" s="55" t="n">
        <x:v>0.035</x:v>
      </x:c>
      <x:c r="N691" s="54" t="n">
        <x:f>ROUND(J691*K691,2)</x:f>
        <x:v>941.82</x:v>
      </x:c>
      <x:c r="O691" s="54" t="n">
        <x:f>ROUND(N691*(1-M691),2)</x:f>
        <x:v>908.86</x:v>
      </x:c>
      <x:c r="P691" s="54" t="n">
        <x:f>ROUND(J691*L691,2)</x:f>
        <x:v>391.23</x:v>
      </x:c>
      <x:c r="Q691" s="54" t="n">
        <x:f>ROUND(O691-P691,2)</x:f>
        <x:v>517.63</x:v>
      </x:c>
      <x:c r="R691" s="55" t="n">
        <x:f>IF(O691=0,0,ROUND(Q691/O691,4))</x:f>
        <x:v>0.5695</x:v>
      </x:c>
      <x:c r="S691" s="53" t="n">
        <x:v>14</x:v>
      </x:c>
      <x:c r="T691" t="str">
        <x:v>Entregue com atraso</x:v>
      </x:c>
      <x:c r="U691" t="n">
        <x:v>4</x:v>
      </x:c>
      <x:c r="V691" t="str"/>
    </x:row>
    <x:row r="692">
      <x:c r="A692" s="52" t="n">
        <x:v>46209</x:v>
      </x:c>
      <x:c r="B692" t="str">
        <x:v>PED-100691</x:v>
      </x:c>
      <x:c r="C692" t="str">
        <x:v>Cliente 058</x:v>
      </x:c>
      <x:c r="D692" t="str">
        <x:v>GO</x:v>
      </x:c>
      <x:c r="E692" t="str">
        <x:v>Centro-Oeste</x:v>
      </x:c>
      <x:c r="F692" t="str">
        <x:v>Marketplace</x:v>
      </x:c>
      <x:c r="G692" t="str">
        <x:v>Acessórios</x:v>
      </x:c>
      <x:c r="H692" t="str">
        <x:v>Webcam HD</x:v>
      </x:c>
      <x:c r="I692" t="str">
        <x:v>Carla</x:v>
      </x:c>
      <x:c r="J692" s="53" t="n">
        <x:v>7</x:v>
      </x:c>
      <x:c r="K692" s="54" t="n">
        <x:v>518.57</x:v>
      </x:c>
      <x:c r="L692" s="54" t="n">
        <x:v>248.13</x:v>
      </x:c>
      <x:c r="M692" s="55" t="n">
        <x:v>0.0712</x:v>
      </x:c>
      <x:c r="N692" s="54" t="n">
        <x:f>ROUND(J692*K692,2)</x:f>
        <x:v>3629.99</x:v>
      </x:c>
      <x:c r="O692" s="54" t="n">
        <x:f>ROUND(N692*(1-M692),2)</x:f>
        <x:v>3371.53</x:v>
      </x:c>
      <x:c r="P692" s="54" t="n">
        <x:f>ROUND(J692*L692,2)</x:f>
        <x:v>1736.91</x:v>
      </x:c>
      <x:c r="Q692" s="54" t="n">
        <x:f>ROUND(O692-P692,2)</x:f>
        <x:v>1634.62</x:v>
      </x:c>
      <x:c r="R692" s="55" t="n">
        <x:f>IF(O692=0,0,ROUND(Q692/O692,4))</x:f>
        <x:v>0.4848</x:v>
      </x:c>
      <x:c r="S692" s="53" t="n">
        <x:v>11</x:v>
      </x:c>
      <x:c r="T692" t="str">
        <x:v>Entregue com atraso</x:v>
      </x:c>
      <x:c r="U692" t="n">
        <x:v>4</x:v>
      </x:c>
      <x:c r="V692" t="str"/>
    </x:row>
    <x:row r="693">
      <x:c r="A693" s="52" t="n">
        <x:v>46032</x:v>
      </x:c>
      <x:c r="B693" t="str">
        <x:v>PED-100692</x:v>
      </x:c>
      <x:c r="C693" t="str">
        <x:v>Cliente 083</x:v>
      </x:c>
      <x:c r="D693" t="str">
        <x:v>PA</x:v>
      </x:c>
      <x:c r="E693" t="str">
        <x:v>Norte</x:v>
      </x:c>
      <x:c r="F693" t="str">
        <x:v>Televendas</x:v>
      </x:c>
      <x:c r="G693" t="str">
        <x:v>Tecnologia</x:v>
      </x:c>
      <x:c r="H693" t="str">
        <x:v>Monitor 27</x:v>
      </x:c>
      <x:c r="I693" t="str">
        <x:v>Henrique</x:v>
      </x:c>
      <x:c r="J693" s="53" t="n">
        <x:v>6</x:v>
      </x:c>
      <x:c r="K693" s="54" t="n">
        <x:v>1669.76</x:v>
      </x:c>
      <x:c r="L693" s="54" t="n">
        <x:v>1159.89</x:v>
      </x:c>
      <x:c r="M693" s="55" t="n">
        <x:v>0.0271</x:v>
      </x:c>
      <x:c r="N693" s="54" t="n">
        <x:f>ROUND(J693*K693,2)</x:f>
        <x:v>10018.56</x:v>
      </x:c>
      <x:c r="O693" s="54" t="n">
        <x:f>ROUND(N693*(1-M693),2)</x:f>
        <x:v>9747.06</x:v>
      </x:c>
      <x:c r="P693" s="54" t="n">
        <x:f>ROUND(J693*L693,2)</x:f>
        <x:v>6959.34</x:v>
      </x:c>
      <x:c r="Q693" s="54" t="n">
        <x:f>ROUND(O693-P693,2)</x:f>
        <x:v>2787.72</x:v>
      </x:c>
      <x:c r="R693" s="55" t="n">
        <x:f>IF(O693=0,0,ROUND(Q693/O693,4))</x:f>
        <x:v>0.286</x:v>
      </x:c>
      <x:c r="S693" s="53" t="n">
        <x:v>12</x:v>
      </x:c>
      <x:c r="T693" t="str">
        <x:v>Entregue com atraso</x:v>
      </x:c>
      <x:c r="U693" t="n">
        <x:v>3</x:v>
      </x:c>
      <x:c r="V693" t="str"/>
    </x:row>
    <x:row r="694">
      <x:c r="A694" s="52" t="n">
        <x:v>46187</x:v>
      </x:c>
      <x:c r="B694" t="str">
        <x:v>PED-100693</x:v>
      </x:c>
      <x:c r="C694" t="str">
        <x:v>Cliente 032</x:v>
      </x:c>
      <x:c r="D694" t="str">
        <x:v>PE</x:v>
      </x:c>
      <x:c r="E694" t="str">
        <x:v>Nordeste</x:v>
      </x:c>
      <x:c r="F694" t="str">
        <x:v>Televendas</x:v>
      </x:c>
      <x:c r="G694" t="str">
        <x:v>Tecnologia</x:v>
      </x:c>
      <x:c r="H694" t="str">
        <x:v>Notebook Pro</x:v>
      </x:c>
      <x:c r="I694" t="str">
        <x:v>Ana</x:v>
      </x:c>
      <x:c r="J694" s="53" t="n">
        <x:v>8</x:v>
      </x:c>
      <x:c r="K694" s="54" t="n">
        <x:v>5739.6</x:v>
      </x:c>
      <x:c r="L694" s="54" t="n">
        <x:v>4687.68</x:v>
      </x:c>
      <x:c r="M694" s="55" t="n">
        <x:v>0</x:v>
      </x:c>
      <x:c r="N694" s="54" t="n">
        <x:f>ROUND(J694*K694,2)</x:f>
        <x:v>45916.8</x:v>
      </x:c>
      <x:c r="O694" s="54" t="n">
        <x:f>ROUND(N694*(1-M694),2)</x:f>
        <x:v>45916.8</x:v>
      </x:c>
      <x:c r="P694" s="54" t="n">
        <x:f>ROUND(J694*L694,2)</x:f>
        <x:v>37501.44</x:v>
      </x:c>
      <x:c r="Q694" s="54" t="n">
        <x:f>ROUND(O694-P694,2)</x:f>
        <x:v>8415.36</x:v>
      </x:c>
      <x:c r="R694" s="55" t="n">
        <x:f>IF(O694=0,0,ROUND(Q694/O694,4))</x:f>
        <x:v>0.1833</x:v>
      </x:c>
      <x:c r="S694" s="53" t="n">
        <x:v>13</x:v>
      </x:c>
      <x:c r="T694" t="str">
        <x:v>Entregue com atraso</x:v>
      </x:c>
      <x:c r="U694" t="n">
        <x:v>2</x:v>
      </x:c>
      <x:c r="V694" t="str"/>
    </x:row>
    <x:row r="695">
      <x:c r="A695" s="52" t="n">
        <x:v>46113</x:v>
      </x:c>
      <x:c r="B695" t="str">
        <x:v>PED-100694</x:v>
      </x:c>
      <x:c r="C695" t="str">
        <x:v>Cliente 002</x:v>
      </x:c>
      <x:c r="D695" t="str">
        <x:v>BA</x:v>
      </x:c>
      <x:c r="E695" t="str">
        <x:v>Nordeste</x:v>
      </x:c>
      <x:c r="F695" t="str">
        <x:v>Marketplace</x:v>
      </x:c>
      <x:c r="G695" t="str">
        <x:v>Escritório</x:v>
      </x:c>
      <x:c r="H695" t="str">
        <x:v>Cadeira Ergonômica</x:v>
      </x:c>
      <x:c r="I695" t="str">
        <x:v>Diego</x:v>
      </x:c>
      <x:c r="J695" s="53" t="n">
        <x:v>8</x:v>
      </x:c>
      <x:c r="K695" s="54" t="n">
        <x:v>2175.77</x:v>
      </x:c>
      <x:c r="L695" s="54" t="n">
        <x:v>1406.26</x:v>
      </x:c>
      <x:c r="M695" s="55" t="n">
        <x:v>0.1513</x:v>
      </x:c>
      <x:c r="N695" s="54" t="n">
        <x:f>ROUND(J695*K695,2)</x:f>
        <x:v>17406.16</x:v>
      </x:c>
      <x:c r="O695" s="54" t="n">
        <x:f>ROUND(N695*(1-M695),2)</x:f>
        <x:v>14772.61</x:v>
      </x:c>
      <x:c r="P695" s="54" t="n">
        <x:f>ROUND(J695*L695,2)</x:f>
        <x:v>11250.08</x:v>
      </x:c>
      <x:c r="Q695" s="54" t="n">
        <x:f>ROUND(O695-P695,2)</x:f>
        <x:v>3522.53</x:v>
      </x:c>
      <x:c r="R695" s="55" t="n">
        <x:f>IF(O695=0,0,ROUND(Q695/O695,4))</x:f>
        <x:v>0.2385</x:v>
      </x:c>
      <x:c r="S695" s="53" t="n">
        <x:v>5</x:v>
      </x:c>
      <x:c r="T695" t="str">
        <x:v>Entregue</x:v>
      </x:c>
      <x:c r="U695" t="n">
        <x:v>5</x:v>
      </x:c>
      <x:c r="V695" t="str"/>
    </x:row>
    <x:row r="696">
      <x:c r="A696" s="52" t="n">
        <x:v>46123</x:v>
      </x:c>
      <x:c r="B696" t="str">
        <x:v>PED-100695</x:v>
      </x:c>
      <x:c r="C696" t="str">
        <x:v>Cliente 092</x:v>
      </x:c>
      <x:c r="D696" t="str">
        <x:v>MA</x:v>
      </x:c>
      <x:c r="E696" t="str">
        <x:v>Nordeste</x:v>
      </x:c>
      <x:c r="F696" t="str">
        <x:v>Loja</x:v>
      </x:c>
      <x:c r="G696" t="str">
        <x:v>Acessórios</x:v>
      </x:c>
      <x:c r="H696" t="str">
        <x:v>Webcam HD</x:v>
      </x:c>
      <x:c r="I696" t="str">
        <x:v>Carla</x:v>
      </x:c>
      <x:c r="J696" s="53" t="n">
        <x:v>3</x:v>
      </x:c>
      <x:c r="K696" s="54" t="n">
        <x:v>491.86</x:v>
      </x:c>
      <x:c r="L696" s="54" t="n">
        <x:v>246.78</x:v>
      </x:c>
      <x:c r="M696" s="55" t="n">
        <x:v>0.0462</x:v>
      </x:c>
      <x:c r="N696" s="54" t="n">
        <x:f>ROUND(J696*K696,2)</x:f>
        <x:v>1475.58</x:v>
      </x:c>
      <x:c r="O696" s="54" t="n">
        <x:f>ROUND(N696*(1-M696),2)</x:f>
        <x:v>1407.41</x:v>
      </x:c>
      <x:c r="P696" s="54" t="n">
        <x:f>ROUND(J696*L696,2)</x:f>
        <x:v>740.34</x:v>
      </x:c>
      <x:c r="Q696" s="54" t="n">
        <x:f>ROUND(O696-P696,2)</x:f>
        <x:v>667.07</x:v>
      </x:c>
      <x:c r="R696" s="55" t="n">
        <x:f>IF(O696=0,0,ROUND(Q696/O696,4))</x:f>
        <x:v>0.474</x:v>
      </x:c>
      <x:c r="S696" s="53" t="n">
        <x:v>4</x:v>
      </x:c>
      <x:c r="T696" t="str">
        <x:v>Entregue</x:v>
      </x:c>
      <x:c r="U696" t="n">
        <x:v>4</x:v>
      </x:c>
      <x:c r="V696" t="str"/>
    </x:row>
    <x:row r="697">
      <x:c r="A697" s="52" t="n">
        <x:v>46219</x:v>
      </x:c>
      <x:c r="B697" t="str">
        <x:v>PED-100696</x:v>
      </x:c>
      <x:c r="C697" t="str">
        <x:v>Cliente 028</x:v>
      </x:c>
      <x:c r="D697" t="str">
        <x:v>DF</x:v>
      </x:c>
      <x:c r="E697" t="str">
        <x:v>Centro-Oeste</x:v>
      </x:c>
      <x:c r="F697" t="str">
        <x:v>Loja</x:v>
      </x:c>
      <x:c r="G697" t="str">
        <x:v>Casa</x:v>
      </x:c>
      <x:c r="H697" t="str">
        <x:v>Aspirador Robô</x:v>
      </x:c>
      <x:c r="I697" t="str">
        <x:v>Ana</x:v>
      </x:c>
      <x:c r="J697" s="53" t="n">
        <x:v>1</x:v>
      </x:c>
      <x:c r="K697" s="54" t="n">
        <x:v>1858.72</x:v>
      </x:c>
      <x:c r="L697" s="54" t="n">
        <x:v>1206.42</x:v>
      </x:c>
      <x:c r="M697" s="55" t="n">
        <x:v>0</x:v>
      </x:c>
      <x:c r="N697" s="54" t="n">
        <x:f>ROUND(J697*K697,2)</x:f>
        <x:v>1858.72</x:v>
      </x:c>
      <x:c r="O697" s="54" t="n">
        <x:f>ROUND(N697*(1-M697),2)</x:f>
        <x:v>1858.72</x:v>
      </x:c>
      <x:c r="P697" s="54" t="n">
        <x:f>ROUND(J697*L697,2)</x:f>
        <x:v>1206.42</x:v>
      </x:c>
      <x:c r="Q697" s="54" t="n">
        <x:f>ROUND(O697-P697,2)</x:f>
        <x:v>652.3</x:v>
      </x:c>
      <x:c r="R697" s="55" t="n">
        <x:f>IF(O697=0,0,ROUND(Q697/O697,4))</x:f>
        <x:v>0.3509</x:v>
      </x:c>
      <x:c r="S697" s="53" t="n">
        <x:v>11</x:v>
      </x:c>
      <x:c r="T697" t="str">
        <x:v>Entregue com atraso</x:v>
      </x:c>
      <x:c r="U697" t="n">
        <x:v>4</x:v>
      </x:c>
      <x:c r="V697" t="str"/>
    </x:row>
    <x:row r="698">
      <x:c r="A698" s="52" t="n">
        <x:v>46125</x:v>
      </x:c>
      <x:c r="B698" t="str">
        <x:v>PED-100697</x:v>
      </x:c>
      <x:c r="C698" t="str">
        <x:v>Cliente 067</x:v>
      </x:c>
      <x:c r="D698" t="str">
        <x:v>GO</x:v>
      </x:c>
      <x:c r="E698" t="str">
        <x:v>Centro-Oeste</x:v>
      </x:c>
      <x:c r="F698" t="str">
        <x:v>Marketplace</x:v>
      </x:c>
      <x:c r="G698" t="str">
        <x:v>Casa</x:v>
      </x:c>
      <x:c r="H698" t="str">
        <x:v>Aspirador Robô</x:v>
      </x:c>
      <x:c r="I698" t="str">
        <x:v>Carla</x:v>
      </x:c>
      <x:c r="J698" s="53" t="n">
        <x:v>1</x:v>
      </x:c>
      <x:c r="K698" s="54" t="n">
        <x:v>1811.21</x:v>
      </x:c>
      <x:c r="L698" s="54" t="n">
        <x:v>1229.48</x:v>
      </x:c>
      <x:c r="M698" s="55" t="n">
        <x:v>0.1417</x:v>
      </x:c>
      <x:c r="N698" s="54" t="n">
        <x:f>ROUND(J698*K698,2)</x:f>
        <x:v>1811.21</x:v>
      </x:c>
      <x:c r="O698" s="54" t="n">
        <x:f>ROUND(N698*(1-M698),2)</x:f>
        <x:v>1554.56</x:v>
      </x:c>
      <x:c r="P698" s="54" t="n">
        <x:f>ROUND(J698*L698,2)</x:f>
        <x:v>1229.48</x:v>
      </x:c>
      <x:c r="Q698" s="54" t="n">
        <x:f>ROUND(O698-P698,2)</x:f>
        <x:v>325.08</x:v>
      </x:c>
      <x:c r="R698" s="55" t="n">
        <x:f>IF(O698=0,0,ROUND(Q698/O698,4))</x:f>
        <x:v>0.2091</x:v>
      </x:c>
      <x:c r="S698" s="53" t="n">
        <x:v>11</x:v>
      </x:c>
      <x:c r="T698" t="str">
        <x:v>Entregue com atraso</x:v>
      </x:c>
      <x:c r="U698" t="n">
        <x:v>2</x:v>
      </x:c>
      <x:c r="V698" t="str"/>
    </x:row>
    <x:row r="699">
      <x:c r="A699" s="52" t="n">
        <x:v>46084</x:v>
      </x:c>
      <x:c r="B699" t="str">
        <x:v>PED-100698</x:v>
      </x:c>
      <x:c r="C699" t="str">
        <x:v>Cliente 049</x:v>
      </x:c>
      <x:c r="D699" t="str">
        <x:v>MG</x:v>
      </x:c>
      <x:c r="E699" t="str">
        <x:v>Sudeste</x:v>
      </x:c>
      <x:c r="F699" t="str">
        <x:v>Marketplace</x:v>
      </x:c>
      <x:c r="G699" t="str">
        <x:v>Casa</x:v>
      </x:c>
      <x:c r="H699" t="str">
        <x:v>Aspirador Robô</x:v>
      </x:c>
      <x:c r="I699" t="str">
        <x:v>Isabela</x:v>
      </x:c>
      <x:c r="J699" s="53" t="n">
        <x:v>1</x:v>
      </x:c>
      <x:c r="K699" s="54" t="n">
        <x:v>1842.04</x:v>
      </x:c>
      <x:c r="L699" s="54" t="n">
        <x:v>1149.75</x:v>
      </x:c>
      <x:c r="M699" s="55" t="n">
        <x:v>0.035</x:v>
      </x:c>
      <x:c r="N699" s="54" t="n">
        <x:f>ROUND(J699*K699,2)</x:f>
        <x:v>1842.04</x:v>
      </x:c>
      <x:c r="O699" s="54" t="n">
        <x:f>ROUND(N699*(1-M699),2)</x:f>
        <x:v>1777.57</x:v>
      </x:c>
      <x:c r="P699" s="54" t="n">
        <x:f>ROUND(J699*L699,2)</x:f>
        <x:v>1149.75</x:v>
      </x:c>
      <x:c r="Q699" s="54" t="n">
        <x:f>ROUND(O699-P699,2)</x:f>
        <x:v>627.82</x:v>
      </x:c>
      <x:c r="R699" s="55" t="n">
        <x:f>IF(O699=0,0,ROUND(Q699/O699,4))</x:f>
        <x:v>0.3532</x:v>
      </x:c>
      <x:c r="S699" s="53" t="n">
        <x:v>8</x:v>
      </x:c>
      <x:c r="T699" t="str">
        <x:v>Entregue</x:v>
      </x:c>
      <x:c r="U699" t="n">
        <x:v>5</x:v>
      </x:c>
      <x:c r="V699" t="str"/>
    </x:row>
    <x:row r="700">
      <x:c r="A700" s="52" t="n">
        <x:v>46195</x:v>
      </x:c>
      <x:c r="B700" t="str">
        <x:v>PED-100699</x:v>
      </x:c>
      <x:c r="C700" t="str">
        <x:v>Cliente 063</x:v>
      </x:c>
      <x:c r="D700" t="str">
        <x:v>GO</x:v>
      </x:c>
      <x:c r="E700" t="str">
        <x:v>Centro-Oeste</x:v>
      </x:c>
      <x:c r="F700" t="str">
        <x:v>Televendas</x:v>
      </x:c>
      <x:c r="G700" t="str">
        <x:v>Escritório</x:v>
      </x:c>
      <x:c r="H700" t="str">
        <x:v>Luminária LED</x:v>
      </x:c>
      <x:c r="I700" t="str">
        <x:v>Gabriela</x:v>
      </x:c>
      <x:c r="J700" s="53" t="n">
        <x:v>6</x:v>
      </x:c>
      <x:c r="K700" s="54" t="n">
        <x:v>270.26</x:v>
      </x:c>
      <x:c r="L700" s="54" t="n">
        <x:v>118.49</x:v>
      </x:c>
      <x:c r="M700" s="55" t="n">
        <x:v>0.1075</x:v>
      </x:c>
      <x:c r="N700" s="54" t="n">
        <x:f>ROUND(J700*K700,2)</x:f>
        <x:v>1621.56</x:v>
      </x:c>
      <x:c r="O700" s="54" t="n">
        <x:f>ROUND(N700*(1-M700),2)</x:f>
        <x:v>1447.24</x:v>
      </x:c>
      <x:c r="P700" s="54" t="n">
        <x:f>ROUND(J700*L700,2)</x:f>
        <x:v>710.94</x:v>
      </x:c>
      <x:c r="Q700" s="54" t="n">
        <x:f>ROUND(O700-P700,2)</x:f>
        <x:v>736.3</x:v>
      </x:c>
      <x:c r="R700" s="55" t="n">
        <x:f>IF(O700=0,0,ROUND(Q700/O700,4))</x:f>
        <x:v>0.5088</x:v>
      </x:c>
      <x:c r="S700" s="53" t="n">
        <x:v>4</x:v>
      </x:c>
      <x:c r="T700" t="str">
        <x:v>Entregue</x:v>
      </x:c>
      <x:c r="U700" t="n">
        <x:v>2</x:v>
      </x:c>
      <x:c r="V700" t="str"/>
    </x:row>
    <x:row r="701">
      <x:c r="A701" s="52" t="n">
        <x:v>46131</x:v>
      </x:c>
      <x:c r="B701" t="str">
        <x:v>PED-100700</x:v>
      </x:c>
      <x:c r="C701" t="str">
        <x:v>Cliente 057</x:v>
      </x:c>
      <x:c r="D701" t="str">
        <x:v>RJ</x:v>
      </x:c>
      <x:c r="E701" t="str">
        <x:v>Sudeste</x:v>
      </x:c>
      <x:c r="F701" t="str">
        <x:v>E-commerce</x:v>
      </x:c>
      <x:c r="G701" t="str">
        <x:v>Acessórios</x:v>
      </x:c>
      <x:c r="H701" t="str">
        <x:v>Hub USB-C</x:v>
      </x:c>
      <x:c r="I701" t="str">
        <x:v>Ana</x:v>
      </x:c>
      <x:c r="J701" s="53" t="n">
        <x:v>2</x:v>
      </x:c>
      <x:c r="K701" s="54" t="n">
        <x:v>315.48</x:v>
      </x:c>
      <x:c r="L701" s="54" t="n">
        <x:v>134.51</x:v>
      </x:c>
      <x:c r="M701" s="55" t="n">
        <x:v>0</x:v>
      </x:c>
      <x:c r="N701" s="54" t="n">
        <x:f>ROUND(J701*K701,2)</x:f>
        <x:v>630.96</x:v>
      </x:c>
      <x:c r="O701" s="54" t="n">
        <x:f>ROUND(N701*(1-M701),2)</x:f>
        <x:v>630.96</x:v>
      </x:c>
      <x:c r="P701" s="54" t="n">
        <x:f>ROUND(J701*L701,2)</x:f>
        <x:v>269.02</x:v>
      </x:c>
      <x:c r="Q701" s="54" t="n">
        <x:f>ROUND(O701-P701,2)</x:f>
        <x:v>361.94</x:v>
      </x:c>
      <x:c r="R701" s="55" t="n">
        <x:f>IF(O701=0,0,ROUND(Q701/O701,4))</x:f>
        <x:v>0.5736</x:v>
      </x:c>
      <x:c r="S701" s="53" t="n">
        <x:v>14</x:v>
      </x:c>
      <x:c r="T701" t="str">
        <x:v>Entregue com atraso</x:v>
      </x:c>
      <x:c r="U701" t="n">
        <x:v>4</x:v>
      </x:c>
      <x:c r="V701" t="str"/>
    </x:row>
    <x:row r="702">
      <x:c r="A702" s="52" t="n">
        <x:v>46182</x:v>
      </x:c>
      <x:c r="B702" t="str">
        <x:v>PED-100701</x:v>
      </x:c>
      <x:c r="C702" t="str">
        <x:v>Cliente 050</x:v>
      </x:c>
      <x:c r="D702" t="str">
        <x:v>CE</x:v>
      </x:c>
      <x:c r="E702" t="str">
        <x:v>Nordeste</x:v>
      </x:c>
      <x:c r="F702" t="str">
        <x:v>Loja</x:v>
      </x:c>
      <x:c r="G702" t="str">
        <x:v>Tecnologia</x:v>
      </x:c>
      <x:c r="H702" t="str">
        <x:v>Headset Office</x:v>
      </x:c>
      <x:c r="I702" t="str">
        <x:v>Elaine</x:v>
      </x:c>
      <x:c r="J702" s="53" t="n">
        <x:v>4</x:v>
      </x:c>
      <x:c r="K702" s="54" t="n">
        <x:v>405.34</x:v>
      </x:c>
      <x:c r="L702" s="54" t="n">
        <x:v>218.18</x:v>
      </x:c>
      <x:c r="M702" s="55" t="n">
        <x:v>0.0692</x:v>
      </x:c>
      <x:c r="N702" s="54" t="n">
        <x:f>ROUND(J702*K702,2)</x:f>
        <x:v>1621.36</x:v>
      </x:c>
      <x:c r="O702" s="54" t="n">
        <x:f>ROUND(N702*(1-M702),2)</x:f>
        <x:v>1509.16</x:v>
      </x:c>
      <x:c r="P702" s="54" t="n">
        <x:f>ROUND(J702*L702,2)</x:f>
        <x:v>872.72</x:v>
      </x:c>
      <x:c r="Q702" s="54" t="n">
        <x:f>ROUND(O702-P702,2)</x:f>
        <x:v>636.44</x:v>
      </x:c>
      <x:c r="R702" s="55" t="n">
        <x:f>IF(O702=0,0,ROUND(Q702/O702,4))</x:f>
        <x:v>0.4217</x:v>
      </x:c>
      <x:c r="S702" s="53" t="n">
        <x:v>3</x:v>
      </x:c>
      <x:c r="T702" t="str">
        <x:v>Entregue</x:v>
      </x:c>
      <x:c r="U702" t="n">
        <x:v>2</x:v>
      </x:c>
      <x:c r="V702" t="str"/>
    </x:row>
    <x:row r="703">
      <x:c r="A703" s="52" t="n">
        <x:v>46191</x:v>
      </x:c>
      <x:c r="B703" t="str">
        <x:v>PED-100702</x:v>
      </x:c>
      <x:c r="C703" t="str">
        <x:v>Cliente 100</x:v>
      </x:c>
      <x:c r="D703" t="str">
        <x:v>SC</x:v>
      </x:c>
      <x:c r="E703" t="str">
        <x:v>Sul</x:v>
      </x:c>
      <x:c r="F703" t="str">
        <x:v>E-commerce</x:v>
      </x:c>
      <x:c r="G703" t="str">
        <x:v>Tecnologia</x:v>
      </x:c>
      <x:c r="H703" t="str">
        <x:v>Monitor 27</x:v>
      </x:c>
      <x:c r="I703" t="str">
        <x:v>Henrique</x:v>
      </x:c>
      <x:c r="J703" s="53" t="n">
        <x:v>3</x:v>
      </x:c>
      <x:c r="K703" s="54" t="n">
        <x:v>1783.15</x:v>
      </x:c>
      <x:c r="L703" s="54" t="n">
        <x:v>1060.93</x:v>
      </x:c>
      <x:c r="M703" s="55" t="n">
        <x:v>0</x:v>
      </x:c>
      <x:c r="N703" s="54" t="n">
        <x:f>ROUND(J703*K703,2)</x:f>
        <x:v>5349.45</x:v>
      </x:c>
      <x:c r="O703" s="54" t="n">
        <x:f>ROUND(N703*(1-M703),2)</x:f>
        <x:v>5349.45</x:v>
      </x:c>
      <x:c r="P703" s="54" t="n">
        <x:f>ROUND(J703*L703,2)</x:f>
        <x:v>3182.79</x:v>
      </x:c>
      <x:c r="Q703" s="54" t="n">
        <x:f>ROUND(O703-P703,2)</x:f>
        <x:v>2166.66</x:v>
      </x:c>
      <x:c r="R703" s="55" t="n">
        <x:f>IF(O703=0,0,ROUND(Q703/O703,4))</x:f>
        <x:v>0.405</x:v>
      </x:c>
      <x:c r="S703" s="53" t="n">
        <x:v>2</x:v>
      </x:c>
      <x:c r="T703" t="str">
        <x:v>Entregue</x:v>
      </x:c>
      <x:c r="U703" t="n">
        <x:v>2</x:v>
      </x:c>
      <x:c r="V703" t="str"/>
    </x:row>
    <x:row r="704">
      <x:c r="A704" s="52" t="n">
        <x:v>46111</x:v>
      </x:c>
      <x:c r="B704" t="str">
        <x:v>PED-100703</x:v>
      </x:c>
      <x:c r="C704" t="str">
        <x:v>Cliente 078</x:v>
      </x:c>
      <x:c r="D704" t="str">
        <x:v>BA</x:v>
      </x:c>
      <x:c r="E704" t="str">
        <x:v>Nordeste</x:v>
      </x:c>
      <x:c r="F704" t="str">
        <x:v>Marketplace</x:v>
      </x:c>
      <x:c r="G704" t="str">
        <x:v>Tecnologia</x:v>
      </x:c>
      <x:c r="H704" t="str">
        <x:v>Headset Office</x:v>
      </x:c>
      <x:c r="I704" t="str">
        <x:v>João</x:v>
      </x:c>
      <x:c r="J704" s="53" t="n">
        <x:v>8</x:v>
      </x:c>
      <x:c r="K704" s="54" t="n">
        <x:v>372.01</x:v>
      </x:c>
      <x:c r="L704" s="54" t="n">
        <x:v>214.26</x:v>
      </x:c>
      <x:c r="M704" s="55" t="n">
        <x:v>0.0381</x:v>
      </x:c>
      <x:c r="N704" s="54" t="n">
        <x:f>ROUND(J704*K704,2)</x:f>
        <x:v>2976.08</x:v>
      </x:c>
      <x:c r="O704" s="54" t="n">
        <x:f>ROUND(N704*(1-M704),2)</x:f>
        <x:v>2862.69</x:v>
      </x:c>
      <x:c r="P704" s="54" t="n">
        <x:f>ROUND(J704*L704,2)</x:f>
        <x:v>1714.08</x:v>
      </x:c>
      <x:c r="Q704" s="54" t="n">
        <x:f>ROUND(O704-P704,2)</x:f>
        <x:v>1148.61</x:v>
      </x:c>
      <x:c r="R704" s="55" t="n">
        <x:f>IF(O704=0,0,ROUND(Q704/O704,4))</x:f>
        <x:v>0.4012</x:v>
      </x:c>
      <x:c r="S704" s="53" t="n">
        <x:v>10</x:v>
      </x:c>
      <x:c r="T704" t="str">
        <x:v>Entregue</x:v>
      </x:c>
      <x:c r="U704" t="n">
        <x:v>4</x:v>
      </x:c>
      <x:c r="V704" t="str"/>
    </x:row>
    <x:row r="705">
      <x:c r="A705" s="52" t="n">
        <x:v>46216</x:v>
      </x:c>
      <x:c r="B705" t="str">
        <x:v>PED-100704</x:v>
      </x:c>
      <x:c r="C705" t="str">
        <x:v>Cliente 030</x:v>
      </x:c>
      <x:c r="D705" t="str">
        <x:v>DF</x:v>
      </x:c>
      <x:c r="E705" t="str">
        <x:v>Centro-Oeste</x:v>
      </x:c>
      <x:c r="F705" t="str">
        <x:v>Televendas</x:v>
      </x:c>
      <x:c r="G705" t="str">
        <x:v>Acessórios</x:v>
      </x:c>
      <x:c r="H705" t="str">
        <x:v>Mochila Executiva</x:v>
      </x:c>
      <x:c r="I705" t="str">
        <x:v>Elaine</x:v>
      </x:c>
      <x:c r="J705" s="53" t="n">
        <x:v>2</x:v>
      </x:c>
      <x:c r="K705" s="54" t="n">
        <x:v>420.94</x:v>
      </x:c>
      <x:c r="L705" s="54" t="n">
        <x:v>193.24</x:v>
      </x:c>
      <x:c r="M705" s="55" t="n">
        <x:v>0</x:v>
      </x:c>
      <x:c r="N705" s="54" t="n">
        <x:f>ROUND(J705*K705,2)</x:f>
        <x:v>841.88</x:v>
      </x:c>
      <x:c r="O705" s="54" t="n">
        <x:f>ROUND(N705*(1-M705),2)</x:f>
        <x:v>841.88</x:v>
      </x:c>
      <x:c r="P705" s="54" t="n">
        <x:f>ROUND(J705*L705,2)</x:f>
        <x:v>386.48</x:v>
      </x:c>
      <x:c r="Q705" s="54" t="n">
        <x:f>ROUND(O705-P705,2)</x:f>
        <x:v>455.4</x:v>
      </x:c>
      <x:c r="R705" s="55" t="n">
        <x:f>IF(O705=0,0,ROUND(Q705/O705,4))</x:f>
        <x:v>0.5409</x:v>
      </x:c>
      <x:c r="S705" s="53" t="n">
        <x:v>9</x:v>
      </x:c>
      <x:c r="T705" t="str">
        <x:v>Entregue</x:v>
      </x:c>
      <x:c r="U705" t="n">
        <x:v>2</x:v>
      </x:c>
      <x:c r="V705" t="str"/>
    </x:row>
    <x:row r="706">
      <x:c r="A706" s="52" t="n">
        <x:v>46049</x:v>
      </x:c>
      <x:c r="B706" t="str">
        <x:v>PED-100705</x:v>
      </x:c>
      <x:c r="C706" t="str">
        <x:v>Cliente 008</x:v>
      </x:c>
      <x:c r="D706" t="str">
        <x:v>SP</x:v>
      </x:c>
      <x:c r="E706" t="str">
        <x:v>Sudeste</x:v>
      </x:c>
      <x:c r="F706" t="str">
        <x:v>Televendas</x:v>
      </x:c>
      <x:c r="G706" t="str">
        <x:v>Casa</x:v>
      </x:c>
      <x:c r="H706" t="str">
        <x:v>Aspirador Robô</x:v>
      </x:c>
      <x:c r="I706" t="str">
        <x:v>Diego</x:v>
      </x:c>
      <x:c r="J706" s="53" t="n">
        <x:v>8</x:v>
      </x:c>
      <x:c r="K706" s="54" t="n">
        <x:v>1924.39</x:v>
      </x:c>
      <x:c r="L706" s="54" t="n">
        <x:v>1144.5</x:v>
      </x:c>
      <x:c r="M706" s="55" t="n">
        <x:v>0</x:v>
      </x:c>
      <x:c r="N706" s="54" t="n">
        <x:f>ROUND(J706*K706,2)</x:f>
        <x:v>15395.12</x:v>
      </x:c>
      <x:c r="O706" s="54" t="n">
        <x:f>ROUND(N706*(1-M706),2)</x:f>
        <x:v>15395.12</x:v>
      </x:c>
      <x:c r="P706" s="54" t="n">
        <x:f>ROUND(J706*L706,2)</x:f>
        <x:v>9156</x:v>
      </x:c>
      <x:c r="Q706" s="54" t="n">
        <x:f>ROUND(O706-P706,2)</x:f>
        <x:v>6239.12</x:v>
      </x:c>
      <x:c r="R706" s="55" t="n">
        <x:f>IF(O706=0,0,ROUND(Q706/O706,4))</x:f>
        <x:v>0.4053</x:v>
      </x:c>
      <x:c r="S706" s="53" t="n">
        <x:v>8</x:v>
      </x:c>
      <x:c r="T706" t="str">
        <x:v>Entregue</x:v>
      </x:c>
      <x:c r="U706" t="n">
        <x:v>5</x:v>
      </x:c>
      <x:c r="V706" t="str"/>
    </x:row>
    <x:row r="707">
      <x:c r="A707" s="52" t="n">
        <x:v>46177</x:v>
      </x:c>
      <x:c r="B707" t="str">
        <x:v>PED-100706</x:v>
      </x:c>
      <x:c r="C707" t="str">
        <x:v>Cliente 091</x:v>
      </x:c>
      <x:c r="D707" t="str">
        <x:v>ES</x:v>
      </x:c>
      <x:c r="E707" t="str">
        <x:v>Sudeste</x:v>
      </x:c>
      <x:c r="F707" t="str">
        <x:v>Marketplace</x:v>
      </x:c>
      <x:c r="G707" t="str">
        <x:v>Tecnologia</x:v>
      </x:c>
      <x:c r="H707" t="str">
        <x:v>Notebook Pro</x:v>
      </x:c>
      <x:c r="I707" t="str">
        <x:v>Ana</x:v>
      </x:c>
      <x:c r="J707" s="53" t="n">
        <x:v>8</x:v>
      </x:c>
      <x:c r="K707" s="54" t="n">
        <x:v>5955.7</x:v>
      </x:c>
      <x:c r="L707" s="54" t="n">
        <x:v>4500.91</x:v>
      </x:c>
      <x:c r="M707" s="55" t="n">
        <x:v>0.035</x:v>
      </x:c>
      <x:c r="N707" s="54" t="n">
        <x:f>ROUND(J707*K707,2)</x:f>
        <x:v>47645.6</x:v>
      </x:c>
      <x:c r="O707" s="54" t="n">
        <x:f>ROUND(N707*(1-M707),2)</x:f>
        <x:v>45978</x:v>
      </x:c>
      <x:c r="P707" s="54" t="n">
        <x:f>ROUND(J707*L707,2)</x:f>
        <x:v>36007.28</x:v>
      </x:c>
      <x:c r="Q707" s="54" t="n">
        <x:f>ROUND(O707-P707,2)</x:f>
        <x:v>9970.72</x:v>
      </x:c>
      <x:c r="R707" s="55" t="n">
        <x:f>IF(O707=0,0,ROUND(Q707/O707,4))</x:f>
        <x:v>0.2169</x:v>
      </x:c>
      <x:c r="S707" s="53" t="n">
        <x:v>3</x:v>
      </x:c>
      <x:c r="T707" t="str">
        <x:v>Cancelado</x:v>
      </x:c>
      <x:c r="U707"/>
      <x:c r="V707" t="str"/>
    </x:row>
    <x:row r="708">
      <x:c r="A708" s="52" t="n">
        <x:v>46175</x:v>
      </x:c>
      <x:c r="B708" t="str">
        <x:v>PED-100707</x:v>
      </x:c>
      <x:c r="C708" t="str">
        <x:v>Cliente 003</x:v>
      </x:c>
      <x:c r="D708" t="str">
        <x:v>DF</x:v>
      </x:c>
      <x:c r="E708" t="str">
        <x:v>Centro-Oeste</x:v>
      </x:c>
      <x:c r="F708" t="str">
        <x:v>Loja</x:v>
      </x:c>
      <x:c r="G708" t="str">
        <x:v>Escritório</x:v>
      </x:c>
      <x:c r="H708" t="str">
        <x:v>Mesa Ajustável</x:v>
      </x:c>
      <x:c r="I708" t="str">
        <x:v>Ana</x:v>
      </x:c>
      <x:c r="J708" s="53" t="n">
        <x:v>2</x:v>
      </x:c>
      <x:c r="K708" s="54" t="n">
        <x:v>2748.07</x:v>
      </x:c>
      <x:c r="L708" s="54" t="n">
        <x:v>1755.95</x:v>
      </x:c>
      <x:c r="M708" s="55" t="n">
        <x:v>0.1075</x:v>
      </x:c>
      <x:c r="N708" s="54" t="n">
        <x:f>ROUND(J708*K708,2)</x:f>
        <x:v>5496.14</x:v>
      </x:c>
      <x:c r="O708" s="54" t="n">
        <x:f>ROUND(N708*(1-M708),2)</x:f>
        <x:v>4905.3</x:v>
      </x:c>
      <x:c r="P708" s="54" t="n">
        <x:f>ROUND(J708*L708,2)</x:f>
        <x:v>3511.9</x:v>
      </x:c>
      <x:c r="Q708" s="54" t="n">
        <x:f>ROUND(O708-P708,2)</x:f>
        <x:v>1393.4</x:v>
      </x:c>
      <x:c r="R708" s="55" t="n">
        <x:f>IF(O708=0,0,ROUND(Q708/O708,4))</x:f>
        <x:v>0.2841</x:v>
      </x:c>
      <x:c r="S708" s="53" t="n">
        <x:v>6</x:v>
      </x:c>
      <x:c r="T708" t="str">
        <x:v>Entregue</x:v>
      </x:c>
      <x:c r="U708" t="n">
        <x:v>4</x:v>
      </x:c>
      <x:c r="V708" t="str"/>
    </x:row>
    <x:row r="709">
      <x:c r="A709" s="52" t="n">
        <x:v>46218</x:v>
      </x:c>
      <x:c r="B709" t="str">
        <x:v>PED-100708</x:v>
      </x:c>
      <x:c r="C709" t="str">
        <x:v>Cliente 060</x:v>
      </x:c>
      <x:c r="D709" t="str">
        <x:v>MT</x:v>
      </x:c>
      <x:c r="E709" t="str">
        <x:v>Centro-Oeste</x:v>
      </x:c>
      <x:c r="F709" t="str">
        <x:v>Loja</x:v>
      </x:c>
      <x:c r="G709" t="str">
        <x:v>Acessórios</x:v>
      </x:c>
      <x:c r="H709" t="str">
        <x:v>Hub USB-C</x:v>
      </x:c>
      <x:c r="I709" t="str">
        <x:v>Felipe</x:v>
      </x:c>
      <x:c r="J709" s="53" t="n">
        <x:v>6</x:v>
      </x:c>
      <x:c r="K709" s="54" t="n">
        <x:v>304.08</x:v>
      </x:c>
      <x:c r="L709" s="54" t="n">
        <x:v>139.58</x:v>
      </x:c>
      <x:c r="M709" s="55" t="n">
        <x:v>0.0995</x:v>
      </x:c>
      <x:c r="N709" s="54" t="n">
        <x:f>ROUND(J709*K709,2)</x:f>
        <x:v>1824.48</x:v>
      </x:c>
      <x:c r="O709" s="54" t="n">
        <x:f>ROUND(N709*(1-M709),2)</x:f>
        <x:v>1642.94</x:v>
      </x:c>
      <x:c r="P709" s="54" t="n">
        <x:f>ROUND(J709*L709,2)</x:f>
        <x:v>837.48</x:v>
      </x:c>
      <x:c r="Q709" s="54" t="n">
        <x:f>ROUND(O709-P709,2)</x:f>
        <x:v>805.46</x:v>
      </x:c>
      <x:c r="R709" s="55" t="n">
        <x:f>IF(O709=0,0,ROUND(Q709/O709,4))</x:f>
        <x:v>0.4903</x:v>
      </x:c>
      <x:c r="S709" s="53" t="n">
        <x:v>9</x:v>
      </x:c>
      <x:c r="T709" t="str">
        <x:v>Entregue</x:v>
      </x:c>
      <x:c r="U709" t="n">
        <x:v>3</x:v>
      </x:c>
      <x:c r="V709" t="str"/>
    </x:row>
    <x:row r="710">
      <x:c r="A710" s="52" t="n">
        <x:v>46049</x:v>
      </x:c>
      <x:c r="B710" t="str">
        <x:v>PED-100709</x:v>
      </x:c>
      <x:c r="C710" t="str">
        <x:v>Cliente 063</x:v>
      </x:c>
      <x:c r="D710" t="str">
        <x:v>SP</x:v>
      </x:c>
      <x:c r="E710" t="str">
        <x:v>Sudeste</x:v>
      </x:c>
      <x:c r="F710" t="str">
        <x:v>E-commerce</x:v>
      </x:c>
      <x:c r="G710" t="str">
        <x:v>Tecnologia</x:v>
      </x:c>
      <x:c r="H710" t="str">
        <x:v>Headset Office</x:v>
      </x:c>
      <x:c r="I710" t="str">
        <x:v>Gabriela</x:v>
      </x:c>
      <x:c r="J710" s="53" t="n">
        <x:v>6</x:v>
      </x:c>
      <x:c r="K710" s="54" t="n">
        <x:v>380.44</x:v>
      </x:c>
      <x:c r="L710" s="54" t="n">
        <x:v>214.39</x:v>
      </x:c>
      <x:c r="M710" s="55" t="n">
        <x:v>0.1244</x:v>
      </x:c>
      <x:c r="N710" s="54" t="n">
        <x:f>ROUND(J710*K710,2)</x:f>
        <x:v>2282.64</x:v>
      </x:c>
      <x:c r="O710" s="54" t="n">
        <x:f>ROUND(N710*(1-M710),2)</x:f>
        <x:v>1998.68</x:v>
      </x:c>
      <x:c r="P710" s="54" t="n">
        <x:f>ROUND(J710*L710,2)</x:f>
        <x:v>1286.34</x:v>
      </x:c>
      <x:c r="Q710" s="54" t="n">
        <x:f>ROUND(O710-P710,2)</x:f>
        <x:v>712.34</x:v>
      </x:c>
      <x:c r="R710" s="55" t="n">
        <x:f>IF(O710=0,0,ROUND(Q710/O710,4))</x:f>
        <x:v>0.3564</x:v>
      </x:c>
      <x:c r="S710" s="53" t="n">
        <x:v>6</x:v>
      </x:c>
      <x:c r="T710" t="str">
        <x:v>Entregue</x:v>
      </x:c>
      <x:c r="U710" t="n">
        <x:v>3</x:v>
      </x:c>
      <x:c r="V710" t="str"/>
    </x:row>
    <x:row r="711">
      <x:c r="A711" s="52" t="n">
        <x:v>46126</x:v>
      </x:c>
      <x:c r="B711" t="str">
        <x:v>PED-100710</x:v>
      </x:c>
      <x:c r="C711" t="str">
        <x:v>Cliente 111</x:v>
      </x:c>
      <x:c r="D711" t="str">
        <x:v>CE</x:v>
      </x:c>
      <x:c r="E711" t="str">
        <x:v>Nordeste</x:v>
      </x:c>
      <x:c r="F711" t="str">
        <x:v>Marketplace</x:v>
      </x:c>
      <x:c r="G711" t="str">
        <x:v>Acessórios</x:v>
      </x:c>
      <x:c r="H711" t="str">
        <x:v>Mochila Executiva</x:v>
      </x:c>
      <x:c r="I711" t="str">
        <x:v>Diego</x:v>
      </x:c>
      <x:c r="J711" s="53" t="n">
        <x:v>2</x:v>
      </x:c>
      <x:c r="K711" s="54" t="n">
        <x:v>453.44</x:v>
      </x:c>
      <x:c r="L711" s="54" t="n">
        <x:v>200.97</x:v>
      </x:c>
      <x:c r="M711" s="55" t="n">
        <x:v>0.0824</x:v>
      </x:c>
      <x:c r="N711" s="54" t="n">
        <x:f>ROUND(J711*K711,2)</x:f>
        <x:v>906.88</x:v>
      </x:c>
      <x:c r="O711" s="54" t="n">
        <x:f>ROUND(N711*(1-M711),2)</x:f>
        <x:v>832.15</x:v>
      </x:c>
      <x:c r="P711" s="54" t="n">
        <x:f>ROUND(J711*L711,2)</x:f>
        <x:v>401.94</x:v>
      </x:c>
      <x:c r="Q711" s="54" t="n">
        <x:f>ROUND(O711-P711,2)</x:f>
        <x:v>430.21</x:v>
      </x:c>
      <x:c r="R711" s="55" t="n">
        <x:f>IF(O711=0,0,ROUND(Q711/O711,4))</x:f>
        <x:v>0.517</x:v>
      </x:c>
      <x:c r="S711" s="53" t="n">
        <x:v>14</x:v>
      </x:c>
      <x:c r="T711" t="str">
        <x:v>Entregue com atraso</x:v>
      </x:c>
      <x:c r="U711" t="n">
        <x:v>5</x:v>
      </x:c>
      <x:c r="V711" t="str"/>
    </x:row>
    <x:row r="712">
      <x:c r="A712" s="52" t="n">
        <x:v>46075</x:v>
      </x:c>
      <x:c r="B712" t="str">
        <x:v>PED-100711</x:v>
      </x:c>
      <x:c r="C712" t="str">
        <x:v>Cliente 106</x:v>
      </x:c>
      <x:c r="D712" t="str">
        <x:v>MA</x:v>
      </x:c>
      <x:c r="E712" t="str">
        <x:v>Nordeste</x:v>
      </x:c>
      <x:c r="F712" t="str">
        <x:v>Televendas</x:v>
      </x:c>
      <x:c r="G712" t="str">
        <x:v>Escritório</x:v>
      </x:c>
      <x:c r="H712" t="str">
        <x:v>Mesa Ajustável</x:v>
      </x:c>
      <x:c r="I712" t="str">
        <x:v>Isabela</x:v>
      </x:c>
      <x:c r="J712" s="53" t="n">
        <x:v>8</x:v>
      </x:c>
      <x:c r="K712" s="54" t="n">
        <x:v>2815.59</x:v>
      </x:c>
      <x:c r="L712" s="54" t="n">
        <x:v>1823.95</x:v>
      </x:c>
      <x:c r="M712" s="55" t="n">
        <x:v>0.106</x:v>
      </x:c>
      <x:c r="N712" s="54" t="n">
        <x:f>ROUND(J712*K712,2)</x:f>
        <x:v>22524.72</x:v>
      </x:c>
      <x:c r="O712" s="54" t="n">
        <x:f>ROUND(N712*(1-M712),2)</x:f>
        <x:v>20137.1</x:v>
      </x:c>
      <x:c r="P712" s="54" t="n">
        <x:f>ROUND(J712*L712,2)</x:f>
        <x:v>14591.6</x:v>
      </x:c>
      <x:c r="Q712" s="54" t="n">
        <x:f>ROUND(O712-P712,2)</x:f>
        <x:v>5545.5</x:v>
      </x:c>
      <x:c r="R712" s="55" t="n">
        <x:f>IF(O712=0,0,ROUND(Q712/O712,4))</x:f>
        <x:v>0.2754</x:v>
      </x:c>
      <x:c r="S712" s="53" t="n">
        <x:v>3</x:v>
      </x:c>
      <x:c r="T712" t="str">
        <x:v>Cancelado</x:v>
      </x:c>
      <x:c r="U712"/>
      <x:c r="V712" t="str"/>
    </x:row>
    <x:row r="713">
      <x:c r="A713" s="52" t="n">
        <x:v>46062</x:v>
      </x:c>
      <x:c r="B713" t="str">
        <x:v>PED-100712</x:v>
      </x:c>
      <x:c r="C713" t="str">
        <x:v>Cliente 039</x:v>
      </x:c>
      <x:c r="D713" t="str">
        <x:v>RJ</x:v>
      </x:c>
      <x:c r="E713" t="str">
        <x:v>Sudeste</x:v>
      </x:c>
      <x:c r="F713" t="str">
        <x:v>Marketplace</x:v>
      </x:c>
      <x:c r="G713" t="str">
        <x:v>Tecnologia</x:v>
      </x:c>
      <x:c r="H713" t="str">
        <x:v>Headset Office</x:v>
      </x:c>
      <x:c r="I713" t="str">
        <x:v>Elaine</x:v>
      </x:c>
      <x:c r="J713" s="53" t="n">
        <x:v>3</x:v>
      </x:c>
      <x:c r="K713" s="54" t="n">
        <x:v>393.2</x:v>
      </x:c>
      <x:c r="L713" s="54" t="n">
        <x:v>208.9</x:v>
      </x:c>
      <x:c r="M713" s="55" t="n">
        <x:v>0.099</x:v>
      </x:c>
      <x:c r="N713" s="54" t="n">
        <x:f>ROUND(J713*K713,2)</x:f>
        <x:v>1179.6</x:v>
      </x:c>
      <x:c r="O713" s="54" t="n">
        <x:f>ROUND(N713*(1-M713),2)</x:f>
        <x:v>1062.82</x:v>
      </x:c>
      <x:c r="P713" s="54" t="n">
        <x:f>ROUND(J713*L713,2)</x:f>
        <x:v>626.7</x:v>
      </x:c>
      <x:c r="Q713" s="54" t="n">
        <x:f>ROUND(O713-P713,2)</x:f>
        <x:v>436.12</x:v>
      </x:c>
      <x:c r="R713" s="55" t="n">
        <x:f>IF(O713=0,0,ROUND(Q713/O713,4))</x:f>
        <x:v>0.4103</x:v>
      </x:c>
      <x:c r="S713" s="53" t="n">
        <x:v>9</x:v>
      </x:c>
      <x:c r="T713" t="str">
        <x:v>Entregue</x:v>
      </x:c>
      <x:c r="U713" t="n">
        <x:v>2</x:v>
      </x:c>
      <x:c r="V713" t="str"/>
    </x:row>
    <x:row r="714">
      <x:c r="A714" s="52" t="n">
        <x:v>46234</x:v>
      </x:c>
      <x:c r="B714" t="str">
        <x:v>PED-100713</x:v>
      </x:c>
      <x:c r="C714" t="str">
        <x:v>Cliente 046</x:v>
      </x:c>
      <x:c r="D714" t="str">
        <x:v>SC</x:v>
      </x:c>
      <x:c r="E714" t="str">
        <x:v>Sul</x:v>
      </x:c>
      <x:c r="F714" t="str">
        <x:v>Marketplace</x:v>
      </x:c>
      <x:c r="G714" t="str">
        <x:v>Acessórios</x:v>
      </x:c>
      <x:c r="H714" t="str">
        <x:v>Webcam HD</x:v>
      </x:c>
      <x:c r="I714" t="str">
        <x:v>Diego</x:v>
      </x:c>
      <x:c r="J714" s="53" t="n">
        <x:v>2</x:v>
      </x:c>
      <x:c r="K714" s="54" t="n">
        <x:v>535.9</x:v>
      </x:c>
      <x:c r="L714" s="54" t="n">
        <x:v>241.74</x:v>
      </x:c>
      <x:c r="M714" s="55" t="n">
        <x:v>0.035</x:v>
      </x:c>
      <x:c r="N714" s="54" t="n">
        <x:f>ROUND(J714*K714,2)</x:f>
        <x:v>1071.8</x:v>
      </x:c>
      <x:c r="O714" s="54" t="n">
        <x:f>ROUND(N714*(1-M714),2)</x:f>
        <x:v>1034.29</x:v>
      </x:c>
      <x:c r="P714" s="54" t="n">
        <x:f>ROUND(J714*L714,2)</x:f>
        <x:v>483.48</x:v>
      </x:c>
      <x:c r="Q714" s="54" t="n">
        <x:f>ROUND(O714-P714,2)</x:f>
        <x:v>550.81</x:v>
      </x:c>
      <x:c r="R714" s="55" t="n">
        <x:f>IF(O714=0,0,ROUND(Q714/O714,4))</x:f>
        <x:v>0.5325</x:v>
      </x:c>
      <x:c r="S714" s="53" t="n">
        <x:v>6</x:v>
      </x:c>
      <x:c r="T714" t="str">
        <x:v>Entregue</x:v>
      </x:c>
      <x:c r="U714" t="n">
        <x:v>2</x:v>
      </x:c>
      <x:c r="V714" t="str"/>
    </x:row>
    <x:row r="715">
      <x:c r="A715" s="52" t="n">
        <x:v>46234</x:v>
      </x:c>
      <x:c r="B715" t="str">
        <x:v>PED-100714</x:v>
      </x:c>
      <x:c r="C715" t="str">
        <x:v>Cliente 087</x:v>
      </x:c>
      <x:c r="D715" t="str">
        <x:v>CE</x:v>
      </x:c>
      <x:c r="E715" t="str">
        <x:v>Nordeste</x:v>
      </x:c>
      <x:c r="F715" t="str">
        <x:v>E-commerce</x:v>
      </x:c>
      <x:c r="G715" t="str">
        <x:v>Casa</x:v>
      </x:c>
      <x:c r="H715" t="str">
        <x:v>Aspirador Robô</x:v>
      </x:c>
      <x:c r="I715" t="str">
        <x:v>João</x:v>
      </x:c>
      <x:c r="J715" s="53" t="n">
        <x:v>5</x:v>
      </x:c>
      <x:c r="K715" s="54" t="n">
        <x:v>1890.73</x:v>
      </x:c>
      <x:c r="L715" s="54" t="n">
        <x:v>1207.54</x:v>
      </x:c>
      <x:c r="M715" s="55" t="n">
        <x:v>0</x:v>
      </x:c>
      <x:c r="N715" s="54" t="n">
        <x:f>ROUND(J715*K715,2)</x:f>
        <x:v>9453.65</x:v>
      </x:c>
      <x:c r="O715" s="54" t="n">
        <x:f>ROUND(N715*(1-M715),2)</x:f>
        <x:v>9453.65</x:v>
      </x:c>
      <x:c r="P715" s="54" t="n">
        <x:f>ROUND(J715*L715,2)</x:f>
        <x:v>6037.7</x:v>
      </x:c>
      <x:c r="Q715" s="54" t="n">
        <x:f>ROUND(O715-P715,2)</x:f>
        <x:v>3415.95</x:v>
      </x:c>
      <x:c r="R715" s="55" t="n">
        <x:f>IF(O715=0,0,ROUND(Q715/O715,4))</x:f>
        <x:v>0.3613</x:v>
      </x:c>
      <x:c r="S715" s="53" t="n">
        <x:v>2</x:v>
      </x:c>
      <x:c r="T715" t="str">
        <x:v>Entregue</x:v>
      </x:c>
      <x:c r="U715" t="n">
        <x:v>4</x:v>
      </x:c>
      <x:c r="V715" t="str"/>
    </x:row>
    <x:row r="716">
      <x:c r="A716" s="52" t="n">
        <x:v>46129</x:v>
      </x:c>
      <x:c r="B716" t="str">
        <x:v>PED-100715</x:v>
      </x:c>
      <x:c r="C716" t="str">
        <x:v>Cliente 091</x:v>
      </x:c>
      <x:c r="D716" t="str">
        <x:v>CE</x:v>
      </x:c>
      <x:c r="E716" t="str">
        <x:v>Nordeste</x:v>
      </x:c>
      <x:c r="F716" t="str">
        <x:v>Loja</x:v>
      </x:c>
      <x:c r="G716" t="str">
        <x:v>Tecnologia</x:v>
      </x:c>
      <x:c r="H716" t="str">
        <x:v>Notebook Pro</x:v>
      </x:c>
      <x:c r="I716" t="str">
        <x:v>Felipe</x:v>
      </x:c>
      <x:c r="J716" s="53" t="n">
        <x:v>7</x:v>
      </x:c>
      <x:c r="K716" s="54" t="n">
        <x:v>6100.13</x:v>
      </x:c>
      <x:c r="L716" s="54" t="n">
        <x:v>4421.49</x:v>
      </x:c>
      <x:c r="M716" s="55" t="n">
        <x:v>0</x:v>
      </x:c>
      <x:c r="N716" s="54" t="n">
        <x:f>ROUND(J716*K716,2)</x:f>
        <x:v>42700.91</x:v>
      </x:c>
      <x:c r="O716" s="54" t="n">
        <x:f>ROUND(N716*(1-M716),2)</x:f>
        <x:v>42700.91</x:v>
      </x:c>
      <x:c r="P716" s="54" t="n">
        <x:f>ROUND(J716*L716,2)</x:f>
        <x:v>30950.43</x:v>
      </x:c>
      <x:c r="Q716" s="54" t="n">
        <x:f>ROUND(O716-P716,2)</x:f>
        <x:v>11750.48</x:v>
      </x:c>
      <x:c r="R716" s="55" t="n">
        <x:f>IF(O716=0,0,ROUND(Q716/O716,4))</x:f>
        <x:v>0.2752</x:v>
      </x:c>
      <x:c r="S716" s="53" t="n">
        <x:v>13</x:v>
      </x:c>
      <x:c r="T716" t="str">
        <x:v>Entregue com atraso</x:v>
      </x:c>
      <x:c r="U716" t="n">
        <x:v>3</x:v>
      </x:c>
      <x:c r="V716" t="str"/>
    </x:row>
    <x:row r="717">
      <x:c r="A717" s="52" t="n">
        <x:v>46050</x:v>
      </x:c>
      <x:c r="B717" t="str">
        <x:v>PED-100716</x:v>
      </x:c>
      <x:c r="C717" t="str">
        <x:v>Cliente 023</x:v>
      </x:c>
      <x:c r="D717" t="str">
        <x:v>MG</x:v>
      </x:c>
      <x:c r="E717" t="str">
        <x:v>Sudeste</x:v>
      </x:c>
      <x:c r="F717" t="str">
        <x:v>Loja</x:v>
      </x:c>
      <x:c r="G717" t="str">
        <x:v>Tecnologia</x:v>
      </x:c>
      <x:c r="H717" t="str">
        <x:v>Notebook Pro</x:v>
      </x:c>
      <x:c r="I717" t="str">
        <x:v>Diego</x:v>
      </x:c>
      <x:c r="J717" s="53" t="n">
        <x:v>6</x:v>
      </x:c>
      <x:c r="K717" s="54" t="n">
        <x:v>6142.19</x:v>
      </x:c>
      <x:c r="L717" s="54" t="n">
        <x:v>4512.67</x:v>
      </x:c>
      <x:c r="M717" s="55" t="n">
        <x:v>0.0903</x:v>
      </x:c>
      <x:c r="N717" s="54" t="n">
        <x:f>ROUND(J717*K717,2)</x:f>
        <x:v>36853.14</x:v>
      </x:c>
      <x:c r="O717" s="54" t="n">
        <x:f>ROUND(N717*(1-M717),2)</x:f>
        <x:v>33525.3</x:v>
      </x:c>
      <x:c r="P717" s="54" t="n">
        <x:f>ROUND(J717*L717,2)</x:f>
        <x:v>27076.02</x:v>
      </x:c>
      <x:c r="Q717" s="54" t="n">
        <x:f>ROUND(O717-P717,2)</x:f>
        <x:v>6449.28</x:v>
      </x:c>
      <x:c r="R717" s="55" t="n">
        <x:f>IF(O717=0,0,ROUND(Q717/O717,4))</x:f>
        <x:v>0.1924</x:v>
      </x:c>
      <x:c r="S717" s="53" t="n">
        <x:v>5</x:v>
      </x:c>
      <x:c r="T717" t="str">
        <x:v>Entregue</x:v>
      </x:c>
      <x:c r="U717" t="n">
        <x:v>4</x:v>
      </x:c>
      <x:c r="V717" t="str"/>
    </x:row>
    <x:row r="718">
      <x:c r="A718" s="52" t="n">
        <x:v>46101</x:v>
      </x:c>
      <x:c r="B718" t="str">
        <x:v>PED-100717</x:v>
      </x:c>
      <x:c r="C718" t="str">
        <x:v>Cliente 081</x:v>
      </x:c>
      <x:c r="D718" t="str">
        <x:v>MA</x:v>
      </x:c>
      <x:c r="E718" t="str">
        <x:v>Nordeste</x:v>
      </x:c>
      <x:c r="F718" t="str">
        <x:v>E-commerce</x:v>
      </x:c>
      <x:c r="G718" t="str">
        <x:v>Escritório</x:v>
      </x:c>
      <x:c r="H718" t="str">
        <x:v>Cadeira Ergonômica</x:v>
      </x:c>
      <x:c r="I718" t="str">
        <x:v>Henrique</x:v>
      </x:c>
      <x:c r="J718" s="53" t="n">
        <x:v>5</x:v>
      </x:c>
      <x:c r="K718" s="54" t="n">
        <x:v>2316.97</x:v>
      </x:c>
      <x:c r="L718" s="54" t="n">
        <x:v>1508.96</x:v>
      </x:c>
      <x:c r="M718" s="55" t="n">
        <x:v>0.0801</x:v>
      </x:c>
      <x:c r="N718" s="54" t="n">
        <x:f>ROUND(J718*K718,2)</x:f>
        <x:v>11584.85</x:v>
      </x:c>
      <x:c r="O718" s="54" t="n">
        <x:f>ROUND(N718*(1-M718),2)</x:f>
        <x:v>10656.9</x:v>
      </x:c>
      <x:c r="P718" s="54" t="n">
        <x:f>ROUND(J718*L718,2)</x:f>
        <x:v>7544.8</x:v>
      </x:c>
      <x:c r="Q718" s="54" t="n">
        <x:f>ROUND(O718-P718,2)</x:f>
        <x:v>3112.1</x:v>
      </x:c>
      <x:c r="R718" s="55" t="n">
        <x:f>IF(O718=0,0,ROUND(Q718/O718,4))</x:f>
        <x:v>0.292</x:v>
      </x:c>
      <x:c r="S718" s="53" t="n">
        <x:v>2</x:v>
      </x:c>
      <x:c r="T718" t="str">
        <x:v>Entregue</x:v>
      </x:c>
      <x:c r="U718" t="n">
        <x:v>3</x:v>
      </x:c>
      <x:c r="V718" t="str"/>
    </x:row>
    <x:row r="719">
      <x:c r="A719" s="52" t="n">
        <x:v>46156</x:v>
      </x:c>
      <x:c r="B719" t="str">
        <x:v>PED-100718</x:v>
      </x:c>
      <x:c r="C719" t="str">
        <x:v>Cliente 088</x:v>
      </x:c>
      <x:c r="D719" t="str">
        <x:v>BA</x:v>
      </x:c>
      <x:c r="E719" t="str">
        <x:v>Nordeste</x:v>
      </x:c>
      <x:c r="F719" t="str">
        <x:v>E-commerce</x:v>
      </x:c>
      <x:c r="G719" t="str">
        <x:v>Acessórios</x:v>
      </x:c>
      <x:c r="H719" t="str">
        <x:v>Hub USB-C</x:v>
      </x:c>
      <x:c r="I719" t="str">
        <x:v>Carla</x:v>
      </x:c>
      <x:c r="J719" s="53" t="n">
        <x:v>3</x:v>
      </x:c>
      <x:c r="K719" s="54" t="n">
        <x:v>321.63</x:v>
      </x:c>
      <x:c r="L719" s="54" t="n">
        <x:v>144.12</x:v>
      </x:c>
      <x:c r="M719" s="55" t="n">
        <x:v>0.0845</x:v>
      </x:c>
      <x:c r="N719" s="54" t="n">
        <x:f>ROUND(J719*K719,2)</x:f>
        <x:v>964.89</x:v>
      </x:c>
      <x:c r="O719" s="54" t="n">
        <x:f>ROUND(N719*(1-M719),2)</x:f>
        <x:v>883.36</x:v>
      </x:c>
      <x:c r="P719" s="54" t="n">
        <x:f>ROUND(J719*L719,2)</x:f>
        <x:v>432.36</x:v>
      </x:c>
      <x:c r="Q719" s="54" t="n">
        <x:f>ROUND(O719-P719,2)</x:f>
        <x:v>451</x:v>
      </x:c>
      <x:c r="R719" s="55" t="n">
        <x:f>IF(O719=0,0,ROUND(Q719/O719,4))</x:f>
        <x:v>0.5106</x:v>
      </x:c>
      <x:c r="S719" s="53" t="n">
        <x:v>4</x:v>
      </x:c>
      <x:c r="T719" t="str">
        <x:v>Entregue</x:v>
      </x:c>
      <x:c r="U719" t="n">
        <x:v>4</x:v>
      </x:c>
      <x:c r="V719" t="str"/>
    </x:row>
    <x:row r="720">
      <x:c r="A720" s="52" t="n">
        <x:v>46071</x:v>
      </x:c>
      <x:c r="B720" t="str">
        <x:v>PED-100719</x:v>
      </x:c>
      <x:c r="C720" t="str">
        <x:v>Cliente 082</x:v>
      </x:c>
      <x:c r="D720" t="str">
        <x:v>PA</x:v>
      </x:c>
      <x:c r="E720" t="str">
        <x:v>Norte</x:v>
      </x:c>
      <x:c r="F720" t="str">
        <x:v>Televendas</x:v>
      </x:c>
      <x:c r="G720" t="str">
        <x:v>Escritório</x:v>
      </x:c>
      <x:c r="H720" t="str">
        <x:v>Mesa Ajustável</x:v>
      </x:c>
      <x:c r="I720" t="str">
        <x:v>Bruno</x:v>
      </x:c>
      <x:c r="J720" s="53" t="n">
        <x:v>8</x:v>
      </x:c>
      <x:c r="K720" s="54" t="n">
        <x:v>2853.96</x:v>
      </x:c>
      <x:c r="L720" s="54" t="n">
        <x:v>1902.59</x:v>
      </x:c>
      <x:c r="M720" s="55" t="n">
        <x:v>0</x:v>
      </x:c>
      <x:c r="N720" s="54" t="n">
        <x:f>ROUND(J720*K720,2)</x:f>
        <x:v>22831.68</x:v>
      </x:c>
      <x:c r="O720" s="54" t="n">
        <x:f>ROUND(N720*(1-M720),2)</x:f>
        <x:v>22831.68</x:v>
      </x:c>
      <x:c r="P720" s="54" t="n">
        <x:f>ROUND(J720*L720,2)</x:f>
        <x:v>15220.72</x:v>
      </x:c>
      <x:c r="Q720" s="54" t="n">
        <x:f>ROUND(O720-P720,2)</x:f>
        <x:v>7610.96</x:v>
      </x:c>
      <x:c r="R720" s="55" t="n">
        <x:f>IF(O720=0,0,ROUND(Q720/O720,4))</x:f>
        <x:v>0.3334</x:v>
      </x:c>
      <x:c r="S720" s="53" t="n">
        <x:v>11</x:v>
      </x:c>
      <x:c r="T720" t="str">
        <x:v>Entregue com atraso</x:v>
      </x:c>
      <x:c r="U720" t="n">
        <x:v>5</x:v>
      </x:c>
      <x:c r="V720" t="str"/>
    </x:row>
    <x:row r="721">
      <x:c r="A721" s="52" t="n">
        <x:v>46223</x:v>
      </x:c>
      <x:c r="B721" t="str">
        <x:v>PED-100720</x:v>
      </x:c>
      <x:c r="C721" t="str">
        <x:v>Cliente 118</x:v>
      </x:c>
      <x:c r="D721" t="str">
        <x:v>CE</x:v>
      </x:c>
      <x:c r="E721" t="str">
        <x:v>Nordeste</x:v>
      </x:c>
      <x:c r="F721" t="str">
        <x:v>Marketplace</x:v>
      </x:c>
      <x:c r="G721" t="str">
        <x:v>Acessórios</x:v>
      </x:c>
      <x:c r="H721" t="str">
        <x:v>Webcam HD</x:v>
      </x:c>
      <x:c r="I721" t="str">
        <x:v>Gabriela</x:v>
      </x:c>
      <x:c r="J721" s="53" t="n">
        <x:v>2</x:v>
      </x:c>
      <x:c r="K721" s="54" t="n">
        <x:v>481.57</x:v>
      </x:c>
      <x:c r="L721" s="54" t="n">
        <x:v>247.99</x:v>
      </x:c>
      <x:c r="M721" s="55" t="n">
        <x:v>0.0456</x:v>
      </x:c>
      <x:c r="N721" s="54" t="n">
        <x:f>ROUND(J721*K721,2)</x:f>
        <x:v>963.14</x:v>
      </x:c>
      <x:c r="O721" s="54" t="n">
        <x:f>ROUND(N721*(1-M721),2)</x:f>
        <x:v>919.22</x:v>
      </x:c>
      <x:c r="P721" s="54" t="n">
        <x:f>ROUND(J721*L721,2)</x:f>
        <x:v>495.98</x:v>
      </x:c>
      <x:c r="Q721" s="54" t="n">
        <x:f>ROUND(O721-P721,2)</x:f>
        <x:v>423.24</x:v>
      </x:c>
      <x:c r="R721" s="55" t="n">
        <x:f>IF(O721=0,0,ROUND(Q721/O721,4))</x:f>
        <x:v>0.4604</x:v>
      </x:c>
      <x:c r="S721" s="53" t="n">
        <x:v>4</x:v>
      </x:c>
      <x:c r="T721" t="str">
        <x:v>Entregue</x:v>
      </x:c>
      <x:c r="U721" t="n">
        <x:v>5</x:v>
      </x:c>
      <x:c r="V721" t="str"/>
    </x:row>
    <x:row r="722">
      <x:c r="A722" s="52" t="n">
        <x:v>46089</x:v>
      </x:c>
      <x:c r="B722" t="str">
        <x:v>PED-100721</x:v>
      </x:c>
      <x:c r="C722" t="str">
        <x:v>Cliente 089</x:v>
      </x:c>
      <x:c r="D722" t="str">
        <x:v>GO</x:v>
      </x:c>
      <x:c r="E722" t="str">
        <x:v>Centro-Oeste</x:v>
      </x:c>
      <x:c r="F722" t="str">
        <x:v>Marketplace</x:v>
      </x:c>
      <x:c r="G722" t="str">
        <x:v>Acessórios</x:v>
      </x:c>
      <x:c r="H722" t="str">
        <x:v>Webcam HD</x:v>
      </x:c>
      <x:c r="I722" t="str">
        <x:v>Diego</x:v>
      </x:c>
      <x:c r="J722" s="53" t="n">
        <x:v>5</x:v>
      </x:c>
      <x:c r="K722" s="54" t="n">
        <x:v>482.66</x:v>
      </x:c>
      <x:c r="L722" s="54" t="n">
        <x:v>240.59</x:v>
      </x:c>
      <x:c r="M722" s="55" t="n">
        <x:v>0.035</x:v>
      </x:c>
      <x:c r="N722" s="54" t="n">
        <x:f>ROUND(J722*K722,2)</x:f>
        <x:v>2413.3</x:v>
      </x:c>
      <x:c r="O722" s="54" t="n">
        <x:f>ROUND(N722*(1-M722),2)</x:f>
        <x:v>2328.83</x:v>
      </x:c>
      <x:c r="P722" s="54" t="n">
        <x:f>ROUND(J722*L722,2)</x:f>
        <x:v>1202.95</x:v>
      </x:c>
      <x:c r="Q722" s="54" t="n">
        <x:f>ROUND(O722-P722,2)</x:f>
        <x:v>1125.88</x:v>
      </x:c>
      <x:c r="R722" s="55" t="n">
        <x:f>IF(O722=0,0,ROUND(Q722/O722,4))</x:f>
        <x:v>0.4835</x:v>
      </x:c>
      <x:c r="S722" s="53" t="n">
        <x:v>11</x:v>
      </x:c>
      <x:c r="T722" t="str">
        <x:v>Entregue com atraso</x:v>
      </x:c>
      <x:c r="U722" t="n">
        <x:v>2</x:v>
      </x:c>
      <x:c r="V722" t="str"/>
    </x:row>
    <x:row r="723">
      <x:c r="A723" s="52" t="n">
        <x:v>46071</x:v>
      </x:c>
      <x:c r="B723" t="str">
        <x:v>PED-100722</x:v>
      </x:c>
      <x:c r="C723" t="str">
        <x:v>Cliente 066</x:v>
      </x:c>
      <x:c r="D723" t="str">
        <x:v>AM</x:v>
      </x:c>
      <x:c r="E723" t="str">
        <x:v>Norte</x:v>
      </x:c>
      <x:c r="F723" t="str">
        <x:v>Televendas</x:v>
      </x:c>
      <x:c r="G723" t="str">
        <x:v>Casa</x:v>
      </x:c>
      <x:c r="H723" t="str">
        <x:v>Purificador</x:v>
      </x:c>
      <x:c r="I723" t="str">
        <x:v>Elaine</x:v>
      </x:c>
      <x:c r="J723" s="53" t="n">
        <x:v>6</x:v>
      </x:c>
      <x:c r="K723" s="54" t="n">
        <x:v>1244.1</x:v>
      </x:c>
      <x:c r="L723" s="54" t="n">
        <x:v>779.66</x:v>
      </x:c>
      <x:c r="M723" s="55" t="n">
        <x:v>0.0551</x:v>
      </x:c>
      <x:c r="N723" s="54" t="n">
        <x:f>ROUND(J723*K723,2)</x:f>
        <x:v>7464.6</x:v>
      </x:c>
      <x:c r="O723" s="54" t="n">
        <x:f>ROUND(N723*(1-M723),2)</x:f>
        <x:v>7053.3</x:v>
      </x:c>
      <x:c r="P723" s="54" t="n">
        <x:f>ROUND(J723*L723,2)</x:f>
        <x:v>4677.96</x:v>
      </x:c>
      <x:c r="Q723" s="54" t="n">
        <x:f>ROUND(O723-P723,2)</x:f>
        <x:v>2375.34</x:v>
      </x:c>
      <x:c r="R723" s="55" t="n">
        <x:f>IF(O723=0,0,ROUND(Q723/O723,4))</x:f>
        <x:v>0.3368</x:v>
      </x:c>
      <x:c r="S723" s="53" t="n">
        <x:v>2</x:v>
      </x:c>
      <x:c r="T723" t="str">
        <x:v>Entregue</x:v>
      </x:c>
      <x:c r="U723" t="n">
        <x:v>3</x:v>
      </x:c>
      <x:c r="V723" t="str"/>
    </x:row>
    <x:row r="724">
      <x:c r="A724" s="52" t="n">
        <x:v>46036</x:v>
      </x:c>
      <x:c r="B724" t="str">
        <x:v>PED-100723</x:v>
      </x:c>
      <x:c r="C724" t="str">
        <x:v>Cliente 089</x:v>
      </x:c>
      <x:c r="D724" t="str">
        <x:v>MG</x:v>
      </x:c>
      <x:c r="E724" t="str">
        <x:v>Sudeste</x:v>
      </x:c>
      <x:c r="F724" t="str">
        <x:v>Televendas</x:v>
      </x:c>
      <x:c r="G724" t="str">
        <x:v>Escritório</x:v>
      </x:c>
      <x:c r="H724" t="str">
        <x:v>Luminária LED</x:v>
      </x:c>
      <x:c r="I724" t="str">
        <x:v>Gabriela</x:v>
      </x:c>
      <x:c r="J724" s="53" t="n">
        <x:v>6</x:v>
      </x:c>
      <x:c r="K724" s="54" t="n">
        <x:v>254.29</x:v>
      </x:c>
      <x:c r="L724" s="54" t="n">
        <x:v>113.41</x:v>
      </x:c>
      <x:c r="M724" s="55" t="n">
        <x:v>0</x:v>
      </x:c>
      <x:c r="N724" s="54" t="n">
        <x:f>ROUND(J724*K724,2)</x:f>
        <x:v>1525.74</x:v>
      </x:c>
      <x:c r="O724" s="54" t="n">
        <x:f>ROUND(N724*(1-M724),2)</x:f>
        <x:v>1525.74</x:v>
      </x:c>
      <x:c r="P724" s="54" t="n">
        <x:f>ROUND(J724*L724,2)</x:f>
        <x:v>680.46</x:v>
      </x:c>
      <x:c r="Q724" s="54" t="n">
        <x:f>ROUND(O724-P724,2)</x:f>
        <x:v>845.28</x:v>
      </x:c>
      <x:c r="R724" s="55" t="n">
        <x:f>IF(O724=0,0,ROUND(Q724/O724,4))</x:f>
        <x:v>0.554</x:v>
      </x:c>
      <x:c r="S724" s="53" t="n">
        <x:v>12</x:v>
      </x:c>
      <x:c r="T724" t="str">
        <x:v>Entregue com atraso</x:v>
      </x:c>
      <x:c r="U724" t="n">
        <x:v>2</x:v>
      </x:c>
      <x:c r="V724" t="str"/>
    </x:row>
    <x:row r="725">
      <x:c r="A725" s="52" t="n">
        <x:v>46094</x:v>
      </x:c>
      <x:c r="B725" t="str">
        <x:v>PED-100724</x:v>
      </x:c>
      <x:c r="C725" t="str">
        <x:v>Cliente 007</x:v>
      </x:c>
      <x:c r="D725" t="str">
        <x:v>BA</x:v>
      </x:c>
      <x:c r="E725" t="str">
        <x:v>Nordeste</x:v>
      </x:c>
      <x:c r="F725" t="str">
        <x:v>Marketplace</x:v>
      </x:c>
      <x:c r="G725" t="str">
        <x:v>Acessórios</x:v>
      </x:c>
      <x:c r="H725" t="str">
        <x:v>Webcam HD</x:v>
      </x:c>
      <x:c r="I725" t="str">
        <x:v>Carla</x:v>
      </x:c>
      <x:c r="J725" s="53" t="n">
        <x:v>6</x:v>
      </x:c>
      <x:c r="K725" s="54" t="n">
        <x:v>529.81</x:v>
      </x:c>
      <x:c r="L725" s="54" t="n">
        <x:v>238.55</x:v>
      </x:c>
      <x:c r="M725" s="55" t="n">
        <x:v>0.035</x:v>
      </x:c>
      <x:c r="N725" s="54" t="n">
        <x:f>ROUND(J725*K725,2)</x:f>
        <x:v>3178.86</x:v>
      </x:c>
      <x:c r="O725" s="54" t="n">
        <x:f>ROUND(N725*(1-M725),2)</x:f>
        <x:v>3067.6</x:v>
      </x:c>
      <x:c r="P725" s="54" t="n">
        <x:f>ROUND(J725*L725,2)</x:f>
        <x:v>1431.3</x:v>
      </x:c>
      <x:c r="Q725" s="54" t="n">
        <x:f>ROUND(O725-P725,2)</x:f>
        <x:v>1636.3</x:v>
      </x:c>
      <x:c r="R725" s="55" t="n">
        <x:f>IF(O725=0,0,ROUND(Q725/O725,4))</x:f>
        <x:v>0.5334</x:v>
      </x:c>
      <x:c r="S725" s="53" t="n">
        <x:v>13</x:v>
      </x:c>
      <x:c r="T725" t="str">
        <x:v>Entregue com atraso</x:v>
      </x:c>
      <x:c r="U725" t="n">
        <x:v>3</x:v>
      </x:c>
      <x:c r="V725" t="str"/>
    </x:row>
    <x:row r="726">
      <x:c r="A726" s="52" t="n">
        <x:v>46048</x:v>
      </x:c>
      <x:c r="B726" t="str">
        <x:v>PED-100725</x:v>
      </x:c>
      <x:c r="C726" t="str">
        <x:v>Cliente 117</x:v>
      </x:c>
      <x:c r="D726" t="str">
        <x:v>RS</x:v>
      </x:c>
      <x:c r="E726" t="str">
        <x:v>Sul</x:v>
      </x:c>
      <x:c r="F726" t="str">
        <x:v>Loja</x:v>
      </x:c>
      <x:c r="G726" t="str">
        <x:v>Tecnologia</x:v>
      </x:c>
      <x:c r="H726" t="str">
        <x:v>Headset Office</x:v>
      </x:c>
      <x:c r="I726" t="str">
        <x:v>Carla</x:v>
      </x:c>
      <x:c r="J726" s="53" t="n">
        <x:v>1</x:v>
      </x:c>
      <x:c r="K726" s="54" t="n">
        <x:v>391.1</x:v>
      </x:c>
      <x:c r="L726" s="54" t="n">
        <x:v>202.31</x:v>
      </x:c>
      <x:c r="M726" s="55" t="n">
        <x:v>0.0062</x:v>
      </x:c>
      <x:c r="N726" s="54" t="n">
        <x:f>ROUND(J726*K726,2)</x:f>
        <x:v>391.1</x:v>
      </x:c>
      <x:c r="O726" s="54" t="n">
        <x:f>ROUND(N726*(1-M726),2)</x:f>
        <x:v>388.68</x:v>
      </x:c>
      <x:c r="P726" s="54" t="n">
        <x:f>ROUND(J726*L726,2)</x:f>
        <x:v>202.31</x:v>
      </x:c>
      <x:c r="Q726" s="54" t="n">
        <x:f>ROUND(O726-P726,2)</x:f>
        <x:v>186.37</x:v>
      </x:c>
      <x:c r="R726" s="55" t="n">
        <x:f>IF(O726=0,0,ROUND(Q726/O726,4))</x:f>
        <x:v>0.4795</x:v>
      </x:c>
      <x:c r="S726" s="53" t="n">
        <x:v>5</x:v>
      </x:c>
      <x:c r="T726" t="str">
        <x:v>Entregue</x:v>
      </x:c>
      <x:c r="U726" t="n">
        <x:v>2</x:v>
      </x:c>
      <x:c r="V726" t="str"/>
    </x:row>
    <x:row r="727">
      <x:c r="A727" s="52" t="n">
        <x:v>46117</x:v>
      </x:c>
      <x:c r="B727" t="str">
        <x:v>PED-100726</x:v>
      </x:c>
      <x:c r="C727" t="str">
        <x:v>Cliente 072</x:v>
      </x:c>
      <x:c r="D727" t="str">
        <x:v>PA</x:v>
      </x:c>
      <x:c r="E727" t="str">
        <x:v>Norte</x:v>
      </x:c>
      <x:c r="F727" t="str">
        <x:v>Televendas</x:v>
      </x:c>
      <x:c r="G727" t="str">
        <x:v>Casa</x:v>
      </x:c>
      <x:c r="H727" t="str">
        <x:v>Cafeteira Smart</x:v>
      </x:c>
      <x:c r="I727" t="str">
        <x:v>Isabela</x:v>
      </x:c>
      <x:c r="J727" s="53" t="n">
        <x:v>6</x:v>
      </x:c>
      <x:c r="K727" s="54" t="n">
        <x:v>743.81</x:v>
      </x:c>
      <x:c r="L727" s="54" t="n">
        <x:v>474.89</x:v>
      </x:c>
      <x:c r="M727" s="55" t="n">
        <x:v>0</x:v>
      </x:c>
      <x:c r="N727" s="54" t="n">
        <x:f>ROUND(J727*K727,2)</x:f>
        <x:v>4462.86</x:v>
      </x:c>
      <x:c r="O727" s="54" t="n">
        <x:f>ROUND(N727*(1-M727),2)</x:f>
        <x:v>4462.86</x:v>
      </x:c>
      <x:c r="P727" s="54" t="n">
        <x:f>ROUND(J727*L727,2)</x:f>
        <x:v>2849.34</x:v>
      </x:c>
      <x:c r="Q727" s="54" t="n">
        <x:f>ROUND(O727-P727,2)</x:f>
        <x:v>1613.52</x:v>
      </x:c>
      <x:c r="R727" s="55" t="n">
        <x:f>IF(O727=0,0,ROUND(Q727/O727,4))</x:f>
        <x:v>0.3615</x:v>
      </x:c>
      <x:c r="S727" s="53" t="n">
        <x:v>3</x:v>
      </x:c>
      <x:c r="T727" t="str">
        <x:v>Entregue</x:v>
      </x:c>
      <x:c r="U727" t="n">
        <x:v>3</x:v>
      </x:c>
      <x:c r="V727" t="str"/>
    </x:row>
    <x:row r="728">
      <x:c r="A728" s="52" t="n">
        <x:v>46025</x:v>
      </x:c>
      <x:c r="B728" t="str">
        <x:v>PED-100727</x:v>
      </x:c>
      <x:c r="C728" t="str">
        <x:v>Cliente 085</x:v>
      </x:c>
      <x:c r="D728" t="str">
        <x:v>BA</x:v>
      </x:c>
      <x:c r="E728" t="str">
        <x:v>Nordeste</x:v>
      </x:c>
      <x:c r="F728" t="str">
        <x:v>Loja</x:v>
      </x:c>
      <x:c r="G728" t="str">
        <x:v>Casa</x:v>
      </x:c>
      <x:c r="H728" t="str">
        <x:v>Purificador</x:v>
      </x:c>
      <x:c r="I728" t="str">
        <x:v>Ana</x:v>
      </x:c>
      <x:c r="J728" s="53" t="n">
        <x:v>1</x:v>
      </x:c>
      <x:c r="K728" s="54" t="n">
        <x:v>1251.78</x:v>
      </x:c>
      <x:c r="L728" s="54" t="n">
        <x:v>794.12</x:v>
      </x:c>
      <x:c r="M728" s="55" t="n">
        <x:v>0.0175</x:v>
      </x:c>
      <x:c r="N728" s="54" t="n">
        <x:f>ROUND(J728*K728,2)</x:f>
        <x:v>1251.78</x:v>
      </x:c>
      <x:c r="O728" s="54" t="n">
        <x:f>ROUND(N728*(1-M728),2)</x:f>
        <x:v>1229.87</x:v>
      </x:c>
      <x:c r="P728" s="54" t="n">
        <x:f>ROUND(J728*L728,2)</x:f>
        <x:v>794.12</x:v>
      </x:c>
      <x:c r="Q728" s="54" t="n">
        <x:f>ROUND(O728-P728,2)</x:f>
        <x:v>435.75</x:v>
      </x:c>
      <x:c r="R728" s="55" t="n">
        <x:f>IF(O728=0,0,ROUND(Q728/O728,4))</x:f>
        <x:v>0.3543</x:v>
      </x:c>
      <x:c r="S728" s="53" t="n">
        <x:v>5</x:v>
      </x:c>
      <x:c r="T728" t="str">
        <x:v>Entregue</x:v>
      </x:c>
      <x:c r="U728" t="n">
        <x:v>5</x:v>
      </x:c>
      <x:c r="V728" t="str"/>
    </x:row>
    <x:row r="729">
      <x:c r="A729" s="52" t="n">
        <x:v>46156</x:v>
      </x:c>
      <x:c r="B729" t="str">
        <x:v>PED-100728</x:v>
      </x:c>
      <x:c r="C729" t="str">
        <x:v>Cliente 105</x:v>
      </x:c>
      <x:c r="D729" t="str">
        <x:v>MA</x:v>
      </x:c>
      <x:c r="E729" t="str">
        <x:v>Nordeste</x:v>
      </x:c>
      <x:c r="F729" t="str">
        <x:v>Marketplace</x:v>
      </x:c>
      <x:c r="G729" t="str">
        <x:v>Casa</x:v>
      </x:c>
      <x:c r="H729" t="str">
        <x:v>Cafeteira Smart</x:v>
      </x:c>
      <x:c r="I729" t="str">
        <x:v>Isabela</x:v>
      </x:c>
      <x:c r="J729" s="53" t="n">
        <x:v>6</x:v>
      </x:c>
      <x:c r="K729" s="54" t="n">
        <x:v>805.91</x:v>
      </x:c>
      <x:c r="L729" s="54" t="n">
        <x:v>478.08</x:v>
      </x:c>
      <x:c r="M729" s="55" t="n">
        <x:v>0.035</x:v>
      </x:c>
      <x:c r="N729" s="54" t="n">
        <x:f>ROUND(J729*K729,2)</x:f>
        <x:v>4835.46</x:v>
      </x:c>
      <x:c r="O729" s="54" t="n">
        <x:f>ROUND(N729*(1-M729),2)</x:f>
        <x:v>4666.22</x:v>
      </x:c>
      <x:c r="P729" s="54" t="n">
        <x:f>ROUND(J729*L729,2)</x:f>
        <x:v>2868.48</x:v>
      </x:c>
      <x:c r="Q729" s="54" t="n">
        <x:f>ROUND(O729-P729,2)</x:f>
        <x:v>1797.74</x:v>
      </x:c>
      <x:c r="R729" s="55" t="n">
        <x:f>IF(O729=0,0,ROUND(Q729/O729,4))</x:f>
        <x:v>0.3853</x:v>
      </x:c>
      <x:c r="S729" s="53" t="n">
        <x:v>14</x:v>
      </x:c>
      <x:c r="T729" t="str">
        <x:v>Entregue com atraso</x:v>
      </x:c>
      <x:c r="U729" t="n">
        <x:v>4</x:v>
      </x:c>
      <x:c r="V729" t="str"/>
    </x:row>
    <x:row r="730">
      <x:c r="A730" s="52" t="n">
        <x:v>46077</x:v>
      </x:c>
      <x:c r="B730" t="str">
        <x:v>PED-100729</x:v>
      </x:c>
      <x:c r="C730" t="str">
        <x:v>Cliente 108</x:v>
      </x:c>
      <x:c r="D730" t="str">
        <x:v>PR</x:v>
      </x:c>
      <x:c r="E730" t="str">
        <x:v>Sul</x:v>
      </x:c>
      <x:c r="F730" t="str">
        <x:v>Televendas</x:v>
      </x:c>
      <x:c r="G730" t="str">
        <x:v>Casa</x:v>
      </x:c>
      <x:c r="H730" t="str">
        <x:v>Purificador</x:v>
      </x:c>
      <x:c r="I730" t="str">
        <x:v>Gabriela</x:v>
      </x:c>
      <x:c r="J730" s="53" t="n">
        <x:v>5</x:v>
      </x:c>
      <x:c r="K730" s="54" t="n">
        <x:v>1336.37</x:v>
      </x:c>
      <x:c r="L730" s="54" t="n">
        <x:v>745.87</x:v>
      </x:c>
      <x:c r="M730" s="55" t="n">
        <x:v>0</x:v>
      </x:c>
      <x:c r="N730" s="54" t="n">
        <x:f>ROUND(J730*K730,2)</x:f>
        <x:v>6681.85</x:v>
      </x:c>
      <x:c r="O730" s="54" t="n">
        <x:f>ROUND(N730*(1-M730),2)</x:f>
        <x:v>6681.85</x:v>
      </x:c>
      <x:c r="P730" s="54" t="n">
        <x:f>ROUND(J730*L730,2)</x:f>
        <x:v>3729.35</x:v>
      </x:c>
      <x:c r="Q730" s="54" t="n">
        <x:f>ROUND(O730-P730,2)</x:f>
        <x:v>2952.5</x:v>
      </x:c>
      <x:c r="R730" s="55" t="n">
        <x:f>IF(O730=0,0,ROUND(Q730/O730,4))</x:f>
        <x:v>0.4419</x:v>
      </x:c>
      <x:c r="S730" s="53" t="n">
        <x:v>7</x:v>
      </x:c>
      <x:c r="T730" t="str">
        <x:v>Entregue</x:v>
      </x:c>
      <x:c r="U730" t="n">
        <x:v>4</x:v>
      </x:c>
      <x:c r="V730" t="str"/>
    </x:row>
    <x:row r="731">
      <x:c r="A731" s="52" t="n">
        <x:v>46233</x:v>
      </x:c>
      <x:c r="B731" t="str">
        <x:v>PED-100730</x:v>
      </x:c>
      <x:c r="C731" t="str">
        <x:v>Cliente 118</x:v>
      </x:c>
      <x:c r="D731" t="str">
        <x:v>MT</x:v>
      </x:c>
      <x:c r="E731" t="str">
        <x:v>Centro-Oeste</x:v>
      </x:c>
      <x:c r="F731" t="str">
        <x:v>Loja</x:v>
      </x:c>
      <x:c r="G731" t="str">
        <x:v>Escritório</x:v>
      </x:c>
      <x:c r="H731" t="str">
        <x:v>Mesa Ajustável</x:v>
      </x:c>
      <x:c r="I731" t="str">
        <x:v>Felipe</x:v>
      </x:c>
      <x:c r="J731" s="53" t="n">
        <x:v>2</x:v>
      </x:c>
      <x:c r="K731" s="54" t="n">
        <x:v>2716.7</x:v>
      </x:c>
      <x:c r="L731" s="54" t="n">
        <x:v>1810.26</x:v>
      </x:c>
      <x:c r="M731" s="55" t="n">
        <x:v>0.1232</x:v>
      </x:c>
      <x:c r="N731" s="54" t="n">
        <x:f>ROUND(J731*K731,2)</x:f>
        <x:v>5433.4</x:v>
      </x:c>
      <x:c r="O731" s="54" t="n">
        <x:f>ROUND(N731*(1-M731),2)</x:f>
        <x:v>4764.01</x:v>
      </x:c>
      <x:c r="P731" s="54" t="n">
        <x:f>ROUND(J731*L731,2)</x:f>
        <x:v>3620.52</x:v>
      </x:c>
      <x:c r="Q731" s="54" t="n">
        <x:f>ROUND(O731-P731,2)</x:f>
        <x:v>1143.49</x:v>
      </x:c>
      <x:c r="R731" s="55" t="n">
        <x:f>IF(O731=0,0,ROUND(Q731/O731,4))</x:f>
        <x:v>0.24</x:v>
      </x:c>
      <x:c r="S731" s="53" t="n">
        <x:v>7</x:v>
      </x:c>
      <x:c r="T731" t="str">
        <x:v>Entregue</x:v>
      </x:c>
      <x:c r="U731" t="n">
        <x:v>3</x:v>
      </x:c>
      <x:c r="V731" t="str"/>
    </x:row>
    <x:row r="732">
      <x:c r="A732" s="52" t="n">
        <x:v>46132</x:v>
      </x:c>
      <x:c r="B732" t="str">
        <x:v>PED-100731</x:v>
      </x:c>
      <x:c r="C732" t="str">
        <x:v>Cliente 108</x:v>
      </x:c>
      <x:c r="D732" t="str">
        <x:v>BA</x:v>
      </x:c>
      <x:c r="E732" t="str">
        <x:v>Nordeste</x:v>
      </x:c>
      <x:c r="F732" t="str">
        <x:v>Televendas</x:v>
      </x:c>
      <x:c r="G732" t="str">
        <x:v>Casa</x:v>
      </x:c>
      <x:c r="H732" t="str">
        <x:v>Aspirador Robô</x:v>
      </x:c>
      <x:c r="I732" t="str">
        <x:v>João</x:v>
      </x:c>
      <x:c r="J732" s="53" t="n">
        <x:v>1</x:v>
      </x:c>
      <x:c r="K732" s="54" t="n">
        <x:v>1797.96</x:v>
      </x:c>
      <x:c r="L732" s="54" t="n">
        <x:v>1220.55</x:v>
      </x:c>
      <x:c r="M732" s="55" t="n">
        <x:v>0</x:v>
      </x:c>
      <x:c r="N732" s="54" t="n">
        <x:f>ROUND(J732*K732,2)</x:f>
        <x:v>1797.96</x:v>
      </x:c>
      <x:c r="O732" s="54" t="n">
        <x:f>ROUND(N732*(1-M732),2)</x:f>
        <x:v>1797.96</x:v>
      </x:c>
      <x:c r="P732" s="54" t="n">
        <x:f>ROUND(J732*L732,2)</x:f>
        <x:v>1220.55</x:v>
      </x:c>
      <x:c r="Q732" s="54" t="n">
        <x:f>ROUND(O732-P732,2)</x:f>
        <x:v>577.41</x:v>
      </x:c>
      <x:c r="R732" s="55" t="n">
        <x:f>IF(O732=0,0,ROUND(Q732/O732,4))</x:f>
        <x:v>0.3211</x:v>
      </x:c>
      <x:c r="S732" s="53" t="n">
        <x:v>27</x:v>
      </x:c>
      <x:c r="T732" t="str">
        <x:v>Entregue com atraso</x:v>
      </x:c>
      <x:c r="U732" t="n">
        <x:v>2</x:v>
      </x:c>
      <x:c r="V732" t="str">
        <x:v>Ocorrência logística</x:v>
      </x:c>
    </x:row>
    <x:row r="733">
      <x:c r="A733" s="52" t="n">
        <x:v>46053</x:v>
      </x:c>
      <x:c r="B733" t="str">
        <x:v>PED-100732</x:v>
      </x:c>
      <x:c r="C733" t="str">
        <x:v>Cliente 046</x:v>
      </x:c>
      <x:c r="D733" t="str">
        <x:v>SC</x:v>
      </x:c>
      <x:c r="E733" t="str">
        <x:v>Sul</x:v>
      </x:c>
      <x:c r="F733" t="str">
        <x:v>Televendas</x:v>
      </x:c>
      <x:c r="G733" t="str">
        <x:v>Escritório</x:v>
      </x:c>
      <x:c r="H733" t="str">
        <x:v>Mesa Ajustável</x:v>
      </x:c>
      <x:c r="I733" t="str">
        <x:v>Felipe</x:v>
      </x:c>
      <x:c r="J733" s="53" t="n">
        <x:v>2</x:v>
      </x:c>
      <x:c r="K733" s="54" t="n">
        <x:v>2863.81</x:v>
      </x:c>
      <x:c r="L733" s="54" t="n">
        <x:v>1870.54</x:v>
      </x:c>
      <x:c r="M733" s="55" t="n">
        <x:v>0.1227</x:v>
      </x:c>
      <x:c r="N733" s="54" t="n">
        <x:f>ROUND(J733*K733,2)</x:f>
        <x:v>5727.62</x:v>
      </x:c>
      <x:c r="O733" s="54" t="n">
        <x:f>ROUND(N733*(1-M733),2)</x:f>
        <x:v>5024.84</x:v>
      </x:c>
      <x:c r="P733" s="54" t="n">
        <x:f>ROUND(J733*L733,2)</x:f>
        <x:v>3741.08</x:v>
      </x:c>
      <x:c r="Q733" s="54" t="n">
        <x:f>ROUND(O733-P733,2)</x:f>
        <x:v>1283.76</x:v>
      </x:c>
      <x:c r="R733" s="55" t="n">
        <x:f>IF(O733=0,0,ROUND(Q733/O733,4))</x:f>
        <x:v>0.2555</x:v>
      </x:c>
      <x:c r="S733" s="53" t="n">
        <x:v>13</x:v>
      </x:c>
      <x:c r="T733" t="str">
        <x:v>Entregue com atraso</x:v>
      </x:c>
      <x:c r="U733" t="n">
        <x:v>4</x:v>
      </x:c>
      <x:c r="V733" t="str"/>
    </x:row>
    <x:row r="734">
      <x:c r="A734" s="52" t="n">
        <x:v>46151</x:v>
      </x:c>
      <x:c r="B734" t="str">
        <x:v>PED-100733</x:v>
      </x:c>
      <x:c r="C734" t="str">
        <x:v>Cliente 074</x:v>
      </x:c>
      <x:c r="D734" t="str">
        <x:v>MG</x:v>
      </x:c>
      <x:c r="E734" t="str">
        <x:v>Sudeste</x:v>
      </x:c>
      <x:c r="F734" t="str">
        <x:v>Marketplace</x:v>
      </x:c>
      <x:c r="G734" t="str">
        <x:v>Acessórios</x:v>
      </x:c>
      <x:c r="H734" t="str">
        <x:v>Webcam HD</x:v>
      </x:c>
      <x:c r="I734" t="str">
        <x:v>João</x:v>
      </x:c>
      <x:c r="J734" s="53" t="n">
        <x:v>4</x:v>
      </x:c>
      <x:c r="K734" s="54" t="n">
        <x:v>520.99</x:v>
      </x:c>
      <x:c r="L734" s="54" t="n">
        <x:v>248.1</x:v>
      </x:c>
      <x:c r="M734" s="55" t="n">
        <x:v>0.035</x:v>
      </x:c>
      <x:c r="N734" s="54" t="n">
        <x:f>ROUND(J734*K734,2)</x:f>
        <x:v>2083.96</x:v>
      </x:c>
      <x:c r="O734" s="54" t="n">
        <x:f>ROUND(N734*(1-M734),2)</x:f>
        <x:v>2011.02</x:v>
      </x:c>
      <x:c r="P734" s="54" t="n">
        <x:f>ROUND(J734*L734,2)</x:f>
        <x:v>992.4</x:v>
      </x:c>
      <x:c r="Q734" s="54" t="n">
        <x:f>ROUND(O734-P734,2)</x:f>
        <x:v>1018.62</x:v>
      </x:c>
      <x:c r="R734" s="55" t="n">
        <x:f>IF(O734=0,0,ROUND(Q734/O734,4))</x:f>
        <x:v>0.5065</x:v>
      </x:c>
      <x:c r="S734" s="53" t="n">
        <x:v>7</x:v>
      </x:c>
      <x:c r="T734" t="str">
        <x:v>Entregue</x:v>
      </x:c>
      <x:c r="U734" t="n">
        <x:v>3</x:v>
      </x:c>
      <x:c r="V734" t="str"/>
    </x:row>
    <x:row r="735">
      <x:c r="A735" s="52" t="n">
        <x:v>46043</x:v>
      </x:c>
      <x:c r="B735" t="str">
        <x:v>PED-100734</x:v>
      </x:c>
      <x:c r="C735" t="str">
        <x:v>Cliente 056</x:v>
      </x:c>
      <x:c r="D735" t="str">
        <x:v>SP</x:v>
      </x:c>
      <x:c r="E735" t="str">
        <x:v>Sudeste</x:v>
      </x:c>
      <x:c r="F735" t="str">
        <x:v>Televendas</x:v>
      </x:c>
      <x:c r="G735" t="str">
        <x:v>Escritório</x:v>
      </x:c>
      <x:c r="H735" t="str">
        <x:v>Cadeira Ergonômica</x:v>
      </x:c>
      <x:c r="I735" t="str">
        <x:v>Henrique</x:v>
      </x:c>
      <x:c r="J735" s="53" t="n">
        <x:v>7</x:v>
      </x:c>
      <x:c r="K735" s="54" t="n">
        <x:v>2134.43</x:v>
      </x:c>
      <x:c r="L735" s="54" t="n">
        <x:v>1457.82</x:v>
      </x:c>
      <x:c r="M735" s="55" t="n">
        <x:v>0</x:v>
      </x:c>
      <x:c r="N735" s="54" t="n">
        <x:f>ROUND(J735*K735,2)</x:f>
        <x:v>14941.01</x:v>
      </x:c>
      <x:c r="O735" s="54" t="n">
        <x:f>ROUND(N735*(1-M735),2)</x:f>
        <x:v>14941.01</x:v>
      </x:c>
      <x:c r="P735" s="54" t="n">
        <x:f>ROUND(J735*L735,2)</x:f>
        <x:v>10204.74</x:v>
      </x:c>
      <x:c r="Q735" s="54" t="n">
        <x:f>ROUND(O735-P735,2)</x:f>
        <x:v>4736.27</x:v>
      </x:c>
      <x:c r="R735" s="55" t="n">
        <x:f>IF(O735=0,0,ROUND(Q735/O735,4))</x:f>
        <x:v>0.317</x:v>
      </x:c>
      <x:c r="S735" s="53" t="n">
        <x:v>8</x:v>
      </x:c>
      <x:c r="T735" t="str">
        <x:v>Entregue</x:v>
      </x:c>
      <x:c r="U735" t="n">
        <x:v>2</x:v>
      </x:c>
      <x:c r="V735" t="str"/>
    </x:row>
    <x:row r="736">
      <x:c r="A736" s="52" t="n">
        <x:v>46152</x:v>
      </x:c>
      <x:c r="B736" t="str">
        <x:v>PED-100735</x:v>
      </x:c>
      <x:c r="C736" t="str">
        <x:v>Cliente 070</x:v>
      </x:c>
      <x:c r="D736" t="str">
        <x:v>DF</x:v>
      </x:c>
      <x:c r="E736" t="str">
        <x:v>Centro-Oeste</x:v>
      </x:c>
      <x:c r="F736" t="str">
        <x:v>Televendas</x:v>
      </x:c>
      <x:c r="G736" t="str">
        <x:v>Acessórios</x:v>
      </x:c>
      <x:c r="H736" t="str">
        <x:v>Mochila Executiva</x:v>
      </x:c>
      <x:c r="I736" t="str">
        <x:v>Isabela</x:v>
      </x:c>
      <x:c r="J736" s="53" t="n">
        <x:v>2</x:v>
      </x:c>
      <x:c r="K736" s="54" t="n">
        <x:v>431.06</x:v>
      </x:c>
      <x:c r="L736" s="54" t="n">
        <x:v>198.42</x:v>
      </x:c>
      <x:c r="M736" s="55" t="n">
        <x:v>0.0117</x:v>
      </x:c>
      <x:c r="N736" s="54" t="n">
        <x:f>ROUND(J736*K736,2)</x:f>
        <x:v>862.12</x:v>
      </x:c>
      <x:c r="O736" s="54" t="n">
        <x:f>ROUND(N736*(1-M736),2)</x:f>
        <x:v>852.03</x:v>
      </x:c>
      <x:c r="P736" s="54" t="n">
        <x:f>ROUND(J736*L736,2)</x:f>
        <x:v>396.84</x:v>
      </x:c>
      <x:c r="Q736" s="54" t="n">
        <x:f>ROUND(O736-P736,2)</x:f>
        <x:v>455.19</x:v>
      </x:c>
      <x:c r="R736" s="55" t="n">
        <x:f>IF(O736=0,0,ROUND(Q736/O736,4))</x:f>
        <x:v>0.5342</x:v>
      </x:c>
      <x:c r="S736" s="53" t="n">
        <x:v>13</x:v>
      </x:c>
      <x:c r="T736" t="str">
        <x:v>Entregue com atraso</x:v>
      </x:c>
      <x:c r="U736" t="n">
        <x:v>2</x:v>
      </x:c>
      <x:c r="V736" t="str"/>
    </x:row>
    <x:row r="737">
      <x:c r="A737" s="52" t="n">
        <x:v>46062</x:v>
      </x:c>
      <x:c r="B737" t="str">
        <x:v>PED-100736</x:v>
      </x:c>
      <x:c r="C737" t="str">
        <x:v>Cliente 072</x:v>
      </x:c>
      <x:c r="D737" t="str">
        <x:v>PE</x:v>
      </x:c>
      <x:c r="E737" t="str">
        <x:v>Nordeste</x:v>
      </x:c>
      <x:c r="F737" t="str">
        <x:v>E-commerce</x:v>
      </x:c>
      <x:c r="G737" t="str">
        <x:v>Tecnologia</x:v>
      </x:c>
      <x:c r="H737" t="str">
        <x:v>Notebook Pro</x:v>
      </x:c>
      <x:c r="I737" t="str">
        <x:v>Gabriela</x:v>
      </x:c>
      <x:c r="J737" s="53" t="n">
        <x:v>5</x:v>
      </x:c>
      <x:c r="K737" s="54" t="n">
        <x:v>5997.25</x:v>
      </x:c>
      <x:c r="L737" s="54" t="n">
        <x:v>4331.25</x:v>
      </x:c>
      <x:c r="M737" s="55" t="n">
        <x:v>0.1134</x:v>
      </x:c>
      <x:c r="N737" s="54" t="n">
        <x:f>ROUND(J737*K737,2)</x:f>
        <x:v>29986.25</x:v>
      </x:c>
      <x:c r="O737" s="54" t="n">
        <x:f>ROUND(N737*(1-M737),2)</x:f>
        <x:v>26585.81</x:v>
      </x:c>
      <x:c r="P737" s="54" t="n">
        <x:f>ROUND(J737*L737,2)</x:f>
        <x:v>21656.25</x:v>
      </x:c>
      <x:c r="Q737" s="54" t="n">
        <x:f>ROUND(O737-P737,2)</x:f>
        <x:v>4929.56</x:v>
      </x:c>
      <x:c r="R737" s="55" t="n">
        <x:f>IF(O737=0,0,ROUND(Q737/O737,4))</x:f>
        <x:v>0.1854</x:v>
      </x:c>
      <x:c r="S737" s="53" t="n">
        <x:v>4</x:v>
      </x:c>
      <x:c r="T737" t="str">
        <x:v>Entregue</x:v>
      </x:c>
      <x:c r="U737" t="n">
        <x:v>3</x:v>
      </x:c>
      <x:c r="V737" t="str"/>
    </x:row>
    <x:row r="738">
      <x:c r="A738" s="52" t="n">
        <x:v>46117</x:v>
      </x:c>
      <x:c r="B738" t="str">
        <x:v>PED-100737</x:v>
      </x:c>
      <x:c r="C738" t="str">
        <x:v>Cliente 100</x:v>
      </x:c>
      <x:c r="D738" t="str">
        <x:v>PE</x:v>
      </x:c>
      <x:c r="E738" t="str">
        <x:v>Nordeste</x:v>
      </x:c>
      <x:c r="F738" t="str">
        <x:v>Marketplace</x:v>
      </x:c>
      <x:c r="G738" t="str">
        <x:v>Escritório</x:v>
      </x:c>
      <x:c r="H738" t="str">
        <x:v>Cadeira Ergonômica</x:v>
      </x:c>
      <x:c r="I738" t="str">
        <x:v>Bruno</x:v>
      </x:c>
      <x:c r="J738" s="53" t="n">
        <x:v>2</x:v>
      </x:c>
      <x:c r="K738" s="54" t="n">
        <x:v>2113.67</x:v>
      </x:c>
      <x:c r="L738" s="54" t="n">
        <x:v>1482.48</x:v>
      </x:c>
      <x:c r="M738" s="55" t="n">
        <x:v>0.1024</x:v>
      </x:c>
      <x:c r="N738" s="54" t="n">
        <x:f>ROUND(J738*K738,2)</x:f>
        <x:v>4227.34</x:v>
      </x:c>
      <x:c r="O738" s="54" t="n">
        <x:f>ROUND(N738*(1-M738),2)</x:f>
        <x:v>3794.46</x:v>
      </x:c>
      <x:c r="P738" s="54" t="n">
        <x:f>ROUND(J738*L738,2)</x:f>
        <x:v>2964.96</x:v>
      </x:c>
      <x:c r="Q738" s="54" t="n">
        <x:f>ROUND(O738-P738,2)</x:f>
        <x:v>829.5</x:v>
      </x:c>
      <x:c r="R738" s="55" t="n">
        <x:f>IF(O738=0,0,ROUND(Q738/O738,4))</x:f>
        <x:v>0.2186</x:v>
      </x:c>
      <x:c r="S738" s="53" t="n">
        <x:v>3</x:v>
      </x:c>
      <x:c r="T738" t="str">
        <x:v>Entregue</x:v>
      </x:c>
      <x:c r="U738" t="n">
        <x:v>5</x:v>
      </x:c>
      <x:c r="V738" t="str"/>
    </x:row>
    <x:row r="739">
      <x:c r="A739" s="52" t="n">
        <x:v>46081</x:v>
      </x:c>
      <x:c r="B739" t="str">
        <x:v>PED-100738</x:v>
      </x:c>
      <x:c r="C739" t="str">
        <x:v>Cliente 095</x:v>
      </x:c>
      <x:c r="D739" t="str">
        <x:v>MT</x:v>
      </x:c>
      <x:c r="E739" t="str">
        <x:v>Centro-Oeste</x:v>
      </x:c>
      <x:c r="F739" t="str">
        <x:v>Marketplace</x:v>
      </x:c>
      <x:c r="G739" t="str">
        <x:v>Tecnologia</x:v>
      </x:c>
      <x:c r="H739" t="str">
        <x:v>Notebook Pro</x:v>
      </x:c>
      <x:c r="I739" t="str">
        <x:v>Elaine</x:v>
      </x:c>
      <x:c r="J739" s="53" t="n">
        <x:v>6</x:v>
      </x:c>
      <x:c r="K739" s="54" t="n">
        <x:v>5628.73</x:v>
      </x:c>
      <x:c r="L739" s="54" t="n">
        <x:v>4323.92</x:v>
      </x:c>
      <x:c r="M739" s="55" t="n">
        <x:v>0.1028</x:v>
      </x:c>
      <x:c r="N739" s="54" t="n">
        <x:f>ROUND(J739*K739,2)</x:f>
        <x:v>33772.38</x:v>
      </x:c>
      <x:c r="O739" s="54" t="n">
        <x:f>ROUND(N739*(1-M739),2)</x:f>
        <x:v>30300.58</x:v>
      </x:c>
      <x:c r="P739" s="54" t="n">
        <x:f>ROUND(J739*L739,2)</x:f>
        <x:v>25943.52</x:v>
      </x:c>
      <x:c r="Q739" s="54" t="n">
        <x:f>ROUND(O739-P739,2)</x:f>
        <x:v>4357.06</x:v>
      </x:c>
      <x:c r="R739" s="55" t="n">
        <x:f>IF(O739=0,0,ROUND(Q739/O739,4))</x:f>
        <x:v>0.1438</x:v>
      </x:c>
      <x:c r="S739" s="53" t="n">
        <x:v>5</x:v>
      </x:c>
      <x:c r="T739" t="str">
        <x:v>Entregue</x:v>
      </x:c>
      <x:c r="U739" t="n">
        <x:v>5</x:v>
      </x:c>
      <x:c r="V739" t="str"/>
    </x:row>
    <x:row r="740">
      <x:c r="A740" s="52" t="n">
        <x:v>46152</x:v>
      </x:c>
      <x:c r="B740" t="str">
        <x:v>PED-100739</x:v>
      </x:c>
      <x:c r="C740" t="str">
        <x:v>Cliente 074</x:v>
      </x:c>
      <x:c r="D740" t="str">
        <x:v>GO</x:v>
      </x:c>
      <x:c r="E740" t="str">
        <x:v>Centro-Oeste</x:v>
      </x:c>
      <x:c r="F740" t="str">
        <x:v>Televendas</x:v>
      </x:c>
      <x:c r="G740" t="str">
        <x:v>Casa</x:v>
      </x:c>
      <x:c r="H740" t="str">
        <x:v>Purificador</x:v>
      </x:c>
      <x:c r="I740" t="str">
        <x:v>Ana</x:v>
      </x:c>
      <x:c r="J740" s="53" t="n">
        <x:v>5</x:v>
      </x:c>
      <x:c r="K740" s="54" t="n">
        <x:v>1310.81</x:v>
      </x:c>
      <x:c r="L740" s="54" t="n">
        <x:v>795.57</x:v>
      </x:c>
      <x:c r="M740" s="55" t="n">
        <x:v>0.0735</x:v>
      </x:c>
      <x:c r="N740" s="54" t="n">
        <x:f>ROUND(J740*K740,2)</x:f>
        <x:v>6554.05</x:v>
      </x:c>
      <x:c r="O740" s="54" t="n">
        <x:f>ROUND(N740*(1-M740),2)</x:f>
        <x:v>6072.33</x:v>
      </x:c>
      <x:c r="P740" s="54" t="n">
        <x:f>ROUND(J740*L740,2)</x:f>
        <x:v>3977.85</x:v>
      </x:c>
      <x:c r="Q740" s="54" t="n">
        <x:f>ROUND(O740-P740,2)</x:f>
        <x:v>2094.48</x:v>
      </x:c>
      <x:c r="R740" s="55" t="n">
        <x:f>IF(O740=0,0,ROUND(Q740/O740,4))</x:f>
        <x:v>0.3449</x:v>
      </x:c>
      <x:c r="S740" s="53" t="n">
        <x:v>2</x:v>
      </x:c>
      <x:c r="T740" t="str">
        <x:v>Entregue</x:v>
      </x:c>
      <x:c r="U740" t="n">
        <x:v>3</x:v>
      </x:c>
      <x:c r="V740" t="str"/>
    </x:row>
    <x:row r="741">
      <x:c r="A741" s="52" t="n">
        <x:v>46155</x:v>
      </x:c>
      <x:c r="B741" t="str">
        <x:v>PED-100740</x:v>
      </x:c>
      <x:c r="C741" t="str">
        <x:v>Cliente 036</x:v>
      </x:c>
      <x:c r="D741" t="str">
        <x:v>MG</x:v>
      </x:c>
      <x:c r="E741" t="str">
        <x:v>Sudeste</x:v>
      </x:c>
      <x:c r="F741" t="str">
        <x:v>Televendas</x:v>
      </x:c>
      <x:c r="G741" t="str">
        <x:v>Escritório</x:v>
      </x:c>
      <x:c r="H741" t="str">
        <x:v>Cadeira Ergonômica</x:v>
      </x:c>
      <x:c r="I741" t="str">
        <x:v>Carla</x:v>
      </x:c>
      <x:c r="J741" s="53" t="n">
        <x:v>7</x:v>
      </x:c>
      <x:c r="K741" s="54" t="n">
        <x:v>2283.11</x:v>
      </x:c>
      <x:c r="L741" s="54" t="n">
        <x:v>1364.25</x:v>
      </x:c>
      <x:c r="M741" s="55" t="n">
        <x:v>0.0959</x:v>
      </x:c>
      <x:c r="N741" s="54" t="n">
        <x:f>ROUND(J741*K741,2)</x:f>
        <x:v>15981.77</x:v>
      </x:c>
      <x:c r="O741" s="54" t="n">
        <x:f>ROUND(N741*(1-M741),2)</x:f>
        <x:v>14449.12</x:v>
      </x:c>
      <x:c r="P741" s="54" t="n">
        <x:f>ROUND(J741*L741,2)</x:f>
        <x:v>9549.75</x:v>
      </x:c>
      <x:c r="Q741" s="54" t="n">
        <x:f>ROUND(O741-P741,2)</x:f>
        <x:v>4899.37</x:v>
      </x:c>
      <x:c r="R741" s="55" t="n">
        <x:f>IF(O741=0,0,ROUND(Q741/O741,4))</x:f>
        <x:v>0.3391</x:v>
      </x:c>
      <x:c r="S741" s="53" t="n">
        <x:v>12</x:v>
      </x:c>
      <x:c r="T741" t="str">
        <x:v>Entregue com atraso</x:v>
      </x:c>
      <x:c r="U741" t="n">
        <x:v>2</x:v>
      </x:c>
      <x:c r="V741" t="str"/>
    </x:row>
    <x:row r="742">
      <x:c r="A742" s="52" t="n">
        <x:v>46219</x:v>
      </x:c>
      <x:c r="B742" t="str">
        <x:v>PED-100741</x:v>
      </x:c>
      <x:c r="C742" t="str">
        <x:v>Cliente 040</x:v>
      </x:c>
      <x:c r="D742" t="str">
        <x:v>MA</x:v>
      </x:c>
      <x:c r="E742" t="str">
        <x:v>Nordeste</x:v>
      </x:c>
      <x:c r="F742" t="str">
        <x:v>Loja</x:v>
      </x:c>
      <x:c r="G742" t="str">
        <x:v>Escritório</x:v>
      </x:c>
      <x:c r="H742" t="str">
        <x:v>Luminária LED</x:v>
      </x:c>
      <x:c r="I742" t="str">
        <x:v>Isabela</x:v>
      </x:c>
      <x:c r="J742" s="53" t="n">
        <x:v>2</x:v>
      </x:c>
      <x:c r="K742" s="54" t="n">
        <x:v>263.64</x:v>
      </x:c>
      <x:c r="L742" s="54" t="n">
        <x:v>118.22</x:v>
      </x:c>
      <x:c r="M742" s="55" t="n">
        <x:v>0.1258</x:v>
      </x:c>
      <x:c r="N742" s="54" t="n">
        <x:f>ROUND(J742*K742,2)</x:f>
        <x:v>527.28</x:v>
      </x:c>
      <x:c r="O742" s="54" t="n">
        <x:f>ROUND(N742*(1-M742),2)</x:f>
        <x:v>460.95</x:v>
      </x:c>
      <x:c r="P742" s="54" t="n">
        <x:f>ROUND(J742*L742,2)</x:f>
        <x:v>236.44</x:v>
      </x:c>
      <x:c r="Q742" s="54" t="n">
        <x:f>ROUND(O742-P742,2)</x:f>
        <x:v>224.51</x:v>
      </x:c>
      <x:c r="R742" s="55" t="n">
        <x:f>IF(O742=0,0,ROUND(Q742/O742,4))</x:f>
        <x:v>0.4871</x:v>
      </x:c>
      <x:c r="S742" s="53" t="n">
        <x:v>10</x:v>
      </x:c>
      <x:c r="T742" t="str">
        <x:v>Entregue</x:v>
      </x:c>
      <x:c r="U742" t="n">
        <x:v>2</x:v>
      </x:c>
      <x:c r="V742" t="str"/>
    </x:row>
    <x:row r="743">
      <x:c r="A743" s="52" t="n">
        <x:v>46184</x:v>
      </x:c>
      <x:c r="B743" t="str">
        <x:v>PED-100742</x:v>
      </x:c>
      <x:c r="C743" t="str">
        <x:v>Cliente 113</x:v>
      </x:c>
      <x:c r="D743" t="str">
        <x:v>MG</x:v>
      </x:c>
      <x:c r="E743" t="str">
        <x:v>Sudeste</x:v>
      </x:c>
      <x:c r="F743" t="str">
        <x:v>E-commerce</x:v>
      </x:c>
      <x:c r="G743" t="str">
        <x:v>Tecnologia</x:v>
      </x:c>
      <x:c r="H743" t="str">
        <x:v>Monitor 27</x:v>
      </x:c>
      <x:c r="I743" t="str">
        <x:v>Bruno</x:v>
      </x:c>
      <x:c r="J743" s="53" t="n">
        <x:v>7</x:v>
      </x:c>
      <x:c r="K743" s="54" t="n">
        <x:v>1678.78</x:v>
      </x:c>
      <x:c r="L743" s="54" t="n">
        <x:v>1125.95</x:v>
      </x:c>
      <x:c r="M743" s="55" t="n">
        <x:v>0</x:v>
      </x:c>
      <x:c r="N743" s="54" t="n">
        <x:f>ROUND(J743*K743,2)</x:f>
        <x:v>11751.46</x:v>
      </x:c>
      <x:c r="O743" s="54" t="n">
        <x:f>ROUND(N743*(1-M743),2)</x:f>
        <x:v>11751.46</x:v>
      </x:c>
      <x:c r="P743" s="54" t="n">
        <x:f>ROUND(J743*L743,2)</x:f>
        <x:v>7881.65</x:v>
      </x:c>
      <x:c r="Q743" s="54" t="n">
        <x:f>ROUND(O743-P743,2)</x:f>
        <x:v>3869.81</x:v>
      </x:c>
      <x:c r="R743" s="55" t="n">
        <x:f>IF(O743=0,0,ROUND(Q743/O743,4))</x:f>
        <x:v>0.3293</x:v>
      </x:c>
      <x:c r="S743" s="53" t="n">
        <x:v>3</x:v>
      </x:c>
      <x:c r="T743" t="str">
        <x:v>Entregue</x:v>
      </x:c>
      <x:c r="U743" t="n">
        <x:v>4</x:v>
      </x:c>
      <x:c r="V743" t="str"/>
    </x:row>
    <x:row r="744">
      <x:c r="A744" s="52" t="n">
        <x:v>46050</x:v>
      </x:c>
      <x:c r="B744" t="str">
        <x:v>PED-100743</x:v>
      </x:c>
      <x:c r="C744" t="str">
        <x:v>Cliente 010</x:v>
      </x:c>
      <x:c r="D744" t="str">
        <x:v>CE</x:v>
      </x:c>
      <x:c r="E744" t="str">
        <x:v>Nordeste</x:v>
      </x:c>
      <x:c r="F744" t="str">
        <x:v>E-commerce</x:v>
      </x:c>
      <x:c r="G744" t="str">
        <x:v>Casa</x:v>
      </x:c>
      <x:c r="H744" t="str">
        <x:v>Aspirador Robô</x:v>
      </x:c>
      <x:c r="I744" t="str">
        <x:v>Carla</x:v>
      </x:c>
      <x:c r="J744" s="53" t="n">
        <x:v>5</x:v>
      </x:c>
      <x:c r="K744" s="54" t="n">
        <x:v>1834.99</x:v>
      </x:c>
      <x:c r="L744" s="54" t="n">
        <x:v>1227.01</x:v>
      </x:c>
      <x:c r="M744" s="55" t="n">
        <x:v>0</x:v>
      </x:c>
      <x:c r="N744" s="54" t="n">
        <x:f>ROUND(J744*K744,2)</x:f>
        <x:v>9174.95</x:v>
      </x:c>
      <x:c r="O744" s="54" t="n">
        <x:f>ROUND(N744*(1-M744),2)</x:f>
        <x:v>9174.95</x:v>
      </x:c>
      <x:c r="P744" s="54" t="n">
        <x:f>ROUND(J744*L744,2)</x:f>
        <x:v>6135.05</x:v>
      </x:c>
      <x:c r="Q744" s="54" t="n">
        <x:f>ROUND(O744-P744,2)</x:f>
        <x:v>3039.9</x:v>
      </x:c>
      <x:c r="R744" s="55" t="n">
        <x:f>IF(O744=0,0,ROUND(Q744/O744,4))</x:f>
        <x:v>0.3313</x:v>
      </x:c>
      <x:c r="S744" s="53" t="n">
        <x:v>7</x:v>
      </x:c>
      <x:c r="T744" t="str">
        <x:v>Entregue</x:v>
      </x:c>
      <x:c r="U744" t="n">
        <x:v>4</x:v>
      </x:c>
      <x:c r="V744" t="str"/>
    </x:row>
    <x:row r="745">
      <x:c r="A745" s="52" t="n">
        <x:v>46117</x:v>
      </x:c>
      <x:c r="B745" t="str">
        <x:v>PED-100744</x:v>
      </x:c>
      <x:c r="C745" t="str">
        <x:v>Cliente 035</x:v>
      </x:c>
      <x:c r="D745" t="str">
        <x:v>BA</x:v>
      </x:c>
      <x:c r="E745" t="str">
        <x:v>Nordeste</x:v>
      </x:c>
      <x:c r="F745" t="str">
        <x:v>Marketplace</x:v>
      </x:c>
      <x:c r="G745" t="str">
        <x:v>Casa</x:v>
      </x:c>
      <x:c r="H745" t="str">
        <x:v>Cafeteira Smart</x:v>
      </x:c>
      <x:c r="I745" t="str">
        <x:v>João</x:v>
      </x:c>
      <x:c r="J745" s="53" t="n">
        <x:v>8</x:v>
      </x:c>
      <x:c r="K745" s="54" t="n">
        <x:v>776.65</x:v>
      </x:c>
      <x:c r="L745" s="54" t="n">
        <x:v>485.52</x:v>
      </x:c>
      <x:c r="M745" s="55" t="n">
        <x:v>0.0565</x:v>
      </x:c>
      <x:c r="N745" s="54" t="n">
        <x:f>ROUND(J745*K745,2)</x:f>
        <x:v>6213.2</x:v>
      </x:c>
      <x:c r="O745" s="54" t="n">
        <x:f>ROUND(N745*(1-M745),2)</x:f>
        <x:v>5862.15</x:v>
      </x:c>
      <x:c r="P745" s="54" t="n">
        <x:f>ROUND(J745*L745,2)</x:f>
        <x:v>3884.16</x:v>
      </x:c>
      <x:c r="Q745" s="54" t="n">
        <x:f>ROUND(O745-P745,2)</x:f>
        <x:v>1977.99</x:v>
      </x:c>
      <x:c r="R745" s="55" t="n">
        <x:f>IF(O745=0,0,ROUND(Q745/O745,4))</x:f>
        <x:v>0.3374</x:v>
      </x:c>
      <x:c r="S745" s="53" t="n">
        <x:v>13</x:v>
      </x:c>
      <x:c r="T745" t="str">
        <x:v>Entregue com atraso</x:v>
      </x:c>
      <x:c r="U745" t="n">
        <x:v>4</x:v>
      </x:c>
      <x:c r="V745" t="str"/>
    </x:row>
    <x:row r="746">
      <x:c r="A746" s="52" t="n">
        <x:v>46152</x:v>
      </x:c>
      <x:c r="B746" t="str">
        <x:v>PED-100745</x:v>
      </x:c>
      <x:c r="C746" t="str">
        <x:v>Cliente 056</x:v>
      </x:c>
      <x:c r="D746" t="str">
        <x:v>MG</x:v>
      </x:c>
      <x:c r="E746" t="str">
        <x:v>Sudeste</x:v>
      </x:c>
      <x:c r="F746" t="str">
        <x:v>Marketplace</x:v>
      </x:c>
      <x:c r="G746" t="str">
        <x:v>Escritório</x:v>
      </x:c>
      <x:c r="H746" t="str">
        <x:v>Mesa Ajustável</x:v>
      </x:c>
      <x:c r="I746" t="str">
        <x:v>Felipe</x:v>
      </x:c>
      <x:c r="J746" s="53" t="n">
        <x:v>3</x:v>
      </x:c>
      <x:c r="K746" s="54" t="n">
        <x:v>2680.47</x:v>
      </x:c>
      <x:c r="L746" s="54" t="n">
        <x:v>1890.57</x:v>
      </x:c>
      <x:c r="M746" s="55" t="n">
        <x:v>0.1022</x:v>
      </x:c>
      <x:c r="N746" s="54" t="n">
        <x:f>ROUND(J746*K746,2)</x:f>
        <x:v>8041.41</x:v>
      </x:c>
      <x:c r="O746" s="54" t="n">
        <x:f>ROUND(N746*(1-M746),2)</x:f>
        <x:v>7219.58</x:v>
      </x:c>
      <x:c r="P746" s="54" t="n">
        <x:f>ROUND(J746*L746,2)</x:f>
        <x:v>5671.71</x:v>
      </x:c>
      <x:c r="Q746" s="54" t="n">
        <x:f>ROUND(O746-P746,2)</x:f>
        <x:v>1547.87</x:v>
      </x:c>
      <x:c r="R746" s="55" t="n">
        <x:f>IF(O746=0,0,ROUND(Q746/O746,4))</x:f>
        <x:v>0.2144</x:v>
      </x:c>
      <x:c r="S746" s="53" t="n">
        <x:v>11</x:v>
      </x:c>
      <x:c r="T746" t="str">
        <x:v>Entregue com atraso</x:v>
      </x:c>
      <x:c r="U746" t="n">
        <x:v>2</x:v>
      </x:c>
      <x:c r="V746" t="str"/>
    </x:row>
    <x:row r="747">
      <x:c r="A747" s="52" t="n">
        <x:v>46232</x:v>
      </x:c>
      <x:c r="B747" t="str">
        <x:v>PED-100746</x:v>
      </x:c>
      <x:c r="C747" t="str">
        <x:v>Cliente 009</x:v>
      </x:c>
      <x:c r="D747" t="str">
        <x:v>MT</x:v>
      </x:c>
      <x:c r="E747" t="str">
        <x:v>Centro-Oeste</x:v>
      </x:c>
      <x:c r="F747" t="str">
        <x:v>E-commerce</x:v>
      </x:c>
      <x:c r="G747" t="str">
        <x:v>Acessórios</x:v>
      </x:c>
      <x:c r="H747" t="str">
        <x:v>Hub USB-C</x:v>
      </x:c>
      <x:c r="I747" t="str">
        <x:v>Carla</x:v>
      </x:c>
      <x:c r="J747" s="53" t="n">
        <x:v>5</x:v>
      </x:c>
      <x:c r="K747" s="54" t="n">
        <x:v>324.31</x:v>
      </x:c>
      <x:c r="L747" s="54" t="n">
        <x:v>141.25</x:v>
      </x:c>
      <x:c r="M747" s="55" t="n">
        <x:v>0.0858</x:v>
      </x:c>
      <x:c r="N747" s="54" t="n">
        <x:f>ROUND(J747*K747,2)</x:f>
        <x:v>1621.55</x:v>
      </x:c>
      <x:c r="O747" s="54" t="n">
        <x:f>ROUND(N747*(1-M747),2)</x:f>
        <x:v>1482.42</x:v>
      </x:c>
      <x:c r="P747" s="54" t="n">
        <x:f>ROUND(J747*L747,2)</x:f>
        <x:v>706.25</x:v>
      </x:c>
      <x:c r="Q747" s="54" t="n">
        <x:f>ROUND(O747-P747,2)</x:f>
        <x:v>776.17</x:v>
      </x:c>
      <x:c r="R747" s="55" t="n">
        <x:f>IF(O747=0,0,ROUND(Q747/O747,4))</x:f>
        <x:v>0.5236</x:v>
      </x:c>
      <x:c r="S747" s="53" t="n">
        <x:v>8</x:v>
      </x:c>
      <x:c r="T747" t="str">
        <x:v>Entregue</x:v>
      </x:c>
      <x:c r="U747" t="n">
        <x:v>5</x:v>
      </x:c>
      <x:c r="V747" t="str"/>
    </x:row>
    <x:row r="748">
      <x:c r="A748" s="52" t="n">
        <x:v>46111</x:v>
      </x:c>
      <x:c r="B748" t="str">
        <x:v>PED-100747</x:v>
      </x:c>
      <x:c r="C748" t="str">
        <x:v>Cliente 085</x:v>
      </x:c>
      <x:c r="D748" t="str">
        <x:v>RJ</x:v>
      </x:c>
      <x:c r="E748" t="str">
        <x:v>Sudeste</x:v>
      </x:c>
      <x:c r="F748" t="str">
        <x:v>Marketplace</x:v>
      </x:c>
      <x:c r="G748" t="str">
        <x:v>Casa</x:v>
      </x:c>
      <x:c r="H748" t="str">
        <x:v>Aspirador Robô</x:v>
      </x:c>
      <x:c r="I748" t="str">
        <x:v>Bruno</x:v>
      </x:c>
      <x:c r="J748" s="53" t="n">
        <x:v>1</x:v>
      </x:c>
      <x:c r="K748" s="54" t="n">
        <x:v>1927.57</x:v>
      </x:c>
      <x:c r="L748" s="54" t="n">
        <x:v>1159.89</x:v>
      </x:c>
      <x:c r="M748" s="55" t="n">
        <x:v>0.0957</x:v>
      </x:c>
      <x:c r="N748" s="54" t="n">
        <x:f>ROUND(J748*K748,2)</x:f>
        <x:v>1927.57</x:v>
      </x:c>
      <x:c r="O748" s="54" t="n">
        <x:f>ROUND(N748*(1-M748),2)</x:f>
        <x:v>1743.1</x:v>
      </x:c>
      <x:c r="P748" s="54" t="n">
        <x:f>ROUND(J748*L748,2)</x:f>
        <x:v>1159.89</x:v>
      </x:c>
      <x:c r="Q748" s="54" t="n">
        <x:f>ROUND(O748-P748,2)</x:f>
        <x:v>583.21</x:v>
      </x:c>
      <x:c r="R748" s="55" t="n">
        <x:f>IF(O748=0,0,ROUND(Q748/O748,4))</x:f>
        <x:v>0.3346</x:v>
      </x:c>
      <x:c r="S748" s="53" t="n">
        <x:v>11</x:v>
      </x:c>
      <x:c r="T748" t="str">
        <x:v>Entregue com atraso</x:v>
      </x:c>
      <x:c r="U748" t="n">
        <x:v>2</x:v>
      </x:c>
      <x:c r="V748" t="str"/>
    </x:row>
    <x:row r="749">
      <x:c r="A749" s="52" t="n">
        <x:v>46032</x:v>
      </x:c>
      <x:c r="B749" t="str">
        <x:v>PED-100748</x:v>
      </x:c>
      <x:c r="C749" t="str">
        <x:v>Cliente 107</x:v>
      </x:c>
      <x:c r="D749" t="str">
        <x:v>AM</x:v>
      </x:c>
      <x:c r="E749" t="str">
        <x:v>Norte</x:v>
      </x:c>
      <x:c r="F749" t="str">
        <x:v>Marketplace</x:v>
      </x:c>
      <x:c r="G749" t="str">
        <x:v>Tecnologia</x:v>
      </x:c>
      <x:c r="H749" t="str">
        <x:v>Monitor 27</x:v>
      </x:c>
      <x:c r="I749" t="str">
        <x:v>Ana</x:v>
      </x:c>
      <x:c r="J749" s="53" t="n">
        <x:v>2</x:v>
      </x:c>
      <x:c r="K749" s="54" t="n">
        <x:v>1660.13</x:v>
      </x:c>
      <x:c r="L749" s="54" t="n">
        <x:v>1115.52</x:v>
      </x:c>
      <x:c r="M749" s="55" t="n">
        <x:v>0.1116</x:v>
      </x:c>
      <x:c r="N749" s="54" t="n">
        <x:f>ROUND(J749*K749,2)</x:f>
        <x:v>3320.26</x:v>
      </x:c>
      <x:c r="O749" s="54" t="n">
        <x:f>ROUND(N749*(1-M749),2)</x:f>
        <x:v>2949.72</x:v>
      </x:c>
      <x:c r="P749" s="54" t="n">
        <x:f>ROUND(J749*L749,2)</x:f>
        <x:v>2231.04</x:v>
      </x:c>
      <x:c r="Q749" s="54" t="n">
        <x:f>ROUND(O749-P749,2)</x:f>
        <x:v>718.68</x:v>
      </x:c>
      <x:c r="R749" s="55" t="n">
        <x:f>IF(O749=0,0,ROUND(Q749/O749,4))</x:f>
        <x:v>0.2436</x:v>
      </x:c>
      <x:c r="S749" s="53" t="n">
        <x:v>12</x:v>
      </x:c>
      <x:c r="T749" t="str">
        <x:v>Entregue com atraso</x:v>
      </x:c>
      <x:c r="U749" t="n">
        <x:v>4</x:v>
      </x:c>
      <x:c r="V749" t="str"/>
    </x:row>
    <x:row r="750">
      <x:c r="A750" s="52" t="n">
        <x:v>46128</x:v>
      </x:c>
      <x:c r="B750" t="str">
        <x:v>PED-100749</x:v>
      </x:c>
      <x:c r="C750" t="str">
        <x:v>Cliente 026</x:v>
      </x:c>
      <x:c r="D750" t="str">
        <x:v>MA</x:v>
      </x:c>
      <x:c r="E750" t="str">
        <x:v>Nordeste</x:v>
      </x:c>
      <x:c r="F750" t="str">
        <x:v>Loja</x:v>
      </x:c>
      <x:c r="G750" t="str">
        <x:v>Casa</x:v>
      </x:c>
      <x:c r="H750" t="str">
        <x:v>Aspirador Robô</x:v>
      </x:c>
      <x:c r="I750" t="str">
        <x:v>Henrique</x:v>
      </x:c>
      <x:c r="J750" s="53" t="n">
        <x:v>2</x:v>
      </x:c>
      <x:c r="K750" s="54" t="n">
        <x:v>1857.13</x:v>
      </x:c>
      <x:c r="L750" s="54" t="n">
        <x:v>1192.84</x:v>
      </x:c>
      <x:c r="M750" s="55" t="n">
        <x:v>0.0889</x:v>
      </x:c>
      <x:c r="N750" s="54" t="n">
        <x:f>ROUND(J750*K750,2)</x:f>
        <x:v>3714.26</x:v>
      </x:c>
      <x:c r="O750" s="54" t="n">
        <x:f>ROUND(N750*(1-M750),2)</x:f>
        <x:v>3384.06</x:v>
      </x:c>
      <x:c r="P750" s="54" t="n">
        <x:f>ROUND(J750*L750,2)</x:f>
        <x:v>2385.68</x:v>
      </x:c>
      <x:c r="Q750" s="54" t="n">
        <x:f>ROUND(O750-P750,2)</x:f>
        <x:v>998.38</x:v>
      </x:c>
      <x:c r="R750" s="55" t="n">
        <x:f>IF(O750=0,0,ROUND(Q750/O750,4))</x:f>
        <x:v>0.295</x:v>
      </x:c>
      <x:c r="S750" s="53" t="n">
        <x:v>6</x:v>
      </x:c>
      <x:c r="T750" t="str">
        <x:v>Entregue</x:v>
      </x:c>
      <x:c r="U750" t="n">
        <x:v>3</x:v>
      </x:c>
      <x:c r="V750" t="str"/>
    </x:row>
    <x:row r="751">
      <x:c r="A751" s="52" t="n">
        <x:v>46186</x:v>
      </x:c>
      <x:c r="B751" t="str">
        <x:v>PED-100750</x:v>
      </x:c>
      <x:c r="C751" t="str">
        <x:v>Cliente 058</x:v>
      </x:c>
      <x:c r="D751" t="str">
        <x:v>DF</x:v>
      </x:c>
      <x:c r="E751" t="str">
        <x:v>Centro-Oeste</x:v>
      </x:c>
      <x:c r="F751" t="str">
        <x:v>Marketplace</x:v>
      </x:c>
      <x:c r="G751" t="str">
        <x:v>Escritório</x:v>
      </x:c>
      <x:c r="H751" t="str">
        <x:v>Cadeira Ergonômica</x:v>
      </x:c>
      <x:c r="I751" t="str">
        <x:v>Felipe</x:v>
      </x:c>
      <x:c r="J751" s="53" t="n">
        <x:v>8</x:v>
      </x:c>
      <x:c r="K751" s="54" t="n">
        <x:v>2245.28</x:v>
      </x:c>
      <x:c r="L751" s="54" t="n">
        <x:v>1374.22</x:v>
      </x:c>
      <x:c r="M751" s="55" t="n">
        <x:v>0.035</x:v>
      </x:c>
      <x:c r="N751" s="54" t="n">
        <x:f>ROUND(J751*K751,2)</x:f>
        <x:v>17962.24</x:v>
      </x:c>
      <x:c r="O751" s="54" t="n">
        <x:f>ROUND(N751*(1-M751),2)</x:f>
        <x:v>17333.56</x:v>
      </x:c>
      <x:c r="P751" s="54" t="n">
        <x:f>ROUND(J751*L751,2)</x:f>
        <x:v>10993.76</x:v>
      </x:c>
      <x:c r="Q751" s="54" t="n">
        <x:f>ROUND(O751-P751,2)</x:f>
        <x:v>6339.8</x:v>
      </x:c>
      <x:c r="R751" s="55" t="n">
        <x:f>IF(O751=0,0,ROUND(Q751/O751,4))</x:f>
        <x:v>0.3658</x:v>
      </x:c>
      <x:c r="S751" s="53" t="n">
        <x:v>8</x:v>
      </x:c>
      <x:c r="T751" t="str">
        <x:v>Entregue</x:v>
      </x:c>
      <x:c r="U751" t="n">
        <x:v>2</x:v>
      </x:c>
      <x:c r="V751" t="str"/>
    </x:row>
    <x:row r="752">
      <x:c r="A752" s="52" t="n">
        <x:v>46142</x:v>
      </x:c>
      <x:c r="B752" t="str">
        <x:v>PED-100751</x:v>
      </x:c>
      <x:c r="C752" t="str">
        <x:v>Cliente 024</x:v>
      </x:c>
      <x:c r="D752" t="str">
        <x:v>PA</x:v>
      </x:c>
      <x:c r="E752" t="str">
        <x:v>Norte</x:v>
      </x:c>
      <x:c r="F752" t="str">
        <x:v>Loja</x:v>
      </x:c>
      <x:c r="G752" t="str">
        <x:v>Tecnologia</x:v>
      </x:c>
      <x:c r="H752" t="str">
        <x:v>Monitor 27</x:v>
      </x:c>
      <x:c r="I752" t="str">
        <x:v>Ana</x:v>
      </x:c>
      <x:c r="J752" s="53" t="n">
        <x:v>2</x:v>
      </x:c>
      <x:c r="K752" s="54" t="n">
        <x:v>1603.33</x:v>
      </x:c>
      <x:c r="L752" s="54" t="n">
        <x:v>1127.82</x:v>
      </x:c>
      <x:c r="M752" s="55" t="n">
        <x:v>0</x:v>
      </x:c>
      <x:c r="N752" s="54" t="n">
        <x:f>ROUND(J752*K752,2)</x:f>
        <x:v>3206.66</x:v>
      </x:c>
      <x:c r="O752" s="54" t="n">
        <x:f>ROUND(N752*(1-M752),2)</x:f>
        <x:v>3206.66</x:v>
      </x:c>
      <x:c r="P752" s="54" t="n">
        <x:f>ROUND(J752*L752,2)</x:f>
        <x:v>2255.64</x:v>
      </x:c>
      <x:c r="Q752" s="54" t="n">
        <x:f>ROUND(O752-P752,2)</x:f>
        <x:v>951.02</x:v>
      </x:c>
      <x:c r="R752" s="55" t="n">
        <x:f>IF(O752=0,0,ROUND(Q752/O752,4))</x:f>
        <x:v>0.2966</x:v>
      </x:c>
      <x:c r="S752" s="53" t="n">
        <x:v>13</x:v>
      </x:c>
      <x:c r="T752" t="str">
        <x:v>Entregue com atraso</x:v>
      </x:c>
      <x:c r="U752" t="n">
        <x:v>4</x:v>
      </x:c>
      <x:c r="V752" t="str"/>
    </x:row>
    <x:row r="753">
      <x:c r="A753" s="52" t="n">
        <x:v>46095</x:v>
      </x:c>
      <x:c r="B753" t="str">
        <x:v>PED-100752</x:v>
      </x:c>
      <x:c r="C753" t="str">
        <x:v>Cliente 069</x:v>
      </x:c>
      <x:c r="D753" t="str">
        <x:v>AM</x:v>
      </x:c>
      <x:c r="E753" t="str">
        <x:v>Norte</x:v>
      </x:c>
      <x:c r="F753" t="str">
        <x:v>Marketplace</x:v>
      </x:c>
      <x:c r="G753" t="str">
        <x:v>Tecnologia</x:v>
      </x:c>
      <x:c r="H753" t="str">
        <x:v>Notebook Pro</x:v>
      </x:c>
      <x:c r="I753" t="str">
        <x:v>Carla</x:v>
      </x:c>
      <x:c r="J753" s="53" t="n">
        <x:v>2</x:v>
      </x:c>
      <x:c r="K753" s="54" t="n">
        <x:v>5964.88</x:v>
      </x:c>
      <x:c r="L753" s="54" t="n">
        <x:v>4380.36</x:v>
      </x:c>
      <x:c r="M753" s="55" t="n">
        <x:v>0.0584</x:v>
      </x:c>
      <x:c r="N753" s="54" t="n">
        <x:f>ROUND(J753*K753,2)</x:f>
        <x:v>11929.76</x:v>
      </x:c>
      <x:c r="O753" s="54" t="n">
        <x:f>ROUND(N753*(1-M753),2)</x:f>
        <x:v>11233.06</x:v>
      </x:c>
      <x:c r="P753" s="54" t="n">
        <x:f>ROUND(J753*L753,2)</x:f>
        <x:v>8760.72</x:v>
      </x:c>
      <x:c r="Q753" s="54" t="n">
        <x:f>ROUND(O753-P753,2)</x:f>
        <x:v>2472.34</x:v>
      </x:c>
      <x:c r="R753" s="55" t="n">
        <x:f>IF(O753=0,0,ROUND(Q753/O753,4))</x:f>
        <x:v>0.2201</x:v>
      </x:c>
      <x:c r="S753" s="53" t="n">
        <x:v>6</x:v>
      </x:c>
      <x:c r="T753" t="str">
        <x:v>Entregue</x:v>
      </x:c>
      <x:c r="U753" t="n">
        <x:v>4</x:v>
      </x:c>
      <x:c r="V753" t="str"/>
    </x:row>
    <x:row r="754">
      <x:c r="A754" s="52" t="n">
        <x:v>46185</x:v>
      </x:c>
      <x:c r="B754" t="str">
        <x:v>PED-100753</x:v>
      </x:c>
      <x:c r="C754" t="str">
        <x:v>Cliente 110</x:v>
      </x:c>
      <x:c r="D754" t="str">
        <x:v>PE</x:v>
      </x:c>
      <x:c r="E754" t="str">
        <x:v>Nordeste</x:v>
      </x:c>
      <x:c r="F754" t="str">
        <x:v>Marketplace</x:v>
      </x:c>
      <x:c r="G754" t="str">
        <x:v>Tecnologia</x:v>
      </x:c>
      <x:c r="H754" t="str">
        <x:v>Headset Office</x:v>
      </x:c>
      <x:c r="I754" t="str">
        <x:v>Henrique</x:v>
      </x:c>
      <x:c r="J754" s="53" t="n">
        <x:v>2</x:v>
      </x:c>
      <x:c r="K754" s="54" t="n">
        <x:v>369.03</x:v>
      </x:c>
      <x:c r="L754" s="54" t="n">
        <x:v>211.53</x:v>
      </x:c>
      <x:c r="M754" s="55" t="n">
        <x:v>0.0834</x:v>
      </x:c>
      <x:c r="N754" s="54" t="n">
        <x:f>ROUND(J754*K754,2)</x:f>
        <x:v>738.06</x:v>
      </x:c>
      <x:c r="O754" s="54" t="n">
        <x:f>ROUND(N754*(1-M754),2)</x:f>
        <x:v>676.51</x:v>
      </x:c>
      <x:c r="P754" s="54" t="n">
        <x:f>ROUND(J754*L754,2)</x:f>
        <x:v>423.06</x:v>
      </x:c>
      <x:c r="Q754" s="54" t="n">
        <x:f>ROUND(O754-P754,2)</x:f>
        <x:v>253.45</x:v>
      </x:c>
      <x:c r="R754" s="55" t="n">
        <x:f>IF(O754=0,0,ROUND(Q754/O754,4))</x:f>
        <x:v>0.3746</x:v>
      </x:c>
      <x:c r="S754" s="53" t="n">
        <x:v>3</x:v>
      </x:c>
      <x:c r="T754" t="str">
        <x:v>Entregue</x:v>
      </x:c>
      <x:c r="U754" t="n">
        <x:v>3</x:v>
      </x:c>
      <x:c r="V754" t="str"/>
    </x:row>
    <x:row r="755">
      <x:c r="A755" s="52" t="n">
        <x:v>46150</x:v>
      </x:c>
      <x:c r="B755" t="str">
        <x:v>PED-100754</x:v>
      </x:c>
      <x:c r="C755" t="str">
        <x:v>Cliente 055</x:v>
      </x:c>
      <x:c r="D755" t="str">
        <x:v>MG</x:v>
      </x:c>
      <x:c r="E755" t="str">
        <x:v>Sudeste</x:v>
      </x:c>
      <x:c r="F755" t="str">
        <x:v>Marketplace</x:v>
      </x:c>
      <x:c r="G755" t="str">
        <x:v>Acessórios</x:v>
      </x:c>
      <x:c r="H755" t="str">
        <x:v>Mochila Executiva</x:v>
      </x:c>
      <x:c r="I755" t="str">
        <x:v>Ana</x:v>
      </x:c>
      <x:c r="J755" s="53" t="n">
        <x:v>6</x:v>
      </x:c>
      <x:c r="K755" s="54" t="n">
        <x:v>446.64</x:v>
      </x:c>
      <x:c r="L755" s="54" t="n">
        <x:v>182.98</x:v>
      </x:c>
      <x:c r="M755" s="55" t="n">
        <x:v>0.0743</x:v>
      </x:c>
      <x:c r="N755" s="54" t="n">
        <x:f>ROUND(J755*K755,2)</x:f>
        <x:v>2679.84</x:v>
      </x:c>
      <x:c r="O755" s="54" t="n">
        <x:f>ROUND(N755*(1-M755),2)</x:f>
        <x:v>2480.73</x:v>
      </x:c>
      <x:c r="P755" s="54" t="n">
        <x:f>ROUND(J755*L755,2)</x:f>
        <x:v>1097.88</x:v>
      </x:c>
      <x:c r="Q755" s="54" t="n">
        <x:f>ROUND(O755-P755,2)</x:f>
        <x:v>1382.85</x:v>
      </x:c>
      <x:c r="R755" s="55" t="n">
        <x:f>IF(O755=0,0,ROUND(Q755/O755,4))</x:f>
        <x:v>0.5574</x:v>
      </x:c>
      <x:c r="S755" s="53" t="n">
        <x:v>12</x:v>
      </x:c>
      <x:c r="T755" t="str">
        <x:v>Entregue com atraso</x:v>
      </x:c>
      <x:c r="U755" t="n">
        <x:v>5</x:v>
      </x:c>
      <x:c r="V755" t="str"/>
    </x:row>
    <x:row r="756">
      <x:c r="A756" s="52" t="n">
        <x:v>46212</x:v>
      </x:c>
      <x:c r="B756" t="str">
        <x:v>PED-100755</x:v>
      </x:c>
      <x:c r="C756" t="str">
        <x:v>Cliente 021</x:v>
      </x:c>
      <x:c r="D756" t="str">
        <x:v>MT</x:v>
      </x:c>
      <x:c r="E756" t="str">
        <x:v>Centro-Oeste</x:v>
      </x:c>
      <x:c r="F756" t="str">
        <x:v>E-commerce</x:v>
      </x:c>
      <x:c r="G756" t="str">
        <x:v>Acessórios</x:v>
      </x:c>
      <x:c r="H756" t="str">
        <x:v>Webcam HD</x:v>
      </x:c>
      <x:c r="I756" t="str">
        <x:v>Bruno</x:v>
      </x:c>
      <x:c r="J756" s="53" t="n">
        <x:v>2</x:v>
      </x:c>
      <x:c r="K756" s="54" t="n">
        <x:v>519.44</x:v>
      </x:c>
      <x:c r="L756" s="54" t="n">
        <x:v>235.36</x:v>
      </x:c>
      <x:c r="M756" s="55" t="n">
        <x:v>0.0777</x:v>
      </x:c>
      <x:c r="N756" s="54" t="n">
        <x:f>ROUND(J756*K756,2)</x:f>
        <x:v>1038.88</x:v>
      </x:c>
      <x:c r="O756" s="54" t="n">
        <x:f>ROUND(N756*(1-M756),2)</x:f>
        <x:v>958.16</x:v>
      </x:c>
      <x:c r="P756" s="54" t="n">
        <x:f>ROUND(J756*L756,2)</x:f>
        <x:v>470.72</x:v>
      </x:c>
      <x:c r="Q756" s="54" t="n">
        <x:f>ROUND(O756-P756,2)</x:f>
        <x:v>487.44</x:v>
      </x:c>
      <x:c r="R756" s="55" t="n">
        <x:f>IF(O756=0,0,ROUND(Q756/O756,4))</x:f>
        <x:v>0.5087</x:v>
      </x:c>
      <x:c r="S756" s="53" t="n">
        <x:v>7</x:v>
      </x:c>
      <x:c r="T756" t="str">
        <x:v>Entregue</x:v>
      </x:c>
      <x:c r="U756" t="n">
        <x:v>3</x:v>
      </x:c>
      <x:c r="V756" t="str"/>
    </x:row>
    <x:row r="757">
      <x:c r="A757" s="52" t="n">
        <x:v>46133</x:v>
      </x:c>
      <x:c r="B757" t="str">
        <x:v>PED-100756</x:v>
      </x:c>
      <x:c r="C757" t="str">
        <x:v>Cliente 118</x:v>
      </x:c>
      <x:c r="D757" t="str">
        <x:v>MT</x:v>
      </x:c>
      <x:c r="E757" t="str">
        <x:v>Centro-Oeste</x:v>
      </x:c>
      <x:c r="F757" t="str">
        <x:v>E-commerce</x:v>
      </x:c>
      <x:c r="G757" t="str">
        <x:v>Escritório</x:v>
      </x:c>
      <x:c r="H757" t="str">
        <x:v>Cadeira Ergonômica</x:v>
      </x:c>
      <x:c r="I757" t="str">
        <x:v>Elaine</x:v>
      </x:c>
      <x:c r="J757" s="53" t="n">
        <x:v>6</x:v>
      </x:c>
      <x:c r="K757" s="54" t="n">
        <x:v>2305.07</x:v>
      </x:c>
      <x:c r="L757" s="54" t="n">
        <x:v>1387.55</x:v>
      </x:c>
      <x:c r="M757" s="55" t="n">
        <x:v>0</x:v>
      </x:c>
      <x:c r="N757" s="54" t="n">
        <x:f>ROUND(J757*K757,2)</x:f>
        <x:v>13830.42</x:v>
      </x:c>
      <x:c r="O757" s="54" t="n">
        <x:f>ROUND(N757*(1-M757),2)</x:f>
        <x:v>13830.42</x:v>
      </x:c>
      <x:c r="P757" s="54" t="n">
        <x:f>ROUND(J757*L757,2)</x:f>
        <x:v>8325.3</x:v>
      </x:c>
      <x:c r="Q757" s="54" t="n">
        <x:f>ROUND(O757-P757,2)</x:f>
        <x:v>5505.12</x:v>
      </x:c>
      <x:c r="R757" s="55" t="n">
        <x:f>IF(O757=0,0,ROUND(Q757/O757,4))</x:f>
        <x:v>0.398</x:v>
      </x:c>
      <x:c r="S757" s="53" t="n">
        <x:v>6</x:v>
      </x:c>
      <x:c r="T757" t="str">
        <x:v>Entregue</x:v>
      </x:c>
      <x:c r="U757" t="n">
        <x:v>3</x:v>
      </x:c>
      <x:c r="V757" t="str"/>
    </x:row>
    <x:row r="758">
      <x:c r="A758" s="52" t="n">
        <x:v>46053</x:v>
      </x:c>
      <x:c r="B758" t="str">
        <x:v>PED-100757</x:v>
      </x:c>
      <x:c r="C758" t="str">
        <x:v>Cliente 065</x:v>
      </x:c>
      <x:c r="D758" t="str">
        <x:v>CE</x:v>
      </x:c>
      <x:c r="E758" t="str">
        <x:v>Nordeste</x:v>
      </x:c>
      <x:c r="F758" t="str">
        <x:v>Televendas</x:v>
      </x:c>
      <x:c r="G758" t="str">
        <x:v>Casa</x:v>
      </x:c>
      <x:c r="H758" t="str">
        <x:v>Aspirador Robô</x:v>
      </x:c>
      <x:c r="I758" t="str">
        <x:v>Isabela</x:v>
      </x:c>
      <x:c r="J758" s="53" t="n">
        <x:v>8</x:v>
      </x:c>
      <x:c r="K758" s="54" t="n">
        <x:v>1923.34</x:v>
      </x:c>
      <x:c r="L758" s="54" t="n">
        <x:v>1199.93</x:v>
      </x:c>
      <x:c r="M758" s="55" t="n">
        <x:v>0.0457</x:v>
      </x:c>
      <x:c r="N758" s="54" t="n">
        <x:f>ROUND(J758*K758,2)</x:f>
        <x:v>15386.72</x:v>
      </x:c>
      <x:c r="O758" s="54" t="n">
        <x:f>ROUND(N758*(1-M758),2)</x:f>
        <x:v>14683.55</x:v>
      </x:c>
      <x:c r="P758" s="54" t="n">
        <x:f>ROUND(J758*L758,2)</x:f>
        <x:v>9599.44</x:v>
      </x:c>
      <x:c r="Q758" s="54" t="n">
        <x:f>ROUND(O758-P758,2)</x:f>
        <x:v>5084.11</x:v>
      </x:c>
      <x:c r="R758" s="55" t="n">
        <x:f>IF(O758=0,0,ROUND(Q758/O758,4))</x:f>
        <x:v>0.3462</x:v>
      </x:c>
      <x:c r="S758" s="53" t="n">
        <x:v>9</x:v>
      </x:c>
      <x:c r="T758" t="str">
        <x:v>Entregue</x:v>
      </x:c>
      <x:c r="U758" t="n">
        <x:v>5</x:v>
      </x:c>
      <x:c r="V758" t="str"/>
    </x:row>
    <x:row r="759">
      <x:c r="A759" s="52" t="n">
        <x:v>46075</x:v>
      </x:c>
      <x:c r="B759" t="str">
        <x:v>PED-100758</x:v>
      </x:c>
      <x:c r="C759" t="str">
        <x:v>Cliente 039</x:v>
      </x:c>
      <x:c r="D759" t="str">
        <x:v>MT</x:v>
      </x:c>
      <x:c r="E759" t="str">
        <x:v>Centro-Oeste</x:v>
      </x:c>
      <x:c r="F759" t="str">
        <x:v>E-commerce</x:v>
      </x:c>
      <x:c r="G759" t="str">
        <x:v>Acessórios</x:v>
      </x:c>
      <x:c r="H759" t="str">
        <x:v>Mochila Executiva</x:v>
      </x:c>
      <x:c r="I759" t="str">
        <x:v>Carla</x:v>
      </x:c>
      <x:c r="J759" s="53" t="n">
        <x:v>3</x:v>
      </x:c>
      <x:c r="K759" s="54" t="n">
        <x:v>441.37</x:v>
      </x:c>
      <x:c r="L759" s="54" t="n">
        <x:v>195.3</x:v>
      </x:c>
      <x:c r="M759" s="55" t="n">
        <x:v>0</x:v>
      </x:c>
      <x:c r="N759" s="54" t="n">
        <x:f>ROUND(J759*K759,2)</x:f>
        <x:v>1324.11</x:v>
      </x:c>
      <x:c r="O759" s="54" t="n">
        <x:f>ROUND(N759*(1-M759),2)</x:f>
        <x:v>1324.11</x:v>
      </x:c>
      <x:c r="P759" s="54" t="n">
        <x:f>ROUND(J759*L759,2)</x:f>
        <x:v>585.9</x:v>
      </x:c>
      <x:c r="Q759" s="54" t="n">
        <x:f>ROUND(O759-P759,2)</x:f>
        <x:v>738.21</x:v>
      </x:c>
      <x:c r="R759" s="55" t="n">
        <x:f>IF(O759=0,0,ROUND(Q759/O759,4))</x:f>
        <x:v>0.5575</x:v>
      </x:c>
      <x:c r="S759" s="53" t="n">
        <x:v>5</x:v>
      </x:c>
      <x:c r="T759" t="str">
        <x:v>Entregue</x:v>
      </x:c>
      <x:c r="U759" t="n">
        <x:v>3</x:v>
      </x:c>
      <x:c r="V759" t="str"/>
    </x:row>
    <x:row r="760">
      <x:c r="A760" s="52" t="n">
        <x:v>46028</x:v>
      </x:c>
      <x:c r="B760" t="str">
        <x:v>PED-100759</x:v>
      </x:c>
      <x:c r="C760" t="str">
        <x:v>Cliente 051</x:v>
      </x:c>
      <x:c r="D760" t="str">
        <x:v>BA</x:v>
      </x:c>
      <x:c r="E760" t="str">
        <x:v>Nordeste</x:v>
      </x:c>
      <x:c r="F760" t="str">
        <x:v>Televendas</x:v>
      </x:c>
      <x:c r="G760" t="str">
        <x:v>Escritório</x:v>
      </x:c>
      <x:c r="H760" t="str">
        <x:v>Luminária LED</x:v>
      </x:c>
      <x:c r="I760" t="str">
        <x:v>Elaine</x:v>
      </x:c>
      <x:c r="J760" s="53" t="n">
        <x:v>5</x:v>
      </x:c>
      <x:c r="K760" s="54" t="n">
        <x:v>272.71</x:v>
      </x:c>
      <x:c r="L760" s="54" t="n">
        <x:v>124.84</x:v>
      </x:c>
      <x:c r="M760" s="55" t="n">
        <x:v>0.0787</x:v>
      </x:c>
      <x:c r="N760" s="54" t="n">
        <x:f>ROUND(J760*K760,2)</x:f>
        <x:v>1363.55</x:v>
      </x:c>
      <x:c r="O760" s="54" t="n">
        <x:f>ROUND(N760*(1-M760),2)</x:f>
        <x:v>1256.24</x:v>
      </x:c>
      <x:c r="P760" s="54" t="n">
        <x:f>ROUND(J760*L760,2)</x:f>
        <x:v>624.2</x:v>
      </x:c>
      <x:c r="Q760" s="54" t="n">
        <x:f>ROUND(O760-P760,2)</x:f>
        <x:v>632.04</x:v>
      </x:c>
      <x:c r="R760" s="55" t="n">
        <x:f>IF(O760=0,0,ROUND(Q760/O760,4))</x:f>
        <x:v>0.5031</x:v>
      </x:c>
      <x:c r="S760" s="53" t="n">
        <x:v>4</x:v>
      </x:c>
      <x:c r="T760" t="str">
        <x:v>Entregue</x:v>
      </x:c>
      <x:c r="U760" t="n">
        <x:v>4</x:v>
      </x:c>
      <x:c r="V760" t="str"/>
    </x:row>
    <x:row r="761">
      <x:c r="A761" s="52" t="n">
        <x:v>46059</x:v>
      </x:c>
      <x:c r="B761" t="str">
        <x:v>PED-100760</x:v>
      </x:c>
      <x:c r="C761" t="str">
        <x:v>Cliente 081</x:v>
      </x:c>
      <x:c r="D761" t="str">
        <x:v>PR</x:v>
      </x:c>
      <x:c r="E761" t="str">
        <x:v>Sul</x:v>
      </x:c>
      <x:c r="F761" t="str">
        <x:v>Marketplace</x:v>
      </x:c>
      <x:c r="G761" t="str">
        <x:v>Acessórios</x:v>
      </x:c>
      <x:c r="H761" t="str">
        <x:v>Mochila Executiva</x:v>
      </x:c>
      <x:c r="I761" t="str">
        <x:v>Carla</x:v>
      </x:c>
      <x:c r="J761" s="53" t="n">
        <x:v>5</x:v>
      </x:c>
      <x:c r="K761" s="54" t="n">
        <x:v>424.41</x:v>
      </x:c>
      <x:c r="L761" s="54" t="n">
        <x:v>197.24</x:v>
      </x:c>
      <x:c r="M761" s="55" t="n">
        <x:v>0.1589</x:v>
      </x:c>
      <x:c r="N761" s="54" t="n">
        <x:f>ROUND(J761*K761,2)</x:f>
        <x:v>2122.05</x:v>
      </x:c>
      <x:c r="O761" s="54" t="n">
        <x:f>ROUND(N761*(1-M761),2)</x:f>
        <x:v>1784.86</x:v>
      </x:c>
      <x:c r="P761" s="54" t="n">
        <x:f>ROUND(J761*L761,2)</x:f>
        <x:v>986.2</x:v>
      </x:c>
      <x:c r="Q761" s="54" t="n">
        <x:f>ROUND(O761-P761,2)</x:f>
        <x:v>798.66</x:v>
      </x:c>
      <x:c r="R761" s="55" t="n">
        <x:f>IF(O761=0,0,ROUND(Q761/O761,4))</x:f>
        <x:v>0.4475</x:v>
      </x:c>
      <x:c r="S761" s="53" t="n">
        <x:v>6</x:v>
      </x:c>
      <x:c r="T761" t="str">
        <x:v>Entregue</x:v>
      </x:c>
      <x:c r="U761" t="n">
        <x:v>5</x:v>
      </x:c>
      <x:c r="V761" t="str"/>
    </x:row>
    <x:row r="762">
      <x:c r="A762" s="52" t="n">
        <x:v>46073</x:v>
      </x:c>
      <x:c r="B762" t="str">
        <x:v>PED-100761</x:v>
      </x:c>
      <x:c r="C762" t="str">
        <x:v>Cliente 100</x:v>
      </x:c>
      <x:c r="D762" t="str">
        <x:v>CE</x:v>
      </x:c>
      <x:c r="E762" t="str">
        <x:v>Nordeste</x:v>
      </x:c>
      <x:c r="F762" t="str">
        <x:v>Loja</x:v>
      </x:c>
      <x:c r="G762" t="str">
        <x:v>Escritório</x:v>
      </x:c>
      <x:c r="H762" t="str">
        <x:v>Cadeira Ergonômica</x:v>
      </x:c>
      <x:c r="I762" t="str">
        <x:v>Henrique</x:v>
      </x:c>
      <x:c r="J762" s="53" t="n">
        <x:v>3</x:v>
      </x:c>
      <x:c r="K762" s="54" t="n">
        <x:v>2122.27</x:v>
      </x:c>
      <x:c r="L762" s="54" t="n">
        <x:v>1503.55</x:v>
      </x:c>
      <x:c r="M762" s="55" t="n">
        <x:v>0</x:v>
      </x:c>
      <x:c r="N762" s="54" t="n">
        <x:f>ROUND(J762*K762,2)</x:f>
        <x:v>6366.81</x:v>
      </x:c>
      <x:c r="O762" s="54" t="n">
        <x:f>ROUND(N762*(1-M762),2)</x:f>
        <x:v>6366.81</x:v>
      </x:c>
      <x:c r="P762" s="54" t="n">
        <x:f>ROUND(J762*L762,2)</x:f>
        <x:v>4510.65</x:v>
      </x:c>
      <x:c r="Q762" s="54" t="n">
        <x:f>ROUND(O762-P762,2)</x:f>
        <x:v>1856.16</x:v>
      </x:c>
      <x:c r="R762" s="55" t="n">
        <x:f>IF(O762=0,0,ROUND(Q762/O762,4))</x:f>
        <x:v>0.2915</x:v>
      </x:c>
      <x:c r="S762" s="53" t="n">
        <x:v>10</x:v>
      </x:c>
      <x:c r="T762" t="str">
        <x:v>Entregue</x:v>
      </x:c>
      <x:c r="U762" t="n">
        <x:v>4</x:v>
      </x:c>
      <x:c r="V762" t="str"/>
    </x:row>
    <x:row r="763">
      <x:c r="A763" s="52" t="n">
        <x:v>46204</x:v>
      </x:c>
      <x:c r="B763" t="str">
        <x:v>PED-100762</x:v>
      </x:c>
      <x:c r="C763" t="str">
        <x:v>Cliente 044</x:v>
      </x:c>
      <x:c r="D763" t="str">
        <x:v>GO</x:v>
      </x:c>
      <x:c r="E763" t="str">
        <x:v>Centro-Oeste</x:v>
      </x:c>
      <x:c r="F763" t="str">
        <x:v>Televendas</x:v>
      </x:c>
      <x:c r="G763" t="str">
        <x:v>Casa</x:v>
      </x:c>
      <x:c r="H763" t="str">
        <x:v>Aspirador Robô</x:v>
      </x:c>
      <x:c r="I763" t="str">
        <x:v>Isabela</x:v>
      </x:c>
      <x:c r="J763" s="53" t="n">
        <x:v>7</x:v>
      </x:c>
      <x:c r="K763" s="54" t="n">
        <x:v>1833.01</x:v>
      </x:c>
      <x:c r="L763" s="54" t="n">
        <x:v>1246.35</x:v>
      </x:c>
      <x:c r="M763" s="55" t="n">
        <x:v>0.0205</x:v>
      </x:c>
      <x:c r="N763" s="54" t="n">
        <x:f>ROUND(J763*K763,2)</x:f>
        <x:v>12831.07</x:v>
      </x:c>
      <x:c r="O763" s="54" t="n">
        <x:f>ROUND(N763*(1-M763),2)</x:f>
        <x:v>12568.03</x:v>
      </x:c>
      <x:c r="P763" s="54" t="n">
        <x:f>ROUND(J763*L763,2)</x:f>
        <x:v>8724.45</x:v>
      </x:c>
      <x:c r="Q763" s="54" t="n">
        <x:f>ROUND(O763-P763,2)</x:f>
        <x:v>3843.58</x:v>
      </x:c>
      <x:c r="R763" s="55" t="n">
        <x:f>IF(O763=0,0,ROUND(Q763/O763,4))</x:f>
        <x:v>0.3058</x:v>
      </x:c>
      <x:c r="S763" s="53" t="n">
        <x:v>10</x:v>
      </x:c>
      <x:c r="T763" t="str">
        <x:v>Entregue</x:v>
      </x:c>
      <x:c r="U763" t="n">
        <x:v>3</x:v>
      </x:c>
      <x:c r="V763" t="str"/>
    </x:row>
    <x:row r="764">
      <x:c r="A764" s="52" t="n">
        <x:v>46196</x:v>
      </x:c>
      <x:c r="B764" t="str">
        <x:v>PED-100763</x:v>
      </x:c>
      <x:c r="C764" t="str">
        <x:v>Cliente 067</x:v>
      </x:c>
      <x:c r="D764" t="str">
        <x:v>BA</x:v>
      </x:c>
      <x:c r="E764" t="str">
        <x:v>Nordeste</x:v>
      </x:c>
      <x:c r="F764" t="str">
        <x:v>Marketplace</x:v>
      </x:c>
      <x:c r="G764" t="str">
        <x:v>Escritório</x:v>
      </x:c>
      <x:c r="H764" t="str">
        <x:v>Luminária LED</x:v>
      </x:c>
      <x:c r="I764" t="str">
        <x:v>Felipe</x:v>
      </x:c>
      <x:c r="J764" s="53" t="n">
        <x:v>7</x:v>
      </x:c>
      <x:c r="K764" s="54" t="n">
        <x:v>266.24</x:v>
      </x:c>
      <x:c r="L764" s="54" t="n">
        <x:v>123.02</x:v>
      </x:c>
      <x:c r="M764" s="55" t="n">
        <x:v>0.035</x:v>
      </x:c>
      <x:c r="N764" s="54" t="n">
        <x:f>ROUND(J764*K764,2)</x:f>
        <x:v>1863.68</x:v>
      </x:c>
      <x:c r="O764" s="54" t="n">
        <x:f>ROUND(N764*(1-M764),2)</x:f>
        <x:v>1798.45</x:v>
      </x:c>
      <x:c r="P764" s="54" t="n">
        <x:f>ROUND(J764*L764,2)</x:f>
        <x:v>861.14</x:v>
      </x:c>
      <x:c r="Q764" s="54" t="n">
        <x:f>ROUND(O764-P764,2)</x:f>
        <x:v>937.31</x:v>
      </x:c>
      <x:c r="R764" s="55" t="n">
        <x:f>IF(O764=0,0,ROUND(Q764/O764,4))</x:f>
        <x:v>0.5212</x:v>
      </x:c>
      <x:c r="S764" s="53" t="n">
        <x:v>2</x:v>
      </x:c>
      <x:c r="T764" t="str">
        <x:v>Entregue</x:v>
      </x:c>
      <x:c r="U764" t="n">
        <x:v>3</x:v>
      </x:c>
      <x:c r="V764" t="str"/>
    </x:row>
    <x:row r="765">
      <x:c r="A765" s="52" t="n">
        <x:v>46221</x:v>
      </x:c>
      <x:c r="B765" t="str">
        <x:v>PED-100764</x:v>
      </x:c>
      <x:c r="C765" t="str">
        <x:v>Cliente 118</x:v>
      </x:c>
      <x:c r="D765" t="str">
        <x:v>AM</x:v>
      </x:c>
      <x:c r="E765" t="str">
        <x:v>Norte</x:v>
      </x:c>
      <x:c r="F765" t="str">
        <x:v>Loja</x:v>
      </x:c>
      <x:c r="G765" t="str">
        <x:v>Casa</x:v>
      </x:c>
      <x:c r="H765" t="str">
        <x:v>Purificador</x:v>
      </x:c>
      <x:c r="I765" t="str">
        <x:v>Gabriela</x:v>
      </x:c>
      <x:c r="J765" s="53" t="n">
        <x:v>6</x:v>
      </x:c>
      <x:c r="K765" s="54" t="n">
        <x:v>1269.24</x:v>
      </x:c>
      <x:c r="L765" s="54" t="n">
        <x:v>825.33</x:v>
      </x:c>
      <x:c r="M765" s="55" t="n">
        <x:v>0</x:v>
      </x:c>
      <x:c r="N765" s="54" t="n">
        <x:f>ROUND(J765*K765,2)</x:f>
        <x:v>7615.44</x:v>
      </x:c>
      <x:c r="O765" s="54" t="n">
        <x:f>ROUND(N765*(1-M765),2)</x:f>
        <x:v>7615.44</x:v>
      </x:c>
      <x:c r="P765" s="54" t="n">
        <x:f>ROUND(J765*L765,2)</x:f>
        <x:v>4951.98</x:v>
      </x:c>
      <x:c r="Q765" s="54" t="n">
        <x:f>ROUND(O765-P765,2)</x:f>
        <x:v>2663.46</x:v>
      </x:c>
      <x:c r="R765" s="55" t="n">
        <x:f>IF(O765=0,0,ROUND(Q765/O765,4))</x:f>
        <x:v>0.3497</x:v>
      </x:c>
      <x:c r="S765" s="53" t="n">
        <x:v>8</x:v>
      </x:c>
      <x:c r="T765" t="str">
        <x:v>Entregue</x:v>
      </x:c>
      <x:c r="U765" t="n">
        <x:v>2</x:v>
      </x:c>
      <x:c r="V765" t="str"/>
    </x:row>
    <x:row r="766">
      <x:c r="A766" s="52" t="n">
        <x:v>46126</x:v>
      </x:c>
      <x:c r="B766" t="str">
        <x:v>PED-100765</x:v>
      </x:c>
      <x:c r="C766" t="str">
        <x:v>Cliente 083</x:v>
      </x:c>
      <x:c r="D766" t="str">
        <x:v>DF</x:v>
      </x:c>
      <x:c r="E766" t="str">
        <x:v>Centro-Oeste</x:v>
      </x:c>
      <x:c r="F766" t="str">
        <x:v>Loja</x:v>
      </x:c>
      <x:c r="G766" t="str">
        <x:v>Tecnologia</x:v>
      </x:c>
      <x:c r="H766" t="str">
        <x:v>Headset Office</x:v>
      </x:c>
      <x:c r="I766" t="str">
        <x:v>Diego</x:v>
      </x:c>
      <x:c r="J766" s="53" t="n">
        <x:v>1</x:v>
      </x:c>
      <x:c r="K766" s="54" t="n">
        <x:v>382.87</x:v>
      </x:c>
      <x:c r="L766" s="54" t="n">
        <x:v>216.91</x:v>
      </x:c>
      <x:c r="M766" s="55" t="n">
        <x:v>0.0446</x:v>
      </x:c>
      <x:c r="N766" s="54" t="n">
        <x:f>ROUND(J766*K766,2)</x:f>
        <x:v>382.87</x:v>
      </x:c>
      <x:c r="O766" s="54" t="n">
        <x:f>ROUND(N766*(1-M766),2)</x:f>
        <x:v>365.79</x:v>
      </x:c>
      <x:c r="P766" s="54" t="n">
        <x:f>ROUND(J766*L766,2)</x:f>
        <x:v>216.91</x:v>
      </x:c>
      <x:c r="Q766" s="54" t="n">
        <x:f>ROUND(O766-P766,2)</x:f>
        <x:v>148.88</x:v>
      </x:c>
      <x:c r="R766" s="55" t="n">
        <x:f>IF(O766=0,0,ROUND(Q766/O766,4))</x:f>
        <x:v>0.407</x:v>
      </x:c>
      <x:c r="S766" s="53" t="n">
        <x:v>2</x:v>
      </x:c>
      <x:c r="T766" t="str">
        <x:v>Entregue</x:v>
      </x:c>
      <x:c r="U766" t="n">
        <x:v>4</x:v>
      </x:c>
      <x:c r="V766" t="str"/>
    </x:row>
    <x:row r="767">
      <x:c r="A767" s="52" t="n">
        <x:v>46156</x:v>
      </x:c>
      <x:c r="B767" t="str">
        <x:v>PED-100766</x:v>
      </x:c>
      <x:c r="C767" t="str">
        <x:v>Cliente 057</x:v>
      </x:c>
      <x:c r="D767" t="str">
        <x:v>SC</x:v>
      </x:c>
      <x:c r="E767" t="str">
        <x:v>Sul</x:v>
      </x:c>
      <x:c r="F767" t="str">
        <x:v>Televendas</x:v>
      </x:c>
      <x:c r="G767" t="str">
        <x:v>Escritório</x:v>
      </x:c>
      <x:c r="H767" t="str">
        <x:v>Mesa Ajustável</x:v>
      </x:c>
      <x:c r="I767" t="str">
        <x:v>Henrique</x:v>
      </x:c>
      <x:c r="J767" s="53" t="n">
        <x:v>5</x:v>
      </x:c>
      <x:c r="K767" s="54" t="n">
        <x:v>2719.93</x:v>
      </x:c>
      <x:c r="L767" s="54" t="n">
        <x:v>1829.64</x:v>
      </x:c>
      <x:c r="M767" s="55" t="n">
        <x:v>0</x:v>
      </x:c>
      <x:c r="N767" s="54" t="n">
        <x:f>ROUND(J767*K767,2)</x:f>
        <x:v>13599.65</x:v>
      </x:c>
      <x:c r="O767" s="54" t="n">
        <x:f>ROUND(N767*(1-M767),2)</x:f>
        <x:v>13599.65</x:v>
      </x:c>
      <x:c r="P767" s="54" t="n">
        <x:f>ROUND(J767*L767,2)</x:f>
        <x:v>9148.2</x:v>
      </x:c>
      <x:c r="Q767" s="54" t="n">
        <x:f>ROUND(O767-P767,2)</x:f>
        <x:v>4451.45</x:v>
      </x:c>
      <x:c r="R767" s="55" t="n">
        <x:f>IF(O767=0,0,ROUND(Q767/O767,4))</x:f>
        <x:v>0.3273</x:v>
      </x:c>
      <x:c r="S767" s="53" t="n">
        <x:v>2</x:v>
      </x:c>
      <x:c r="T767" t="str">
        <x:v>Entregue</x:v>
      </x:c>
      <x:c r="U767" t="n">
        <x:v>4</x:v>
      </x:c>
      <x:c r="V767" t="str"/>
    </x:row>
    <x:row r="768">
      <x:c r="A768" s="52" t="n">
        <x:v>46055</x:v>
      </x:c>
      <x:c r="B768" t="str">
        <x:v>PED-100767</x:v>
      </x:c>
      <x:c r="C768" t="str">
        <x:v>Cliente 053</x:v>
      </x:c>
      <x:c r="D768" t="str">
        <x:v>GO</x:v>
      </x:c>
      <x:c r="E768" t="str">
        <x:v>Centro-Oeste</x:v>
      </x:c>
      <x:c r="F768" t="str">
        <x:v>Televendas</x:v>
      </x:c>
      <x:c r="G768" t="str">
        <x:v>Acessórios</x:v>
      </x:c>
      <x:c r="H768" t="str">
        <x:v>Webcam HD</x:v>
      </x:c>
      <x:c r="I768" t="str">
        <x:v>Diego</x:v>
      </x:c>
      <x:c r="J768" s="53" t="n">
        <x:v>4</x:v>
      </x:c>
      <x:c r="K768" s="54" t="n">
        <x:v>492.63</x:v>
      </x:c>
      <x:c r="L768" s="54" t="n">
        <x:v>243.98</x:v>
      </x:c>
      <x:c r="M768" s="55" t="n">
        <x:v>0</x:v>
      </x:c>
      <x:c r="N768" s="54" t="n">
        <x:f>ROUND(J768*K768,2)</x:f>
        <x:v>1970.52</x:v>
      </x:c>
      <x:c r="O768" s="54" t="n">
        <x:f>ROUND(N768*(1-M768),2)</x:f>
        <x:v>1970.52</x:v>
      </x:c>
      <x:c r="P768" s="54" t="n">
        <x:f>ROUND(J768*L768,2)</x:f>
        <x:v>975.92</x:v>
      </x:c>
      <x:c r="Q768" s="54" t="n">
        <x:f>ROUND(O768-P768,2)</x:f>
        <x:v>994.6</x:v>
      </x:c>
      <x:c r="R768" s="55" t="n">
        <x:f>IF(O768=0,0,ROUND(Q768/O768,4))</x:f>
        <x:v>0.5047</x:v>
      </x:c>
      <x:c r="S768" s="53" t="n">
        <x:v>12</x:v>
      </x:c>
      <x:c r="T768" t="str">
        <x:v>Entregue com atraso</x:v>
      </x:c>
      <x:c r="U768" t="n">
        <x:v>5</x:v>
      </x:c>
      <x:c r="V768" t="str"/>
    </x:row>
    <x:row r="769">
      <x:c r="A769" s="52" t="n">
        <x:v>46201</x:v>
      </x:c>
      <x:c r="B769" t="str">
        <x:v>PED-100768</x:v>
      </x:c>
      <x:c r="C769" t="str">
        <x:v>Cliente 039</x:v>
      </x:c>
      <x:c r="D769" t="str">
        <x:v>PR</x:v>
      </x:c>
      <x:c r="E769" t="str">
        <x:v>Sul</x:v>
      </x:c>
      <x:c r="F769" t="str">
        <x:v>Loja</x:v>
      </x:c>
      <x:c r="G769" t="str">
        <x:v>Acessórios</x:v>
      </x:c>
      <x:c r="H769" t="str">
        <x:v>Hub USB-C</x:v>
      </x:c>
      <x:c r="I769" t="str">
        <x:v>Gabriela</x:v>
      </x:c>
      <x:c r="J769" s="53" t="n">
        <x:v>4</x:v>
      </x:c>
      <x:c r="K769" s="54" t="n">
        <x:v>308.69</x:v>
      </x:c>
      <x:c r="L769" s="54" t="n">
        <x:v>136.75</x:v>
      </x:c>
      <x:c r="M769" s="55" t="n">
        <x:v>0</x:v>
      </x:c>
      <x:c r="N769" s="54" t="n">
        <x:f>ROUND(J769*K769,2)</x:f>
        <x:v>1234.76</x:v>
      </x:c>
      <x:c r="O769" s="54" t="n">
        <x:f>ROUND(N769*(1-M769),2)</x:f>
        <x:v>1234.76</x:v>
      </x:c>
      <x:c r="P769" s="54" t="n">
        <x:f>ROUND(J769*L769,2)</x:f>
        <x:v>547</x:v>
      </x:c>
      <x:c r="Q769" s="54" t="n">
        <x:f>ROUND(O769-P769,2)</x:f>
        <x:v>687.76</x:v>
      </x:c>
      <x:c r="R769" s="55" t="n">
        <x:f>IF(O769=0,0,ROUND(Q769/O769,4))</x:f>
        <x:v>0.557</x:v>
      </x:c>
      <x:c r="S769" s="53" t="n">
        <x:v>10</x:v>
      </x:c>
      <x:c r="T769" t="str">
        <x:v>Entregue</x:v>
      </x:c>
      <x:c r="U769" t="n">
        <x:v>2</x:v>
      </x:c>
      <x:c r="V769" t="str"/>
    </x:row>
    <x:row r="770">
      <x:c r="A770" s="52" t="n">
        <x:v>46081</x:v>
      </x:c>
      <x:c r="B770" t="str">
        <x:v>PED-100769</x:v>
      </x:c>
      <x:c r="C770" t="str">
        <x:v>Cliente 058</x:v>
      </x:c>
      <x:c r="D770" t="str">
        <x:v>ES</x:v>
      </x:c>
      <x:c r="E770" t="str">
        <x:v>Sudeste</x:v>
      </x:c>
      <x:c r="F770" t="str">
        <x:v>Loja</x:v>
      </x:c>
      <x:c r="G770" t="str">
        <x:v>Casa</x:v>
      </x:c>
      <x:c r="H770" t="str">
        <x:v>Aspirador Robô</x:v>
      </x:c>
      <x:c r="I770" t="str">
        <x:v>Felipe</x:v>
      </x:c>
      <x:c r="J770" s="53" t="n">
        <x:v>7</x:v>
      </x:c>
      <x:c r="K770" s="54" t="n">
        <x:v>1792.28</x:v>
      </x:c>
      <x:c r="L770" s="54" t="n">
        <x:v>1189.26</x:v>
      </x:c>
      <x:c r="M770" s="55" t="n">
        <x:v>0.0824</x:v>
      </x:c>
      <x:c r="N770" s="54" t="n">
        <x:f>ROUND(J770*K770,2)</x:f>
        <x:v>12545.96</x:v>
      </x:c>
      <x:c r="O770" s="54" t="n">
        <x:f>ROUND(N770*(1-M770),2)</x:f>
        <x:v>11512.17</x:v>
      </x:c>
      <x:c r="P770" s="54" t="n">
        <x:f>ROUND(J770*L770,2)</x:f>
        <x:v>8324.82</x:v>
      </x:c>
      <x:c r="Q770" s="54" t="n">
        <x:f>ROUND(O770-P770,2)</x:f>
        <x:v>3187.35</x:v>
      </x:c>
      <x:c r="R770" s="55" t="n">
        <x:f>IF(O770=0,0,ROUND(Q770/O770,4))</x:f>
        <x:v>0.2769</x:v>
      </x:c>
      <x:c r="S770" s="53" t="n">
        <x:v>3</x:v>
      </x:c>
      <x:c r="T770" t="str">
        <x:v>Entregue</x:v>
      </x:c>
      <x:c r="U770" t="n">
        <x:v>4</x:v>
      </x:c>
      <x:c r="V770" t="str"/>
    </x:row>
    <x:row r="771">
      <x:c r="A771" s="52" t="n">
        <x:v>46142</x:v>
      </x:c>
      <x:c r="B771" t="str">
        <x:v>PED-100770</x:v>
      </x:c>
      <x:c r="C771" t="str">
        <x:v>Cliente 084</x:v>
      </x:c>
      <x:c r="D771" t="str">
        <x:v>MA</x:v>
      </x:c>
      <x:c r="E771" t="str">
        <x:v>Nordeste</x:v>
      </x:c>
      <x:c r="F771" t="str">
        <x:v>E-commerce</x:v>
      </x:c>
      <x:c r="G771" t="str">
        <x:v>Escritório</x:v>
      </x:c>
      <x:c r="H771" t="str">
        <x:v>Luminária LED</x:v>
      </x:c>
      <x:c r="I771" t="str">
        <x:v>Ana</x:v>
      </x:c>
      <x:c r="J771" s="53" t="n">
        <x:v>3</x:v>
      </x:c>
      <x:c r="K771" s="54" t="n">
        <x:v>251.58</x:v>
      </x:c>
      <x:c r="L771" s="54" t="n">
        <x:v>118.71</x:v>
      </x:c>
      <x:c r="M771" s="55" t="n">
        <x:v>0.1198</x:v>
      </x:c>
      <x:c r="N771" s="54" t="n">
        <x:f>ROUND(J771*K771,2)</x:f>
        <x:v>754.74</x:v>
      </x:c>
      <x:c r="O771" s="54" t="n">
        <x:f>ROUND(N771*(1-M771),2)</x:f>
        <x:v>664.32</x:v>
      </x:c>
      <x:c r="P771" s="54" t="n">
        <x:f>ROUND(J771*L771,2)</x:f>
        <x:v>356.13</x:v>
      </x:c>
      <x:c r="Q771" s="54" t="n">
        <x:f>ROUND(O771-P771,2)</x:f>
        <x:v>308.19</x:v>
      </x:c>
      <x:c r="R771" s="55" t="n">
        <x:f>IF(O771=0,0,ROUND(Q771/O771,4))</x:f>
        <x:v>0.4639</x:v>
      </x:c>
      <x:c r="S771" s="53" t="n">
        <x:v>2</x:v>
      </x:c>
      <x:c r="T771" t="str">
        <x:v>Entregue</x:v>
      </x:c>
      <x:c r="U771" t="n">
        <x:v>4</x:v>
      </x:c>
      <x:c r="V771" t="str"/>
    </x:row>
    <x:row r="772">
      <x:c r="A772" s="52" t="n">
        <x:v>46064</x:v>
      </x:c>
      <x:c r="B772" t="str">
        <x:v>PED-100771</x:v>
      </x:c>
      <x:c r="C772" t="str">
        <x:v>Cliente 078</x:v>
      </x:c>
      <x:c r="D772" t="str">
        <x:v>PA</x:v>
      </x:c>
      <x:c r="E772" t="str">
        <x:v>Norte</x:v>
      </x:c>
      <x:c r="F772" t="str">
        <x:v>E-commerce</x:v>
      </x:c>
      <x:c r="G772" t="str">
        <x:v>Escritório</x:v>
      </x:c>
      <x:c r="H772" t="str">
        <x:v>Cadeira Ergonômica</x:v>
      </x:c>
      <x:c r="I772" t="str">
        <x:v>Bruno</x:v>
      </x:c>
      <x:c r="J772" s="53" t="n">
        <x:v>7</x:v>
      </x:c>
      <x:c r="K772" s="54" t="n">
        <x:v>2173.07</x:v>
      </x:c>
      <x:c r="L772" s="54" t="n">
        <x:v>1464.73</x:v>
      </x:c>
      <x:c r="M772" s="55" t="n">
        <x:v>0.1067</x:v>
      </x:c>
      <x:c r="N772" s="54" t="n">
        <x:f>ROUND(J772*K772,2)</x:f>
        <x:v>15211.49</x:v>
      </x:c>
      <x:c r="O772" s="54" t="n">
        <x:f>ROUND(N772*(1-M772),2)</x:f>
        <x:v>13588.42</x:v>
      </x:c>
      <x:c r="P772" s="54" t="n">
        <x:f>ROUND(J772*L772,2)</x:f>
        <x:v>10253.11</x:v>
      </x:c>
      <x:c r="Q772" s="54" t="n">
        <x:f>ROUND(O772-P772,2)</x:f>
        <x:v>3335.31</x:v>
      </x:c>
      <x:c r="R772" s="55" t="n">
        <x:f>IF(O772=0,0,ROUND(Q772/O772,4))</x:f>
        <x:v>0.2455</x:v>
      </x:c>
      <x:c r="S772" s="53" t="n">
        <x:v>6</x:v>
      </x:c>
      <x:c r="T772" t="str">
        <x:v>Entregue</x:v>
      </x:c>
      <x:c r="U772" t="n">
        <x:v>4</x:v>
      </x:c>
      <x:c r="V772" t="str"/>
    </x:row>
    <x:row r="773">
      <x:c r="A773" s="52" t="n">
        <x:v>46031</x:v>
      </x:c>
      <x:c r="B773" t="str">
        <x:v>PED-100772</x:v>
      </x:c>
      <x:c r="C773" t="str">
        <x:v>Cliente 027</x:v>
      </x:c>
      <x:c r="D773" t="str">
        <x:v>MT</x:v>
      </x:c>
      <x:c r="E773" t="str">
        <x:v>Centro-Oeste</x:v>
      </x:c>
      <x:c r="F773" t="str">
        <x:v>E-commerce</x:v>
      </x:c>
      <x:c r="G773" t="str">
        <x:v>Tecnologia</x:v>
      </x:c>
      <x:c r="H773" t="str">
        <x:v>Headset Office</x:v>
      </x:c>
      <x:c r="I773" t="str">
        <x:v>João</x:v>
      </x:c>
      <x:c r="J773" s="53" t="n">
        <x:v>1</x:v>
      </x:c>
      <x:c r="K773" s="54" t="n">
        <x:v>377.99</x:v>
      </x:c>
      <x:c r="L773" s="54" t="n">
        <x:v>207.12</x:v>
      </x:c>
      <x:c r="M773" s="55" t="n">
        <x:v>0.0674</x:v>
      </x:c>
      <x:c r="N773" s="54" t="n">
        <x:f>ROUND(J773*K773,2)</x:f>
        <x:v>377.99</x:v>
      </x:c>
      <x:c r="O773" s="54" t="n">
        <x:f>ROUND(N773*(1-M773),2)</x:f>
        <x:v>352.51</x:v>
      </x:c>
      <x:c r="P773" s="54" t="n">
        <x:f>ROUND(J773*L773,2)</x:f>
        <x:v>207.12</x:v>
      </x:c>
      <x:c r="Q773" s="54" t="n">
        <x:f>ROUND(O773-P773,2)</x:f>
        <x:v>145.39</x:v>
      </x:c>
      <x:c r="R773" s="55" t="n">
        <x:f>IF(O773=0,0,ROUND(Q773/O773,4))</x:f>
        <x:v>0.4124</x:v>
      </x:c>
      <x:c r="S773" s="53" t="n">
        <x:v>5</x:v>
      </x:c>
      <x:c r="T773" t="str">
        <x:v>Entregue</x:v>
      </x:c>
      <x:c r="U773" t="n">
        <x:v>3</x:v>
      </x:c>
      <x:c r="V773" t="str"/>
    </x:row>
    <x:row r="774">
      <x:c r="A774" s="52" t="n">
        <x:v>46177</x:v>
      </x:c>
      <x:c r="B774" t="str">
        <x:v>PED-100773</x:v>
      </x:c>
      <x:c r="C774" t="str">
        <x:v>Cliente 073</x:v>
      </x:c>
      <x:c r="D774" t="str">
        <x:v>ES</x:v>
      </x:c>
      <x:c r="E774" t="str">
        <x:v>Sudeste</x:v>
      </x:c>
      <x:c r="F774" t="str">
        <x:v>E-commerce</x:v>
      </x:c>
      <x:c r="G774" t="str">
        <x:v>Tecnologia</x:v>
      </x:c>
      <x:c r="H774" t="str">
        <x:v>Headset Office</x:v>
      </x:c>
      <x:c r="I774" t="str">
        <x:v>Gabriela</x:v>
      </x:c>
      <x:c r="J774" s="53" t="n">
        <x:v>5</x:v>
      </x:c>
      <x:c r="K774" s="54" t="n">
        <x:v>384.72</x:v>
      </x:c>
      <x:c r="L774" s="54" t="n">
        <x:v>205.45</x:v>
      </x:c>
      <x:c r="M774" s="55" t="n">
        <x:v>0</x:v>
      </x:c>
      <x:c r="N774" s="54" t="n">
        <x:f>ROUND(J774*K774,2)</x:f>
        <x:v>1923.6</x:v>
      </x:c>
      <x:c r="O774" s="54" t="n">
        <x:f>ROUND(N774*(1-M774),2)</x:f>
        <x:v>1923.6</x:v>
      </x:c>
      <x:c r="P774" s="54" t="n">
        <x:f>ROUND(J774*L774,2)</x:f>
        <x:v>1027.25</x:v>
      </x:c>
      <x:c r="Q774" s="54" t="n">
        <x:f>ROUND(O774-P774,2)</x:f>
        <x:v>896.35</x:v>
      </x:c>
      <x:c r="R774" s="55" t="n">
        <x:f>IF(O774=0,0,ROUND(Q774/O774,4))</x:f>
        <x:v>0.466</x:v>
      </x:c>
      <x:c r="S774" s="53" t="n">
        <x:v>3</x:v>
      </x:c>
      <x:c r="T774" t="str">
        <x:v>Entregue</x:v>
      </x:c>
      <x:c r="U774" t="n">
        <x:v>3</x:v>
      </x:c>
      <x:c r="V774" t="str"/>
    </x:row>
    <x:row r="775">
      <x:c r="A775" s="52" t="n">
        <x:v>46130</x:v>
      </x:c>
      <x:c r="B775" t="str">
        <x:v>PED-100774</x:v>
      </x:c>
      <x:c r="C775" t="str">
        <x:v>Cliente 062</x:v>
      </x:c>
      <x:c r="D775" t="str">
        <x:v>BA</x:v>
      </x:c>
      <x:c r="E775" t="str">
        <x:v>Nordeste</x:v>
      </x:c>
      <x:c r="F775" t="str">
        <x:v>Loja</x:v>
      </x:c>
      <x:c r="G775" t="str">
        <x:v>Escritório</x:v>
      </x:c>
      <x:c r="H775" t="str">
        <x:v>Cadeira Ergonômica</x:v>
      </x:c>
      <x:c r="I775" t="str">
        <x:v>Isabela</x:v>
      </x:c>
      <x:c r="J775" s="53" t="n">
        <x:v>5</x:v>
      </x:c>
      <x:c r="K775" s="54" t="n">
        <x:v>2303.36</x:v>
      </x:c>
      <x:c r="L775" s="54" t="n">
        <x:v>1418.86</x:v>
      </x:c>
      <x:c r="M775" s="55" t="n">
        <x:v>0</x:v>
      </x:c>
      <x:c r="N775" s="54" t="n">
        <x:f>ROUND(J775*K775,2)</x:f>
        <x:v>11516.8</x:v>
      </x:c>
      <x:c r="O775" s="54" t="n">
        <x:f>ROUND(N775*(1-M775),2)</x:f>
        <x:v>11516.8</x:v>
      </x:c>
      <x:c r="P775" s="54" t="n">
        <x:f>ROUND(J775*L775,2)</x:f>
        <x:v>7094.3</x:v>
      </x:c>
      <x:c r="Q775" s="54" t="n">
        <x:f>ROUND(O775-P775,2)</x:f>
        <x:v>4422.5</x:v>
      </x:c>
      <x:c r="R775" s="55" t="n">
        <x:f>IF(O775=0,0,ROUND(Q775/O775,4))</x:f>
        <x:v>0.384</x:v>
      </x:c>
      <x:c r="S775" s="53" t="n">
        <x:v>10</x:v>
      </x:c>
      <x:c r="T775" t="str">
        <x:v>Entregue</x:v>
      </x:c>
      <x:c r="U775" t="n">
        <x:v>4</x:v>
      </x:c>
      <x:c r="V775" t="str"/>
    </x:row>
    <x:row r="776">
      <x:c r="A776" s="52" t="n">
        <x:v>46209</x:v>
      </x:c>
      <x:c r="B776" t="str">
        <x:v>PED-100775</x:v>
      </x:c>
      <x:c r="C776" t="str">
        <x:v>Cliente 094</x:v>
      </x:c>
      <x:c r="D776" t="str">
        <x:v>MG</x:v>
      </x:c>
      <x:c r="E776" t="str">
        <x:v>Sudeste</x:v>
      </x:c>
      <x:c r="F776" t="str">
        <x:v>E-commerce</x:v>
      </x:c>
      <x:c r="G776" t="str">
        <x:v>Tecnologia</x:v>
      </x:c>
      <x:c r="H776" t="str">
        <x:v>Notebook Pro</x:v>
      </x:c>
      <x:c r="I776" t="str">
        <x:v>Elaine</x:v>
      </x:c>
      <x:c r="J776" s="53" t="n">
        <x:v>5</x:v>
      </x:c>
      <x:c r="K776" s="54" t="n">
        <x:v>5737.95</x:v>
      </x:c>
      <x:c r="L776" s="54" t="n">
        <x:v>4509.54</x:v>
      </x:c>
      <x:c r="M776" s="55" t="n">
        <x:v>0.1</x:v>
      </x:c>
      <x:c r="N776" s="54" t="n">
        <x:f>ROUND(J776*K776,2)</x:f>
        <x:v>28689.75</x:v>
      </x:c>
      <x:c r="O776" s="54" t="n">
        <x:f>ROUND(N776*(1-M776),2)</x:f>
        <x:v>25820.78</x:v>
      </x:c>
      <x:c r="P776" s="54" t="n">
        <x:f>ROUND(J776*L776,2)</x:f>
        <x:v>22547.7</x:v>
      </x:c>
      <x:c r="Q776" s="54" t="n">
        <x:f>ROUND(O776-P776,2)</x:f>
        <x:v>3273.08</x:v>
      </x:c>
      <x:c r="R776" s="55" t="n">
        <x:f>IF(O776=0,0,ROUND(Q776/O776,4))</x:f>
        <x:v>0.1268</x:v>
      </x:c>
      <x:c r="S776" s="53" t="n">
        <x:v>9</x:v>
      </x:c>
      <x:c r="T776" t="str">
        <x:v>Entregue</x:v>
      </x:c>
      <x:c r="U776" t="n">
        <x:v>4</x:v>
      </x:c>
      <x:c r="V776" t="str"/>
    </x:row>
    <x:row r="777">
      <x:c r="A777" s="52" t="n">
        <x:v>46029</x:v>
      </x:c>
      <x:c r="B777" t="str">
        <x:v>PED-100776</x:v>
      </x:c>
      <x:c r="C777" t="str">
        <x:v>Cliente 063</x:v>
      </x:c>
      <x:c r="D777" t="str">
        <x:v>MG</x:v>
      </x:c>
      <x:c r="E777" t="str">
        <x:v>Sudeste</x:v>
      </x:c>
      <x:c r="F777" t="str">
        <x:v>Televendas</x:v>
      </x:c>
      <x:c r="G777" t="str">
        <x:v>Tecnologia</x:v>
      </x:c>
      <x:c r="H777" t="str">
        <x:v>Monitor 27</x:v>
      </x:c>
      <x:c r="I777" t="str">
        <x:v>Diego</x:v>
      </x:c>
      <x:c r="J777" s="53" t="n">
        <x:v>7</x:v>
      </x:c>
      <x:c r="K777" s="54" t="n">
        <x:v>1762.2</x:v>
      </x:c>
      <x:c r="L777" s="54" t="n">
        <x:v>1058.88</x:v>
      </x:c>
      <x:c r="M777" s="55" t="n">
        <x:v>0</x:v>
      </x:c>
      <x:c r="N777" s="54" t="n">
        <x:f>ROUND(J777*K777,2)</x:f>
        <x:v>12335.4</x:v>
      </x:c>
      <x:c r="O777" s="54" t="n">
        <x:f>ROUND(N777*(1-M777),2)</x:f>
        <x:v>12335.4</x:v>
      </x:c>
      <x:c r="P777" s="54" t="n">
        <x:f>ROUND(J777*L777,2)</x:f>
        <x:v>7412.16</x:v>
      </x:c>
      <x:c r="Q777" s="54" t="n">
        <x:f>ROUND(O777-P777,2)</x:f>
        <x:v>4923.24</x:v>
      </x:c>
      <x:c r="R777" s="55" t="n">
        <x:f>IF(O777=0,0,ROUND(Q777/O777,4))</x:f>
        <x:v>0.3991</x:v>
      </x:c>
      <x:c r="S777" s="53" t="n">
        <x:v>7</x:v>
      </x:c>
      <x:c r="T777" t="str">
        <x:v>Entregue</x:v>
      </x:c>
      <x:c r="U777" t="n">
        <x:v>4</x:v>
      </x:c>
      <x:c r="V777" t="str"/>
    </x:row>
    <x:row r="778">
      <x:c r="A778" s="52" t="n">
        <x:v>46153</x:v>
      </x:c>
      <x:c r="B778" t="str">
        <x:v>PED-100777</x:v>
      </x:c>
      <x:c r="C778" t="str">
        <x:v>Cliente 078</x:v>
      </x:c>
      <x:c r="D778" t="str">
        <x:v>MG</x:v>
      </x:c>
      <x:c r="E778" t="str">
        <x:v>Sudeste</x:v>
      </x:c>
      <x:c r="F778" t="str">
        <x:v>E-commerce</x:v>
      </x:c>
      <x:c r="G778" t="str">
        <x:v>Escritório</x:v>
      </x:c>
      <x:c r="H778" t="str">
        <x:v>Luminária LED</x:v>
      </x:c>
      <x:c r="I778" t="str">
        <x:v>João</x:v>
      </x:c>
      <x:c r="J778" s="53" t="n">
        <x:v>7</x:v>
      </x:c>
      <x:c r="K778" s="54" t="n">
        <x:v>261.43</x:v>
      </x:c>
      <x:c r="L778" s="54" t="n">
        <x:v>115.49</x:v>
      </x:c>
      <x:c r="M778" s="55" t="n">
        <x:v>0.0265</x:v>
      </x:c>
      <x:c r="N778" s="54" t="n">
        <x:f>ROUND(J778*K778,2)</x:f>
        <x:v>1830.01</x:v>
      </x:c>
      <x:c r="O778" s="54" t="n">
        <x:f>ROUND(N778*(1-M778),2)</x:f>
        <x:v>1781.51</x:v>
      </x:c>
      <x:c r="P778" s="54" t="n">
        <x:f>ROUND(J778*L778,2)</x:f>
        <x:v>808.43</x:v>
      </x:c>
      <x:c r="Q778" s="54" t="n">
        <x:f>ROUND(O778-P778,2)</x:f>
        <x:v>973.08</x:v>
      </x:c>
      <x:c r="R778" s="55" t="n">
        <x:f>IF(O778=0,0,ROUND(Q778/O778,4))</x:f>
        <x:v>0.5462</x:v>
      </x:c>
      <x:c r="S778" s="53" t="n">
        <x:v>12</x:v>
      </x:c>
      <x:c r="T778" t="str">
        <x:v>Entregue com atraso</x:v>
      </x:c>
      <x:c r="U778" t="n">
        <x:v>4</x:v>
      </x:c>
      <x:c r="V778" t="str"/>
    </x:row>
    <x:row r="779">
      <x:c r="A779" s="52" t="n">
        <x:v>46171</x:v>
      </x:c>
      <x:c r="B779" t="str">
        <x:v>PED-100778</x:v>
      </x:c>
      <x:c r="C779" t="str">
        <x:v>Cliente 029</x:v>
      </x:c>
      <x:c r="D779" t="str">
        <x:v>PE</x:v>
      </x:c>
      <x:c r="E779" t="str">
        <x:v>Nordeste</x:v>
      </x:c>
      <x:c r="F779" t="str">
        <x:v>E-commerce</x:v>
      </x:c>
      <x:c r="G779" t="str">
        <x:v>Escritório</x:v>
      </x:c>
      <x:c r="H779" t="str">
        <x:v>Luminária LED</x:v>
      </x:c>
      <x:c r="I779" t="str">
        <x:v>João</x:v>
      </x:c>
      <x:c r="J779" s="53" t="n">
        <x:v>5</x:v>
      </x:c>
      <x:c r="K779" s="54" t="n">
        <x:v>258.65</x:v>
      </x:c>
      <x:c r="L779" s="54" t="n">
        <x:v>120.92</x:v>
      </x:c>
      <x:c r="M779" s="55" t="n">
        <x:v>0</x:v>
      </x:c>
      <x:c r="N779" s="54" t="n">
        <x:f>ROUND(J779*K779,2)</x:f>
        <x:v>1293.25</x:v>
      </x:c>
      <x:c r="O779" s="54" t="n">
        <x:f>ROUND(N779*(1-M779),2)</x:f>
        <x:v>1293.25</x:v>
      </x:c>
      <x:c r="P779" s="54" t="n">
        <x:f>ROUND(J779*L779,2)</x:f>
        <x:v>604.6</x:v>
      </x:c>
      <x:c r="Q779" s="54" t="n">
        <x:f>ROUND(O779-P779,2)</x:f>
        <x:v>688.65</x:v>
      </x:c>
      <x:c r="R779" s="55" t="n">
        <x:f>IF(O779=0,0,ROUND(Q779/O779,4))</x:f>
        <x:v>0.5325</x:v>
      </x:c>
      <x:c r="S779" s="53" t="n">
        <x:v>11</x:v>
      </x:c>
      <x:c r="T779" t="str">
        <x:v>Entregue com atraso</x:v>
      </x:c>
      <x:c r="U779" t="n">
        <x:v>5</x:v>
      </x:c>
      <x:c r="V779" t="str"/>
    </x:row>
    <x:row r="780">
      <x:c r="A780" s="52" t="n">
        <x:v>46140</x:v>
      </x:c>
      <x:c r="B780" t="str">
        <x:v>PED-100779</x:v>
      </x:c>
      <x:c r="C780" t="str">
        <x:v>Cliente 056</x:v>
      </x:c>
      <x:c r="D780" t="str">
        <x:v>PA</x:v>
      </x:c>
      <x:c r="E780" t="str">
        <x:v>Norte</x:v>
      </x:c>
      <x:c r="F780" t="str">
        <x:v>Marketplace</x:v>
      </x:c>
      <x:c r="G780" t="str">
        <x:v>Casa</x:v>
      </x:c>
      <x:c r="H780" t="str">
        <x:v>Purificador</x:v>
      </x:c>
      <x:c r="I780" t="str">
        <x:v>Gabriela</x:v>
      </x:c>
      <x:c r="J780" s="53" t="n">
        <x:v>7</x:v>
      </x:c>
      <x:c r="K780" s="54" t="n">
        <x:v>1236.47</x:v>
      </x:c>
      <x:c r="L780" s="54" t="n">
        <x:v>821.25</x:v>
      </x:c>
      <x:c r="M780" s="55" t="n">
        <x:v>0.035</x:v>
      </x:c>
      <x:c r="N780" s="54" t="n">
        <x:f>ROUND(J780*K780,2)</x:f>
        <x:v>8655.29</x:v>
      </x:c>
      <x:c r="O780" s="54" t="n">
        <x:f>ROUND(N780*(1-M780),2)</x:f>
        <x:v>8352.35</x:v>
      </x:c>
      <x:c r="P780" s="54" t="n">
        <x:f>ROUND(J780*L780,2)</x:f>
        <x:v>5748.75</x:v>
      </x:c>
      <x:c r="Q780" s="54" t="n">
        <x:f>ROUND(O780-P780,2)</x:f>
        <x:v>2603.6</x:v>
      </x:c>
      <x:c r="R780" s="55" t="n">
        <x:f>IF(O780=0,0,ROUND(Q780/O780,4))</x:f>
        <x:v>0.3117</x:v>
      </x:c>
      <x:c r="S780" s="53" t="n">
        <x:v>13</x:v>
      </x:c>
      <x:c r="T780" t="str">
        <x:v>Entregue com atraso</x:v>
      </x:c>
      <x:c r="U780" t="n">
        <x:v>5</x:v>
      </x:c>
      <x:c r="V780" t="str"/>
    </x:row>
    <x:row r="781">
      <x:c r="A781" s="52" t="n">
        <x:v>46114</x:v>
      </x:c>
      <x:c r="B781" t="str">
        <x:v>PED-100780</x:v>
      </x:c>
      <x:c r="C781" t="str">
        <x:v>Cliente 027</x:v>
      </x:c>
      <x:c r="D781" t="str">
        <x:v>PE</x:v>
      </x:c>
      <x:c r="E781" t="str">
        <x:v>Nordeste</x:v>
      </x:c>
      <x:c r="F781" t="str">
        <x:v>Loja</x:v>
      </x:c>
      <x:c r="G781" t="str">
        <x:v>Escritório</x:v>
      </x:c>
      <x:c r="H781" t="str">
        <x:v>Luminária LED</x:v>
      </x:c>
      <x:c r="I781" t="str">
        <x:v>Diego</x:v>
      </x:c>
      <x:c r="J781" s="53" t="n">
        <x:v>3</x:v>
      </x:c>
      <x:c r="K781" s="54" t="n">
        <x:v>269.48</x:v>
      </x:c>
      <x:c r="L781" s="54" t="n">
        <x:v>118.36</x:v>
      </x:c>
      <x:c r="M781" s="55" t="n">
        <x:v>0</x:v>
      </x:c>
      <x:c r="N781" s="54" t="n">
        <x:f>ROUND(J781*K781,2)</x:f>
        <x:v>808.44</x:v>
      </x:c>
      <x:c r="O781" s="54" t="n">
        <x:f>ROUND(N781*(1-M781),2)</x:f>
        <x:v>808.44</x:v>
      </x:c>
      <x:c r="P781" s="54" t="n">
        <x:f>ROUND(J781*L781,2)</x:f>
        <x:v>355.08</x:v>
      </x:c>
      <x:c r="Q781" s="54" t="n">
        <x:f>ROUND(O781-P781,2)</x:f>
        <x:v>453.36</x:v>
      </x:c>
      <x:c r="R781" s="55" t="n">
        <x:f>IF(O781=0,0,ROUND(Q781/O781,4))</x:f>
        <x:v>0.5608</x:v>
      </x:c>
      <x:c r="S781" s="53" t="n">
        <x:v>4</x:v>
      </x:c>
      <x:c r="T781" t="str">
        <x:v>Entregue</x:v>
      </x:c>
      <x:c r="U781" t="n">
        <x:v>2</x:v>
      </x:c>
      <x:c r="V781" t="str"/>
    </x:row>
    <x:row r="782">
      <x:c r="A782" s="52" t="n">
        <x:v>46071</x:v>
      </x:c>
      <x:c r="B782" t="str">
        <x:v>PED-100781</x:v>
      </x:c>
      <x:c r="C782" t="str">
        <x:v>Cliente 049</x:v>
      </x:c>
      <x:c r="D782" t="str">
        <x:v>MA</x:v>
      </x:c>
      <x:c r="E782" t="str">
        <x:v>Nordeste</x:v>
      </x:c>
      <x:c r="F782" t="str">
        <x:v>E-commerce</x:v>
      </x:c>
      <x:c r="G782" t="str">
        <x:v>Acessórios</x:v>
      </x:c>
      <x:c r="H782" t="str">
        <x:v>Webcam HD</x:v>
      </x:c>
      <x:c r="I782" t="str">
        <x:v>Gabriela</x:v>
      </x:c>
      <x:c r="J782" s="53" t="n">
        <x:v>8</x:v>
      </x:c>
      <x:c r="K782" s="54" t="n">
        <x:v>500.02</x:v>
      </x:c>
      <x:c r="L782" s="54" t="n">
        <x:v>246.4</x:v>
      </x:c>
      <x:c r="M782" s="55" t="n">
        <x:v>0</x:v>
      </x:c>
      <x:c r="N782" s="54" t="n">
        <x:f>ROUND(J782*K782,2)</x:f>
        <x:v>4000.16</x:v>
      </x:c>
      <x:c r="O782" s="54" t="n">
        <x:f>ROUND(N782*(1-M782),2)</x:f>
        <x:v>4000.16</x:v>
      </x:c>
      <x:c r="P782" s="54" t="n">
        <x:f>ROUND(J782*L782,2)</x:f>
        <x:v>1971.2</x:v>
      </x:c>
      <x:c r="Q782" s="54" t="n">
        <x:f>ROUND(O782-P782,2)</x:f>
        <x:v>2028.96</x:v>
      </x:c>
      <x:c r="R782" s="55" t="n">
        <x:f>IF(O782=0,0,ROUND(Q782/O782,4))</x:f>
        <x:v>0.5072</x:v>
      </x:c>
      <x:c r="S782" s="53" t="n">
        <x:v>11</x:v>
      </x:c>
      <x:c r="T782" t="str">
        <x:v>Entregue com atraso</x:v>
      </x:c>
      <x:c r="U782" t="n">
        <x:v>5</x:v>
      </x:c>
      <x:c r="V782" t="str"/>
    </x:row>
    <x:row r="783">
      <x:c r="A783" s="52" t="n">
        <x:v>46082</x:v>
      </x:c>
      <x:c r="B783" t="str">
        <x:v>PED-100782</x:v>
      </x:c>
      <x:c r="C783" t="str">
        <x:v>Cliente 069</x:v>
      </x:c>
      <x:c r="D783" t="str">
        <x:v>ES</x:v>
      </x:c>
      <x:c r="E783" t="str">
        <x:v>Sudeste</x:v>
      </x:c>
      <x:c r="F783" t="str">
        <x:v>Loja</x:v>
      </x:c>
      <x:c r="G783" t="str">
        <x:v>Casa</x:v>
      </x:c>
      <x:c r="H783" t="str">
        <x:v>Purificador</x:v>
      </x:c>
      <x:c r="I783" t="str">
        <x:v>João</x:v>
      </x:c>
      <x:c r="J783" s="53" t="n">
        <x:v>3</x:v>
      </x:c>
      <x:c r="K783" s="54" t="n">
        <x:v>1265.24</x:v>
      </x:c>
      <x:c r="L783" s="54" t="n">
        <x:v>770.25</x:v>
      </x:c>
      <x:c r="M783" s="55" t="n">
        <x:v>0</x:v>
      </x:c>
      <x:c r="N783" s="54" t="n">
        <x:f>ROUND(J783*K783,2)</x:f>
        <x:v>3795.72</x:v>
      </x:c>
      <x:c r="O783" s="54" t="n">
        <x:f>ROUND(N783*(1-M783),2)</x:f>
        <x:v>3795.72</x:v>
      </x:c>
      <x:c r="P783" s="54" t="n">
        <x:f>ROUND(J783*L783,2)</x:f>
        <x:v>2310.75</x:v>
      </x:c>
      <x:c r="Q783" s="54" t="n">
        <x:f>ROUND(O783-P783,2)</x:f>
        <x:v>1484.97</x:v>
      </x:c>
      <x:c r="R783" s="55" t="n">
        <x:f>IF(O783=0,0,ROUND(Q783/O783,4))</x:f>
        <x:v>0.3912</x:v>
      </x:c>
      <x:c r="S783" s="53" t="n">
        <x:v>12</x:v>
      </x:c>
      <x:c r="T783" t="str">
        <x:v>Entregue com atraso</x:v>
      </x:c>
      <x:c r="U783" t="n">
        <x:v>2</x:v>
      </x:c>
      <x:c r="V783" t="str"/>
    </x:row>
    <x:row r="784">
      <x:c r="A784" s="52" t="n">
        <x:v>46092</x:v>
      </x:c>
      <x:c r="B784" t="str">
        <x:v>PED-100783</x:v>
      </x:c>
      <x:c r="C784" t="str">
        <x:v>Cliente 072</x:v>
      </x:c>
      <x:c r="D784" t="str">
        <x:v>PE</x:v>
      </x:c>
      <x:c r="E784" t="str">
        <x:v>Nordeste</x:v>
      </x:c>
      <x:c r="F784" t="str">
        <x:v>E-commerce</x:v>
      </x:c>
      <x:c r="G784" t="str">
        <x:v>Escritório</x:v>
      </x:c>
      <x:c r="H784" t="str">
        <x:v>Cadeira Ergonômica</x:v>
      </x:c>
      <x:c r="I784" t="str">
        <x:v>Felipe</x:v>
      </x:c>
      <x:c r="J784" s="53" t="n">
        <x:v>1</x:v>
      </x:c>
      <x:c r="K784" s="54" t="n">
        <x:v>2075.48</x:v>
      </x:c>
      <x:c r="L784" s="54" t="n">
        <x:v>1434.17</x:v>
      </x:c>
      <x:c r="M784" s="55" t="n">
        <x:v>0</x:v>
      </x:c>
      <x:c r="N784" s="54" t="n">
        <x:f>ROUND(J784*K784,2)</x:f>
        <x:v>2075.48</x:v>
      </x:c>
      <x:c r="O784" s="54" t="n">
        <x:f>ROUND(N784*(1-M784),2)</x:f>
        <x:v>2075.48</x:v>
      </x:c>
      <x:c r="P784" s="54" t="n">
        <x:f>ROUND(J784*L784,2)</x:f>
        <x:v>1434.17</x:v>
      </x:c>
      <x:c r="Q784" s="54" t="n">
        <x:f>ROUND(O784-P784,2)</x:f>
        <x:v>641.31</x:v>
      </x:c>
      <x:c r="R784" s="55" t="n">
        <x:f>IF(O784=0,0,ROUND(Q784/O784,4))</x:f>
        <x:v>0.309</x:v>
      </x:c>
      <x:c r="S784" s="53" t="n">
        <x:v>14</x:v>
      </x:c>
      <x:c r="T784" t="str">
        <x:v>Entregue com atraso</x:v>
      </x:c>
      <x:c r="U784" t="n">
        <x:v>4</x:v>
      </x:c>
      <x:c r="V784" t="str"/>
    </x:row>
    <x:row r="785">
      <x:c r="A785" s="52" t="n">
        <x:v>46029</x:v>
      </x:c>
      <x:c r="B785" t="str">
        <x:v>PED-100784</x:v>
      </x:c>
      <x:c r="C785" t="str">
        <x:v>Cliente 059</x:v>
      </x:c>
      <x:c r="D785" t="str">
        <x:v>MA</x:v>
      </x:c>
      <x:c r="E785" t="str">
        <x:v>Nordeste</x:v>
      </x:c>
      <x:c r="F785" t="str">
        <x:v>E-commerce</x:v>
      </x:c>
      <x:c r="G785" t="str">
        <x:v>Casa</x:v>
      </x:c>
      <x:c r="H785" t="str">
        <x:v>Aspirador Robô</x:v>
      </x:c>
      <x:c r="I785" t="str">
        <x:v>Isabela</x:v>
      </x:c>
      <x:c r="J785" s="53" t="n">
        <x:v>4</x:v>
      </x:c>
      <x:c r="K785" s="54" t="n">
        <x:v>1782.97</x:v>
      </x:c>
      <x:c r="L785" s="54" t="n">
        <x:v>1224.1</x:v>
      </x:c>
      <x:c r="M785" s="55" t="n">
        <x:v>0</x:v>
      </x:c>
      <x:c r="N785" s="54" t="n">
        <x:f>ROUND(J785*K785,2)</x:f>
        <x:v>7131.88</x:v>
      </x:c>
      <x:c r="O785" s="54" t="n">
        <x:f>ROUND(N785*(1-M785),2)</x:f>
        <x:v>7131.88</x:v>
      </x:c>
      <x:c r="P785" s="54" t="n">
        <x:f>ROUND(J785*L785,2)</x:f>
        <x:v>4896.4</x:v>
      </x:c>
      <x:c r="Q785" s="54" t="n">
        <x:f>ROUND(O785-P785,2)</x:f>
        <x:v>2235.48</x:v>
      </x:c>
      <x:c r="R785" s="55" t="n">
        <x:f>IF(O785=0,0,ROUND(Q785/O785,4))</x:f>
        <x:v>0.3134</x:v>
      </x:c>
      <x:c r="S785" s="53" t="n">
        <x:v>8</x:v>
      </x:c>
      <x:c r="T785" t="str">
        <x:v>Entregue</x:v>
      </x:c>
      <x:c r="U785" t="n">
        <x:v>2</x:v>
      </x:c>
      <x:c r="V785" t="str"/>
    </x:row>
    <x:row r="786">
      <x:c r="A786" s="52" t="n">
        <x:v>46234</x:v>
      </x:c>
      <x:c r="B786" t="str">
        <x:v>PED-100785</x:v>
      </x:c>
      <x:c r="C786" t="str">
        <x:v>Cliente 029</x:v>
      </x:c>
      <x:c r="D786" t="str">
        <x:v>MT</x:v>
      </x:c>
      <x:c r="E786" t="str">
        <x:v>Centro-Oeste</x:v>
      </x:c>
      <x:c r="F786" t="str">
        <x:v>Televendas</x:v>
      </x:c>
      <x:c r="G786" t="str">
        <x:v>Acessórios</x:v>
      </x:c>
      <x:c r="H786" t="str">
        <x:v>Hub USB-C</x:v>
      </x:c>
      <x:c r="I786" t="str">
        <x:v>João</x:v>
      </x:c>
      <x:c r="J786" s="53" t="n">
        <x:v>8</x:v>
      </x:c>
      <x:c r="K786" s="54" t="n">
        <x:v>329.7</x:v>
      </x:c>
      <x:c r="L786" s="54" t="n">
        <x:v>134.92</x:v>
      </x:c>
      <x:c r="M786" s="55" t="n">
        <x:v>0.0483</x:v>
      </x:c>
      <x:c r="N786" s="54" t="n">
        <x:f>ROUND(J786*K786,2)</x:f>
        <x:v>2637.6</x:v>
      </x:c>
      <x:c r="O786" s="54" t="n">
        <x:f>ROUND(N786*(1-M786),2)</x:f>
        <x:v>2510.2</x:v>
      </x:c>
      <x:c r="P786" s="54" t="n">
        <x:f>ROUND(J786*L786,2)</x:f>
        <x:v>1079.36</x:v>
      </x:c>
      <x:c r="Q786" s="54" t="n">
        <x:f>ROUND(O786-P786,2)</x:f>
        <x:v>1430.84</x:v>
      </x:c>
      <x:c r="R786" s="55" t="n">
        <x:f>IF(O786=0,0,ROUND(Q786/O786,4))</x:f>
        <x:v>0.57</x:v>
      </x:c>
      <x:c r="S786" s="53" t="n">
        <x:v>11</x:v>
      </x:c>
      <x:c r="T786" t="str">
        <x:v>Entregue com atraso</x:v>
      </x:c>
      <x:c r="U786" t="n">
        <x:v>5</x:v>
      </x:c>
      <x:c r="V786" t="str"/>
    </x:row>
    <x:row r="787">
      <x:c r="A787" s="52" t="n">
        <x:v>46133</x:v>
      </x:c>
      <x:c r="B787" t="str">
        <x:v>PED-100786</x:v>
      </x:c>
      <x:c r="C787" t="str">
        <x:v>Cliente 108</x:v>
      </x:c>
      <x:c r="D787" t="str">
        <x:v>GO</x:v>
      </x:c>
      <x:c r="E787" t="str">
        <x:v>Centro-Oeste</x:v>
      </x:c>
      <x:c r="F787" t="str">
        <x:v>Televendas</x:v>
      </x:c>
      <x:c r="G787" t="str">
        <x:v>Tecnologia</x:v>
      </x:c>
      <x:c r="H787" t="str">
        <x:v>Notebook Pro</x:v>
      </x:c>
      <x:c r="I787" t="str">
        <x:v>Isabela</x:v>
      </x:c>
      <x:c r="J787" s="53" t="n">
        <x:v>4</x:v>
      </x:c>
      <x:c r="K787" s="54" t="n">
        <x:v>5808.46</x:v>
      </x:c>
      <x:c r="L787" s="54" t="n">
        <x:v>4169.2</x:v>
      </x:c>
      <x:c r="M787" s="55" t="n">
        <x:v>0.1171</x:v>
      </x:c>
      <x:c r="N787" s="54" t="n">
        <x:f>ROUND(J787*K787,2)</x:f>
        <x:v>23233.84</x:v>
      </x:c>
      <x:c r="O787" s="54" t="n">
        <x:f>ROUND(N787*(1-M787),2)</x:f>
        <x:v>20513.16</x:v>
      </x:c>
      <x:c r="P787" s="54" t="n">
        <x:f>ROUND(J787*L787,2)</x:f>
        <x:v>16676.8</x:v>
      </x:c>
      <x:c r="Q787" s="54" t="n">
        <x:f>ROUND(O787-P787,2)</x:f>
        <x:v>3836.36</x:v>
      </x:c>
      <x:c r="R787" s="55" t="n">
        <x:f>IF(O787=0,0,ROUND(Q787/O787,4))</x:f>
        <x:v>0.187</x:v>
      </x:c>
      <x:c r="S787" s="53" t="n">
        <x:v>9</x:v>
      </x:c>
      <x:c r="T787" t="str">
        <x:v>Entregue</x:v>
      </x:c>
      <x:c r="U787" t="n">
        <x:v>5</x:v>
      </x:c>
      <x:c r="V787" t="str"/>
    </x:row>
    <x:row r="788">
      <x:c r="A788" s="52" t="n">
        <x:v>46232</x:v>
      </x:c>
      <x:c r="B788" t="str">
        <x:v>PED-100787</x:v>
      </x:c>
      <x:c r="C788" t="str">
        <x:v>Cliente 066</x:v>
      </x:c>
      <x:c r="D788" t="str">
        <x:v>RJ</x:v>
      </x:c>
      <x:c r="E788" t="str">
        <x:v>Sudeste</x:v>
      </x:c>
      <x:c r="F788" t="str">
        <x:v>E-commerce</x:v>
      </x:c>
      <x:c r="G788" t="str">
        <x:v>Casa</x:v>
      </x:c>
      <x:c r="H788" t="str">
        <x:v>Purificador</x:v>
      </x:c>
      <x:c r="I788" t="str">
        <x:v>Gabriela</x:v>
      </x:c>
      <x:c r="J788" s="53" t="n">
        <x:v>2</x:v>
      </x:c>
      <x:c r="K788" s="54" t="n">
        <x:v>1238.44</x:v>
      </x:c>
      <x:c r="L788" s="54" t="n">
        <x:v>761.51</x:v>
      </x:c>
      <x:c r="M788" s="55" t="n">
        <x:v>0</x:v>
      </x:c>
      <x:c r="N788" s="54" t="n">
        <x:f>ROUND(J788*K788,2)</x:f>
        <x:v>2476.88</x:v>
      </x:c>
      <x:c r="O788" s="54" t="n">
        <x:f>ROUND(N788*(1-M788),2)</x:f>
        <x:v>2476.88</x:v>
      </x:c>
      <x:c r="P788" s="54" t="n">
        <x:f>ROUND(J788*L788,2)</x:f>
        <x:v>1523.02</x:v>
      </x:c>
      <x:c r="Q788" s="54" t="n">
        <x:f>ROUND(O788-P788,2)</x:f>
        <x:v>953.86</x:v>
      </x:c>
      <x:c r="R788" s="55" t="n">
        <x:f>IF(O788=0,0,ROUND(Q788/O788,4))</x:f>
        <x:v>0.3851</x:v>
      </x:c>
      <x:c r="S788" s="53" t="n">
        <x:v>3</x:v>
      </x:c>
      <x:c r="T788" t="str">
        <x:v>Entregue</x:v>
      </x:c>
      <x:c r="U788" t="n">
        <x:v>2</x:v>
      </x:c>
      <x:c r="V788" t="str"/>
    </x:row>
    <x:row r="789">
      <x:c r="A789" s="52" t="n">
        <x:v>46207</x:v>
      </x:c>
      <x:c r="B789" t="str">
        <x:v>PED-100788</x:v>
      </x:c>
      <x:c r="C789" t="str">
        <x:v>Cliente 001</x:v>
      </x:c>
      <x:c r="D789" t="str">
        <x:v>MA</x:v>
      </x:c>
      <x:c r="E789" t="str">
        <x:v>Nordeste</x:v>
      </x:c>
      <x:c r="F789" t="str">
        <x:v>Loja</x:v>
      </x:c>
      <x:c r="G789" t="str">
        <x:v>Escritório</x:v>
      </x:c>
      <x:c r="H789" t="str">
        <x:v>Cadeira Ergonômica</x:v>
      </x:c>
      <x:c r="I789" t="str">
        <x:v>Elaine</x:v>
      </x:c>
      <x:c r="J789" s="53" t="n">
        <x:v>1</x:v>
      </x:c>
      <x:c r="K789" s="54" t="n">
        <x:v>2121.3</x:v>
      </x:c>
      <x:c r="L789" s="54" t="n">
        <x:v>1461.31</x:v>
      </x:c>
      <x:c r="M789" s="55" t="n">
        <x:v>0.1044</x:v>
      </x:c>
      <x:c r="N789" s="54" t="n">
        <x:f>ROUND(J789*K789,2)</x:f>
        <x:v>2121.3</x:v>
      </x:c>
      <x:c r="O789" s="54" t="n">
        <x:f>ROUND(N789*(1-M789),2)</x:f>
        <x:v>1899.84</x:v>
      </x:c>
      <x:c r="P789" s="54" t="n">
        <x:f>ROUND(J789*L789,2)</x:f>
        <x:v>1461.31</x:v>
      </x:c>
      <x:c r="Q789" s="54" t="n">
        <x:f>ROUND(O789-P789,2)</x:f>
        <x:v>438.53</x:v>
      </x:c>
      <x:c r="R789" s="55" t="n">
        <x:f>IF(O789=0,0,ROUND(Q789/O789,4))</x:f>
        <x:v>0.2308</x:v>
      </x:c>
      <x:c r="S789" s="53" t="n">
        <x:v>3</x:v>
      </x:c>
      <x:c r="T789" t="str">
        <x:v>Entregue</x:v>
      </x:c>
      <x:c r="U789" t="n">
        <x:v>4</x:v>
      </x:c>
      <x:c r="V789" t="str"/>
    </x:row>
    <x:row r="790">
      <x:c r="A790" s="52" t="n">
        <x:v>46147</x:v>
      </x:c>
      <x:c r="B790" t="str">
        <x:v>PED-100789</x:v>
      </x:c>
      <x:c r="C790" t="str">
        <x:v>Cliente 118</x:v>
      </x:c>
      <x:c r="D790" t="str">
        <x:v>RJ</x:v>
      </x:c>
      <x:c r="E790" t="str">
        <x:v>Sudeste</x:v>
      </x:c>
      <x:c r="F790" t="str">
        <x:v>E-commerce</x:v>
      </x:c>
      <x:c r="G790" t="str">
        <x:v>Acessórios</x:v>
      </x:c>
      <x:c r="H790" t="str">
        <x:v>Webcam HD</x:v>
      </x:c>
      <x:c r="I790" t="str">
        <x:v>Felipe</x:v>
      </x:c>
      <x:c r="J790" s="53" t="n">
        <x:v>3</x:v>
      </x:c>
      <x:c r="K790" s="54" t="n">
        <x:v>528.79</x:v>
      </x:c>
      <x:c r="L790" s="54" t="n">
        <x:v>241.02</x:v>
      </x:c>
      <x:c r="M790" s="55" t="n">
        <x:v>0.3976</x:v>
      </x:c>
      <x:c r="N790" s="54" t="n">
        <x:f>ROUND(J790*K790,2)</x:f>
        <x:v>1586.37</x:v>
      </x:c>
      <x:c r="O790" s="54" t="n">
        <x:f>ROUND(N790*(1-M790),2)</x:f>
        <x:v>955.63</x:v>
      </x:c>
      <x:c r="P790" s="54" t="n">
        <x:f>ROUND(J790*L790,2)</x:f>
        <x:v>723.06</x:v>
      </x:c>
      <x:c r="Q790" s="54" t="n">
        <x:f>ROUND(O790-P790,2)</x:f>
        <x:v>232.57</x:v>
      </x:c>
      <x:c r="R790" s="55" t="n">
        <x:f>IF(O790=0,0,ROUND(Q790/O790,4))</x:f>
        <x:v>0.2434</x:v>
      </x:c>
      <x:c r="S790" s="53" t="n">
        <x:v>8</x:v>
      </x:c>
      <x:c r="T790" t="str">
        <x:v>Entregue</x:v>
      </x:c>
      <x:c r="U790" t="n">
        <x:v>4</x:v>
      </x:c>
      <x:c r="V790" t="str">
        <x:v>Desconto autorizado fora da campanha</x:v>
      </x:c>
    </x:row>
    <x:row r="791">
      <x:c r="A791" s="52" t="n">
        <x:v>46135</x:v>
      </x:c>
      <x:c r="B791" t="str">
        <x:v>PED-100790</x:v>
      </x:c>
      <x:c r="C791" t="str">
        <x:v>Cliente 089</x:v>
      </x:c>
      <x:c r="D791" t="str">
        <x:v>MT</x:v>
      </x:c>
      <x:c r="E791" t="str">
        <x:v>Centro-Oeste</x:v>
      </x:c>
      <x:c r="F791" t="str">
        <x:v>E-commerce</x:v>
      </x:c>
      <x:c r="G791" t="str">
        <x:v>Tecnologia</x:v>
      </x:c>
      <x:c r="H791" t="str">
        <x:v>Monitor 27</x:v>
      </x:c>
      <x:c r="I791" t="str">
        <x:v>Carla</x:v>
      </x:c>
      <x:c r="J791" s="53" t="n">
        <x:v>1</x:v>
      </x:c>
      <x:c r="K791" s="54" t="n">
        <x:v>1610.86</x:v>
      </x:c>
      <x:c r="L791" s="54" t="n">
        <x:v>1130.63</x:v>
      </x:c>
      <x:c r="M791" s="55" t="n">
        <x:v>0</x:v>
      </x:c>
      <x:c r="N791" s="54" t="n">
        <x:f>ROUND(J791*K791,2)</x:f>
        <x:v>1610.86</x:v>
      </x:c>
      <x:c r="O791" s="54" t="n">
        <x:f>ROUND(N791*(1-M791),2)</x:f>
        <x:v>1610.86</x:v>
      </x:c>
      <x:c r="P791" s="54" t="n">
        <x:f>ROUND(J791*L791,2)</x:f>
        <x:v>1130.63</x:v>
      </x:c>
      <x:c r="Q791" s="54" t="n">
        <x:f>ROUND(O791-P791,2)</x:f>
        <x:v>480.23</x:v>
      </x:c>
      <x:c r="R791" s="55" t="n">
        <x:f>IF(O791=0,0,ROUND(Q791/O791,4))</x:f>
        <x:v>0.2981</x:v>
      </x:c>
      <x:c r="S791" s="53" t="n">
        <x:v>5</x:v>
      </x:c>
      <x:c r="T791" t="str">
        <x:v>Entregue</x:v>
      </x:c>
      <x:c r="U791" t="n">
        <x:v>2</x:v>
      </x:c>
      <x:c r="V791" t="str"/>
    </x:row>
    <x:row r="792">
      <x:c r="A792" s="52" t="n">
        <x:v>46220</x:v>
      </x:c>
      <x:c r="B792" t="str">
        <x:v>PED-100791</x:v>
      </x:c>
      <x:c r="C792" t="str">
        <x:v>Cliente 118</x:v>
      </x:c>
      <x:c r="D792" t="str">
        <x:v>ES</x:v>
      </x:c>
      <x:c r="E792" t="str">
        <x:v>Sudeste</x:v>
      </x:c>
      <x:c r="F792" t="str">
        <x:v>Marketplace</x:v>
      </x:c>
      <x:c r="G792" t="str">
        <x:v>Escritório</x:v>
      </x:c>
      <x:c r="H792" t="str">
        <x:v>Mesa Ajustável</x:v>
      </x:c>
      <x:c r="I792" t="str">
        <x:v>Felipe</x:v>
      </x:c>
      <x:c r="J792" s="53" t="n">
        <x:v>3</x:v>
      </x:c>
      <x:c r="K792" s="54" t="n">
        <x:v>2669.88</x:v>
      </x:c>
      <x:c r="L792" s="54" t="n">
        <x:v>1865.15</x:v>
      </x:c>
      <x:c r="M792" s="55" t="n">
        <x:v>0.1533</x:v>
      </x:c>
      <x:c r="N792" s="54" t="n">
        <x:f>ROUND(J792*K792,2)</x:f>
        <x:v>8009.64</x:v>
      </x:c>
      <x:c r="O792" s="54" t="n">
        <x:f>ROUND(N792*(1-M792),2)</x:f>
        <x:v>6781.76</x:v>
      </x:c>
      <x:c r="P792" s="54" t="n">
        <x:f>ROUND(J792*L792,2)</x:f>
        <x:v>5595.45</x:v>
      </x:c>
      <x:c r="Q792" s="54" t="n">
        <x:f>ROUND(O792-P792,2)</x:f>
        <x:v>1186.31</x:v>
      </x:c>
      <x:c r="R792" s="55" t="n">
        <x:f>IF(O792=0,0,ROUND(Q792/O792,4))</x:f>
        <x:v>0.1749</x:v>
      </x:c>
      <x:c r="S792" s="53" t="n">
        <x:v>2</x:v>
      </x:c>
      <x:c r="T792" t="str">
        <x:v>Entregue</x:v>
      </x:c>
      <x:c r="U792" t="n">
        <x:v>4</x:v>
      </x:c>
      <x:c r="V792" t="str"/>
    </x:row>
    <x:row r="793">
      <x:c r="A793" s="52" t="n">
        <x:v>46104</x:v>
      </x:c>
      <x:c r="B793" t="str">
        <x:v>PED-100792</x:v>
      </x:c>
      <x:c r="C793" t="str">
        <x:v>Cliente 098</x:v>
      </x:c>
      <x:c r="D793" t="str">
        <x:v>RJ</x:v>
      </x:c>
      <x:c r="E793" t="str">
        <x:v>Sudeste</x:v>
      </x:c>
      <x:c r="F793" t="str">
        <x:v>Loja</x:v>
      </x:c>
      <x:c r="G793" t="str">
        <x:v>Acessórios</x:v>
      </x:c>
      <x:c r="H793" t="str">
        <x:v>Webcam HD</x:v>
      </x:c>
      <x:c r="I793" t="str">
        <x:v>Elaine</x:v>
      </x:c>
      <x:c r="J793" s="53" t="n">
        <x:v>1</x:v>
      </x:c>
      <x:c r="K793" s="54" t="n">
        <x:v>504.17</x:v>
      </x:c>
      <x:c r="L793" s="54" t="n">
        <x:v>234.66</x:v>
      </x:c>
      <x:c r="M793" s="55" t="n">
        <x:v>0.0635</x:v>
      </x:c>
      <x:c r="N793" s="54" t="n">
        <x:f>ROUND(J793*K793,2)</x:f>
        <x:v>504.17</x:v>
      </x:c>
      <x:c r="O793" s="54" t="n">
        <x:f>ROUND(N793*(1-M793),2)</x:f>
        <x:v>472.16</x:v>
      </x:c>
      <x:c r="P793" s="54" t="n">
        <x:f>ROUND(J793*L793,2)</x:f>
        <x:v>234.66</x:v>
      </x:c>
      <x:c r="Q793" s="54" t="n">
        <x:f>ROUND(O793-P793,2)</x:f>
        <x:v>237.5</x:v>
      </x:c>
      <x:c r="R793" s="55" t="n">
        <x:f>IF(O793=0,0,ROUND(Q793/O793,4))</x:f>
        <x:v>0.503</x:v>
      </x:c>
      <x:c r="S793" s="53" t="n">
        <x:v>11</x:v>
      </x:c>
      <x:c r="T793" t="str">
        <x:v>Cancelado</x:v>
      </x:c>
      <x:c r="U793"/>
      <x:c r="V793" t="str"/>
    </x:row>
    <x:row r="794">
      <x:c r="A794" s="52" t="n">
        <x:v>46184</x:v>
      </x:c>
      <x:c r="B794" t="str">
        <x:v>PED-100793</x:v>
      </x:c>
      <x:c r="C794" t="str">
        <x:v>Cliente 113</x:v>
      </x:c>
      <x:c r="D794" t="str">
        <x:v>RS</x:v>
      </x:c>
      <x:c r="E794" t="str">
        <x:v>Sul</x:v>
      </x:c>
      <x:c r="F794" t="str">
        <x:v>Loja</x:v>
      </x:c>
      <x:c r="G794" t="str">
        <x:v>Tecnologia</x:v>
      </x:c>
      <x:c r="H794" t="str">
        <x:v>Monitor 27</x:v>
      </x:c>
      <x:c r="I794" t="str">
        <x:v>Elaine</x:v>
      </x:c>
      <x:c r="J794" s="53" t="n">
        <x:v>5</x:v>
      </x:c>
      <x:c r="K794" s="54" t="n">
        <x:v>1711.2</x:v>
      </x:c>
      <x:c r="L794" s="54" t="n">
        <x:v>1063.04</x:v>
      </x:c>
      <x:c r="M794" s="55" t="n">
        <x:v>0.0599</x:v>
      </x:c>
      <x:c r="N794" s="54" t="n">
        <x:f>ROUND(J794*K794,2)</x:f>
        <x:v>8556</x:v>
      </x:c>
      <x:c r="O794" s="54" t="n">
        <x:f>ROUND(N794*(1-M794),2)</x:f>
        <x:v>8043.5</x:v>
      </x:c>
      <x:c r="P794" s="54" t="n">
        <x:f>ROUND(J794*L794,2)</x:f>
        <x:v>5315.2</x:v>
      </x:c>
      <x:c r="Q794" s="54" t="n">
        <x:f>ROUND(O794-P794,2)</x:f>
        <x:v>2728.3</x:v>
      </x:c>
      <x:c r="R794" s="55" t="n">
        <x:f>IF(O794=0,0,ROUND(Q794/O794,4))</x:f>
        <x:v>0.3392</x:v>
      </x:c>
      <x:c r="S794" s="53" t="n">
        <x:v>9</x:v>
      </x:c>
      <x:c r="T794" t="str">
        <x:v>Entregue</x:v>
      </x:c>
      <x:c r="U794" t="n">
        <x:v>2</x:v>
      </x:c>
      <x:c r="V794" t="str"/>
    </x:row>
    <x:row r="795">
      <x:c r="A795" s="52" t="n">
        <x:v>46188</x:v>
      </x:c>
      <x:c r="B795" t="str">
        <x:v>PED-100794</x:v>
      </x:c>
      <x:c r="C795" t="str">
        <x:v>Cliente 038</x:v>
      </x:c>
      <x:c r="D795" t="str">
        <x:v>MG</x:v>
      </x:c>
      <x:c r="E795" t="str">
        <x:v>Sudeste</x:v>
      </x:c>
      <x:c r="F795" t="str">
        <x:v>E-commerce</x:v>
      </x:c>
      <x:c r="G795" t="str">
        <x:v>Acessórios</x:v>
      </x:c>
      <x:c r="H795" t="str">
        <x:v>Hub USB-C</x:v>
      </x:c>
      <x:c r="I795" t="str">
        <x:v>Bruno</x:v>
      </x:c>
      <x:c r="J795" s="53" t="n">
        <x:v>3</x:v>
      </x:c>
      <x:c r="K795" s="54" t="n">
        <x:v>310.93</x:v>
      </x:c>
      <x:c r="L795" s="54" t="n">
        <x:v>132.19</x:v>
      </x:c>
      <x:c r="M795" s="55" t="n">
        <x:v>0.1204</x:v>
      </x:c>
      <x:c r="N795" s="54" t="n">
        <x:f>ROUND(J795*K795,2)</x:f>
        <x:v>932.79</x:v>
      </x:c>
      <x:c r="O795" s="54" t="n">
        <x:f>ROUND(N795*(1-M795),2)</x:f>
        <x:v>820.48</x:v>
      </x:c>
      <x:c r="P795" s="54" t="n">
        <x:f>ROUND(J795*L795,2)</x:f>
        <x:v>396.57</x:v>
      </x:c>
      <x:c r="Q795" s="54" t="n">
        <x:f>ROUND(O795-P795,2)</x:f>
        <x:v>423.91</x:v>
      </x:c>
      <x:c r="R795" s="55" t="n">
        <x:f>IF(O795=0,0,ROUND(Q795/O795,4))</x:f>
        <x:v>0.5167</x:v>
      </x:c>
      <x:c r="S795" s="53" t="n">
        <x:v>8</x:v>
      </x:c>
      <x:c r="T795" t="str">
        <x:v>Cancelado</x:v>
      </x:c>
      <x:c r="U795"/>
      <x:c r="V795" t="str"/>
    </x:row>
    <x:row r="796">
      <x:c r="A796" s="52" t="n">
        <x:v>46081</x:v>
      </x:c>
      <x:c r="B796" t="str">
        <x:v>PED-100795</x:v>
      </x:c>
      <x:c r="C796" t="str">
        <x:v>Cliente 053</x:v>
      </x:c>
      <x:c r="D796" t="str">
        <x:v>MG</x:v>
      </x:c>
      <x:c r="E796" t="str">
        <x:v>Sudeste</x:v>
      </x:c>
      <x:c r="F796" t="str">
        <x:v>Marketplace</x:v>
      </x:c>
      <x:c r="G796" t="str">
        <x:v>Tecnologia</x:v>
      </x:c>
      <x:c r="H796" t="str">
        <x:v>Monitor 27</x:v>
      </x:c>
      <x:c r="I796" t="str">
        <x:v>Gabriela</x:v>
      </x:c>
      <x:c r="J796" s="53" t="n">
        <x:v>6</x:v>
      </x:c>
      <x:c r="K796" s="54" t="n">
        <x:v>1675.55</x:v>
      </x:c>
      <x:c r="L796" s="54" t="n">
        <x:v>1075.64</x:v>
      </x:c>
      <x:c r="M796" s="55" t="n">
        <x:v>0.035</x:v>
      </x:c>
      <x:c r="N796" s="54" t="n">
        <x:f>ROUND(J796*K796,2)</x:f>
        <x:v>10053.3</x:v>
      </x:c>
      <x:c r="O796" s="54" t="n">
        <x:f>ROUND(N796*(1-M796),2)</x:f>
        <x:v>9701.43</x:v>
      </x:c>
      <x:c r="P796" s="54" t="n">
        <x:f>ROUND(J796*L796,2)</x:f>
        <x:v>6453.84</x:v>
      </x:c>
      <x:c r="Q796" s="54" t="n">
        <x:f>ROUND(O796-P796,2)</x:f>
        <x:v>3247.59</x:v>
      </x:c>
      <x:c r="R796" s="55" t="n">
        <x:f>IF(O796=0,0,ROUND(Q796/O796,4))</x:f>
        <x:v>0.3348</x:v>
      </x:c>
      <x:c r="S796" s="53" t="n">
        <x:v>2</x:v>
      </x:c>
      <x:c r="T796" t="str">
        <x:v>Cancelado</x:v>
      </x:c>
      <x:c r="U796"/>
      <x:c r="V796" t="str"/>
    </x:row>
    <x:row r="797">
      <x:c r="A797" s="52" t="n">
        <x:v>46089</x:v>
      </x:c>
      <x:c r="B797" t="str">
        <x:v>PED-100796</x:v>
      </x:c>
      <x:c r="C797" t="str">
        <x:v>Cliente 089</x:v>
      </x:c>
      <x:c r="D797" t="str">
        <x:v>ES</x:v>
      </x:c>
      <x:c r="E797" t="str">
        <x:v>Sudeste</x:v>
      </x:c>
      <x:c r="F797" t="str">
        <x:v>E-commerce</x:v>
      </x:c>
      <x:c r="G797" t="str">
        <x:v>Casa</x:v>
      </x:c>
      <x:c r="H797" t="str">
        <x:v>Aspirador Robô</x:v>
      </x:c>
      <x:c r="I797" t="str">
        <x:v>Isabela</x:v>
      </x:c>
      <x:c r="J797" s="53" t="n">
        <x:v>4</x:v>
      </x:c>
      <x:c r="K797" s="54" t="n">
        <x:v>1942.71</x:v>
      </x:c>
      <x:c r="L797" s="54" t="n">
        <x:v>1154.5</x:v>
      </x:c>
      <x:c r="M797" s="55" t="n">
        <x:v>0</x:v>
      </x:c>
      <x:c r="N797" s="54" t="n">
        <x:f>ROUND(J797*K797,2)</x:f>
        <x:v>7770.84</x:v>
      </x:c>
      <x:c r="O797" s="54" t="n">
        <x:f>ROUND(N797*(1-M797),2)</x:f>
        <x:v>7770.84</x:v>
      </x:c>
      <x:c r="P797" s="54" t="n">
        <x:f>ROUND(J797*L797,2)</x:f>
        <x:v>4618</x:v>
      </x:c>
      <x:c r="Q797" s="54" t="n">
        <x:f>ROUND(O797-P797,2)</x:f>
        <x:v>3152.84</x:v>
      </x:c>
      <x:c r="R797" s="55" t="n">
        <x:f>IF(O797=0,0,ROUND(Q797/O797,4))</x:f>
        <x:v>0.4057</x:v>
      </x:c>
      <x:c r="S797" s="53" t="n">
        <x:v>8</x:v>
      </x:c>
      <x:c r="T797" t="str">
        <x:v>Entregue</x:v>
      </x:c>
      <x:c r="U797" t="n">
        <x:v>3</x:v>
      </x:c>
      <x:c r="V797" t="str"/>
    </x:row>
    <x:row r="798">
      <x:c r="A798" s="52" t="n">
        <x:v>46097</x:v>
      </x:c>
      <x:c r="B798" t="str">
        <x:v>PED-100797</x:v>
      </x:c>
      <x:c r="C798" t="str">
        <x:v>Cliente 016</x:v>
      </x:c>
      <x:c r="D798" t="str">
        <x:v>DF</x:v>
      </x:c>
      <x:c r="E798" t="str">
        <x:v>Centro-Oeste</x:v>
      </x:c>
      <x:c r="F798" t="str">
        <x:v>Televendas</x:v>
      </x:c>
      <x:c r="G798" t="str">
        <x:v>Acessórios</x:v>
      </x:c>
      <x:c r="H798" t="str">
        <x:v>Mochila Executiva</x:v>
      </x:c>
      <x:c r="I798" t="str">
        <x:v>João</x:v>
      </x:c>
      <x:c r="J798" s="53" t="n">
        <x:v>1</x:v>
      </x:c>
      <x:c r="K798" s="54" t="n">
        <x:v>451.54</x:v>
      </x:c>
      <x:c r="L798" s="54" t="n">
        <x:v>190.15</x:v>
      </x:c>
      <x:c r="M798" s="55" t="n">
        <x:v>0.0279</x:v>
      </x:c>
      <x:c r="N798" s="54" t="n">
        <x:f>ROUND(J798*K798,2)</x:f>
        <x:v>451.54</x:v>
      </x:c>
      <x:c r="O798" s="54" t="n">
        <x:f>ROUND(N798*(1-M798),2)</x:f>
        <x:v>438.94</x:v>
      </x:c>
      <x:c r="P798" s="54" t="n">
        <x:f>ROUND(J798*L798,2)</x:f>
        <x:v>190.15</x:v>
      </x:c>
      <x:c r="Q798" s="54" t="n">
        <x:f>ROUND(O798-P798,2)</x:f>
        <x:v>248.79</x:v>
      </x:c>
      <x:c r="R798" s="55" t="n">
        <x:f>IF(O798=0,0,ROUND(Q798/O798,4))</x:f>
        <x:v>0.5668</x:v>
      </x:c>
      <x:c r="S798" s="53" t="n">
        <x:v>9</x:v>
      </x:c>
      <x:c r="T798" t="str">
        <x:v>Entregue</x:v>
      </x:c>
      <x:c r="U798" t="n">
        <x:v>3</x:v>
      </x:c>
      <x:c r="V798" t="str"/>
    </x:row>
    <x:row r="799">
      <x:c r="A799" s="52" t="n">
        <x:v>46207</x:v>
      </x:c>
      <x:c r="B799" t="str">
        <x:v>PED-100798</x:v>
      </x:c>
      <x:c r="C799" t="str">
        <x:v>Cliente 031</x:v>
      </x:c>
      <x:c r="D799" t="str">
        <x:v>CE</x:v>
      </x:c>
      <x:c r="E799" t="str">
        <x:v>Nordeste</x:v>
      </x:c>
      <x:c r="F799" t="str">
        <x:v>Marketplace</x:v>
      </x:c>
      <x:c r="G799" t="str">
        <x:v>Tecnologia</x:v>
      </x:c>
      <x:c r="H799" t="str">
        <x:v>Notebook Pro</x:v>
      </x:c>
      <x:c r="I799" t="str">
        <x:v>João</x:v>
      </x:c>
      <x:c r="J799" s="53" t="n">
        <x:v>7</x:v>
      </x:c>
      <x:c r="K799" s="54" t="n">
        <x:v>6156.52</x:v>
      </x:c>
      <x:c r="L799" s="54" t="n">
        <x:v>4672.57</x:v>
      </x:c>
      <x:c r="M799" s="55" t="n">
        <x:v>0.035</x:v>
      </x:c>
      <x:c r="N799" s="54" t="n">
        <x:f>ROUND(J799*K799,2)</x:f>
        <x:v>43095.64</x:v>
      </x:c>
      <x:c r="O799" s="54" t="n">
        <x:f>ROUND(N799*(1-M799),2)</x:f>
        <x:v>41587.29</x:v>
      </x:c>
      <x:c r="P799" s="54" t="n">
        <x:f>ROUND(J799*L799,2)</x:f>
        <x:v>32707.99</x:v>
      </x:c>
      <x:c r="Q799" s="54" t="n">
        <x:f>ROUND(O799-P799,2)</x:f>
        <x:v>8879.3</x:v>
      </x:c>
      <x:c r="R799" s="55" t="n">
        <x:f>IF(O799=0,0,ROUND(Q799/O799,4))</x:f>
        <x:v>0.2135</x:v>
      </x:c>
      <x:c r="S799" s="53" t="n">
        <x:v>5</x:v>
      </x:c>
      <x:c r="T799" t="str">
        <x:v>Entregue</x:v>
      </x:c>
      <x:c r="U799" t="n">
        <x:v>3</x:v>
      </x:c>
      <x:c r="V799" t="str"/>
    </x:row>
    <x:row r="800">
      <x:c r="A800" s="52" t="n">
        <x:v>46134</x:v>
      </x:c>
      <x:c r="B800" t="str">
        <x:v>PED-100799</x:v>
      </x:c>
      <x:c r="C800" t="str">
        <x:v>Cliente 013</x:v>
      </x:c>
      <x:c r="D800" t="str">
        <x:v>RS</x:v>
      </x:c>
      <x:c r="E800" t="str">
        <x:v>Sul</x:v>
      </x:c>
      <x:c r="F800" t="str">
        <x:v>Televendas</x:v>
      </x:c>
      <x:c r="G800" t="str">
        <x:v>Acessórios</x:v>
      </x:c>
      <x:c r="H800" t="str">
        <x:v>Hub USB-C</x:v>
      </x:c>
      <x:c r="I800" t="str">
        <x:v>Bruno</x:v>
      </x:c>
      <x:c r="J800" s="53" t="n">
        <x:v>5</x:v>
      </x:c>
      <x:c r="K800" s="54" t="n">
        <x:v>310.49</x:v>
      </x:c>
      <x:c r="L800" s="54" t="n">
        <x:v>131.56</x:v>
      </x:c>
      <x:c r="M800" s="55" t="n">
        <x:v>0</x:v>
      </x:c>
      <x:c r="N800" s="54" t="n">
        <x:f>ROUND(J800*K800,2)</x:f>
        <x:v>1552.45</x:v>
      </x:c>
      <x:c r="O800" s="54" t="n">
        <x:f>ROUND(N800*(1-M800),2)</x:f>
        <x:v>1552.45</x:v>
      </x:c>
      <x:c r="P800" s="54" t="n">
        <x:f>ROUND(J800*L800,2)</x:f>
        <x:v>657.8</x:v>
      </x:c>
      <x:c r="Q800" s="54" t="n">
        <x:f>ROUND(O800-P800,2)</x:f>
        <x:v>894.65</x:v>
      </x:c>
      <x:c r="R800" s="55" t="n">
        <x:f>IF(O800=0,0,ROUND(Q800/O800,4))</x:f>
        <x:v>0.5763</x:v>
      </x:c>
      <x:c r="S800" s="53" t="n">
        <x:v>4</x:v>
      </x:c>
      <x:c r="T800" t="str">
        <x:v>Entregue</x:v>
      </x:c>
      <x:c r="U800" t="n">
        <x:v>3</x:v>
      </x:c>
      <x:c r="V800" t="str"/>
    </x:row>
    <x:row r="801">
      <x:c r="A801" s="52" t="n">
        <x:v>46206</x:v>
      </x:c>
      <x:c r="B801" t="str">
        <x:v>PED-100800</x:v>
      </x:c>
      <x:c r="C801" t="str">
        <x:v>Cliente 036</x:v>
      </x:c>
      <x:c r="D801" t="str">
        <x:v>BA</x:v>
      </x:c>
      <x:c r="E801" t="str">
        <x:v>Nordeste</x:v>
      </x:c>
      <x:c r="F801" t="str">
        <x:v>Loja</x:v>
      </x:c>
      <x:c r="G801" t="str">
        <x:v>Escritório</x:v>
      </x:c>
      <x:c r="H801" t="str">
        <x:v>Mesa Ajustável</x:v>
      </x:c>
      <x:c r="I801" t="str">
        <x:v>Felipe</x:v>
      </x:c>
      <x:c r="J801" s="53" t="n">
        <x:v>8</x:v>
      </x:c>
      <x:c r="K801" s="54" t="n">
        <x:v>2914.5</x:v>
      </x:c>
      <x:c r="L801" s="54" t="n">
        <x:v>1805.27</x:v>
      </x:c>
      <x:c r="M801" s="55" t="n">
        <x:v>0</x:v>
      </x:c>
      <x:c r="N801" s="54" t="n">
        <x:f>ROUND(J801*K801,2)</x:f>
        <x:v>23316</x:v>
      </x:c>
      <x:c r="O801" s="54" t="n">
        <x:f>ROUND(N801*(1-M801),2)</x:f>
        <x:v>23316</x:v>
      </x:c>
      <x:c r="P801" s="54" t="n">
        <x:f>ROUND(J801*L801,2)</x:f>
        <x:v>14442.16</x:v>
      </x:c>
      <x:c r="Q801" s="54" t="n">
        <x:f>ROUND(O801-P801,2)</x:f>
        <x:v>8873.84</x:v>
      </x:c>
      <x:c r="R801" s="55" t="n">
        <x:f>IF(O801=0,0,ROUND(Q801/O801,4))</x:f>
        <x:v>0.3806</x:v>
      </x:c>
      <x:c r="S801" s="53" t="n">
        <x:v>14</x:v>
      </x:c>
      <x:c r="T801" t="str">
        <x:v>Entregue com atraso</x:v>
      </x:c>
      <x:c r="U801" t="n">
        <x:v>3</x:v>
      </x:c>
      <x:c r="V801" t="str"/>
    </x:row>
    <x:row r="802">
      <x:c r="A802" s="52" t="n">
        <x:v>46045</x:v>
      </x:c>
      <x:c r="B802" t="str">
        <x:v>PED-100801</x:v>
      </x:c>
      <x:c r="C802" t="str">
        <x:v>Cliente 010</x:v>
      </x:c>
      <x:c r="D802" t="str">
        <x:v>AM</x:v>
      </x:c>
      <x:c r="E802" t="str">
        <x:v>Norte</x:v>
      </x:c>
      <x:c r="F802" t="str">
        <x:v>E-commerce</x:v>
      </x:c>
      <x:c r="G802" t="str">
        <x:v>Tecnologia</x:v>
      </x:c>
      <x:c r="H802" t="str">
        <x:v>Notebook Pro</x:v>
      </x:c>
      <x:c r="I802" t="str">
        <x:v>Ana</x:v>
      </x:c>
      <x:c r="J802" s="53" t="n">
        <x:v>1</x:v>
      </x:c>
      <x:c r="K802" s="54" t="n">
        <x:v>5987.18</x:v>
      </x:c>
      <x:c r="L802" s="54" t="n">
        <x:v>4660.97</x:v>
      </x:c>
      <x:c r="M802" s="55" t="n">
        <x:v>0</x:v>
      </x:c>
      <x:c r="N802" s="54" t="n">
        <x:f>ROUND(J802*K802,2)</x:f>
        <x:v>5987.18</x:v>
      </x:c>
      <x:c r="O802" s="54" t="n">
        <x:f>ROUND(N802*(1-M802),2)</x:f>
        <x:v>5987.18</x:v>
      </x:c>
      <x:c r="P802" s="54" t="n">
        <x:f>ROUND(J802*L802,2)</x:f>
        <x:v>4660.97</x:v>
      </x:c>
      <x:c r="Q802" s="54" t="n">
        <x:f>ROUND(O802-P802,2)</x:f>
        <x:v>1326.21</x:v>
      </x:c>
      <x:c r="R802" s="55" t="n">
        <x:f>IF(O802=0,0,ROUND(Q802/O802,4))</x:f>
        <x:v>0.2215</x:v>
      </x:c>
      <x:c r="S802" s="53" t="n">
        <x:v>8</x:v>
      </x:c>
      <x:c r="T802" t="str">
        <x:v>Entregue</x:v>
      </x:c>
      <x:c r="U802" t="n">
        <x:v>2</x:v>
      </x:c>
      <x:c r="V802" t="str"/>
    </x:row>
    <x:row r="803">
      <x:c r="A803" s="52" t="n">
        <x:v>46149</x:v>
      </x:c>
      <x:c r="B803" t="str">
        <x:v>PED-100802</x:v>
      </x:c>
      <x:c r="C803" t="str">
        <x:v>Cliente 113</x:v>
      </x:c>
      <x:c r="D803" t="str">
        <x:v>GO</x:v>
      </x:c>
      <x:c r="E803" t="str">
        <x:v>Centro-Oeste</x:v>
      </x:c>
      <x:c r="F803" t="str">
        <x:v>Marketplace</x:v>
      </x:c>
      <x:c r="G803" t="str">
        <x:v>Tecnologia</x:v>
      </x:c>
      <x:c r="H803" t="str">
        <x:v>Headset Office</x:v>
      </x:c>
      <x:c r="I803" t="str">
        <x:v>Henrique</x:v>
      </x:c>
      <x:c r="J803" s="53" t="n">
        <x:v>3</x:v>
      </x:c>
      <x:c r="K803" s="54" t="n">
        <x:v>375.28</x:v>
      </x:c>
      <x:c r="L803" s="54" t="n">
        <x:v>205.86</x:v>
      </x:c>
      <x:c r="M803" s="55" t="n">
        <x:v>0.035</x:v>
      </x:c>
      <x:c r="N803" s="54" t="n">
        <x:f>ROUND(J803*K803,2)</x:f>
        <x:v>1125.84</x:v>
      </x:c>
      <x:c r="O803" s="54" t="n">
        <x:f>ROUND(N803*(1-M803),2)</x:f>
        <x:v>1086.44</x:v>
      </x:c>
      <x:c r="P803" s="54" t="n">
        <x:f>ROUND(J803*L803,2)</x:f>
        <x:v>617.58</x:v>
      </x:c>
      <x:c r="Q803" s="54" t="n">
        <x:f>ROUND(O803-P803,2)</x:f>
        <x:v>468.86</x:v>
      </x:c>
      <x:c r="R803" s="55" t="n">
        <x:f>IF(O803=0,0,ROUND(Q803/O803,4))</x:f>
        <x:v>0.4316</x:v>
      </x:c>
      <x:c r="S803" s="53" t="n">
        <x:v>5</x:v>
      </x:c>
      <x:c r="T803" t="str">
        <x:v>Entregue</x:v>
      </x:c>
      <x:c r="U803" t="n">
        <x:v>2</x:v>
      </x:c>
      <x:c r="V803" t="str"/>
    </x:row>
    <x:row r="804">
      <x:c r="A804" s="52" t="n">
        <x:v>46185</x:v>
      </x:c>
      <x:c r="B804" t="str">
        <x:v>PED-100803</x:v>
      </x:c>
      <x:c r="C804" t="str">
        <x:v>Cliente 079</x:v>
      </x:c>
      <x:c r="D804" t="str">
        <x:v>AM</x:v>
      </x:c>
      <x:c r="E804" t="str">
        <x:v>Norte</x:v>
      </x:c>
      <x:c r="F804" t="str">
        <x:v>E-commerce</x:v>
      </x:c>
      <x:c r="G804" t="str">
        <x:v>Tecnologia</x:v>
      </x:c>
      <x:c r="H804" t="str">
        <x:v>Headset Office</x:v>
      </x:c>
      <x:c r="I804" t="str">
        <x:v>Isabela</x:v>
      </x:c>
      <x:c r="J804" s="53" t="n">
        <x:v>1</x:v>
      </x:c>
      <x:c r="K804" s="54" t="n">
        <x:v>371.81</x:v>
      </x:c>
      <x:c r="L804" s="54" t="n">
        <x:v>215.98</x:v>
      </x:c>
      <x:c r="M804" s="55" t="n">
        <x:v>0</x:v>
      </x:c>
      <x:c r="N804" s="54" t="n">
        <x:f>ROUND(J804*K804,2)</x:f>
        <x:v>371.81</x:v>
      </x:c>
      <x:c r="O804" s="54" t="n">
        <x:f>ROUND(N804*(1-M804),2)</x:f>
        <x:v>371.81</x:v>
      </x:c>
      <x:c r="P804" s="54" t="n">
        <x:f>ROUND(J804*L804,2)</x:f>
        <x:v>215.98</x:v>
      </x:c>
      <x:c r="Q804" s="54" t="n">
        <x:f>ROUND(O804-P804,2)</x:f>
        <x:v>155.83</x:v>
      </x:c>
      <x:c r="R804" s="55" t="n">
        <x:f>IF(O804=0,0,ROUND(Q804/O804,4))</x:f>
        <x:v>0.4191</x:v>
      </x:c>
      <x:c r="S804" s="53" t="n">
        <x:v>12</x:v>
      </x:c>
      <x:c r="T804" t="str">
        <x:v>Entregue com atraso</x:v>
      </x:c>
      <x:c r="U804" t="n">
        <x:v>3</x:v>
      </x:c>
      <x:c r="V804" t="str"/>
    </x:row>
    <x:row r="805">
      <x:c r="A805" s="52" t="n">
        <x:v>46138</x:v>
      </x:c>
      <x:c r="B805" t="str">
        <x:v>PED-100804</x:v>
      </x:c>
      <x:c r="C805" t="str">
        <x:v>Cliente 015</x:v>
      </x:c>
      <x:c r="D805" t="str">
        <x:v>RJ</x:v>
      </x:c>
      <x:c r="E805" t="str">
        <x:v>Sudeste</x:v>
      </x:c>
      <x:c r="F805" t="str">
        <x:v>Loja</x:v>
      </x:c>
      <x:c r="G805" t="str">
        <x:v>Escritório</x:v>
      </x:c>
      <x:c r="H805" t="str">
        <x:v>Mesa Ajustável</x:v>
      </x:c>
      <x:c r="I805" t="str">
        <x:v>Elaine</x:v>
      </x:c>
      <x:c r="J805" s="53" t="n">
        <x:v>1</x:v>
      </x:c>
      <x:c r="K805" s="54" t="n">
        <x:v>2691.71</x:v>
      </x:c>
      <x:c r="L805" s="54" t="n">
        <x:v>1819.13</x:v>
      </x:c>
      <x:c r="M805" s="55" t="n">
        <x:v>0.0757</x:v>
      </x:c>
      <x:c r="N805" s="54" t="n">
        <x:f>ROUND(J805*K805,2)</x:f>
        <x:v>2691.71</x:v>
      </x:c>
      <x:c r="O805" s="54" t="n">
        <x:f>ROUND(N805*(1-M805),2)</x:f>
        <x:v>2487.95</x:v>
      </x:c>
      <x:c r="P805" s="54" t="n">
        <x:f>ROUND(J805*L805,2)</x:f>
        <x:v>1819.13</x:v>
      </x:c>
      <x:c r="Q805" s="54" t="n">
        <x:f>ROUND(O805-P805,2)</x:f>
        <x:v>668.82</x:v>
      </x:c>
      <x:c r="R805" s="55" t="n">
        <x:f>IF(O805=0,0,ROUND(Q805/O805,4))</x:f>
        <x:v>0.2688</x:v>
      </x:c>
      <x:c r="S805" s="53" t="n">
        <x:v>29</x:v>
      </x:c>
      <x:c r="T805" t="str">
        <x:v>Entregue com atraso</x:v>
      </x:c>
      <x:c r="U805" t="n">
        <x:v>1</x:v>
      </x:c>
      <x:c r="V805" t="str">
        <x:v>Ocorrência logística</x:v>
      </x:c>
    </x:row>
    <x:row r="806">
      <x:c r="A806" s="52" t="n">
        <x:v>46146</x:v>
      </x:c>
      <x:c r="B806" t="str">
        <x:v>PED-100805</x:v>
      </x:c>
      <x:c r="C806" t="str">
        <x:v>Cliente 019</x:v>
      </x:c>
      <x:c r="D806" t="str">
        <x:v>PA</x:v>
      </x:c>
      <x:c r="E806" t="str">
        <x:v>Norte</x:v>
      </x:c>
      <x:c r="F806" t="str">
        <x:v>E-commerce</x:v>
      </x:c>
      <x:c r="G806" t="str">
        <x:v>Casa</x:v>
      </x:c>
      <x:c r="H806" t="str">
        <x:v>Cafeteira Smart</x:v>
      </x:c>
      <x:c r="I806" t="str">
        <x:v>Felipe</x:v>
      </x:c>
      <x:c r="J806" s="53" t="n">
        <x:v>2</x:v>
      </x:c>
      <x:c r="K806" s="54" t="n">
        <x:v>761.24</x:v>
      </x:c>
      <x:c r="L806" s="54" t="n">
        <x:v>465.27</x:v>
      </x:c>
      <x:c r="M806" s="55" t="n">
        <x:v>0.0853</x:v>
      </x:c>
      <x:c r="N806" s="54" t="n">
        <x:f>ROUND(J806*K806,2)</x:f>
        <x:v>1522.48</x:v>
      </x:c>
      <x:c r="O806" s="54" t="n">
        <x:f>ROUND(N806*(1-M806),2)</x:f>
        <x:v>1392.61</x:v>
      </x:c>
      <x:c r="P806" s="54" t="n">
        <x:f>ROUND(J806*L806,2)</x:f>
        <x:v>930.54</x:v>
      </x:c>
      <x:c r="Q806" s="54" t="n">
        <x:f>ROUND(O806-P806,2)</x:f>
        <x:v>462.07</x:v>
      </x:c>
      <x:c r="R806" s="55" t="n">
        <x:f>IF(O806=0,0,ROUND(Q806/O806,4))</x:f>
        <x:v>0.3318</x:v>
      </x:c>
      <x:c r="S806" s="53" t="n">
        <x:v>8</x:v>
      </x:c>
      <x:c r="T806" t="str">
        <x:v>Entregue</x:v>
      </x:c>
      <x:c r="U806" t="n">
        <x:v>2</x:v>
      </x:c>
      <x:c r="V806" t="str"/>
    </x:row>
    <x:row r="807">
      <x:c r="A807" s="52" t="n">
        <x:v>46075</x:v>
      </x:c>
      <x:c r="B807" t="str">
        <x:v>PED-100806</x:v>
      </x:c>
      <x:c r="C807" t="str">
        <x:v>Cliente 080</x:v>
      </x:c>
      <x:c r="D807" t="str">
        <x:v>SP</x:v>
      </x:c>
      <x:c r="E807" t="str">
        <x:v>Sudeste</x:v>
      </x:c>
      <x:c r="F807" t="str">
        <x:v>Marketplace</x:v>
      </x:c>
      <x:c r="G807" t="str">
        <x:v>Escritório</x:v>
      </x:c>
      <x:c r="H807" t="str">
        <x:v>Luminária LED</x:v>
      </x:c>
      <x:c r="I807" t="str">
        <x:v>Bruno</x:v>
      </x:c>
      <x:c r="J807" s="53" t="n">
        <x:v>8</x:v>
      </x:c>
      <x:c r="K807" s="54" t="n">
        <x:v>255.61</x:v>
      </x:c>
      <x:c r="L807" s="54" t="n">
        <x:v>118.03</x:v>
      </x:c>
      <x:c r="M807" s="55" t="n">
        <x:v>0.1639</x:v>
      </x:c>
      <x:c r="N807" s="54" t="n">
        <x:f>ROUND(J807*K807,2)</x:f>
        <x:v>2044.88</x:v>
      </x:c>
      <x:c r="O807" s="54" t="n">
        <x:f>ROUND(N807*(1-M807),2)</x:f>
        <x:v>1709.72</x:v>
      </x:c>
      <x:c r="P807" s="54" t="n">
        <x:f>ROUND(J807*L807,2)</x:f>
        <x:v>944.24</x:v>
      </x:c>
      <x:c r="Q807" s="54" t="n">
        <x:f>ROUND(O807-P807,2)</x:f>
        <x:v>765.48</x:v>
      </x:c>
      <x:c r="R807" s="55" t="n">
        <x:f>IF(O807=0,0,ROUND(Q807/O807,4))</x:f>
        <x:v>0.4477</x:v>
      </x:c>
      <x:c r="S807" s="53" t="n">
        <x:v>14</x:v>
      </x:c>
      <x:c r="T807" t="str">
        <x:v>Entregue com atraso</x:v>
      </x:c>
      <x:c r="U807" t="n">
        <x:v>5</x:v>
      </x:c>
      <x:c r="V807" t="str"/>
    </x:row>
    <x:row r="808">
      <x:c r="A808" s="52" t="n">
        <x:v>46106</x:v>
      </x:c>
      <x:c r="B808" t="str">
        <x:v>PED-100807</x:v>
      </x:c>
      <x:c r="C808" t="str">
        <x:v>Cliente 017</x:v>
      </x:c>
      <x:c r="D808" t="str">
        <x:v>RJ</x:v>
      </x:c>
      <x:c r="E808" t="str">
        <x:v>Sudeste</x:v>
      </x:c>
      <x:c r="F808" t="str">
        <x:v>Marketplace</x:v>
      </x:c>
      <x:c r="G808" t="str">
        <x:v>Casa</x:v>
      </x:c>
      <x:c r="H808" t="str">
        <x:v>Purificador</x:v>
      </x:c>
      <x:c r="I808" t="str">
        <x:v>João</x:v>
      </x:c>
      <x:c r="J808" s="53" t="n">
        <x:v>3</x:v>
      </x:c>
      <x:c r="K808" s="54" t="n">
        <x:v>1268.95</x:v>
      </x:c>
      <x:c r="L808" s="54" t="n">
        <x:v>793.03</x:v>
      </x:c>
      <x:c r="M808" s="55" t="n">
        <x:v>0.035</x:v>
      </x:c>
      <x:c r="N808" s="54" t="n">
        <x:f>ROUND(J808*K808,2)</x:f>
        <x:v>3806.85</x:v>
      </x:c>
      <x:c r="O808" s="54" t="n">
        <x:f>ROUND(N808*(1-M808),2)</x:f>
        <x:v>3673.61</x:v>
      </x:c>
      <x:c r="P808" s="54" t="n">
        <x:f>ROUND(J808*L808,2)</x:f>
        <x:v>2379.09</x:v>
      </x:c>
      <x:c r="Q808" s="54" t="n">
        <x:f>ROUND(O808-P808,2)</x:f>
        <x:v>1294.52</x:v>
      </x:c>
      <x:c r="R808" s="55" t="n">
        <x:f>IF(O808=0,0,ROUND(Q808/O808,4))</x:f>
        <x:v>0.3524</x:v>
      </x:c>
      <x:c r="S808" s="53" t="n">
        <x:v>8</x:v>
      </x:c>
      <x:c r="T808" t="str">
        <x:v>Entregue</x:v>
      </x:c>
      <x:c r="U808" t="n">
        <x:v>5</x:v>
      </x:c>
      <x:c r="V808" t="str"/>
    </x:row>
    <x:row r="809">
      <x:c r="A809" s="52" t="n">
        <x:v>46129</x:v>
      </x:c>
      <x:c r="B809" t="str">
        <x:v>PED-100808</x:v>
      </x:c>
      <x:c r="C809" t="str">
        <x:v>Cliente 081</x:v>
      </x:c>
      <x:c r="D809" t="str">
        <x:v>PA</x:v>
      </x:c>
      <x:c r="E809" t="str">
        <x:v>Norte</x:v>
      </x:c>
      <x:c r="F809" t="str">
        <x:v>Marketplace</x:v>
      </x:c>
      <x:c r="G809" t="str">
        <x:v>Tecnologia</x:v>
      </x:c>
      <x:c r="H809" t="str">
        <x:v>Monitor 27</x:v>
      </x:c>
      <x:c r="I809" t="str">
        <x:v>Bruno</x:v>
      </x:c>
      <x:c r="J809" s="53" t="n">
        <x:v>7</x:v>
      </x:c>
      <x:c r="K809" s="54" t="n">
        <x:v>1722.25</x:v>
      </x:c>
      <x:c r="L809" s="54" t="n">
        <x:v>1169.81</x:v>
      </x:c>
      <x:c r="M809" s="55" t="n">
        <x:v>0.035</x:v>
      </x:c>
      <x:c r="N809" s="54" t="n">
        <x:f>ROUND(J809*K809,2)</x:f>
        <x:v>12055.75</x:v>
      </x:c>
      <x:c r="O809" s="54" t="n">
        <x:f>ROUND(N809*(1-M809),2)</x:f>
        <x:v>11633.8</x:v>
      </x:c>
      <x:c r="P809" s="54" t="n">
        <x:f>ROUND(J809*L809,2)</x:f>
        <x:v>8188.67</x:v>
      </x:c>
      <x:c r="Q809" s="54" t="n">
        <x:f>ROUND(O809-P809,2)</x:f>
        <x:v>3445.13</x:v>
      </x:c>
      <x:c r="R809" s="55" t="n">
        <x:f>IF(O809=0,0,ROUND(Q809/O809,4))</x:f>
        <x:v>0.2961</x:v>
      </x:c>
      <x:c r="S809" s="53" t="n">
        <x:v>5</x:v>
      </x:c>
      <x:c r="T809" t="str">
        <x:v>Entregue</x:v>
      </x:c>
      <x:c r="U809" t="n">
        <x:v>4</x:v>
      </x:c>
      <x:c r="V809" t="str"/>
    </x:row>
    <x:row r="810">
      <x:c r="A810" s="52" t="n">
        <x:v>46110</x:v>
      </x:c>
      <x:c r="B810" t="str">
        <x:v>PED-100809</x:v>
      </x:c>
      <x:c r="C810" t="str">
        <x:v>Cliente 019</x:v>
      </x:c>
      <x:c r="D810" t="str">
        <x:v>PA</x:v>
      </x:c>
      <x:c r="E810" t="str">
        <x:v>Norte</x:v>
      </x:c>
      <x:c r="F810" t="str">
        <x:v>Marketplace</x:v>
      </x:c>
      <x:c r="G810" t="str">
        <x:v>Tecnologia</x:v>
      </x:c>
      <x:c r="H810" t="str">
        <x:v>Monitor 27</x:v>
      </x:c>
      <x:c r="I810" t="str">
        <x:v>Felipe</x:v>
      </x:c>
      <x:c r="J810" s="53" t="n">
        <x:v>8</x:v>
      </x:c>
      <x:c r="K810" s="54" t="n">
        <x:v>1695.83</x:v>
      </x:c>
      <x:c r="L810" s="54" t="n">
        <x:v>1147.64</x:v>
      </x:c>
      <x:c r="M810" s="55" t="n">
        <x:v>0.0744</x:v>
      </x:c>
      <x:c r="N810" s="54" t="n">
        <x:f>ROUND(J810*K810,2)</x:f>
        <x:v>13566.64</x:v>
      </x:c>
      <x:c r="O810" s="54" t="n">
        <x:f>ROUND(N810*(1-M810),2)</x:f>
        <x:v>12557.28</x:v>
      </x:c>
      <x:c r="P810" s="54" t="n">
        <x:f>ROUND(J810*L810,2)</x:f>
        <x:v>9181.12</x:v>
      </x:c>
      <x:c r="Q810" s="54" t="n">
        <x:f>ROUND(O810-P810,2)</x:f>
        <x:v>3376.16</x:v>
      </x:c>
      <x:c r="R810" s="55" t="n">
        <x:f>IF(O810=0,0,ROUND(Q810/O810,4))</x:f>
        <x:v>0.2689</x:v>
      </x:c>
      <x:c r="S810" s="53" t="n">
        <x:v>7</x:v>
      </x:c>
      <x:c r="T810" t="str">
        <x:v>Entregue</x:v>
      </x:c>
      <x:c r="U810" t="n">
        <x:v>3</x:v>
      </x:c>
      <x:c r="V810" t="str"/>
    </x:row>
    <x:row r="811">
      <x:c r="A811" s="52" t="n">
        <x:v>46225</x:v>
      </x:c>
      <x:c r="B811" t="str">
        <x:v>PED-100810</x:v>
      </x:c>
      <x:c r="C811" t="str">
        <x:v>Cliente 081</x:v>
      </x:c>
      <x:c r="D811" t="str">
        <x:v>DF</x:v>
      </x:c>
      <x:c r="E811" t="str">
        <x:v>Centro-Oeste</x:v>
      </x:c>
      <x:c r="F811" t="str">
        <x:v>E-commerce</x:v>
      </x:c>
      <x:c r="G811" t="str">
        <x:v>Acessórios</x:v>
      </x:c>
      <x:c r="H811" t="str">
        <x:v>Hub USB-C</x:v>
      </x:c>
      <x:c r="I811" t="str">
        <x:v>Ana</x:v>
      </x:c>
      <x:c r="J811" s="53" t="n">
        <x:v>2</x:v>
      </x:c>
      <x:c r="K811" s="54" t="n">
        <x:v>321.93</x:v>
      </x:c>
      <x:c r="L811" s="54" t="n">
        <x:v>129.71</x:v>
      </x:c>
      <x:c r="M811" s="55" t="n">
        <x:v>0.1169</x:v>
      </x:c>
      <x:c r="N811" s="54" t="n">
        <x:f>ROUND(J811*K811,2)</x:f>
        <x:v>643.86</x:v>
      </x:c>
      <x:c r="O811" s="54" t="n">
        <x:f>ROUND(N811*(1-M811),2)</x:f>
        <x:v>568.59</x:v>
      </x:c>
      <x:c r="P811" s="54" t="n">
        <x:f>ROUND(J811*L811,2)</x:f>
        <x:v>259.42</x:v>
      </x:c>
      <x:c r="Q811" s="54" t="n">
        <x:f>ROUND(O811-P811,2)</x:f>
        <x:v>309.17</x:v>
      </x:c>
      <x:c r="R811" s="55" t="n">
        <x:f>IF(O811=0,0,ROUND(Q811/O811,4))</x:f>
        <x:v>0.5437</x:v>
      </x:c>
      <x:c r="S811" s="53" t="n">
        <x:v>9</x:v>
      </x:c>
      <x:c r="T811" t="str">
        <x:v>Entregue</x:v>
      </x:c>
      <x:c r="U811" t="n">
        <x:v>2</x:v>
      </x:c>
      <x:c r="V811" t="str"/>
    </x:row>
    <x:row r="812">
      <x:c r="A812" s="52" t="n">
        <x:v>46185</x:v>
      </x:c>
      <x:c r="B812" t="str">
        <x:v>PED-100811</x:v>
      </x:c>
      <x:c r="C812" t="str">
        <x:v>Cliente 002</x:v>
      </x:c>
      <x:c r="D812" t="str">
        <x:v>MG</x:v>
      </x:c>
      <x:c r="E812" t="str">
        <x:v>Sudeste</x:v>
      </x:c>
      <x:c r="F812" t="str">
        <x:v>Televendas</x:v>
      </x:c>
      <x:c r="G812" t="str">
        <x:v>Escritório</x:v>
      </x:c>
      <x:c r="H812" t="str">
        <x:v>Cadeira Ergonômica</x:v>
      </x:c>
      <x:c r="I812" t="str">
        <x:v>Carla</x:v>
      </x:c>
      <x:c r="J812" s="53" t="n">
        <x:v>5</x:v>
      </x:c>
      <x:c r="K812" s="54" t="n">
        <x:v>2158.22</x:v>
      </x:c>
      <x:c r="L812" s="54" t="n">
        <x:v>1453.16</x:v>
      </x:c>
      <x:c r="M812" s="55" t="n">
        <x:v>0.0192</x:v>
      </x:c>
      <x:c r="N812" s="54" t="n">
        <x:f>ROUND(J812*K812,2)</x:f>
        <x:v>10791.1</x:v>
      </x:c>
      <x:c r="O812" s="54" t="n">
        <x:f>ROUND(N812*(1-M812),2)</x:f>
        <x:v>10583.91</x:v>
      </x:c>
      <x:c r="P812" s="54" t="n">
        <x:f>ROUND(J812*L812,2)</x:f>
        <x:v>7265.8</x:v>
      </x:c>
      <x:c r="Q812" s="54" t="n">
        <x:f>ROUND(O812-P812,2)</x:f>
        <x:v>3318.11</x:v>
      </x:c>
      <x:c r="R812" s="55" t="n">
        <x:f>IF(O812=0,0,ROUND(Q812/O812,4))</x:f>
        <x:v>0.3135</x:v>
      </x:c>
      <x:c r="S812" s="53" t="n">
        <x:v>11</x:v>
      </x:c>
      <x:c r="T812" t="str">
        <x:v>Entregue com atraso</x:v>
      </x:c>
      <x:c r="U812" t="n">
        <x:v>3</x:v>
      </x:c>
      <x:c r="V812" t="str"/>
    </x:row>
    <x:row r="813">
      <x:c r="A813" s="52" t="n">
        <x:v>46056</x:v>
      </x:c>
      <x:c r="B813" t="str">
        <x:v>PED-100812</x:v>
      </x:c>
      <x:c r="C813" t="str">
        <x:v>Cliente 082</x:v>
      </x:c>
      <x:c r="D813" t="str">
        <x:v>DF</x:v>
      </x:c>
      <x:c r="E813" t="str">
        <x:v>Centro-Oeste</x:v>
      </x:c>
      <x:c r="F813" t="str">
        <x:v>Loja</x:v>
      </x:c>
      <x:c r="G813" t="str">
        <x:v>Acessórios</x:v>
      </x:c>
      <x:c r="H813" t="str">
        <x:v>Hub USB-C</x:v>
      </x:c>
      <x:c r="I813" t="str">
        <x:v>Carla</x:v>
      </x:c>
      <x:c r="J813" s="53" t="n">
        <x:v>2</x:v>
      </x:c>
      <x:c r="K813" s="54" t="n">
        <x:v>325.04</x:v>
      </x:c>
      <x:c r="L813" s="54" t="n">
        <x:v>140.87</x:v>
      </x:c>
      <x:c r="M813" s="55" t="n">
        <x:v>0</x:v>
      </x:c>
      <x:c r="N813" s="54" t="n">
        <x:f>ROUND(J813*K813,2)</x:f>
        <x:v>650.08</x:v>
      </x:c>
      <x:c r="O813" s="54" t="n">
        <x:f>ROUND(N813*(1-M813),2)</x:f>
        <x:v>650.08</x:v>
      </x:c>
      <x:c r="P813" s="54" t="n">
        <x:f>ROUND(J813*L813,2)</x:f>
        <x:v>281.74</x:v>
      </x:c>
      <x:c r="Q813" s="54" t="n">
        <x:f>ROUND(O813-P813,2)</x:f>
        <x:v>368.34</x:v>
      </x:c>
      <x:c r="R813" s="55" t="n">
        <x:f>IF(O813=0,0,ROUND(Q813/O813,4))</x:f>
        <x:v>0.5666</x:v>
      </x:c>
      <x:c r="S813" s="53" t="n">
        <x:v>11</x:v>
      </x:c>
      <x:c r="T813" t="str">
        <x:v>Entregue com atraso</x:v>
      </x:c>
      <x:c r="U813" t="n">
        <x:v>5</x:v>
      </x:c>
      <x:c r="V813" t="str"/>
    </x:row>
    <x:row r="814">
      <x:c r="A814" s="52" t="n">
        <x:v>46112</x:v>
      </x:c>
      <x:c r="B814" t="str">
        <x:v>PED-100813</x:v>
      </x:c>
      <x:c r="C814" t="str">
        <x:v>Cliente 117</x:v>
      </x:c>
      <x:c r="D814" t="str">
        <x:v>PA</x:v>
      </x:c>
      <x:c r="E814" t="str">
        <x:v>Norte</x:v>
      </x:c>
      <x:c r="F814" t="str">
        <x:v>E-commerce</x:v>
      </x:c>
      <x:c r="G814" t="str">
        <x:v>Escritório</x:v>
      </x:c>
      <x:c r="H814" t="str">
        <x:v>Luminária LED</x:v>
      </x:c>
      <x:c r="I814" t="str">
        <x:v>Carla</x:v>
      </x:c>
      <x:c r="J814" s="53" t="n">
        <x:v>7</x:v>
      </x:c>
      <x:c r="K814" s="54" t="n">
        <x:v>273.74</x:v>
      </x:c>
      <x:c r="L814" s="54" t="n">
        <x:v>125.49</x:v>
      </x:c>
      <x:c r="M814" s="55" t="n">
        <x:v>0.0096</x:v>
      </x:c>
      <x:c r="N814" s="54" t="n">
        <x:f>ROUND(J814*K814,2)</x:f>
        <x:v>1916.18</x:v>
      </x:c>
      <x:c r="O814" s="54" t="n">
        <x:f>ROUND(N814*(1-M814),2)</x:f>
        <x:v>1897.78</x:v>
      </x:c>
      <x:c r="P814" s="54" t="n">
        <x:f>ROUND(J814*L814,2)</x:f>
        <x:v>878.43</x:v>
      </x:c>
      <x:c r="Q814" s="54" t="n">
        <x:f>ROUND(O814-P814,2)</x:f>
        <x:v>1019.35</x:v>
      </x:c>
      <x:c r="R814" s="55" t="n">
        <x:f>IF(O814=0,0,ROUND(Q814/O814,4))</x:f>
        <x:v>0.5371</x:v>
      </x:c>
      <x:c r="S814" s="53" t="n">
        <x:v>14</x:v>
      </x:c>
      <x:c r="T814" t="str">
        <x:v>Entregue com atraso</x:v>
      </x:c>
      <x:c r="U814" t="n">
        <x:v>2</x:v>
      </x:c>
      <x:c r="V814" t="str"/>
    </x:row>
    <x:row r="815">
      <x:c r="A815" s="52" t="n">
        <x:v>46143</x:v>
      </x:c>
      <x:c r="B815" t="str">
        <x:v>PED-100814</x:v>
      </x:c>
      <x:c r="C815" t="str">
        <x:v>Cliente 065</x:v>
      </x:c>
      <x:c r="D815" t="str">
        <x:v>SP</x:v>
      </x:c>
      <x:c r="E815" t="str">
        <x:v>Sudeste</x:v>
      </x:c>
      <x:c r="F815" t="str">
        <x:v>Loja</x:v>
      </x:c>
      <x:c r="G815" t="str">
        <x:v>Escritório</x:v>
      </x:c>
      <x:c r="H815" t="str">
        <x:v>Cadeira Ergonômica</x:v>
      </x:c>
      <x:c r="I815" t="str">
        <x:v>Henrique</x:v>
      </x:c>
      <x:c r="J815" s="53" t="n">
        <x:v>6</x:v>
      </x:c>
      <x:c r="K815" s="54" t="n">
        <x:v>2257.99</x:v>
      </x:c>
      <x:c r="L815" s="54" t="n">
        <x:v>1383.86</x:v>
      </x:c>
      <x:c r="M815" s="55" t="n">
        <x:v>0.0983</x:v>
      </x:c>
      <x:c r="N815" s="54" t="n">
        <x:f>ROUND(J815*K815,2)</x:f>
        <x:v>13547.94</x:v>
      </x:c>
      <x:c r="O815" s="54" t="n">
        <x:f>ROUND(N815*(1-M815),2)</x:f>
        <x:v>12216.18</x:v>
      </x:c>
      <x:c r="P815" s="54" t="n">
        <x:f>ROUND(J815*L815,2)</x:f>
        <x:v>8303.16</x:v>
      </x:c>
      <x:c r="Q815" s="54" t="n">
        <x:f>ROUND(O815-P815,2)</x:f>
        <x:v>3913.02</x:v>
      </x:c>
      <x:c r="R815" s="55" t="n">
        <x:f>IF(O815=0,0,ROUND(Q815/O815,4))</x:f>
        <x:v>0.3203</x:v>
      </x:c>
      <x:c r="S815" s="53" t="n">
        <x:v>12</x:v>
      </x:c>
      <x:c r="T815" t="str">
        <x:v>Entregue com atraso</x:v>
      </x:c>
      <x:c r="U815" t="n">
        <x:v>3</x:v>
      </x:c>
      <x:c r="V815" t="str"/>
    </x:row>
    <x:row r="816">
      <x:c r="A816" s="52" t="n">
        <x:v>46121</x:v>
      </x:c>
      <x:c r="B816" t="str">
        <x:v>PED-100815</x:v>
      </x:c>
      <x:c r="C816" t="str">
        <x:v>Cliente 079</x:v>
      </x:c>
      <x:c r="D816" t="str">
        <x:v>ES</x:v>
      </x:c>
      <x:c r="E816" t="str">
        <x:v>Sudeste</x:v>
      </x:c>
      <x:c r="F816" t="str">
        <x:v>Televendas</x:v>
      </x:c>
      <x:c r="G816" t="str">
        <x:v>Escritório</x:v>
      </x:c>
      <x:c r="H816" t="str">
        <x:v>Mesa Ajustável</x:v>
      </x:c>
      <x:c r="I816" t="str">
        <x:v>Carla</x:v>
      </x:c>
      <x:c r="J816" s="53" t="n">
        <x:v>6</x:v>
      </x:c>
      <x:c r="K816" s="54" t="n">
        <x:v>2901.63</x:v>
      </x:c>
      <x:c r="L816" s="54" t="n">
        <x:v>1833.48</x:v>
      </x:c>
      <x:c r="M816" s="55" t="n">
        <x:v>0</x:v>
      </x:c>
      <x:c r="N816" s="54" t="n">
        <x:f>ROUND(J816*K816,2)</x:f>
        <x:v>17409.78</x:v>
      </x:c>
      <x:c r="O816" s="54" t="n">
        <x:f>ROUND(N816*(1-M816),2)</x:f>
        <x:v>17409.78</x:v>
      </x:c>
      <x:c r="P816" s="54" t="n">
        <x:f>ROUND(J816*L816,2)</x:f>
        <x:v>11000.88</x:v>
      </x:c>
      <x:c r="Q816" s="54" t="n">
        <x:f>ROUND(O816-P816,2)</x:f>
        <x:v>6408.9</x:v>
      </x:c>
      <x:c r="R816" s="55" t="n">
        <x:f>IF(O816=0,0,ROUND(Q816/O816,4))</x:f>
        <x:v>0.3681</x:v>
      </x:c>
      <x:c r="S816" s="53" t="n">
        <x:v>2</x:v>
      </x:c>
      <x:c r="T816" t="str">
        <x:v>Entregue</x:v>
      </x:c>
      <x:c r="U816" t="n">
        <x:v>4</x:v>
      </x:c>
      <x:c r="V816" t="str"/>
    </x:row>
    <x:row r="817">
      <x:c r="A817" s="52" t="n">
        <x:v>46226</x:v>
      </x:c>
      <x:c r="B817" t="str">
        <x:v>PED-100816</x:v>
      </x:c>
      <x:c r="C817" t="str">
        <x:v>Cliente 060</x:v>
      </x:c>
      <x:c r="D817" t="str">
        <x:v>PR</x:v>
      </x:c>
      <x:c r="E817" t="str">
        <x:v>Sul</x:v>
      </x:c>
      <x:c r="F817" t="str">
        <x:v>Marketplace</x:v>
      </x:c>
      <x:c r="G817" t="str">
        <x:v>Acessórios</x:v>
      </x:c>
      <x:c r="H817" t="str">
        <x:v>Webcam HD</x:v>
      </x:c>
      <x:c r="I817" t="str">
        <x:v>Carla</x:v>
      </x:c>
      <x:c r="J817" s="53" t="n">
        <x:v>6</x:v>
      </x:c>
      <x:c r="K817" s="54" t="n">
        <x:v>509.86</x:v>
      </x:c>
      <x:c r="L817" s="54" t="n">
        <x:v>248.67</x:v>
      </x:c>
      <x:c r="M817" s="55" t="n">
        <x:v>0.1485</x:v>
      </x:c>
      <x:c r="N817" s="54" t="n">
        <x:f>ROUND(J817*K817,2)</x:f>
        <x:v>3059.16</x:v>
      </x:c>
      <x:c r="O817" s="54" t="n">
        <x:f>ROUND(N817*(1-M817),2)</x:f>
        <x:v>2604.87</x:v>
      </x:c>
      <x:c r="P817" s="54" t="n">
        <x:f>ROUND(J817*L817,2)</x:f>
        <x:v>1492.02</x:v>
      </x:c>
      <x:c r="Q817" s="54" t="n">
        <x:f>ROUND(O817-P817,2)</x:f>
        <x:v>1112.85</x:v>
      </x:c>
      <x:c r="R817" s="55" t="n">
        <x:f>IF(O817=0,0,ROUND(Q817/O817,4))</x:f>
        <x:v>0.4272</x:v>
      </x:c>
      <x:c r="S817" s="53" t="n">
        <x:v>9</x:v>
      </x:c>
      <x:c r="T817" t="str">
        <x:v>Entregue</x:v>
      </x:c>
      <x:c r="U817" t="n">
        <x:v>5</x:v>
      </x:c>
      <x:c r="V817" t="str"/>
    </x:row>
    <x:row r="818">
      <x:c r="A818" s="52" t="n">
        <x:v>46101</x:v>
      </x:c>
      <x:c r="B818" t="str">
        <x:v>PED-100817</x:v>
      </x:c>
      <x:c r="C818" t="str">
        <x:v>Cliente 101</x:v>
      </x:c>
      <x:c r="D818" t="str">
        <x:v>GO</x:v>
      </x:c>
      <x:c r="E818" t="str">
        <x:v>Centro-Oeste</x:v>
      </x:c>
      <x:c r="F818" t="str">
        <x:v>E-commerce</x:v>
      </x:c>
      <x:c r="G818" t="str">
        <x:v>Acessórios</x:v>
      </x:c>
      <x:c r="H818" t="str">
        <x:v>Hub USB-C</x:v>
      </x:c>
      <x:c r="I818" t="str">
        <x:v>Gabriela</x:v>
      </x:c>
      <x:c r="J818" s="53" t="n">
        <x:v>2</x:v>
      </x:c>
      <x:c r="K818" s="54" t="n">
        <x:v>310.53</x:v>
      </x:c>
      <x:c r="L818" s="54" t="n">
        <x:v>131.11</x:v>
      </x:c>
      <x:c r="M818" s="55" t="n">
        <x:v>0</x:v>
      </x:c>
      <x:c r="N818" s="54" t="n">
        <x:f>ROUND(J818*K818,2)</x:f>
        <x:v>621.06</x:v>
      </x:c>
      <x:c r="O818" s="54" t="n">
        <x:f>ROUND(N818*(1-M818),2)</x:f>
        <x:v>621.06</x:v>
      </x:c>
      <x:c r="P818" s="54" t="n">
        <x:f>ROUND(J818*L818,2)</x:f>
        <x:v>262.22</x:v>
      </x:c>
      <x:c r="Q818" s="54" t="n">
        <x:f>ROUND(O818-P818,2)</x:f>
        <x:v>358.84</x:v>
      </x:c>
      <x:c r="R818" s="55" t="n">
        <x:f>IF(O818=0,0,ROUND(Q818/O818,4))</x:f>
        <x:v>0.5778</x:v>
      </x:c>
      <x:c r="S818" s="53" t="n">
        <x:v>3</x:v>
      </x:c>
      <x:c r="T818" t="str">
        <x:v>Entregue</x:v>
      </x:c>
      <x:c r="U818" t="n">
        <x:v>5</x:v>
      </x:c>
      <x:c r="V818" t="str"/>
    </x:row>
    <x:row r="819">
      <x:c r="A819" s="52" t="n">
        <x:v>46107</x:v>
      </x:c>
      <x:c r="B819" t="str">
        <x:v>PED-100818</x:v>
      </x:c>
      <x:c r="C819" t="str">
        <x:v>Cliente 081</x:v>
      </x:c>
      <x:c r="D819" t="str">
        <x:v>GO</x:v>
      </x:c>
      <x:c r="E819" t="str">
        <x:v>Centro-Oeste</x:v>
      </x:c>
      <x:c r="F819" t="str">
        <x:v>Loja</x:v>
      </x:c>
      <x:c r="G819" t="str">
        <x:v>Tecnologia</x:v>
      </x:c>
      <x:c r="H819" t="str">
        <x:v>Monitor 27</x:v>
      </x:c>
      <x:c r="I819" t="str">
        <x:v>Ana</x:v>
      </x:c>
      <x:c r="J819" s="53" t="n">
        <x:v>1</x:v>
      </x:c>
      <x:c r="K819" s="54" t="n">
        <x:v>1664.17</x:v>
      </x:c>
      <x:c r="L819" s="54" t="n">
        <x:v>1071.91</x:v>
      </x:c>
      <x:c r="M819" s="55" t="n">
        <x:v>0</x:v>
      </x:c>
      <x:c r="N819" s="54" t="n">
        <x:f>ROUND(J819*K819,2)</x:f>
        <x:v>1664.17</x:v>
      </x:c>
      <x:c r="O819" s="54" t="n">
        <x:f>ROUND(N819*(1-M819),2)</x:f>
        <x:v>1664.17</x:v>
      </x:c>
      <x:c r="P819" s="54" t="n">
        <x:f>ROUND(J819*L819,2)</x:f>
        <x:v>1071.91</x:v>
      </x:c>
      <x:c r="Q819" s="54" t="n">
        <x:f>ROUND(O819-P819,2)</x:f>
        <x:v>592.26</x:v>
      </x:c>
      <x:c r="R819" s="55" t="n">
        <x:f>IF(O819=0,0,ROUND(Q819/O819,4))</x:f>
        <x:v>0.3559</x:v>
      </x:c>
      <x:c r="S819" s="53" t="n">
        <x:v>8</x:v>
      </x:c>
      <x:c r="T819" t="str">
        <x:v>Entregue</x:v>
      </x:c>
      <x:c r="U819" t="n">
        <x:v>4</x:v>
      </x:c>
      <x:c r="V819" t="str"/>
    </x:row>
    <x:row r="820">
      <x:c r="A820" s="52" t="n">
        <x:v>46207</x:v>
      </x:c>
      <x:c r="B820" t="str">
        <x:v>PED-100819</x:v>
      </x:c>
      <x:c r="C820" t="str">
        <x:v>Cliente 092</x:v>
      </x:c>
      <x:c r="D820" t="str">
        <x:v>SP</x:v>
      </x:c>
      <x:c r="E820" t="str">
        <x:v>Sudeste</x:v>
      </x:c>
      <x:c r="F820" t="str">
        <x:v>Televendas</x:v>
      </x:c>
      <x:c r="G820" t="str">
        <x:v>Tecnologia</x:v>
      </x:c>
      <x:c r="H820" t="str">
        <x:v>Headset Office</x:v>
      </x:c>
      <x:c r="I820" t="str">
        <x:v>Isabela</x:v>
      </x:c>
      <x:c r="J820" s="53" t="n">
        <x:v>4</x:v>
      </x:c>
      <x:c r="K820" s="54" t="n">
        <x:v>385</x:v>
      </x:c>
      <x:c r="L820" s="54" t="n">
        <x:v>201.87</x:v>
      </x:c>
      <x:c r="M820" s="55" t="n">
        <x:v>0.0997</x:v>
      </x:c>
      <x:c r="N820" s="54" t="n">
        <x:f>ROUND(J820*K820,2)</x:f>
        <x:v>1540</x:v>
      </x:c>
      <x:c r="O820" s="54" t="n">
        <x:f>ROUND(N820*(1-M820),2)</x:f>
        <x:v>1386.46</x:v>
      </x:c>
      <x:c r="P820" s="54" t="n">
        <x:f>ROUND(J820*L820,2)</x:f>
        <x:v>807.48</x:v>
      </x:c>
      <x:c r="Q820" s="54" t="n">
        <x:f>ROUND(O820-P820,2)</x:f>
        <x:v>578.98</x:v>
      </x:c>
      <x:c r="R820" s="55" t="n">
        <x:f>IF(O820=0,0,ROUND(Q820/O820,4))</x:f>
        <x:v>0.4176</x:v>
      </x:c>
      <x:c r="S820" s="53" t="n">
        <x:v>8</x:v>
      </x:c>
      <x:c r="T820" t="str">
        <x:v>Entregue</x:v>
      </x:c>
      <x:c r="U820" t="n">
        <x:v>5</x:v>
      </x:c>
      <x:c r="V820" t="str"/>
    </x:row>
    <x:row r="821">
      <x:c r="A821" s="52" t="n">
        <x:v>46050</x:v>
      </x:c>
      <x:c r="B821" t="str">
        <x:v>PED-100820</x:v>
      </x:c>
      <x:c r="C821" t="str">
        <x:v>Cliente 084</x:v>
      </x:c>
      <x:c r="D821" t="str">
        <x:v>PA</x:v>
      </x:c>
      <x:c r="E821" t="str">
        <x:v>Norte</x:v>
      </x:c>
      <x:c r="F821" t="str">
        <x:v>Televendas</x:v>
      </x:c>
      <x:c r="G821" t="str">
        <x:v>Acessórios</x:v>
      </x:c>
      <x:c r="H821" t="str">
        <x:v>Hub USB-C</x:v>
      </x:c>
      <x:c r="I821" t="str">
        <x:v>Elaine</x:v>
      </x:c>
      <x:c r="J821" s="53" t="n">
        <x:v>8</x:v>
      </x:c>
      <x:c r="K821" s="54" t="n">
        <x:v>330.55</x:v>
      </x:c>
      <x:c r="L821" s="54" t="n">
        <x:v>143.95</x:v>
      </x:c>
      <x:c r="M821" s="55" t="n">
        <x:v>0</x:v>
      </x:c>
      <x:c r="N821" s="54" t="n">
        <x:f>ROUND(J821*K821,2)</x:f>
        <x:v>2644.4</x:v>
      </x:c>
      <x:c r="O821" s="54" t="n">
        <x:f>ROUND(N821*(1-M821),2)</x:f>
        <x:v>2644.4</x:v>
      </x:c>
      <x:c r="P821" s="54" t="n">
        <x:f>ROUND(J821*L821,2)</x:f>
        <x:v>1151.6</x:v>
      </x:c>
      <x:c r="Q821" s="54" t="n">
        <x:f>ROUND(O821-P821,2)</x:f>
        <x:v>1492.8</x:v>
      </x:c>
      <x:c r="R821" s="55" t="n">
        <x:f>IF(O821=0,0,ROUND(Q821/O821,4))</x:f>
        <x:v>0.5645</x:v>
      </x:c>
      <x:c r="S821" s="53" t="n">
        <x:v>6</x:v>
      </x:c>
      <x:c r="T821" t="str">
        <x:v>Entregue</x:v>
      </x:c>
      <x:c r="U821" t="n">
        <x:v>4</x:v>
      </x:c>
      <x:c r="V821" t="str"/>
    </x:row>
    <x:row r="822">
      <x:c r="A822" s="52" t="n">
        <x:v>46099</x:v>
      </x:c>
      <x:c r="B822" t="str">
        <x:v>PED-100821</x:v>
      </x:c>
      <x:c r="C822" t="str">
        <x:v>Cliente 099</x:v>
      </x:c>
      <x:c r="D822" t="str">
        <x:v>BA</x:v>
      </x:c>
      <x:c r="E822" t="str">
        <x:v>Nordeste</x:v>
      </x:c>
      <x:c r="F822" t="str">
        <x:v>Televendas</x:v>
      </x:c>
      <x:c r="G822" t="str">
        <x:v>Casa</x:v>
      </x:c>
      <x:c r="H822" t="str">
        <x:v>Cafeteira Smart</x:v>
      </x:c>
      <x:c r="I822" t="str">
        <x:v>Carla</x:v>
      </x:c>
      <x:c r="J822" s="53" t="n">
        <x:v>3</x:v>
      </x:c>
      <x:c r="K822" s="54" t="n">
        <x:v>755.79</x:v>
      </x:c>
      <x:c r="L822" s="54" t="n">
        <x:v>456.17</x:v>
      </x:c>
      <x:c r="M822" s="55" t="n">
        <x:v>0.0176</x:v>
      </x:c>
      <x:c r="N822" s="54" t="n">
        <x:f>ROUND(J822*K822,2)</x:f>
        <x:v>2267.37</x:v>
      </x:c>
      <x:c r="O822" s="54" t="n">
        <x:f>ROUND(N822*(1-M822),2)</x:f>
        <x:v>2227.46</x:v>
      </x:c>
      <x:c r="P822" s="54" t="n">
        <x:f>ROUND(J822*L822,2)</x:f>
        <x:v>1368.51</x:v>
      </x:c>
      <x:c r="Q822" s="54" t="n">
        <x:f>ROUND(O822-P822,2)</x:f>
        <x:v>858.95</x:v>
      </x:c>
      <x:c r="R822" s="55" t="n">
        <x:f>IF(O822=0,0,ROUND(Q822/O822,4))</x:f>
        <x:v>0.3856</x:v>
      </x:c>
      <x:c r="S822" s="53" t="n">
        <x:v>7</x:v>
      </x:c>
      <x:c r="T822" t="str">
        <x:v>Entregue</x:v>
      </x:c>
      <x:c r="U822" t="n">
        <x:v>4</x:v>
      </x:c>
      <x:c r="V822" t="str"/>
    </x:row>
    <x:row r="823">
      <x:c r="A823" s="52" t="n">
        <x:v>46104</x:v>
      </x:c>
      <x:c r="B823" t="str">
        <x:v>PED-100822</x:v>
      </x:c>
      <x:c r="C823" t="str">
        <x:v>Cliente 039</x:v>
      </x:c>
      <x:c r="D823" t="str">
        <x:v>RJ</x:v>
      </x:c>
      <x:c r="E823" t="str">
        <x:v>Sudeste</x:v>
      </x:c>
      <x:c r="F823" t="str">
        <x:v>Televendas</x:v>
      </x:c>
      <x:c r="G823" t="str">
        <x:v>Acessórios</x:v>
      </x:c>
      <x:c r="H823" t="str">
        <x:v>Hub USB-C</x:v>
      </x:c>
      <x:c r="I823" t="str">
        <x:v>Carla</x:v>
      </x:c>
      <x:c r="J823" s="53" t="n">
        <x:v>5</x:v>
      </x:c>
      <x:c r="K823" s="54" t="n">
        <x:v>304.49</x:v>
      </x:c>
      <x:c r="L823" s="54" t="n">
        <x:v>138.12</x:v>
      </x:c>
      <x:c r="M823" s="55" t="n">
        <x:v>0</x:v>
      </x:c>
      <x:c r="N823" s="54" t="n">
        <x:f>ROUND(J823*K823,2)</x:f>
        <x:v>1522.45</x:v>
      </x:c>
      <x:c r="O823" s="54" t="n">
        <x:f>ROUND(N823*(1-M823),2)</x:f>
        <x:v>1522.45</x:v>
      </x:c>
      <x:c r="P823" s="54" t="n">
        <x:f>ROUND(J823*L823,2)</x:f>
        <x:v>690.6</x:v>
      </x:c>
      <x:c r="Q823" s="54" t="n">
        <x:f>ROUND(O823-P823,2)</x:f>
        <x:v>831.85</x:v>
      </x:c>
      <x:c r="R823" s="55" t="n">
        <x:f>IF(O823=0,0,ROUND(Q823/O823,4))</x:f>
        <x:v>0.5464</x:v>
      </x:c>
      <x:c r="S823" s="53" t="n">
        <x:v>6</x:v>
      </x:c>
      <x:c r="T823" t="str">
        <x:v>Entregue</x:v>
      </x:c>
      <x:c r="U823" t="n">
        <x:v>4</x:v>
      </x:c>
      <x:c r="V823" t="str"/>
    </x:row>
    <x:row r="824">
      <x:c r="A824" s="52" t="n">
        <x:v>46051</x:v>
      </x:c>
      <x:c r="B824" t="str">
        <x:v>PED-100310</x:v>
      </x:c>
      <x:c r="C824" t="str">
        <x:v>Cliente 080</x:v>
      </x:c>
      <x:c r="D824" t="str">
        <x:v>PA</x:v>
      </x:c>
      <x:c r="E824" t="str">
        <x:v>Norte</x:v>
      </x:c>
      <x:c r="F824" t="str">
        <x:v>E-commerce</x:v>
      </x:c>
      <x:c r="G824" t="str">
        <x:v>Acessórios</x:v>
      </x:c>
      <x:c r="H824" t="str">
        <x:v>Mochila Executiva</x:v>
      </x:c>
      <x:c r="I824" t="str">
        <x:v>Isabela</x:v>
      </x:c>
      <x:c r="J824" s="53" t="n">
        <x:v>1</x:v>
      </x:c>
      <x:c r="K824" s="54" t="n">
        <x:v>419.49</x:v>
      </x:c>
      <x:c r="L824" s="54" t="n">
        <x:v>206.34</x:v>
      </x:c>
      <x:c r="M824" s="55" t="n">
        <x:v>0.1138</x:v>
      </x:c>
      <x:c r="N824" s="54" t="n">
        <x:f>ROUND(J824*K824,2)</x:f>
        <x:v>419.49</x:v>
      </x:c>
      <x:c r="O824" s="54" t="n">
        <x:f>ROUND(N824*(1-M824),2)</x:f>
        <x:v>371.75</x:v>
      </x:c>
      <x:c r="P824" s="54" t="n">
        <x:f>ROUND(J824*L824,2)</x:f>
        <x:v>206.34</x:v>
      </x:c>
      <x:c r="Q824" s="54" t="n">
        <x:f>ROUND(O824-P824,2)</x:f>
        <x:v>165.41</x:v>
      </x:c>
      <x:c r="R824" s="55" t="n">
        <x:f>IF(O824=0,0,ROUND(Q824/O824,4))</x:f>
        <x:v>0.4449</x:v>
      </x:c>
      <x:c r="S824" s="53" t="n">
        <x:v>4</x:v>
      </x:c>
      <x:c r="T824" t="str">
        <x:v>Entregue</x:v>
      </x:c>
      <x:c r="U824" t="n">
        <x:v>4</x:v>
      </x:c>
      <x:c r="V824" t="str"/>
    </x:row>
    <x:row r="825">
      <x:c r="A825" s="52" t="n">
        <x:v>46107</x:v>
      </x:c>
      <x:c r="B825" t="str">
        <x:v>PED-100824</x:v>
      </x:c>
      <x:c r="C825" t="str">
        <x:v>Cliente 019</x:v>
      </x:c>
      <x:c r="D825" t="str">
        <x:v>PR</x:v>
      </x:c>
      <x:c r="E825" t="str">
        <x:v>Sul</x:v>
      </x:c>
      <x:c r="F825" t="str">
        <x:v>E-commerce</x:v>
      </x:c>
      <x:c r="G825" t="str">
        <x:v>Escritório</x:v>
      </x:c>
      <x:c r="H825" t="str">
        <x:v>Mesa Ajustável</x:v>
      </x:c>
      <x:c r="I825" t="str">
        <x:v>Ana</x:v>
      </x:c>
      <x:c r="J825" s="53" t="n">
        <x:v>6</x:v>
      </x:c>
      <x:c r="K825" s="54" t="n">
        <x:v>2947.13</x:v>
      </x:c>
      <x:c r="L825" s="54" t="n">
        <x:v>1840.54</x:v>
      </x:c>
      <x:c r="M825" s="55" t="n">
        <x:v>0.126</x:v>
      </x:c>
      <x:c r="N825" s="54" t="n">
        <x:f>ROUND(J825*K825,2)</x:f>
        <x:v>17682.78</x:v>
      </x:c>
      <x:c r="O825" s="54" t="n">
        <x:f>ROUND(N825*(1-M825),2)</x:f>
        <x:v>15454.75</x:v>
      </x:c>
      <x:c r="P825" s="54" t="n">
        <x:f>ROUND(J825*L825,2)</x:f>
        <x:v>11043.24</x:v>
      </x:c>
      <x:c r="Q825" s="54" t="n">
        <x:f>ROUND(O825-P825,2)</x:f>
        <x:v>4411.51</x:v>
      </x:c>
      <x:c r="R825" s="55" t="n">
        <x:f>IF(O825=0,0,ROUND(Q825/O825,4))</x:f>
        <x:v>0.2854</x:v>
      </x:c>
      <x:c r="S825" s="53" t="n">
        <x:v>3</x:v>
      </x:c>
      <x:c r="T825" t="str">
        <x:v>Entregue</x:v>
      </x:c>
      <x:c r="U825" t="n">
        <x:v>4</x:v>
      </x:c>
      <x:c r="V825" t="str"/>
    </x:row>
    <x:row r="826">
      <x:c r="A826" s="52" t="n">
        <x:v>46165</x:v>
      </x:c>
      <x:c r="B826" t="str">
        <x:v>PED-100825</x:v>
      </x:c>
      <x:c r="C826" t="str">
        <x:v>Cliente 014</x:v>
      </x:c>
      <x:c r="D826" t="str">
        <x:v>SP</x:v>
      </x:c>
      <x:c r="E826" t="str">
        <x:v>Sudeste</x:v>
      </x:c>
      <x:c r="F826" t="str">
        <x:v>Loja</x:v>
      </x:c>
      <x:c r="G826" t="str">
        <x:v>Tecnologia</x:v>
      </x:c>
      <x:c r="H826" t="str">
        <x:v>Monitor 27</x:v>
      </x:c>
      <x:c r="I826" t="str">
        <x:v>Gabriela</x:v>
      </x:c>
      <x:c r="J826" s="53" t="n">
        <x:v>2</x:v>
      </x:c>
      <x:c r="K826" s="54" t="n">
        <x:v>1756.59</x:v>
      </x:c>
      <x:c r="L826" s="54" t="n">
        <x:v>1132.7</x:v>
      </x:c>
      <x:c r="M826" s="55" t="n">
        <x:v>0.0381</x:v>
      </x:c>
      <x:c r="N826" s="54" t="n">
        <x:f>ROUND(J826*K826,2)</x:f>
        <x:v>3513.18</x:v>
      </x:c>
      <x:c r="O826" s="54" t="n">
        <x:f>ROUND(N826*(1-M826),2)</x:f>
        <x:v>3379.33</x:v>
      </x:c>
      <x:c r="P826" s="54" t="n">
        <x:f>ROUND(J826*L826,2)</x:f>
        <x:v>2265.4</x:v>
      </x:c>
      <x:c r="Q826" s="54" t="n">
        <x:f>ROUND(O826-P826,2)</x:f>
        <x:v>1113.93</x:v>
      </x:c>
      <x:c r="R826" s="55" t="n">
        <x:f>IF(O826=0,0,ROUND(Q826/O826,4))</x:f>
        <x:v>0.3296</x:v>
      </x:c>
      <x:c r="S826" s="53" t="n">
        <x:v>9</x:v>
      </x:c>
      <x:c r="T826" t="str">
        <x:v>Entregue</x:v>
      </x:c>
      <x:c r="U826" t="n">
        <x:v>4</x:v>
      </x:c>
      <x:c r="V826" t="str"/>
    </x:row>
    <x:row r="827">
      <x:c r="A827" s="52" t="n">
        <x:v>46143</x:v>
      </x:c>
      <x:c r="B827" t="str">
        <x:v>PED-100826</x:v>
      </x:c>
      <x:c r="C827" t="str">
        <x:v>Cliente 073</x:v>
      </x:c>
      <x:c r="D827" t="str">
        <x:v>SP</x:v>
      </x:c>
      <x:c r="E827" t="str">
        <x:v>Sudeste</x:v>
      </x:c>
      <x:c r="F827" t="str">
        <x:v>Televendas</x:v>
      </x:c>
      <x:c r="G827" t="str">
        <x:v>Acessórios</x:v>
      </x:c>
      <x:c r="H827" t="str">
        <x:v>Webcam HD</x:v>
      </x:c>
      <x:c r="I827" t="str">
        <x:v>Ana</x:v>
      </x:c>
      <x:c r="J827" s="53" t="n">
        <x:v>1</x:v>
      </x:c>
      <x:c r="K827" s="54" t="n">
        <x:v>494.65</x:v>
      </x:c>
      <x:c r="L827" s="54" t="n">
        <x:v>234.94</x:v>
      </x:c>
      <x:c r="M827" s="55" t="n">
        <x:v>0</x:v>
      </x:c>
      <x:c r="N827" s="54" t="n">
        <x:f>ROUND(J827*K827,2)</x:f>
        <x:v>494.65</x:v>
      </x:c>
      <x:c r="O827" s="54" t="n">
        <x:f>ROUND(N827*(1-M827),2)</x:f>
        <x:v>494.65</x:v>
      </x:c>
      <x:c r="P827" s="54" t="n">
        <x:f>ROUND(J827*L827,2)</x:f>
        <x:v>234.94</x:v>
      </x:c>
      <x:c r="Q827" s="54" t="n">
        <x:f>ROUND(O827-P827,2)</x:f>
        <x:v>259.71</x:v>
      </x:c>
      <x:c r="R827" s="55" t="n">
        <x:f>IF(O827=0,0,ROUND(Q827/O827,4))</x:f>
        <x:v>0.525</x:v>
      </x:c>
      <x:c r="S827" s="53" t="n">
        <x:v>3</x:v>
      </x:c>
      <x:c r="T827" t="str">
        <x:v>Entregue</x:v>
      </x:c>
      <x:c r="U827" t="n">
        <x:v>4</x:v>
      </x:c>
      <x:c r="V827" t="str"/>
    </x:row>
    <x:row r="828">
      <x:c r="A828" s="52" t="n">
        <x:v>46052</x:v>
      </x:c>
      <x:c r="B828" t="str">
        <x:v>PED-100827</x:v>
      </x:c>
      <x:c r="C828" t="str">
        <x:v>Cliente 053</x:v>
      </x:c>
      <x:c r="D828" t="str">
        <x:v>ES</x:v>
      </x:c>
      <x:c r="E828" t="str">
        <x:v>Sudeste</x:v>
      </x:c>
      <x:c r="F828" t="str">
        <x:v>Televendas</x:v>
      </x:c>
      <x:c r="G828" t="str">
        <x:v>Escritório</x:v>
      </x:c>
      <x:c r="H828" t="str">
        <x:v>Cadeira Ergonômica</x:v>
      </x:c>
      <x:c r="I828" t="str">
        <x:v>Henrique</x:v>
      </x:c>
      <x:c r="J828" s="53" t="n">
        <x:v>5</x:v>
      </x:c>
      <x:c r="K828" s="54" t="n">
        <x:v>2157.81</x:v>
      </x:c>
      <x:c r="L828" s="54" t="n">
        <x:v>1371.14</x:v>
      </x:c>
      <x:c r="M828" s="55" t="n">
        <x:v>0.0034</x:v>
      </x:c>
      <x:c r="N828" s="54" t="n">
        <x:f>ROUND(J828*K828,2)</x:f>
        <x:v>10789.05</x:v>
      </x:c>
      <x:c r="O828" s="54" t="n">
        <x:f>ROUND(N828*(1-M828),2)</x:f>
        <x:v>10752.37</x:v>
      </x:c>
      <x:c r="P828" s="54" t="n">
        <x:f>ROUND(J828*L828,2)</x:f>
        <x:v>6855.7</x:v>
      </x:c>
      <x:c r="Q828" s="54" t="n">
        <x:f>ROUND(O828-P828,2)</x:f>
        <x:v>3896.67</x:v>
      </x:c>
      <x:c r="R828" s="55" t="n">
        <x:f>IF(O828=0,0,ROUND(Q828/O828,4))</x:f>
        <x:v>0.3624</x:v>
      </x:c>
      <x:c r="S828" s="53" t="n">
        <x:v>4</x:v>
      </x:c>
      <x:c r="T828" t="str">
        <x:v>Entregue</x:v>
      </x:c>
      <x:c r="U828" t="n">
        <x:v>5</x:v>
      </x:c>
      <x:c r="V828" t="str"/>
    </x:row>
    <x:row r="829">
      <x:c r="A829" s="52" t="n">
        <x:v>46062</x:v>
      </x:c>
      <x:c r="B829" t="str">
        <x:v>PED-100828</x:v>
      </x:c>
      <x:c r="C829" t="str">
        <x:v>Cliente 046</x:v>
      </x:c>
      <x:c r="D829" t="str">
        <x:v>MA</x:v>
      </x:c>
      <x:c r="E829" t="str">
        <x:v>Nordeste</x:v>
      </x:c>
      <x:c r="F829" t="str">
        <x:v>E-commerce</x:v>
      </x:c>
      <x:c r="G829" t="str">
        <x:v>Casa</x:v>
      </x:c>
      <x:c r="H829" t="str">
        <x:v>Purificador</x:v>
      </x:c>
      <x:c r="I829" t="str">
        <x:v>Elaine</x:v>
      </x:c>
      <x:c r="J829" s="53" t="n">
        <x:v>6</x:v>
      </x:c>
      <x:c r="K829" s="54" t="n">
        <x:v>1291.89</x:v>
      </x:c>
      <x:c r="L829" s="54" t="n">
        <x:v>783.62</x:v>
      </x:c>
      <x:c r="M829" s="55" t="n">
        <x:v>0.1053</x:v>
      </x:c>
      <x:c r="N829" s="54" t="n">
        <x:f>ROUND(J829*K829,2)</x:f>
        <x:v>7751.34</x:v>
      </x:c>
      <x:c r="O829" s="54" t="n">
        <x:f>ROUND(N829*(1-M829),2)</x:f>
        <x:v>6935.12</x:v>
      </x:c>
      <x:c r="P829" s="54" t="n">
        <x:f>ROUND(J829*L829,2)</x:f>
        <x:v>4701.72</x:v>
      </x:c>
      <x:c r="Q829" s="54" t="n">
        <x:f>ROUND(O829-P829,2)</x:f>
        <x:v>2233.4</x:v>
      </x:c>
      <x:c r="R829" s="55" t="n">
        <x:f>IF(O829=0,0,ROUND(Q829/O829,4))</x:f>
        <x:v>0.322</x:v>
      </x:c>
      <x:c r="S829" s="53" t="n">
        <x:v>14</x:v>
      </x:c>
      <x:c r="T829" t="str">
        <x:v>Entregue com atraso</x:v>
      </x:c>
      <x:c r="U829" t="n">
        <x:v>5</x:v>
      </x:c>
      <x:c r="V829" t="str"/>
    </x:row>
    <x:row r="830">
      <x:c r="A830" s="52" t="n">
        <x:v>46229</x:v>
      </x:c>
      <x:c r="B830" t="str">
        <x:v>PED-100829</x:v>
      </x:c>
      <x:c r="C830" t="str">
        <x:v>Cliente 107</x:v>
      </x:c>
      <x:c r="D830" t="str">
        <x:v>RJ</x:v>
      </x:c>
      <x:c r="E830" t="str">
        <x:v>Sudeste</x:v>
      </x:c>
      <x:c r="F830" t="str">
        <x:v>Marketplace</x:v>
      </x:c>
      <x:c r="G830" t="str">
        <x:v>Casa</x:v>
      </x:c>
      <x:c r="H830" t="str">
        <x:v>Aspirador Robô</x:v>
      </x:c>
      <x:c r="I830" t="str">
        <x:v>Ana</x:v>
      </x:c>
      <x:c r="J830" s="53" t="n">
        <x:v>5</x:v>
      </x:c>
      <x:c r="K830" s="54" t="n">
        <x:v>1815.85</x:v>
      </x:c>
      <x:c r="L830" s="54" t="n">
        <x:v>1247.41</x:v>
      </x:c>
      <x:c r="M830" s="55" t="n">
        <x:v>0.1071</x:v>
      </x:c>
      <x:c r="N830" s="54" t="n">
        <x:f>ROUND(J830*K830,2)</x:f>
        <x:v>9079.25</x:v>
      </x:c>
      <x:c r="O830" s="54" t="n">
        <x:f>ROUND(N830*(1-M830),2)</x:f>
        <x:v>8106.86</x:v>
      </x:c>
      <x:c r="P830" s="54" t="n">
        <x:f>ROUND(J830*L830,2)</x:f>
        <x:v>6237.05</x:v>
      </x:c>
      <x:c r="Q830" s="54" t="n">
        <x:f>ROUND(O830-P830,2)</x:f>
        <x:v>1869.81</x:v>
      </x:c>
      <x:c r="R830" s="55" t="n">
        <x:f>IF(O830=0,0,ROUND(Q830/O830,4))</x:f>
        <x:v>0.2306</x:v>
      </x:c>
      <x:c r="S830" s="53" t="n">
        <x:v>3</x:v>
      </x:c>
      <x:c r="T830" t="str">
        <x:v>Entregue</x:v>
      </x:c>
      <x:c r="U830" t="n">
        <x:v>2</x:v>
      </x:c>
      <x:c r="V830" t="str"/>
    </x:row>
    <x:row r="831">
      <x:c r="A831" s="52" t="n">
        <x:v>46149</x:v>
      </x:c>
      <x:c r="B831" t="str">
        <x:v>PED-100830</x:v>
      </x:c>
      <x:c r="C831" t="str">
        <x:v>Cliente 022</x:v>
      </x:c>
      <x:c r="D831" t="str">
        <x:v>DF</x:v>
      </x:c>
      <x:c r="E831" t="str">
        <x:v>Centro-Oeste</x:v>
      </x:c>
      <x:c r="F831" t="str">
        <x:v>Marketplace</x:v>
      </x:c>
      <x:c r="G831" t="str">
        <x:v>Acessórios</x:v>
      </x:c>
      <x:c r="H831" t="str">
        <x:v>Mochila Executiva</x:v>
      </x:c>
      <x:c r="I831" t="str">
        <x:v>Bruno</x:v>
      </x:c>
      <x:c r="J831" s="53" t="n">
        <x:v>1</x:v>
      </x:c>
      <x:c r="K831" s="54" t="n">
        <x:v>432.49</x:v>
      </x:c>
      <x:c r="L831" s="54" t="n">
        <x:v>184.08</x:v>
      </x:c>
      <x:c r="M831" s="55" t="n">
        <x:v>0.0555</x:v>
      </x:c>
      <x:c r="N831" s="54" t="n">
        <x:f>ROUND(J831*K831,2)</x:f>
        <x:v>432.49</x:v>
      </x:c>
      <x:c r="O831" s="54" t="n">
        <x:f>ROUND(N831*(1-M831),2)</x:f>
        <x:v>408.49</x:v>
      </x:c>
      <x:c r="P831" s="54" t="n">
        <x:f>ROUND(J831*L831,2)</x:f>
        <x:v>184.08</x:v>
      </x:c>
      <x:c r="Q831" s="54" t="n">
        <x:f>ROUND(O831-P831,2)</x:f>
        <x:v>224.41</x:v>
      </x:c>
      <x:c r="R831" s="55" t="n">
        <x:f>IF(O831=0,0,ROUND(Q831/O831,4))</x:f>
        <x:v>0.5494</x:v>
      </x:c>
      <x:c r="S831" s="53" t="n">
        <x:v>12</x:v>
      </x:c>
      <x:c r="T831" t="str">
        <x:v>Entregue com atraso</x:v>
      </x:c>
      <x:c r="U831" t="n">
        <x:v>5</x:v>
      </x:c>
      <x:c r="V831" t="str"/>
    </x:row>
    <x:row r="832">
      <x:c r="A832" s="52" t="n">
        <x:v>46167</x:v>
      </x:c>
      <x:c r="B832" t="str">
        <x:v>PED-100831</x:v>
      </x:c>
      <x:c r="C832" t="str">
        <x:v>Cliente 078</x:v>
      </x:c>
      <x:c r="D832" t="str">
        <x:v>PA</x:v>
      </x:c>
      <x:c r="E832" t="str">
        <x:v>Norte</x:v>
      </x:c>
      <x:c r="F832" t="str">
        <x:v>Loja</x:v>
      </x:c>
      <x:c r="G832" t="str">
        <x:v>Tecnologia</x:v>
      </x:c>
      <x:c r="H832" t="str">
        <x:v>Monitor 27</x:v>
      </x:c>
      <x:c r="I832" t="str">
        <x:v>Felipe</x:v>
      </x:c>
      <x:c r="J832" s="53" t="n">
        <x:v>4</x:v>
      </x:c>
      <x:c r="K832" s="54" t="n">
        <x:v>1757.81</x:v>
      </x:c>
      <x:c r="L832" s="54" t="n">
        <x:v>1135.11</x:v>
      </x:c>
      <x:c r="M832" s="55" t="n">
        <x:v>0.0009</x:v>
      </x:c>
      <x:c r="N832" s="54" t="n">
        <x:f>ROUND(J832*K832,2)</x:f>
        <x:v>7031.24</x:v>
      </x:c>
      <x:c r="O832" s="54" t="n">
        <x:f>ROUND(N832*(1-M832),2)</x:f>
        <x:v>7024.91</x:v>
      </x:c>
      <x:c r="P832" s="54" t="n">
        <x:f>ROUND(J832*L832,2)</x:f>
        <x:v>4540.44</x:v>
      </x:c>
      <x:c r="Q832" s="54" t="n">
        <x:f>ROUND(O832-P832,2)</x:f>
        <x:v>2484.47</x:v>
      </x:c>
      <x:c r="R832" s="55" t="n">
        <x:f>IF(O832=0,0,ROUND(Q832/O832,4))</x:f>
        <x:v>0.3537</x:v>
      </x:c>
      <x:c r="S832" s="53" t="n">
        <x:v>13</x:v>
      </x:c>
      <x:c r="T832" t="str">
        <x:v>Entregue com atraso</x:v>
      </x:c>
      <x:c r="U832" t="n">
        <x:v>4</x:v>
      </x:c>
      <x:c r="V832" t="str"/>
    </x:row>
    <x:row r="833">
      <x:c r="A833" s="52" t="n">
        <x:v>46081</x:v>
      </x:c>
      <x:c r="B833" t="str">
        <x:v>PED-100832</x:v>
      </x:c>
      <x:c r="C833" t="str">
        <x:v>Cliente 041</x:v>
      </x:c>
      <x:c r="D833" t="str">
        <x:v>PA</x:v>
      </x:c>
      <x:c r="E833" t="str">
        <x:v>Norte</x:v>
      </x:c>
      <x:c r="F833" t="str">
        <x:v>Marketplace</x:v>
      </x:c>
      <x:c r="G833" t="str">
        <x:v>Casa</x:v>
      </x:c>
      <x:c r="H833" t="str">
        <x:v>Aspirador Robô</x:v>
      </x:c>
      <x:c r="I833" t="str">
        <x:v>Gabriela</x:v>
      </x:c>
      <x:c r="J833" s="53" t="n">
        <x:v>1</x:v>
      </x:c>
      <x:c r="K833" s="54" t="n">
        <x:v>1987.97</x:v>
      </x:c>
      <x:c r="L833" s="54" t="n">
        <x:v>1280.72</x:v>
      </x:c>
      <x:c r="M833" s="55" t="n">
        <x:v>0.045</x:v>
      </x:c>
      <x:c r="N833" s="54" t="n">
        <x:f>ROUND(J833*K833,2)</x:f>
        <x:v>1987.97</x:v>
      </x:c>
      <x:c r="O833" s="54" t="n">
        <x:f>ROUND(N833*(1-M833),2)</x:f>
        <x:v>1898.51</x:v>
      </x:c>
      <x:c r="P833" s="54" t="n">
        <x:f>ROUND(J833*L833,2)</x:f>
        <x:v>1280.72</x:v>
      </x:c>
      <x:c r="Q833" s="54" t="n">
        <x:f>ROUND(O833-P833,2)</x:f>
        <x:v>617.79</x:v>
      </x:c>
      <x:c r="R833" s="55" t="n">
        <x:f>IF(O833=0,0,ROUND(Q833/O833,4))</x:f>
        <x:v>0.3254</x:v>
      </x:c>
      <x:c r="S833" s="53" t="n">
        <x:v>2</x:v>
      </x:c>
      <x:c r="T833" t="str">
        <x:v>Entregue</x:v>
      </x:c>
      <x:c r="U833" t="n">
        <x:v>3</x:v>
      </x:c>
      <x:c r="V833" t="str"/>
    </x:row>
    <x:row r="834">
      <x:c r="A834" s="52" t="n">
        <x:v>46134</x:v>
      </x:c>
      <x:c r="B834" t="str">
        <x:v>PED-100833</x:v>
      </x:c>
      <x:c r="C834" t="str">
        <x:v>Cliente 100</x:v>
      </x:c>
      <x:c r="D834" t="str">
        <x:v>DF</x:v>
      </x:c>
      <x:c r="E834" t="str">
        <x:v>Centro-Oeste</x:v>
      </x:c>
      <x:c r="F834" t="str">
        <x:v>Loja</x:v>
      </x:c>
      <x:c r="G834" t="str">
        <x:v>Escritório</x:v>
      </x:c>
      <x:c r="H834" t="str">
        <x:v>Cadeira Ergonômica</x:v>
      </x:c>
      <x:c r="I834" t="str">
        <x:v>João</x:v>
      </x:c>
      <x:c r="J834" s="53" t="n">
        <x:v>5</x:v>
      </x:c>
      <x:c r="K834" s="54" t="n">
        <x:v>2245.42</x:v>
      </x:c>
      <x:c r="L834" s="54" t="n">
        <x:v>1433.46</x:v>
      </x:c>
      <x:c r="M834" s="55" t="n">
        <x:v>0</x:v>
      </x:c>
      <x:c r="N834" s="54" t="n">
        <x:f>ROUND(J834*K834,2)</x:f>
        <x:v>11227.1</x:v>
      </x:c>
      <x:c r="O834" s="54" t="n">
        <x:f>ROUND(N834*(1-M834),2)</x:f>
        <x:v>11227.1</x:v>
      </x:c>
      <x:c r="P834" s="54" t="n">
        <x:f>ROUND(J834*L834,2)</x:f>
        <x:v>7167.3</x:v>
      </x:c>
      <x:c r="Q834" s="54" t="n">
        <x:f>ROUND(O834-P834,2)</x:f>
        <x:v>4059.8</x:v>
      </x:c>
      <x:c r="R834" s="55" t="n">
        <x:f>IF(O834=0,0,ROUND(Q834/O834,4))</x:f>
        <x:v>0.3616</x:v>
      </x:c>
      <x:c r="S834" s="53" t="n">
        <x:v>6</x:v>
      </x:c>
      <x:c r="T834" t="str">
        <x:v>Entregue</x:v>
      </x:c>
      <x:c r="U834" t="n">
        <x:v>3</x:v>
      </x:c>
      <x:c r="V834" t="str"/>
    </x:row>
    <x:row r="835">
      <x:c r="A835" s="52" t="n">
        <x:v>46028</x:v>
      </x:c>
      <x:c r="B835" t="str">
        <x:v>PED-100834</x:v>
      </x:c>
      <x:c r="C835" t="str">
        <x:v>Cliente 075</x:v>
      </x:c>
      <x:c r="D835" t="str">
        <x:v>CE</x:v>
      </x:c>
      <x:c r="E835" t="str">
        <x:v>Nordeste</x:v>
      </x:c>
      <x:c r="F835" t="str">
        <x:v>Marketplace</x:v>
      </x:c>
      <x:c r="G835" t="str">
        <x:v>Casa</x:v>
      </x:c>
      <x:c r="H835" t="str">
        <x:v>Purificador</x:v>
      </x:c>
      <x:c r="I835" t="str">
        <x:v>João</x:v>
      </x:c>
      <x:c r="J835" s="53" t="n">
        <x:v>5</x:v>
      </x:c>
      <x:c r="K835" s="54" t="n">
        <x:v>1263.24</x:v>
      </x:c>
      <x:c r="L835" s="54" t="n">
        <x:v>820.28</x:v>
      </x:c>
      <x:c r="M835" s="55" t="n">
        <x:v>0.1132</x:v>
      </x:c>
      <x:c r="N835" s="54" t="n">
        <x:f>ROUND(J835*K835,2)</x:f>
        <x:v>6316.2</x:v>
      </x:c>
      <x:c r="O835" s="54" t="n">
        <x:f>ROUND(N835*(1-M835),2)</x:f>
        <x:v>5601.21</x:v>
      </x:c>
      <x:c r="P835" s="54" t="n">
        <x:f>ROUND(J835*L835,2)</x:f>
        <x:v>4101.4</x:v>
      </x:c>
      <x:c r="Q835" s="54" t="n">
        <x:f>ROUND(O835-P835,2)</x:f>
        <x:v>1499.81</x:v>
      </x:c>
      <x:c r="R835" s="55" t="n">
        <x:f>IF(O835=0,0,ROUND(Q835/O835,4))</x:f>
        <x:v>0.2678</x:v>
      </x:c>
      <x:c r="S835" s="53" t="n">
        <x:v>7</x:v>
      </x:c>
      <x:c r="T835" t="str">
        <x:v>Entregue</x:v>
      </x:c>
      <x:c r="U835" t="n">
        <x:v>3</x:v>
      </x:c>
      <x:c r="V835" t="str"/>
    </x:row>
    <x:row r="836">
      <x:c r="A836" s="52" t="n">
        <x:v>46098</x:v>
      </x:c>
      <x:c r="B836" t="str">
        <x:v>PED-100835</x:v>
      </x:c>
      <x:c r="C836" t="str">
        <x:v>Cliente 086</x:v>
      </x:c>
      <x:c r="D836" t="str">
        <x:v>GO</x:v>
      </x:c>
      <x:c r="E836" t="str">
        <x:v>Centro-Oeste</x:v>
      </x:c>
      <x:c r="F836" t="str">
        <x:v>Loja</x:v>
      </x:c>
      <x:c r="G836" t="str">
        <x:v>Casa</x:v>
      </x:c>
      <x:c r="H836" t="str">
        <x:v>Aspirador Robô</x:v>
      </x:c>
      <x:c r="I836" t="str">
        <x:v>Felipe</x:v>
      </x:c>
      <x:c r="J836" s="53" t="n">
        <x:v>4</x:v>
      </x:c>
      <x:c r="K836" s="54" t="n">
        <x:v>1850.52</x:v>
      </x:c>
      <x:c r="L836" s="54" t="n">
        <x:v>1219.38</x:v>
      </x:c>
      <x:c r="M836" s="55" t="n">
        <x:v>0</x:v>
      </x:c>
      <x:c r="N836" s="54" t="n">
        <x:f>ROUND(J836*K836,2)</x:f>
        <x:v>7402.08</x:v>
      </x:c>
      <x:c r="O836" s="54" t="n">
        <x:f>ROUND(N836*(1-M836),2)</x:f>
        <x:v>7402.08</x:v>
      </x:c>
      <x:c r="P836" s="54" t="n">
        <x:f>ROUND(J836*L836,2)</x:f>
        <x:v>4877.52</x:v>
      </x:c>
      <x:c r="Q836" s="54" t="n">
        <x:f>ROUND(O836-P836,2)</x:f>
        <x:v>2524.56</x:v>
      </x:c>
      <x:c r="R836" s="55" t="n">
        <x:f>IF(O836=0,0,ROUND(Q836/O836,4))</x:f>
        <x:v>0.3411</x:v>
      </x:c>
      <x:c r="S836" s="53" t="n">
        <x:v>12</x:v>
      </x:c>
      <x:c r="T836" t="str">
        <x:v>Entregue com atraso</x:v>
      </x:c>
      <x:c r="U836" t="n">
        <x:v>4</x:v>
      </x:c>
      <x:c r="V836" t="str"/>
    </x:row>
    <x:row r="837">
      <x:c r="A837" s="52" t="n">
        <x:v>46204</x:v>
      </x:c>
      <x:c r="B837" t="str">
        <x:v>PED-100836</x:v>
      </x:c>
      <x:c r="C837" t="str">
        <x:v>Cliente 043</x:v>
      </x:c>
      <x:c r="D837" t="str">
        <x:v>SC</x:v>
      </x:c>
      <x:c r="E837" t="str">
        <x:v>Sul</x:v>
      </x:c>
      <x:c r="F837" t="str">
        <x:v>E-commerce</x:v>
      </x:c>
      <x:c r="G837" t="str">
        <x:v>Tecnologia</x:v>
      </x:c>
      <x:c r="H837" t="str">
        <x:v>Notebook Pro</x:v>
      </x:c>
      <x:c r="I837" t="str">
        <x:v>Gabriela</x:v>
      </x:c>
      <x:c r="J837" s="53" t="n">
        <x:v>2</x:v>
      </x:c>
      <x:c r="K837" s="54" t="n">
        <x:v>5678.94</x:v>
      </x:c>
      <x:c r="L837" s="54" t="n">
        <x:v>4177.49</x:v>
      </x:c>
      <x:c r="M837" s="55" t="n">
        <x:v>0</x:v>
      </x:c>
      <x:c r="N837" s="54" t="n">
        <x:f>ROUND(J837*K837,2)</x:f>
        <x:v>11357.88</x:v>
      </x:c>
      <x:c r="O837" s="54" t="n">
        <x:f>ROUND(N837*(1-M837),2)</x:f>
        <x:v>11357.88</x:v>
      </x:c>
      <x:c r="P837" s="54" t="n">
        <x:f>ROUND(J837*L837,2)</x:f>
        <x:v>8354.98</x:v>
      </x:c>
      <x:c r="Q837" s="54" t="n">
        <x:f>ROUND(O837-P837,2)</x:f>
        <x:v>3002.9</x:v>
      </x:c>
      <x:c r="R837" s="55" t="n">
        <x:f>IF(O837=0,0,ROUND(Q837/O837,4))</x:f>
        <x:v>0.2644</x:v>
      </x:c>
      <x:c r="S837" s="53" t="n">
        <x:v>2</x:v>
      </x:c>
      <x:c r="T837" t="str">
        <x:v>Entregue</x:v>
      </x:c>
      <x:c r="U837" t="n">
        <x:v>3</x:v>
      </x:c>
      <x:c r="V837" t="str"/>
    </x:row>
    <x:row r="838">
      <x:c r="A838" s="52" t="n">
        <x:v>46219</x:v>
      </x:c>
      <x:c r="B838" t="str">
        <x:v>PED-100837</x:v>
      </x:c>
      <x:c r="C838" t="str">
        <x:v>Cliente 060</x:v>
      </x:c>
      <x:c r="D838" t="str">
        <x:v>DF</x:v>
      </x:c>
      <x:c r="E838" t="str">
        <x:v>Centro-Oeste</x:v>
      </x:c>
      <x:c r="F838" t="str">
        <x:v>Loja</x:v>
      </x:c>
      <x:c r="G838" t="str">
        <x:v>Acessórios</x:v>
      </x:c>
      <x:c r="H838" t="str">
        <x:v>Hub USB-C</x:v>
      </x:c>
      <x:c r="I838" t="str">
        <x:v>Henrique</x:v>
      </x:c>
      <x:c r="J838" s="53" t="n">
        <x:v>7</x:v>
      </x:c>
      <x:c r="K838" s="54" t="n">
        <x:v>335.98</x:v>
      </x:c>
      <x:c r="L838" s="54" t="n">
        <x:v>135.49</x:v>
      </x:c>
      <x:c r="M838" s="55" t="n">
        <x:v>0</x:v>
      </x:c>
      <x:c r="N838" s="54" t="n">
        <x:f>ROUND(J838*K838,2)</x:f>
        <x:v>2351.86</x:v>
      </x:c>
      <x:c r="O838" s="54" t="n">
        <x:f>ROUND(N838*(1-M838),2)</x:f>
        <x:v>2351.86</x:v>
      </x:c>
      <x:c r="P838" s="54" t="n">
        <x:f>ROUND(J838*L838,2)</x:f>
        <x:v>948.43</x:v>
      </x:c>
      <x:c r="Q838" s="54" t="n">
        <x:f>ROUND(O838-P838,2)</x:f>
        <x:v>1403.43</x:v>
      </x:c>
      <x:c r="R838" s="55" t="n">
        <x:f>IF(O838=0,0,ROUND(Q838/O838,4))</x:f>
        <x:v>0.5967</x:v>
      </x:c>
      <x:c r="S838" s="53" t="n">
        <x:v>14</x:v>
      </x:c>
      <x:c r="T838" t="str">
        <x:v>Entregue com atraso</x:v>
      </x:c>
      <x:c r="U838" t="n">
        <x:v>3</x:v>
      </x:c>
      <x:c r="V838" t="str"/>
    </x:row>
    <x:row r="839">
      <x:c r="A839" s="52" t="n">
        <x:v>46234</x:v>
      </x:c>
      <x:c r="B839" t="str">
        <x:v>PED-100838</x:v>
      </x:c>
      <x:c r="C839" t="str">
        <x:v>Cliente 037</x:v>
      </x:c>
      <x:c r="D839" t="str">
        <x:v>PA</x:v>
      </x:c>
      <x:c r="E839" t="str">
        <x:v>Norte</x:v>
      </x:c>
      <x:c r="F839" t="str">
        <x:v>Loja</x:v>
      </x:c>
      <x:c r="G839" t="str">
        <x:v>Acessórios</x:v>
      </x:c>
      <x:c r="H839" t="str">
        <x:v>Webcam HD</x:v>
      </x:c>
      <x:c r="I839" t="str">
        <x:v>Henrique</x:v>
      </x:c>
      <x:c r="J839" s="53" t="n">
        <x:v>8</x:v>
      </x:c>
      <x:c r="K839" s="54" t="n">
        <x:v>518.94</x:v>
      </x:c>
      <x:c r="L839" s="54" t="n">
        <x:v>246.39</x:v>
      </x:c>
      <x:c r="M839" s="55" t="n">
        <x:v>0.0567</x:v>
      </x:c>
      <x:c r="N839" s="54" t="n">
        <x:f>ROUND(J839*K839,2)</x:f>
        <x:v>4151.52</x:v>
      </x:c>
      <x:c r="O839" s="54" t="n">
        <x:f>ROUND(N839*(1-M839),2)</x:f>
        <x:v>3916.13</x:v>
      </x:c>
      <x:c r="P839" s="54" t="n">
        <x:f>ROUND(J839*L839,2)</x:f>
        <x:v>1971.12</x:v>
      </x:c>
      <x:c r="Q839" s="54" t="n">
        <x:f>ROUND(O839-P839,2)</x:f>
        <x:v>1945.01</x:v>
      </x:c>
      <x:c r="R839" s="55" t="n">
        <x:f>IF(O839=0,0,ROUND(Q839/O839,4))</x:f>
        <x:v>0.4967</x:v>
      </x:c>
      <x:c r="S839" s="53" t="n">
        <x:v>2</x:v>
      </x:c>
      <x:c r="T839" t="str">
        <x:v>Entregue</x:v>
      </x:c>
      <x:c r="U839" t="n">
        <x:v>2</x:v>
      </x:c>
      <x:c r="V839" t="str"/>
    </x:row>
    <x:row r="840">
      <x:c r="A840" s="52" t="n">
        <x:v>46028</x:v>
      </x:c>
      <x:c r="B840" t="str">
        <x:v>PED-100839</x:v>
      </x:c>
      <x:c r="C840" t="str">
        <x:v>Cliente 050</x:v>
      </x:c>
      <x:c r="D840" t="str">
        <x:v>DF</x:v>
      </x:c>
      <x:c r="E840" t="str">
        <x:v>Centro-Oeste</x:v>
      </x:c>
      <x:c r="F840" t="str">
        <x:v>E-commerce</x:v>
      </x:c>
      <x:c r="G840" t="str">
        <x:v>Acessórios</x:v>
      </x:c>
      <x:c r="H840" t="str">
        <x:v>Mochila Executiva</x:v>
      </x:c>
      <x:c r="I840" t="str">
        <x:v>Elaine</x:v>
      </x:c>
      <x:c r="J840" s="53" t="n">
        <x:v>2</x:v>
      </x:c>
      <x:c r="K840" s="54" t="n">
        <x:v>450.62</x:v>
      </x:c>
      <x:c r="L840" s="54" t="n">
        <x:v>190.54</x:v>
      </x:c>
      <x:c r="M840" s="55" t="n">
        <x:v>0.1142</x:v>
      </x:c>
      <x:c r="N840" s="54" t="n">
        <x:f>ROUND(J840*K840,2)</x:f>
        <x:v>901.24</x:v>
      </x:c>
      <x:c r="O840" s="54" t="n">
        <x:f>ROUND(N840*(1-M840),2)</x:f>
        <x:v>798.32</x:v>
      </x:c>
      <x:c r="P840" s="54" t="n">
        <x:f>ROUND(J840*L840,2)</x:f>
        <x:v>381.08</x:v>
      </x:c>
      <x:c r="Q840" s="54" t="n">
        <x:f>ROUND(O840-P840,2)</x:f>
        <x:v>417.24</x:v>
      </x:c>
      <x:c r="R840" s="55" t="n">
        <x:f>IF(O840=0,0,ROUND(Q840/O840,4))</x:f>
        <x:v>0.5226</x:v>
      </x:c>
      <x:c r="S840" s="53" t="n">
        <x:v>14</x:v>
      </x:c>
      <x:c r="T840" t="str">
        <x:v>Entregue com atraso</x:v>
      </x:c>
      <x:c r="U840" t="n">
        <x:v>3</x:v>
      </x:c>
      <x:c r="V840" t="str"/>
    </x:row>
    <x:row r="841">
      <x:c r="A841" s="52" t="n">
        <x:v>46166</x:v>
      </x:c>
      <x:c r="B841" t="str">
        <x:v>PED-100840</x:v>
      </x:c>
      <x:c r="C841" t="str">
        <x:v>Cliente 070</x:v>
      </x:c>
      <x:c r="D841" t="str">
        <x:v>AM</x:v>
      </x:c>
      <x:c r="E841" t="str">
        <x:v>Norte</x:v>
      </x:c>
      <x:c r="F841" t="str">
        <x:v>Marketplace</x:v>
      </x:c>
      <x:c r="G841" t="str">
        <x:v>Casa</x:v>
      </x:c>
      <x:c r="H841" t="str">
        <x:v>Aspirador Robô</x:v>
      </x:c>
      <x:c r="I841" t="str">
        <x:v>Elaine</x:v>
      </x:c>
      <x:c r="J841" s="53" t="n">
        <x:v>8</x:v>
      </x:c>
      <x:c r="K841" s="54" t="n">
        <x:v>1818.04</x:v>
      </x:c>
      <x:c r="L841" s="54" t="n">
        <x:v>1247.54</x:v>
      </x:c>
      <x:c r="M841" s="55" t="n">
        <x:v>0.035</x:v>
      </x:c>
      <x:c r="N841" s="54" t="n">
        <x:f>ROUND(J841*K841,2)</x:f>
        <x:v>14544.32</x:v>
      </x:c>
      <x:c r="O841" s="54" t="n">
        <x:f>ROUND(N841*(1-M841),2)</x:f>
        <x:v>14035.27</x:v>
      </x:c>
      <x:c r="P841" s="54" t="n">
        <x:f>ROUND(J841*L841,2)</x:f>
        <x:v>9980.32</x:v>
      </x:c>
      <x:c r="Q841" s="54" t="n">
        <x:f>ROUND(O841-P841,2)</x:f>
        <x:v>4054.95</x:v>
      </x:c>
      <x:c r="R841" s="55" t="n">
        <x:f>IF(O841=0,0,ROUND(Q841/O841,4))</x:f>
        <x:v>0.2889</x:v>
      </x:c>
      <x:c r="S841" s="53" t="n">
        <x:v>13</x:v>
      </x:c>
      <x:c r="T841" t="str">
        <x:v>Entregue com atraso</x:v>
      </x:c>
      <x:c r="U841" t="n">
        <x:v>3</x:v>
      </x:c>
      <x:c r="V841" t="str"/>
    </x:row>
    <x:row r="842">
      <x:c r="A842" s="52" t="n">
        <x:v>46191</x:v>
      </x:c>
      <x:c r="B842" t="str">
        <x:v>PED-100841</x:v>
      </x:c>
      <x:c r="C842" t="str">
        <x:v>Cliente 116</x:v>
      </x:c>
      <x:c r="D842" t="str">
        <x:v>GO</x:v>
      </x:c>
      <x:c r="E842" t="str">
        <x:v>Centro-Oeste</x:v>
      </x:c>
      <x:c r="F842" t="str">
        <x:v>Televendas</x:v>
      </x:c>
      <x:c r="G842" t="str">
        <x:v>Tecnologia</x:v>
      </x:c>
      <x:c r="H842" t="str">
        <x:v>Headset Office</x:v>
      </x:c>
      <x:c r="I842" t="str">
        <x:v>Henrique</x:v>
      </x:c>
      <x:c r="J842" s="53" t="n">
        <x:v>8</x:v>
      </x:c>
      <x:c r="K842" s="54" t="n">
        <x:v>390.9</x:v>
      </x:c>
      <x:c r="L842" s="54" t="n">
        <x:v>210.57</x:v>
      </x:c>
      <x:c r="M842" s="55" t="n">
        <x:v>0</x:v>
      </x:c>
      <x:c r="N842" s="54" t="n">
        <x:f>ROUND(J842*K842,2)</x:f>
        <x:v>3127.2</x:v>
      </x:c>
      <x:c r="O842" s="54" t="n">
        <x:f>ROUND(N842*(1-M842),2)</x:f>
        <x:v>3127.2</x:v>
      </x:c>
      <x:c r="P842" s="54" t="n">
        <x:f>ROUND(J842*L842,2)</x:f>
        <x:v>1684.56</x:v>
      </x:c>
      <x:c r="Q842" s="54" t="n">
        <x:f>ROUND(O842-P842,2)</x:f>
        <x:v>1442.64</x:v>
      </x:c>
      <x:c r="R842" s="55" t="n">
        <x:f>IF(O842=0,0,ROUND(Q842/O842,4))</x:f>
        <x:v>0.4613</x:v>
      </x:c>
      <x:c r="S842" s="53" t="n">
        <x:v>4</x:v>
      </x:c>
      <x:c r="T842" t="str">
        <x:v>Cancelado</x:v>
      </x:c>
      <x:c r="U842"/>
      <x:c r="V842" t="str"/>
    </x:row>
    <x:row r="843">
      <x:c r="A843" s="52" t="n">
        <x:v>46199</x:v>
      </x:c>
      <x:c r="B843" t="str">
        <x:v>PED-100842</x:v>
      </x:c>
      <x:c r="C843" t="str">
        <x:v>Cliente 099</x:v>
      </x:c>
      <x:c r="D843" t="str">
        <x:v>GO</x:v>
      </x:c>
      <x:c r="E843" t="str">
        <x:v>Centro-Oeste</x:v>
      </x:c>
      <x:c r="F843" t="str">
        <x:v>Marketplace</x:v>
      </x:c>
      <x:c r="G843" t="str">
        <x:v>Acessórios</x:v>
      </x:c>
      <x:c r="H843" t="str">
        <x:v>Hub USB-C</x:v>
      </x:c>
      <x:c r="I843" t="str">
        <x:v>Henrique</x:v>
      </x:c>
      <x:c r="J843" s="53" t="n">
        <x:v>7</x:v>
      </x:c>
      <x:c r="K843" s="54" t="n">
        <x:v>309.86</x:v>
      </x:c>
      <x:c r="L843" s="54" t="n">
        <x:v>140.42</x:v>
      </x:c>
      <x:c r="M843" s="55" t="n">
        <x:v>0.035</x:v>
      </x:c>
      <x:c r="N843" s="54" t="n">
        <x:f>ROUND(J843*K843,2)</x:f>
        <x:v>2169.02</x:v>
      </x:c>
      <x:c r="O843" s="54" t="n">
        <x:f>ROUND(N843*(1-M843),2)</x:f>
        <x:v>2093.1</x:v>
      </x:c>
      <x:c r="P843" s="54" t="n">
        <x:f>ROUND(J843*L843,2)</x:f>
        <x:v>982.94</x:v>
      </x:c>
      <x:c r="Q843" s="54" t="n">
        <x:f>ROUND(O843-P843,2)</x:f>
        <x:v>1110.16</x:v>
      </x:c>
      <x:c r="R843" s="55" t="n">
        <x:f>IF(O843=0,0,ROUND(Q843/O843,4))</x:f>
        <x:v>0.5304</x:v>
      </x:c>
      <x:c r="S843" s="53" t="n">
        <x:v>7</x:v>
      </x:c>
      <x:c r="T843" t="str">
        <x:v>Entregue</x:v>
      </x:c>
      <x:c r="U843" t="n">
        <x:v>2</x:v>
      </x:c>
      <x:c r="V843" t="str"/>
    </x:row>
    <x:row r="844">
      <x:c r="A844" s="52" t="n">
        <x:v>46070</x:v>
      </x:c>
      <x:c r="B844" t="str">
        <x:v>PED-100843</x:v>
      </x:c>
      <x:c r="C844" t="str">
        <x:v>Cliente 110</x:v>
      </x:c>
      <x:c r="D844" t="str">
        <x:v>CE</x:v>
      </x:c>
      <x:c r="E844" t="str">
        <x:v>Nordeste</x:v>
      </x:c>
      <x:c r="F844" t="str">
        <x:v>Loja</x:v>
      </x:c>
      <x:c r="G844" t="str">
        <x:v>Tecnologia</x:v>
      </x:c>
      <x:c r="H844" t="str">
        <x:v>Notebook Pro</x:v>
      </x:c>
      <x:c r="I844" t="str">
        <x:v>João</x:v>
      </x:c>
      <x:c r="J844" s="53" t="n">
        <x:v>1</x:v>
      </x:c>
      <x:c r="K844" s="54" t="n">
        <x:v>6058.23</x:v>
      </x:c>
      <x:c r="L844" s="54" t="n">
        <x:v>4594.22</x:v>
      </x:c>
      <x:c r="M844" s="55" t="n">
        <x:v>0.0413</x:v>
      </x:c>
      <x:c r="N844" s="54" t="n">
        <x:f>ROUND(J844*K844,2)</x:f>
        <x:v>6058.23</x:v>
      </x:c>
      <x:c r="O844" s="54" t="n">
        <x:f>ROUND(N844*(1-M844),2)</x:f>
        <x:v>5808.03</x:v>
      </x:c>
      <x:c r="P844" s="54" t="n">
        <x:f>ROUND(J844*L844,2)</x:f>
        <x:v>4594.22</x:v>
      </x:c>
      <x:c r="Q844" s="54" t="n">
        <x:f>ROUND(O844-P844,2)</x:f>
        <x:v>1213.81</x:v>
      </x:c>
      <x:c r="R844" s="55" t="n">
        <x:f>IF(O844=0,0,ROUND(Q844/O844,4))</x:f>
        <x:v>0.209</x:v>
      </x:c>
      <x:c r="S844" s="53" t="n">
        <x:v>7</x:v>
      </x:c>
      <x:c r="T844" t="str">
        <x:v>Entregue</x:v>
      </x:c>
      <x:c r="U844" t="n">
        <x:v>5</x:v>
      </x:c>
      <x:c r="V844" t="str"/>
    </x:row>
    <x:row r="845">
      <x:c r="A845" s="52" t="n">
        <x:v>46191</x:v>
      </x:c>
      <x:c r="B845" t="str">
        <x:v>PED-100844</x:v>
      </x:c>
      <x:c r="C845" t="str">
        <x:v>Cliente 025</x:v>
      </x:c>
      <x:c r="D845" t="str">
        <x:v>MT</x:v>
      </x:c>
      <x:c r="E845" t="str">
        <x:v>Centro-Oeste</x:v>
      </x:c>
      <x:c r="F845" t="str">
        <x:v>Loja</x:v>
      </x:c>
      <x:c r="G845" t="str">
        <x:v>Casa</x:v>
      </x:c>
      <x:c r="H845" t="str">
        <x:v>Aspirador Robô</x:v>
      </x:c>
      <x:c r="I845" t="str">
        <x:v>Isabela</x:v>
      </x:c>
      <x:c r="J845" s="53" t="n">
        <x:v>5</x:v>
      </x:c>
      <x:c r="K845" s="54" t="n">
        <x:v>1886.46</x:v>
      </x:c>
      <x:c r="L845" s="54" t="n">
        <x:v>1206.8</x:v>
      </x:c>
      <x:c r="M845" s="55" t="n">
        <x:v>0.0955</x:v>
      </x:c>
      <x:c r="N845" s="54" t="n">
        <x:f>ROUND(J845*K845,2)</x:f>
        <x:v>9432.3</x:v>
      </x:c>
      <x:c r="O845" s="54" t="n">
        <x:f>ROUND(N845*(1-M845),2)</x:f>
        <x:v>8531.52</x:v>
      </x:c>
      <x:c r="P845" s="54" t="n">
        <x:f>ROUND(J845*L845,2)</x:f>
        <x:v>6034</x:v>
      </x:c>
      <x:c r="Q845" s="54" t="n">
        <x:f>ROUND(O845-P845,2)</x:f>
        <x:v>2497.52</x:v>
      </x:c>
      <x:c r="R845" s="55" t="n">
        <x:f>IF(O845=0,0,ROUND(Q845/O845,4))</x:f>
        <x:v>0.2927</x:v>
      </x:c>
      <x:c r="S845" s="53" t="n">
        <x:v>7</x:v>
      </x:c>
      <x:c r="T845" t="str">
        <x:v>Entregue</x:v>
      </x:c>
      <x:c r="U845" t="n">
        <x:v>3</x:v>
      </x:c>
      <x:c r="V845" t="str"/>
    </x:row>
    <x:row r="846">
      <x:c r="A846" s="52" t="n">
        <x:v>46083</x:v>
      </x:c>
      <x:c r="B846" t="str">
        <x:v>PED-100845</x:v>
      </x:c>
      <x:c r="C846" t="str">
        <x:v>Cliente 007</x:v>
      </x:c>
      <x:c r="D846" t="str">
        <x:v>PA</x:v>
      </x:c>
      <x:c r="E846" t="str">
        <x:v>Norte</x:v>
      </x:c>
      <x:c r="F846" t="str">
        <x:v>Loja</x:v>
      </x:c>
      <x:c r="G846" t="str">
        <x:v>Escritório</x:v>
      </x:c>
      <x:c r="H846" t="str">
        <x:v>Cadeira Ergonômica</x:v>
      </x:c>
      <x:c r="I846" t="str">
        <x:v>Felipe</x:v>
      </x:c>
      <x:c r="J846" s="53" t="n">
        <x:v>6</x:v>
      </x:c>
      <x:c r="K846" s="54" t="n">
        <x:v>2252.48</x:v>
      </x:c>
      <x:c r="L846" s="54" t="n">
        <x:v>2469.28</x:v>
      </x:c>
      <x:c r="M846" s="55" t="n">
        <x:v>0</x:v>
      </x:c>
      <x:c r="N846" s="54" t="n">
        <x:f>ROUND(J846*K846,2)</x:f>
        <x:v>13514.88</x:v>
      </x:c>
      <x:c r="O846" s="54" t="n">
        <x:f>ROUND(N846*(1-M846),2)</x:f>
        <x:v>13514.88</x:v>
      </x:c>
      <x:c r="P846" s="54" t="n">
        <x:f>ROUND(J846*L846,2)</x:f>
        <x:v>14815.68</x:v>
      </x:c>
      <x:c r="Q846" s="54" t="n">
        <x:f>ROUND(O846-P846,2)</x:f>
        <x:v>-1300.8</x:v>
      </x:c>
      <x:c r="R846" s="55" t="n">
        <x:f>IF(O846=0,0,ROUND(Q846/O846,4))</x:f>
        <x:v>-0.0962</x:v>
      </x:c>
      <x:c r="S846" s="53" t="n">
        <x:v>2</x:v>
      </x:c>
      <x:c r="T846" t="str">
        <x:v>Entregue</x:v>
      </x:c>
      <x:c r="U846" t="n">
        <x:v>4</x:v>
      </x:c>
      <x:c r="V846" t="str">
        <x:v>Custo revisado após fechamento</x:v>
      </x:c>
    </x:row>
    <x:row r="847">
      <x:c r="A847" s="52" t="n">
        <x:v>46197</x:v>
      </x:c>
      <x:c r="B847" t="str">
        <x:v>PED-100846</x:v>
      </x:c>
      <x:c r="C847" t="str">
        <x:v>Cliente 010</x:v>
      </x:c>
      <x:c r="D847" t="str">
        <x:v>DF</x:v>
      </x:c>
      <x:c r="E847" t="str">
        <x:v>Centro-Oeste</x:v>
      </x:c>
      <x:c r="F847" t="str">
        <x:v>E-commerce</x:v>
      </x:c>
      <x:c r="G847" t="str">
        <x:v>Casa</x:v>
      </x:c>
      <x:c r="H847" t="str">
        <x:v>Aspirador Robô</x:v>
      </x:c>
      <x:c r="I847" t="str">
        <x:v>Felipe</x:v>
      </x:c>
      <x:c r="J847" s="53" t="n">
        <x:v>4</x:v>
      </x:c>
      <x:c r="K847" s="54" t="n">
        <x:v>1837.64</x:v>
      </x:c>
      <x:c r="L847" s="54" t="n">
        <x:v>1147.42</x:v>
      </x:c>
      <x:c r="M847" s="55" t="n">
        <x:v>0</x:v>
      </x:c>
      <x:c r="N847" s="54" t="n">
        <x:f>ROUND(J847*K847,2)</x:f>
        <x:v>7350.56</x:v>
      </x:c>
      <x:c r="O847" s="54" t="n">
        <x:f>ROUND(N847*(1-M847),2)</x:f>
        <x:v>7350.56</x:v>
      </x:c>
      <x:c r="P847" s="54" t="n">
        <x:f>ROUND(J847*L847,2)</x:f>
        <x:v>4589.68</x:v>
      </x:c>
      <x:c r="Q847" s="54" t="n">
        <x:f>ROUND(O847-P847,2)</x:f>
        <x:v>2760.88</x:v>
      </x:c>
      <x:c r="R847" s="55" t="n">
        <x:f>IF(O847=0,0,ROUND(Q847/O847,4))</x:f>
        <x:v>0.3756</x:v>
      </x:c>
      <x:c r="S847" s="53" t="n">
        <x:v>3</x:v>
      </x:c>
      <x:c r="T847" t="str">
        <x:v>Entregue</x:v>
      </x:c>
      <x:c r="U847" t="n">
        <x:v>2</x:v>
      </x:c>
      <x:c r="V847" t="str"/>
    </x:row>
    <x:row r="848">
      <x:c r="A848" s="52" t="n">
        <x:v>46114</x:v>
      </x:c>
      <x:c r="B848" t="str">
        <x:v>PED-100847</x:v>
      </x:c>
      <x:c r="C848" t="str">
        <x:v>Cliente 098</x:v>
      </x:c>
      <x:c r="D848" t="str">
        <x:v>PR</x:v>
      </x:c>
      <x:c r="E848" t="str">
        <x:v>Sul</x:v>
      </x:c>
      <x:c r="F848" t="str">
        <x:v>Televendas</x:v>
      </x:c>
      <x:c r="G848" t="str">
        <x:v>Acessórios</x:v>
      </x:c>
      <x:c r="H848" t="str">
        <x:v>Webcam HD</x:v>
      </x:c>
      <x:c r="I848" t="str">
        <x:v>Ana</x:v>
      </x:c>
      <x:c r="J848" s="53" t="n">
        <x:v>7</x:v>
      </x:c>
      <x:c r="K848" s="54" t="n">
        <x:v>539.97</x:v>
      </x:c>
      <x:c r="L848" s="54" t="n">
        <x:v>246.21</x:v>
      </x:c>
      <x:c r="M848" s="55" t="n">
        <x:v>0.0979</x:v>
      </x:c>
      <x:c r="N848" s="54" t="n">
        <x:f>ROUND(J848*K848,2)</x:f>
        <x:v>3779.79</x:v>
      </x:c>
      <x:c r="O848" s="54" t="n">
        <x:f>ROUND(N848*(1-M848),2)</x:f>
        <x:v>3409.75</x:v>
      </x:c>
      <x:c r="P848" s="54" t="n">
        <x:f>ROUND(J848*L848,2)</x:f>
        <x:v>1723.47</x:v>
      </x:c>
      <x:c r="Q848" s="54" t="n">
        <x:f>ROUND(O848-P848,2)</x:f>
        <x:v>1686.28</x:v>
      </x:c>
      <x:c r="R848" s="55" t="n">
        <x:f>IF(O848=0,0,ROUND(Q848/O848,4))</x:f>
        <x:v>0.4945</x:v>
      </x:c>
      <x:c r="S848" s="53" t="n">
        <x:v>5</x:v>
      </x:c>
      <x:c r="T848" t="str">
        <x:v>Entregue</x:v>
      </x:c>
      <x:c r="U848" t="n">
        <x:v>3</x:v>
      </x:c>
      <x:c r="V848" t="str"/>
    </x:row>
    <x:row r="849">
      <x:c r="A849" s="52" t="n">
        <x:v>46058</x:v>
      </x:c>
      <x:c r="B849" t="str">
        <x:v>PED-100848</x:v>
      </x:c>
      <x:c r="C849" t="str">
        <x:v>Cliente 043</x:v>
      </x:c>
      <x:c r="D849" t="str">
        <x:v>RS</x:v>
      </x:c>
      <x:c r="E849" t="str">
        <x:v>Sul</x:v>
      </x:c>
      <x:c r="F849" t="str">
        <x:v>Televendas</x:v>
      </x:c>
      <x:c r="G849" t="str">
        <x:v>Escritório</x:v>
      </x:c>
      <x:c r="H849" t="str">
        <x:v>Mesa Ajustável</x:v>
      </x:c>
      <x:c r="I849" t="str">
        <x:v>Bruno</x:v>
      </x:c>
      <x:c r="J849" s="53" t="n">
        <x:v>4</x:v>
      </x:c>
      <x:c r="K849" s="54" t="n">
        <x:v>2770.67</x:v>
      </x:c>
      <x:c r="L849" s="54" t="n">
        <x:v>1808.81</x:v>
      </x:c>
      <x:c r="M849" s="55" t="n">
        <x:v>0</x:v>
      </x:c>
      <x:c r="N849" s="54" t="n">
        <x:f>ROUND(J849*K849,2)</x:f>
        <x:v>11082.68</x:v>
      </x:c>
      <x:c r="O849" s="54" t="n">
        <x:f>ROUND(N849*(1-M849),2)</x:f>
        <x:v>11082.68</x:v>
      </x:c>
      <x:c r="P849" s="54" t="n">
        <x:f>ROUND(J849*L849,2)</x:f>
        <x:v>7235.24</x:v>
      </x:c>
      <x:c r="Q849" s="54" t="n">
        <x:f>ROUND(O849-P849,2)</x:f>
        <x:v>3847.44</x:v>
      </x:c>
      <x:c r="R849" s="55" t="n">
        <x:f>IF(O849=0,0,ROUND(Q849/O849,4))</x:f>
        <x:v>0.3472</x:v>
      </x:c>
      <x:c r="S849" s="53" t="n">
        <x:v>2</x:v>
      </x:c>
      <x:c r="T849" t="str">
        <x:v>Entregue</x:v>
      </x:c>
      <x:c r="U849" t="n">
        <x:v>3</x:v>
      </x:c>
      <x:c r="V849" t="str"/>
    </x:row>
    <x:row r="850">
      <x:c r="A850" s="52" t="n">
        <x:v>46043</x:v>
      </x:c>
      <x:c r="B850" t="str">
        <x:v>PED-100849</x:v>
      </x:c>
      <x:c r="C850" t="str">
        <x:v>Cliente 101</x:v>
      </x:c>
      <x:c r="D850" t="str">
        <x:v>GO</x:v>
      </x:c>
      <x:c r="E850" t="str">
        <x:v>Centro-Oeste</x:v>
      </x:c>
      <x:c r="F850" t="str">
        <x:v>Marketplace</x:v>
      </x:c>
      <x:c r="G850" t="str">
        <x:v>Casa</x:v>
      </x:c>
      <x:c r="H850" t="str">
        <x:v>Purificador</x:v>
      </x:c>
      <x:c r="I850" t="str">
        <x:v>Gabriela</x:v>
      </x:c>
      <x:c r="J850" s="53" t="n">
        <x:v>4</x:v>
      </x:c>
      <x:c r="K850" s="54" t="n">
        <x:v>1302.56</x:v>
      </x:c>
      <x:c r="L850" s="54" t="n">
        <x:v>747.32</x:v>
      </x:c>
      <x:c r="M850" s="55" t="n">
        <x:v>0.0501</x:v>
      </x:c>
      <x:c r="N850" s="54" t="n">
        <x:f>ROUND(J850*K850,2)</x:f>
        <x:v>5210.24</x:v>
      </x:c>
      <x:c r="O850" s="54" t="n">
        <x:f>ROUND(N850*(1-M850),2)</x:f>
        <x:v>4949.21</x:v>
      </x:c>
      <x:c r="P850" s="54" t="n">
        <x:f>ROUND(J850*L850,2)</x:f>
        <x:v>2989.28</x:v>
      </x:c>
      <x:c r="Q850" s="54" t="n">
        <x:f>ROUND(O850-P850,2)</x:f>
        <x:v>1959.93</x:v>
      </x:c>
      <x:c r="R850" s="55" t="n">
        <x:f>IF(O850=0,0,ROUND(Q850/O850,4))</x:f>
        <x:v>0.396</x:v>
      </x:c>
      <x:c r="S850" s="53" t="n">
        <x:v>11</x:v>
      </x:c>
      <x:c r="T850" t="str">
        <x:v>Entregue com atraso</x:v>
      </x:c>
      <x:c r="U850" t="n">
        <x:v>3</x:v>
      </x:c>
      <x:c r="V850" t="str"/>
    </x:row>
    <x:row r="851">
      <x:c r="A851" s="52" t="n">
        <x:v>46129</x:v>
      </x:c>
      <x:c r="B851" t="str">
        <x:v>PED-100850</x:v>
      </x:c>
      <x:c r="C851" t="str">
        <x:v>Cliente 003</x:v>
      </x:c>
      <x:c r="D851" t="str">
        <x:v>PR</x:v>
      </x:c>
      <x:c r="E851" t="str">
        <x:v>Sul</x:v>
      </x:c>
      <x:c r="F851" t="str">
        <x:v>Loja</x:v>
      </x:c>
      <x:c r="G851" t="str">
        <x:v>Acessórios</x:v>
      </x:c>
      <x:c r="H851" t="str">
        <x:v>Webcam HD</x:v>
      </x:c>
      <x:c r="I851" t="str">
        <x:v>Ana</x:v>
      </x:c>
      <x:c r="J851" s="53" t="n">
        <x:v>8</x:v>
      </x:c>
      <x:c r="K851" s="54" t="n">
        <x:v>531.23</x:v>
      </x:c>
      <x:c r="L851" s="54" t="n">
        <x:v>235.15</x:v>
      </x:c>
      <x:c r="M851" s="55" t="n">
        <x:v>0</x:v>
      </x:c>
      <x:c r="N851" s="54" t="n">
        <x:f>ROUND(J851*K851,2)</x:f>
        <x:v>4249.84</x:v>
      </x:c>
      <x:c r="O851" s="54" t="n">
        <x:f>ROUND(N851*(1-M851),2)</x:f>
        <x:v>4249.84</x:v>
      </x:c>
      <x:c r="P851" s="54" t="n">
        <x:f>ROUND(J851*L851,2)</x:f>
        <x:v>1881.2</x:v>
      </x:c>
      <x:c r="Q851" s="54" t="n">
        <x:f>ROUND(O851-P851,2)</x:f>
        <x:v>2368.64</x:v>
      </x:c>
      <x:c r="R851" s="55" t="n">
        <x:f>IF(O851=0,0,ROUND(Q851/O851,4))</x:f>
        <x:v>0.5573</x:v>
      </x:c>
      <x:c r="S851" s="53" t="n">
        <x:v>14</x:v>
      </x:c>
      <x:c r="T851" t="str">
        <x:v>Entregue com atraso</x:v>
      </x:c>
      <x:c r="U851" t="n">
        <x:v>4</x:v>
      </x:c>
      <x:c r="V851" t="str"/>
    </x:row>
    <x:row r="852">
      <x:c r="A852" s="52" t="n">
        <x:v>46195</x:v>
      </x:c>
      <x:c r="B852" t="str">
        <x:v>PED-100851</x:v>
      </x:c>
      <x:c r="C852" t="str">
        <x:v>Cliente 116</x:v>
      </x:c>
      <x:c r="D852" t="str">
        <x:v>PA</x:v>
      </x:c>
      <x:c r="E852" t="str">
        <x:v>Norte</x:v>
      </x:c>
      <x:c r="F852" t="str">
        <x:v>Loja</x:v>
      </x:c>
      <x:c r="G852" t="str">
        <x:v>Acessórios</x:v>
      </x:c>
      <x:c r="H852" t="str">
        <x:v>Mochila Executiva</x:v>
      </x:c>
      <x:c r="I852" t="str">
        <x:v>João</x:v>
      </x:c>
      <x:c r="J852" s="53" t="n">
        <x:v>6</x:v>
      </x:c>
      <x:c r="K852" s="54" t="n">
        <x:v>416.53</x:v>
      </x:c>
      <x:c r="L852" s="54" t="n">
        <x:v>191.63</x:v>
      </x:c>
      <x:c r="M852" s="55" t="n">
        <x:v>0</x:v>
      </x:c>
      <x:c r="N852" s="54" t="n">
        <x:f>ROUND(J852*K852,2)</x:f>
        <x:v>2499.18</x:v>
      </x:c>
      <x:c r="O852" s="54" t="n">
        <x:f>ROUND(N852*(1-M852),2)</x:f>
        <x:v>2499.18</x:v>
      </x:c>
      <x:c r="P852" s="54" t="n">
        <x:f>ROUND(J852*L852,2)</x:f>
        <x:v>1149.78</x:v>
      </x:c>
      <x:c r="Q852" s="54" t="n">
        <x:f>ROUND(O852-P852,2)</x:f>
        <x:v>1349.4</x:v>
      </x:c>
      <x:c r="R852" s="55" t="n">
        <x:f>IF(O852=0,0,ROUND(Q852/O852,4))</x:f>
        <x:v>0.5399</x:v>
      </x:c>
      <x:c r="S852" s="53" t="n">
        <x:v>12</x:v>
      </x:c>
      <x:c r="T852" t="str">
        <x:v>Entregue com atraso</x:v>
      </x:c>
      <x:c r="U852" t="n">
        <x:v>2</x:v>
      </x:c>
      <x:c r="V852" t="str"/>
    </x:row>
    <x:row r="853">
      <x:c r="A853" s="52" t="n">
        <x:v>46136</x:v>
      </x:c>
      <x:c r="B853" t="str">
        <x:v>PED-100852</x:v>
      </x:c>
      <x:c r="C853" t="str">
        <x:v>Cliente 081</x:v>
      </x:c>
      <x:c r="D853" t="str">
        <x:v>BA</x:v>
      </x:c>
      <x:c r="E853" t="str">
        <x:v>Nordeste</x:v>
      </x:c>
      <x:c r="F853" t="str">
        <x:v>Televendas</x:v>
      </x:c>
      <x:c r="G853" t="str">
        <x:v>Tecnologia</x:v>
      </x:c>
      <x:c r="H853" t="str">
        <x:v>Monitor 27</x:v>
      </x:c>
      <x:c r="I853" t="str">
        <x:v>Gabriela</x:v>
      </x:c>
      <x:c r="J853" s="53" t="n">
        <x:v>7</x:v>
      </x:c>
      <x:c r="K853" s="54" t="n">
        <x:v>1647.58</x:v>
      </x:c>
      <x:c r="L853" s="54" t="n">
        <x:v>1147.54</x:v>
      </x:c>
      <x:c r="M853" s="55" t="n">
        <x:v>0</x:v>
      </x:c>
      <x:c r="N853" s="54" t="n">
        <x:f>ROUND(J853*K853,2)</x:f>
        <x:v>11533.06</x:v>
      </x:c>
      <x:c r="O853" s="54" t="n">
        <x:f>ROUND(N853*(1-M853),2)</x:f>
        <x:v>11533.06</x:v>
      </x:c>
      <x:c r="P853" s="54" t="n">
        <x:f>ROUND(J853*L853,2)</x:f>
        <x:v>8032.78</x:v>
      </x:c>
      <x:c r="Q853" s="54" t="n">
        <x:f>ROUND(O853-P853,2)</x:f>
        <x:v>3500.28</x:v>
      </x:c>
      <x:c r="R853" s="55" t="n">
        <x:f>IF(O853=0,0,ROUND(Q853/O853,4))</x:f>
        <x:v>0.3035</x:v>
      </x:c>
      <x:c r="S853" s="53" t="n">
        <x:v>3</x:v>
      </x:c>
      <x:c r="T853" t="str">
        <x:v>Entregue</x:v>
      </x:c>
      <x:c r="U853" t="n">
        <x:v>4</x:v>
      </x:c>
      <x:c r="V853" t="str"/>
    </x:row>
    <x:row r="854">
      <x:c r="A854" s="52" t="n">
        <x:v>46117</x:v>
      </x:c>
      <x:c r="B854" t="str">
        <x:v>PED-100853</x:v>
      </x:c>
      <x:c r="C854" t="str">
        <x:v>Cliente 090</x:v>
      </x:c>
      <x:c r="D854" t="str">
        <x:v>AM</x:v>
      </x:c>
      <x:c r="E854" t="str">
        <x:v>Norte</x:v>
      </x:c>
      <x:c r="F854" t="str">
        <x:v>Loja</x:v>
      </x:c>
      <x:c r="G854" t="str">
        <x:v>Tecnologia</x:v>
      </x:c>
      <x:c r="H854" t="str">
        <x:v>Monitor 27</x:v>
      </x:c>
      <x:c r="I854" t="str">
        <x:v>Ana</x:v>
      </x:c>
      <x:c r="J854" s="53" t="n">
        <x:v>8</x:v>
      </x:c>
      <x:c r="K854" s="54" t="n">
        <x:v>1732.04</x:v>
      </x:c>
      <x:c r="L854" s="54" t="n">
        <x:v>1096.44</x:v>
      </x:c>
      <x:c r="M854" s="55" t="n">
        <x:v>0.0303</x:v>
      </x:c>
      <x:c r="N854" s="54" t="n">
        <x:f>ROUND(J854*K854,2)</x:f>
        <x:v>13856.32</x:v>
      </x:c>
      <x:c r="O854" s="54" t="n">
        <x:f>ROUND(N854*(1-M854),2)</x:f>
        <x:v>13436.47</x:v>
      </x:c>
      <x:c r="P854" s="54" t="n">
        <x:f>ROUND(J854*L854,2)</x:f>
        <x:v>8771.52</x:v>
      </x:c>
      <x:c r="Q854" s="54" t="n">
        <x:f>ROUND(O854-P854,2)</x:f>
        <x:v>4664.95</x:v>
      </x:c>
      <x:c r="R854" s="55" t="n">
        <x:f>IF(O854=0,0,ROUND(Q854/O854,4))</x:f>
        <x:v>0.3472</x:v>
      </x:c>
      <x:c r="S854" s="53" t="n">
        <x:v>4</x:v>
      </x:c>
      <x:c r="T854" t="str">
        <x:v>Entregue</x:v>
      </x:c>
      <x:c r="U854" t="n">
        <x:v>5</x:v>
      </x:c>
      <x:c r="V854" t="str"/>
    </x:row>
    <x:row r="855">
      <x:c r="A855" s="52" t="n">
        <x:v>46039</x:v>
      </x:c>
      <x:c r="B855" t="str">
        <x:v>PED-100854</x:v>
      </x:c>
      <x:c r="C855" t="str">
        <x:v>Cliente 105</x:v>
      </x:c>
      <x:c r="D855" t="str">
        <x:v>GO</x:v>
      </x:c>
      <x:c r="E855" t="str">
        <x:v>Centro-Oeste</x:v>
      </x:c>
      <x:c r="F855" t="str">
        <x:v>Loja</x:v>
      </x:c>
      <x:c r="G855" t="str">
        <x:v>Acessórios</x:v>
      </x:c>
      <x:c r="H855" t="str">
        <x:v>Webcam HD</x:v>
      </x:c>
      <x:c r="I855" t="str">
        <x:v>Carla</x:v>
      </x:c>
      <x:c r="J855" s="53" t="n">
        <x:v>1</x:v>
      </x:c>
      <x:c r="K855" s="54" t="n">
        <x:v>505.61</x:v>
      </x:c>
      <x:c r="L855" s="54" t="n">
        <x:v>248.63</x:v>
      </x:c>
      <x:c r="M855" s="55" t="n">
        <x:v>0.0018</x:v>
      </x:c>
      <x:c r="N855" s="54" t="n">
        <x:f>ROUND(J855*K855,2)</x:f>
        <x:v>505.61</x:v>
      </x:c>
      <x:c r="O855" s="54" t="n">
        <x:f>ROUND(N855*(1-M855),2)</x:f>
        <x:v>504.7</x:v>
      </x:c>
      <x:c r="P855" s="54" t="n">
        <x:f>ROUND(J855*L855,2)</x:f>
        <x:v>248.63</x:v>
      </x:c>
      <x:c r="Q855" s="54" t="n">
        <x:f>ROUND(O855-P855,2)</x:f>
        <x:v>256.07</x:v>
      </x:c>
      <x:c r="R855" s="55" t="n">
        <x:f>IF(O855=0,0,ROUND(Q855/O855,4))</x:f>
        <x:v>0.5074</x:v>
      </x:c>
      <x:c r="S855" s="53" t="n">
        <x:v>6</x:v>
      </x:c>
      <x:c r="T855" t="str">
        <x:v>Entregue</x:v>
      </x:c>
      <x:c r="U855" t="n">
        <x:v>3</x:v>
      </x:c>
      <x:c r="V855" t="str"/>
    </x:row>
    <x:row r="856">
      <x:c r="A856" s="52" t="n">
        <x:v>46161</x:v>
      </x:c>
      <x:c r="B856" t="str">
        <x:v>PED-100855</x:v>
      </x:c>
      <x:c r="C856" t="str">
        <x:v>Cliente 015</x:v>
      </x:c>
      <x:c r="D856" t="str">
        <x:v>RJ</x:v>
      </x:c>
      <x:c r="E856" t="str">
        <x:v>Sudeste</x:v>
      </x:c>
      <x:c r="F856" t="str">
        <x:v>E-commerce</x:v>
      </x:c>
      <x:c r="G856" t="str">
        <x:v>Casa</x:v>
      </x:c>
      <x:c r="H856" t="str">
        <x:v>Aspirador Robô</x:v>
      </x:c>
      <x:c r="I856" t="str">
        <x:v>Henrique</x:v>
      </x:c>
      <x:c r="J856" s="53" t="n">
        <x:v>1</x:v>
      </x:c>
      <x:c r="K856" s="54" t="n">
        <x:v>1961.94</x:v>
      </x:c>
      <x:c r="L856" s="54" t="n">
        <x:v>1197.23</x:v>
      </x:c>
      <x:c r="M856" s="55" t="n">
        <x:v>0.068</x:v>
      </x:c>
      <x:c r="N856" s="54" t="n">
        <x:f>ROUND(J856*K856,2)</x:f>
        <x:v>1961.94</x:v>
      </x:c>
      <x:c r="O856" s="54" t="n">
        <x:f>ROUND(N856*(1-M856),2)</x:f>
        <x:v>1828.53</x:v>
      </x:c>
      <x:c r="P856" s="54" t="n">
        <x:f>ROUND(J856*L856,2)</x:f>
        <x:v>1197.23</x:v>
      </x:c>
      <x:c r="Q856" s="54" t="n">
        <x:f>ROUND(O856-P856,2)</x:f>
        <x:v>631.3</x:v>
      </x:c>
      <x:c r="R856" s="55" t="n">
        <x:f>IF(O856=0,0,ROUND(Q856/O856,4))</x:f>
        <x:v>0.3453</x:v>
      </x:c>
      <x:c r="S856" s="53" t="n">
        <x:v>5</x:v>
      </x:c>
      <x:c r="T856" t="str">
        <x:v>Entregue</x:v>
      </x:c>
      <x:c r="U856" t="n">
        <x:v>2</x:v>
      </x:c>
      <x:c r="V856" t="str"/>
    </x:row>
    <x:row r="857">
      <x:c r="A857" s="52" t="n">
        <x:v>46160</x:v>
      </x:c>
      <x:c r="B857" t="str">
        <x:v>PED-100856</x:v>
      </x:c>
      <x:c r="C857" t="str">
        <x:v>Cliente 015</x:v>
      </x:c>
      <x:c r="D857" t="str">
        <x:v>PR</x:v>
      </x:c>
      <x:c r="E857" t="str">
        <x:v>Sul</x:v>
      </x:c>
      <x:c r="F857" t="str">
        <x:v>Marketplace</x:v>
      </x:c>
      <x:c r="G857" t="str">
        <x:v>Acessórios</x:v>
      </x:c>
      <x:c r="H857" t="str">
        <x:v>Mochila Executiva</x:v>
      </x:c>
      <x:c r="I857" t="str">
        <x:v>Ana</x:v>
      </x:c>
      <x:c r="J857" s="53" t="n">
        <x:v>6</x:v>
      </x:c>
      <x:c r="K857" s="54" t="n">
        <x:v>405.01</x:v>
      </x:c>
      <x:c r="L857" s="54" t="n">
        <x:v>195.25</x:v>
      </x:c>
      <x:c r="M857" s="55" t="n">
        <x:v>0.0367</x:v>
      </x:c>
      <x:c r="N857" s="54" t="n">
        <x:f>ROUND(J857*K857,2)</x:f>
        <x:v>2430.06</x:v>
      </x:c>
      <x:c r="O857" s="54" t="n">
        <x:f>ROUND(N857*(1-M857),2)</x:f>
        <x:v>2340.88</x:v>
      </x:c>
      <x:c r="P857" s="54" t="n">
        <x:f>ROUND(J857*L857,2)</x:f>
        <x:v>1171.5</x:v>
      </x:c>
      <x:c r="Q857" s="54" t="n">
        <x:f>ROUND(O857-P857,2)</x:f>
        <x:v>1169.38</x:v>
      </x:c>
      <x:c r="R857" s="55" t="n">
        <x:f>IF(O857=0,0,ROUND(Q857/O857,4))</x:f>
        <x:v>0.4995</x:v>
      </x:c>
      <x:c r="S857" s="53" t="n">
        <x:v>8</x:v>
      </x:c>
      <x:c r="T857" t="str">
        <x:v>Entregue</x:v>
      </x:c>
      <x:c r="U857" t="n">
        <x:v>4</x:v>
      </x:c>
      <x:c r="V857" t="str"/>
    </x:row>
    <x:row r="858">
      <x:c r="A858" s="52" t="n">
        <x:v>46207</x:v>
      </x:c>
      <x:c r="B858" t="str">
        <x:v>PED-100857</x:v>
      </x:c>
      <x:c r="C858" t="str">
        <x:v>Cliente 079</x:v>
      </x:c>
      <x:c r="D858" t="str">
        <x:v>PA</x:v>
      </x:c>
      <x:c r="E858" t="str">
        <x:v>Norte</x:v>
      </x:c>
      <x:c r="F858" t="str">
        <x:v>Loja</x:v>
      </x:c>
      <x:c r="G858" t="str">
        <x:v>Tecnologia</x:v>
      </x:c>
      <x:c r="H858" t="str">
        <x:v>Monitor 27</x:v>
      </x:c>
      <x:c r="I858" t="str">
        <x:v>Gabriela</x:v>
      </x:c>
      <x:c r="J858" s="53" t="n">
        <x:v>4</x:v>
      </x:c>
      <x:c r="K858" s="54" t="n">
        <x:v>1668.67</x:v>
      </x:c>
      <x:c r="L858" s="54" t="n">
        <x:v>1148.28</x:v>
      </x:c>
      <x:c r="M858" s="55" t="n">
        <x:v>0</x:v>
      </x:c>
      <x:c r="N858" s="54" t="n">
        <x:f>ROUND(J858*K858,2)</x:f>
        <x:v>6674.68</x:v>
      </x:c>
      <x:c r="O858" s="54" t="n">
        <x:f>ROUND(N858*(1-M858),2)</x:f>
        <x:v>6674.68</x:v>
      </x:c>
      <x:c r="P858" s="54" t="n">
        <x:f>ROUND(J858*L858,2)</x:f>
        <x:v>4593.12</x:v>
      </x:c>
      <x:c r="Q858" s="54" t="n">
        <x:f>ROUND(O858-P858,2)</x:f>
        <x:v>2081.56</x:v>
      </x:c>
      <x:c r="R858" s="55" t="n">
        <x:f>IF(O858=0,0,ROUND(Q858/O858,4))</x:f>
        <x:v>0.3119</x:v>
      </x:c>
      <x:c r="S858" s="53" t="n">
        <x:v>9</x:v>
      </x:c>
      <x:c r="T858" t="str">
        <x:v>Entregue</x:v>
      </x:c>
      <x:c r="U858" t="n">
        <x:v>5</x:v>
      </x:c>
      <x:c r="V858" t="str"/>
    </x:row>
    <x:row r="859">
      <x:c r="A859" s="52" t="n">
        <x:v>46104</x:v>
      </x:c>
      <x:c r="B859" t="str">
        <x:v>PED-100858</x:v>
      </x:c>
      <x:c r="C859" t="str">
        <x:v>Cliente 095</x:v>
      </x:c>
      <x:c r="D859" t="str">
        <x:v>ES</x:v>
      </x:c>
      <x:c r="E859" t="str">
        <x:v>Sudeste</x:v>
      </x:c>
      <x:c r="F859" t="str">
        <x:v>E-commerce</x:v>
      </x:c>
      <x:c r="G859" t="str">
        <x:v>Tecnologia</x:v>
      </x:c>
      <x:c r="H859" t="str">
        <x:v>Notebook Pro</x:v>
      </x:c>
      <x:c r="I859" t="str">
        <x:v>João</x:v>
      </x:c>
      <x:c r="J859" s="53" t="n">
        <x:v>1</x:v>
      </x:c>
      <x:c r="K859" s="54" t="n">
        <x:v>5847.76</x:v>
      </x:c>
      <x:c r="L859" s="54" t="n">
        <x:v>4198.13</x:v>
      </x:c>
      <x:c r="M859" s="55" t="n">
        <x:v>0.0943</x:v>
      </x:c>
      <x:c r="N859" s="54" t="n">
        <x:f>ROUND(J859*K859,2)</x:f>
        <x:v>5847.76</x:v>
      </x:c>
      <x:c r="O859" s="54" t="n">
        <x:f>ROUND(N859*(1-M859),2)</x:f>
        <x:v>5296.32</x:v>
      </x:c>
      <x:c r="P859" s="54" t="n">
        <x:f>ROUND(J859*L859,2)</x:f>
        <x:v>4198.13</x:v>
      </x:c>
      <x:c r="Q859" s="54" t="n">
        <x:f>ROUND(O859-P859,2)</x:f>
        <x:v>1098.19</x:v>
      </x:c>
      <x:c r="R859" s="55" t="n">
        <x:f>IF(O859=0,0,ROUND(Q859/O859,4))</x:f>
        <x:v>0.2073</x:v>
      </x:c>
      <x:c r="S859" s="53" t="n">
        <x:v>3</x:v>
      </x:c>
      <x:c r="T859" t="str">
        <x:v>Entregue</x:v>
      </x:c>
      <x:c r="U859" t="n">
        <x:v>5</x:v>
      </x:c>
      <x:c r="V859" t="str"/>
    </x:row>
    <x:row r="860">
      <x:c r="A860" s="52" t="n">
        <x:v>46195</x:v>
      </x:c>
      <x:c r="B860" t="str">
        <x:v>PED-100859</x:v>
      </x:c>
      <x:c r="C860" t="str">
        <x:v>Cliente 120</x:v>
      </x:c>
      <x:c r="D860" t="str">
        <x:v>PR</x:v>
      </x:c>
      <x:c r="E860" t="str">
        <x:v>Sul</x:v>
      </x:c>
      <x:c r="F860" t="str">
        <x:v>Marketplace</x:v>
      </x:c>
      <x:c r="G860" t="str">
        <x:v>Escritório</x:v>
      </x:c>
      <x:c r="H860" t="str">
        <x:v>Luminária LED</x:v>
      </x:c>
      <x:c r="I860" t="str">
        <x:v>Diego</x:v>
      </x:c>
      <x:c r="J860" s="53" t="n">
        <x:v>4</x:v>
      </x:c>
      <x:c r="K860" s="54" t="n">
        <x:v>266.1</x:v>
      </x:c>
      <x:c r="L860" s="54" t="n">
        <x:v>118.4</x:v>
      </x:c>
      <x:c r="M860" s="55" t="n">
        <x:v>0.1194</x:v>
      </x:c>
      <x:c r="N860" s="54" t="n">
        <x:f>ROUND(J860*K860,2)</x:f>
        <x:v>1064.4</x:v>
      </x:c>
      <x:c r="O860" s="54" t="n">
        <x:f>ROUND(N860*(1-M860),2)</x:f>
        <x:v>937.31</x:v>
      </x:c>
      <x:c r="P860" s="54" t="n">
        <x:f>ROUND(J860*L860,2)</x:f>
        <x:v>473.6</x:v>
      </x:c>
      <x:c r="Q860" s="54" t="n">
        <x:f>ROUND(O860-P860,2)</x:f>
        <x:v>463.71</x:v>
      </x:c>
      <x:c r="R860" s="55" t="n">
        <x:f>IF(O860=0,0,ROUND(Q860/O860,4))</x:f>
        <x:v>0.4947</x:v>
      </x:c>
      <x:c r="S860" s="53" t="n">
        <x:v>13</x:v>
      </x:c>
      <x:c r="T860" t="str">
        <x:v>Entregue com atraso</x:v>
      </x:c>
      <x:c r="U860" t="n">
        <x:v>3</x:v>
      </x:c>
      <x:c r="V860" t="str"/>
    </x:row>
    <x:row r="861">
      <x:c r="A861" s="52" t="n">
        <x:v>46226</x:v>
      </x:c>
      <x:c r="B861" t="str">
        <x:v>PED-100860</x:v>
      </x:c>
      <x:c r="C861" t="str">
        <x:v>Cliente 054</x:v>
      </x:c>
      <x:c r="D861" t="str">
        <x:v>RJ</x:v>
      </x:c>
      <x:c r="E861" t="str">
        <x:v>Sudeste</x:v>
      </x:c>
      <x:c r="F861" t="str">
        <x:v>Televendas</x:v>
      </x:c>
      <x:c r="G861" t="str">
        <x:v>Acessórios</x:v>
      </x:c>
      <x:c r="H861" t="str">
        <x:v>Webcam HD</x:v>
      </x:c>
      <x:c r="I861" t="str">
        <x:v>Bruno</x:v>
      </x:c>
      <x:c r="J861" s="53" t="n">
        <x:v>3</x:v>
      </x:c>
      <x:c r="K861" s="54" t="n">
        <x:v>531.24</x:v>
      </x:c>
      <x:c r="L861" s="54" t="n">
        <x:v>250.91</x:v>
      </x:c>
      <x:c r="M861" s="55" t="n">
        <x:v>0.0686</x:v>
      </x:c>
      <x:c r="N861" s="54" t="n">
        <x:f>ROUND(J861*K861,2)</x:f>
        <x:v>1593.72</x:v>
      </x:c>
      <x:c r="O861" s="54" t="n">
        <x:f>ROUND(N861*(1-M861),2)</x:f>
        <x:v>1484.39</x:v>
      </x:c>
      <x:c r="P861" s="54" t="n">
        <x:f>ROUND(J861*L861,2)</x:f>
        <x:v>752.73</x:v>
      </x:c>
      <x:c r="Q861" s="54" t="n">
        <x:f>ROUND(O861-P861,2)</x:f>
        <x:v>731.66</x:v>
      </x:c>
      <x:c r="R861" s="55" t="n">
        <x:f>IF(O861=0,0,ROUND(Q861/O861,4))</x:f>
        <x:v>0.4929</x:v>
      </x:c>
      <x:c r="S861" s="53" t="n">
        <x:v>3</x:v>
      </x:c>
      <x:c r="T861" t="str">
        <x:v>Entregue</x:v>
      </x:c>
      <x:c r="U861" t="n">
        <x:v>4</x:v>
      </x:c>
      <x:c r="V861" t="str"/>
    </x:row>
    <x:row r="862">
      <x:c r="A862" s="52" t="n">
        <x:v>46079</x:v>
      </x:c>
      <x:c r="B862" t="str">
        <x:v>PED-100861</x:v>
      </x:c>
      <x:c r="C862" t="str">
        <x:v>Cliente 050</x:v>
      </x:c>
      <x:c r="D862" t="str">
        <x:v>CE</x:v>
      </x:c>
      <x:c r="E862" t="str">
        <x:v>Nordeste</x:v>
      </x:c>
      <x:c r="F862" t="str">
        <x:v>Loja</x:v>
      </x:c>
      <x:c r="G862" t="str">
        <x:v>Casa</x:v>
      </x:c>
      <x:c r="H862" t="str">
        <x:v>Cafeteira Smart</x:v>
      </x:c>
      <x:c r="I862" t="str">
        <x:v>João</x:v>
      </x:c>
      <x:c r="J862" s="53" t="n">
        <x:v>4</x:v>
      </x:c>
      <x:c r="K862" s="54" t="n">
        <x:v>812.69</x:v>
      </x:c>
      <x:c r="L862" s="54" t="n">
        <x:v>477.81</x:v>
      </x:c>
      <x:c r="M862" s="55" t="n">
        <x:v>0</x:v>
      </x:c>
      <x:c r="N862" s="54" t="n">
        <x:f>ROUND(J862*K862,2)</x:f>
        <x:v>3250.76</x:v>
      </x:c>
      <x:c r="O862" s="54" t="n">
        <x:f>ROUND(N862*(1-M862),2)</x:f>
        <x:v>3250.76</x:v>
      </x:c>
      <x:c r="P862" s="54" t="n">
        <x:f>ROUND(J862*L862,2)</x:f>
        <x:v>1911.24</x:v>
      </x:c>
      <x:c r="Q862" s="54" t="n">
        <x:f>ROUND(O862-P862,2)</x:f>
        <x:v>1339.52</x:v>
      </x:c>
      <x:c r="R862" s="55" t="n">
        <x:f>IF(O862=0,0,ROUND(Q862/O862,4))</x:f>
        <x:v>0.4121</x:v>
      </x:c>
      <x:c r="S862" s="53" t="n">
        <x:v>14</x:v>
      </x:c>
      <x:c r="T862" t="str">
        <x:v>Entregue com atraso</x:v>
      </x:c>
      <x:c r="U862" t="n">
        <x:v>4</x:v>
      </x:c>
      <x:c r="V862" t="str"/>
    </x:row>
    <x:row r="863">
      <x:c r="A863" s="52" t="n">
        <x:v>46155</x:v>
      </x:c>
      <x:c r="B863" t="str">
        <x:v>PED-100862</x:v>
      </x:c>
      <x:c r="C863" t="str">
        <x:v>Cliente 042</x:v>
      </x:c>
      <x:c r="D863" t="str">
        <x:v>BA</x:v>
      </x:c>
      <x:c r="E863" t="str">
        <x:v>Nordeste</x:v>
      </x:c>
      <x:c r="F863" t="str">
        <x:v>Televendas</x:v>
      </x:c>
      <x:c r="G863" t="str">
        <x:v>Escritório</x:v>
      </x:c>
      <x:c r="H863" t="str">
        <x:v>Luminária LED</x:v>
      </x:c>
      <x:c r="I863" t="str">
        <x:v>Elaine</x:v>
      </x:c>
      <x:c r="J863" s="53" t="n">
        <x:v>4</x:v>
      </x:c>
      <x:c r="K863" s="54" t="n">
        <x:v>275.01</x:v>
      </x:c>
      <x:c r="L863" s="54" t="n">
        <x:v>120.7</x:v>
      </x:c>
      <x:c r="M863" s="55" t="n">
        <x:v>0.0907</x:v>
      </x:c>
      <x:c r="N863" s="54" t="n">
        <x:f>ROUND(J863*K863,2)</x:f>
        <x:v>1100.04</x:v>
      </x:c>
      <x:c r="O863" s="54" t="n">
        <x:f>ROUND(N863*(1-M863),2)</x:f>
        <x:v>1000.27</x:v>
      </x:c>
      <x:c r="P863" s="54" t="n">
        <x:f>ROUND(J863*L863,2)</x:f>
        <x:v>482.8</x:v>
      </x:c>
      <x:c r="Q863" s="54" t="n">
        <x:f>ROUND(O863-P863,2)</x:f>
        <x:v>517.47</x:v>
      </x:c>
      <x:c r="R863" s="55" t="n">
        <x:f>IF(O863=0,0,ROUND(Q863/O863,4))</x:f>
        <x:v>0.5173</x:v>
      </x:c>
      <x:c r="S863" s="53" t="n">
        <x:v>6</x:v>
      </x:c>
      <x:c r="T863" t="str">
        <x:v>Entregue</x:v>
      </x:c>
      <x:c r="U863" t="n">
        <x:v>4</x:v>
      </x:c>
      <x:c r="V863" t="str"/>
    </x:row>
    <x:row r="864">
      <x:c r="A864" s="52" t="n">
        <x:v>46136</x:v>
      </x:c>
      <x:c r="B864" t="str">
        <x:v>PED-100863</x:v>
      </x:c>
      <x:c r="C864" t="str">
        <x:v>Cliente 007</x:v>
      </x:c>
      <x:c r="D864" t="str">
        <x:v>GO</x:v>
      </x:c>
      <x:c r="E864" t="str">
        <x:v>Centro-Oeste</x:v>
      </x:c>
      <x:c r="F864" t="str">
        <x:v>Loja</x:v>
      </x:c>
      <x:c r="G864" t="str">
        <x:v>Tecnologia</x:v>
      </x:c>
      <x:c r="H864" t="str">
        <x:v>Notebook Pro</x:v>
      </x:c>
      <x:c r="I864" t="str">
        <x:v>Bruno</x:v>
      </x:c>
      <x:c r="J864" s="53" t="n">
        <x:v>2</x:v>
      </x:c>
      <x:c r="K864" s="54" t="n">
        <x:v>6165.04</x:v>
      </x:c>
      <x:c r="L864" s="54" t="n">
        <x:v>4390.6</x:v>
      </x:c>
      <x:c r="M864" s="55" t="n">
        <x:v>0</x:v>
      </x:c>
      <x:c r="N864" s="54" t="n">
        <x:f>ROUND(J864*K864,2)</x:f>
        <x:v>12330.08</x:v>
      </x:c>
      <x:c r="O864" s="54" t="n">
        <x:f>ROUND(N864*(1-M864),2)</x:f>
        <x:v>12330.08</x:v>
      </x:c>
      <x:c r="P864" s="54" t="n">
        <x:f>ROUND(J864*L864,2)</x:f>
        <x:v>8781.2</x:v>
      </x:c>
      <x:c r="Q864" s="54" t="n">
        <x:f>ROUND(O864-P864,2)</x:f>
        <x:v>3548.88</x:v>
      </x:c>
      <x:c r="R864" s="55" t="n">
        <x:f>IF(O864=0,0,ROUND(Q864/O864,4))</x:f>
        <x:v>0.2878</x:v>
      </x:c>
      <x:c r="S864" s="53" t="n">
        <x:v>12</x:v>
      </x:c>
      <x:c r="T864" t="str">
        <x:v>Entregue com atraso</x:v>
      </x:c>
      <x:c r="U864" t="n">
        <x:v>4</x:v>
      </x:c>
      <x:c r="V864" t="str"/>
    </x:row>
    <x:row r="865">
      <x:c r="A865" s="52" t="n">
        <x:v>46039</x:v>
      </x:c>
      <x:c r="B865" t="str">
        <x:v>PED-100864</x:v>
      </x:c>
      <x:c r="C865" t="str">
        <x:v>Cliente 016</x:v>
      </x:c>
      <x:c r="D865" t="str">
        <x:v>MT</x:v>
      </x:c>
      <x:c r="E865" t="str">
        <x:v>Centro-Oeste</x:v>
      </x:c>
      <x:c r="F865" t="str">
        <x:v>Marketplace</x:v>
      </x:c>
      <x:c r="G865" t="str">
        <x:v>Escritório</x:v>
      </x:c>
      <x:c r="H865" t="str">
        <x:v>Cadeira Ergonômica</x:v>
      </x:c>
      <x:c r="I865" t="str">
        <x:v>Isabela</x:v>
      </x:c>
      <x:c r="J865" s="53" t="n">
        <x:v>4</x:v>
      </x:c>
      <x:c r="K865" s="54" t="n">
        <x:v>2313.22</x:v>
      </x:c>
      <x:c r="L865" s="54" t="n">
        <x:v>1385.01</x:v>
      </x:c>
      <x:c r="M865" s="55" t="n">
        <x:v>0.1107</x:v>
      </x:c>
      <x:c r="N865" s="54" t="n">
        <x:f>ROUND(J865*K865,2)</x:f>
        <x:v>9252.88</x:v>
      </x:c>
      <x:c r="O865" s="54" t="n">
        <x:f>ROUND(N865*(1-M865),2)</x:f>
        <x:v>8228.59</x:v>
      </x:c>
      <x:c r="P865" s="54" t="n">
        <x:f>ROUND(J865*L865,2)</x:f>
        <x:v>5540.04</x:v>
      </x:c>
      <x:c r="Q865" s="54" t="n">
        <x:f>ROUND(O865-P865,2)</x:f>
        <x:v>2688.55</x:v>
      </x:c>
      <x:c r="R865" s="55" t="n">
        <x:f>IF(O865=0,0,ROUND(Q865/O865,4))</x:f>
        <x:v>0.3267</x:v>
      </x:c>
      <x:c r="S865" s="53" t="n">
        <x:v>5</x:v>
      </x:c>
      <x:c r="T865" t="str">
        <x:v>Entregue</x:v>
      </x:c>
      <x:c r="U865" t="n">
        <x:v>2</x:v>
      </x:c>
      <x:c r="V865" t="str"/>
    </x:row>
    <x:row r="866">
      <x:c r="A866" s="52" t="n">
        <x:v>46152</x:v>
      </x:c>
      <x:c r="B866" t="str">
        <x:v>PED-100865</x:v>
      </x:c>
      <x:c r="C866" t="str">
        <x:v>Cliente 036</x:v>
      </x:c>
      <x:c r="D866" t="str">
        <x:v>MA</x:v>
      </x:c>
      <x:c r="E866" t="str">
        <x:v>Nordeste</x:v>
      </x:c>
      <x:c r="F866" t="str">
        <x:v>Loja</x:v>
      </x:c>
      <x:c r="G866" t="str">
        <x:v>Escritório</x:v>
      </x:c>
      <x:c r="H866" t="str">
        <x:v>Cadeira Ergonômica</x:v>
      </x:c>
      <x:c r="I866" t="str">
        <x:v>Elaine</x:v>
      </x:c>
      <x:c r="J866" s="53" t="n">
        <x:v>8</x:v>
      </x:c>
      <x:c r="K866" s="54" t="n">
        <x:v>2247.08</x:v>
      </x:c>
      <x:c r="L866" s="54" t="n">
        <x:v>1412.42</x:v>
      </x:c>
      <x:c r="M866" s="55" t="n">
        <x:v>0</x:v>
      </x:c>
      <x:c r="N866" s="54" t="n">
        <x:f>ROUND(J866*K866,2)</x:f>
        <x:v>17976.64</x:v>
      </x:c>
      <x:c r="O866" s="54" t="n">
        <x:f>ROUND(N866*(1-M866),2)</x:f>
        <x:v>17976.64</x:v>
      </x:c>
      <x:c r="P866" s="54" t="n">
        <x:f>ROUND(J866*L866,2)</x:f>
        <x:v>11299.36</x:v>
      </x:c>
      <x:c r="Q866" s="54" t="n">
        <x:f>ROUND(O866-P866,2)</x:f>
        <x:v>6677.28</x:v>
      </x:c>
      <x:c r="R866" s="55" t="n">
        <x:f>IF(O866=0,0,ROUND(Q866/O866,4))</x:f>
        <x:v>0.3714</x:v>
      </x:c>
      <x:c r="S866" s="53" t="n">
        <x:v>5</x:v>
      </x:c>
      <x:c r="T866" t="str">
        <x:v>Entregue</x:v>
      </x:c>
      <x:c r="U866" t="n">
        <x:v>3</x:v>
      </x:c>
      <x:c r="V866" t="str"/>
    </x:row>
    <x:row r="867">
      <x:c r="A867" s="52" t="n">
        <x:v>46088</x:v>
      </x:c>
      <x:c r="B867" t="str">
        <x:v>PED-100866</x:v>
      </x:c>
      <x:c r="C867" t="str">
        <x:v>Cliente 010</x:v>
      </x:c>
      <x:c r="D867" t="str">
        <x:v>BA</x:v>
      </x:c>
      <x:c r="E867" t="str">
        <x:v>Nordeste</x:v>
      </x:c>
      <x:c r="F867" t="str">
        <x:v>Televendas</x:v>
      </x:c>
      <x:c r="G867" t="str">
        <x:v>Escritório</x:v>
      </x:c>
      <x:c r="H867" t="str">
        <x:v>Cadeira Ergonômica</x:v>
      </x:c>
      <x:c r="I867" t="str">
        <x:v>Isabela</x:v>
      </x:c>
      <x:c r="J867" s="53" t="n">
        <x:v>4</x:v>
      </x:c>
      <x:c r="K867" s="54" t="n">
        <x:v>2183.38</x:v>
      </x:c>
      <x:c r="L867" s="54" t="n">
        <x:v>1512.66</x:v>
      </x:c>
      <x:c r="M867" s="55" t="n">
        <x:v>0.1196</x:v>
      </x:c>
      <x:c r="N867" s="54" t="n">
        <x:f>ROUND(J867*K867,2)</x:f>
        <x:v>8733.52</x:v>
      </x:c>
      <x:c r="O867" s="54" t="n">
        <x:f>ROUND(N867*(1-M867),2)</x:f>
        <x:v>7688.99</x:v>
      </x:c>
      <x:c r="P867" s="54" t="n">
        <x:f>ROUND(J867*L867,2)</x:f>
        <x:v>6050.64</x:v>
      </x:c>
      <x:c r="Q867" s="54" t="n">
        <x:f>ROUND(O867-P867,2)</x:f>
        <x:v>1638.35</x:v>
      </x:c>
      <x:c r="R867" s="55" t="n">
        <x:f>IF(O867=0,0,ROUND(Q867/O867,4))</x:f>
        <x:v>0.2131</x:v>
      </x:c>
      <x:c r="S867" s="53" t="n">
        <x:v>7</x:v>
      </x:c>
      <x:c r="T867" t="str">
        <x:v>Entregue</x:v>
      </x:c>
      <x:c r="U867" t="n">
        <x:v>5</x:v>
      </x:c>
      <x:c r="V867" t="str"/>
    </x:row>
    <x:row r="868">
      <x:c r="A868" s="52" t="n">
        <x:v>46053</x:v>
      </x:c>
      <x:c r="B868" t="str">
        <x:v>PED-100867</x:v>
      </x:c>
      <x:c r="C868" t="str">
        <x:v>Cliente 112</x:v>
      </x:c>
      <x:c r="D868" t="str">
        <x:v>MA</x:v>
      </x:c>
      <x:c r="E868" t="str">
        <x:v>Nordeste</x:v>
      </x:c>
      <x:c r="F868" t="str">
        <x:v>Marketplace</x:v>
      </x:c>
      <x:c r="G868" t="str">
        <x:v>Escritório</x:v>
      </x:c>
      <x:c r="H868" t="str">
        <x:v>Cadeira Ergonômica</x:v>
      </x:c>
      <x:c r="I868" t="str">
        <x:v>Gabriela</x:v>
      </x:c>
      <x:c r="J868" s="53" t="n">
        <x:v>7</x:v>
      </x:c>
      <x:c r="K868" s="54" t="n">
        <x:v>2067.73</x:v>
      </x:c>
      <x:c r="L868" s="54" t="n">
        <x:v>1506.48</x:v>
      </x:c>
      <x:c r="M868" s="55" t="n">
        <x:v>0.1435</x:v>
      </x:c>
      <x:c r="N868" s="54" t="n">
        <x:f>ROUND(J868*K868,2)</x:f>
        <x:v>14474.11</x:v>
      </x:c>
      <x:c r="O868" s="54" t="n">
        <x:f>ROUND(N868*(1-M868),2)</x:f>
        <x:v>12397.08</x:v>
      </x:c>
      <x:c r="P868" s="54" t="n">
        <x:f>ROUND(J868*L868,2)</x:f>
        <x:v>10545.36</x:v>
      </x:c>
      <x:c r="Q868" s="54" t="n">
        <x:f>ROUND(O868-P868,2)</x:f>
        <x:v>1851.72</x:v>
      </x:c>
      <x:c r="R868" s="55" t="n">
        <x:f>IF(O868=0,0,ROUND(Q868/O868,4))</x:f>
        <x:v>0.1494</x:v>
      </x:c>
      <x:c r="S868" s="53" t="n">
        <x:v>13</x:v>
      </x:c>
      <x:c r="T868" t="str">
        <x:v>Entregue com atraso</x:v>
      </x:c>
      <x:c r="U868" t="n">
        <x:v>3</x:v>
      </x:c>
      <x:c r="V868" t="str"/>
    </x:row>
    <x:row r="869">
      <x:c r="A869" s="52" t="n">
        <x:v>46198</x:v>
      </x:c>
      <x:c r="B869" t="str">
        <x:v>PED-100868</x:v>
      </x:c>
      <x:c r="C869" t="str">
        <x:v>Cliente 043</x:v>
      </x:c>
      <x:c r="D869" t="str">
        <x:v>SC</x:v>
      </x:c>
      <x:c r="E869" t="str">
        <x:v>Sul</x:v>
      </x:c>
      <x:c r="F869" t="str">
        <x:v>E-commerce</x:v>
      </x:c>
      <x:c r="G869" t="str">
        <x:v>Tecnologia</x:v>
      </x:c>
      <x:c r="H869" t="str">
        <x:v>Notebook Pro</x:v>
      </x:c>
      <x:c r="I869" t="str">
        <x:v>Carla</x:v>
      </x:c>
      <x:c r="J869" s="53" t="n">
        <x:v>2</x:v>
      </x:c>
      <x:c r="K869" s="54" t="n">
        <x:v>5542.45</x:v>
      </x:c>
      <x:c r="L869" s="54" t="n">
        <x:v>4514.82</x:v>
      </x:c>
      <x:c r="M869" s="55" t="n">
        <x:v>0.0973</x:v>
      </x:c>
      <x:c r="N869" s="54" t="n">
        <x:f>ROUND(J869*K869,2)</x:f>
        <x:v>11084.9</x:v>
      </x:c>
      <x:c r="O869" s="54" t="n">
        <x:f>ROUND(N869*(1-M869),2)</x:f>
        <x:v>10006.34</x:v>
      </x:c>
      <x:c r="P869" s="54" t="n">
        <x:f>ROUND(J869*L869,2)</x:f>
        <x:v>9029.64</x:v>
      </x:c>
      <x:c r="Q869" s="54" t="n">
        <x:f>ROUND(O869-P869,2)</x:f>
        <x:v>976.7</x:v>
      </x:c>
      <x:c r="R869" s="55" t="n">
        <x:f>IF(O869=0,0,ROUND(Q869/O869,4))</x:f>
        <x:v>0.0976</x:v>
      </x:c>
      <x:c r="S869" s="53" t="n">
        <x:v>13</x:v>
      </x:c>
      <x:c r="T869" t="str">
        <x:v>Entregue com atraso</x:v>
      </x:c>
      <x:c r="U869" t="n">
        <x:v>2</x:v>
      </x:c>
      <x:c r="V869" t="str"/>
    </x:row>
    <x:row r="870">
      <x:c r="A870" s="52" t="n">
        <x:v>46060</x:v>
      </x:c>
      <x:c r="B870" t="str">
        <x:v>PED-100869</x:v>
      </x:c>
      <x:c r="C870" t="str">
        <x:v>Cliente 114</x:v>
      </x:c>
      <x:c r="D870" t="str">
        <x:v>MA</x:v>
      </x:c>
      <x:c r="E870" t="str">
        <x:v>Nordeste</x:v>
      </x:c>
      <x:c r="F870" t="str">
        <x:v>E-commerce</x:v>
      </x:c>
      <x:c r="G870" t="str">
        <x:v>Escritório</x:v>
      </x:c>
      <x:c r="H870" t="str">
        <x:v>Mesa Ajustável</x:v>
      </x:c>
      <x:c r="I870" t="str">
        <x:v>João</x:v>
      </x:c>
      <x:c r="J870" s="53" t="n">
        <x:v>2</x:v>
      </x:c>
      <x:c r="K870" s="54" t="n">
        <x:v>2935.58</x:v>
      </x:c>
      <x:c r="L870" s="54" t="n">
        <x:v>1859.46</x:v>
      </x:c>
      <x:c r="M870" s="55" t="n">
        <x:v>0.0711</x:v>
      </x:c>
      <x:c r="N870" s="54" t="n">
        <x:f>ROUND(J870*K870,2)</x:f>
        <x:v>5871.16</x:v>
      </x:c>
      <x:c r="O870" s="54" t="n">
        <x:f>ROUND(N870*(1-M870),2)</x:f>
        <x:v>5453.72</x:v>
      </x:c>
      <x:c r="P870" s="54" t="n">
        <x:f>ROUND(J870*L870,2)</x:f>
        <x:v>3718.92</x:v>
      </x:c>
      <x:c r="Q870" s="54" t="n">
        <x:f>ROUND(O870-P870,2)</x:f>
        <x:v>1734.8</x:v>
      </x:c>
      <x:c r="R870" s="55" t="n">
        <x:f>IF(O870=0,0,ROUND(Q870/O870,4))</x:f>
        <x:v>0.3181</x:v>
      </x:c>
      <x:c r="S870" s="53" t="n">
        <x:v>5</x:v>
      </x:c>
      <x:c r="T870" t="str">
        <x:v>Entregue</x:v>
      </x:c>
      <x:c r="U870" t="n">
        <x:v>2</x:v>
      </x:c>
      <x:c r="V870" t="str"/>
    </x:row>
    <x:row r="871">
      <x:c r="A871" s="52" t="n">
        <x:v>46108</x:v>
      </x:c>
      <x:c r="B871" t="str">
        <x:v>PED-100870</x:v>
      </x:c>
      <x:c r="C871" t="str">
        <x:v>Cliente 019</x:v>
      </x:c>
      <x:c r="D871" t="str">
        <x:v>SC</x:v>
      </x:c>
      <x:c r="E871" t="str">
        <x:v>Sul</x:v>
      </x:c>
      <x:c r="F871" t="str">
        <x:v>Marketplace</x:v>
      </x:c>
      <x:c r="G871" t="str">
        <x:v>Acessórios</x:v>
      </x:c>
      <x:c r="H871" t="str">
        <x:v>Webcam HD</x:v>
      </x:c>
      <x:c r="I871" t="str">
        <x:v>Gabriela</x:v>
      </x:c>
      <x:c r="J871" s="53" t="n">
        <x:v>8</x:v>
      </x:c>
      <x:c r="K871" s="54" t="n">
        <x:v>489.8</x:v>
      </x:c>
      <x:c r="L871" s="54" t="n">
        <x:v>240.14</x:v>
      </x:c>
      <x:c r="M871" s="55" t="n">
        <x:v>0.035</x:v>
      </x:c>
      <x:c r="N871" s="54" t="n">
        <x:f>ROUND(J871*K871,2)</x:f>
        <x:v>3918.4</x:v>
      </x:c>
      <x:c r="O871" s="54" t="n">
        <x:f>ROUND(N871*(1-M871),2)</x:f>
        <x:v>3781.26</x:v>
      </x:c>
      <x:c r="P871" s="54" t="n">
        <x:f>ROUND(J871*L871,2)</x:f>
        <x:v>1921.12</x:v>
      </x:c>
      <x:c r="Q871" s="54" t="n">
        <x:f>ROUND(O871-P871,2)</x:f>
        <x:v>1860.14</x:v>
      </x:c>
      <x:c r="R871" s="55" t="n">
        <x:f>IF(O871=0,0,ROUND(Q871/O871,4))</x:f>
        <x:v>0.4919</x:v>
      </x:c>
      <x:c r="S871" s="53" t="n">
        <x:v>3</x:v>
      </x:c>
      <x:c r="T871" t="str">
        <x:v>Entregue</x:v>
      </x:c>
      <x:c r="U871" t="n">
        <x:v>4</x:v>
      </x:c>
      <x:c r="V871" t="str"/>
    </x:row>
    <x:row r="872">
      <x:c r="A872" s="52" t="n">
        <x:v>46102</x:v>
      </x:c>
      <x:c r="B872" t="str">
        <x:v>PED-100871</x:v>
      </x:c>
      <x:c r="C872" t="str">
        <x:v>Cliente 047</x:v>
      </x:c>
      <x:c r="D872" t="str">
        <x:v>PR</x:v>
      </x:c>
      <x:c r="E872" t="str">
        <x:v>Sul</x:v>
      </x:c>
      <x:c r="F872" t="str">
        <x:v>Loja</x:v>
      </x:c>
      <x:c r="G872" t="str">
        <x:v>Tecnologia</x:v>
      </x:c>
      <x:c r="H872" t="str">
        <x:v>Headset Office</x:v>
      </x:c>
      <x:c r="I872" t="str">
        <x:v>Carla</x:v>
      </x:c>
      <x:c r="J872" s="53" t="n">
        <x:v>3</x:v>
      </x:c>
      <x:c r="K872" s="54" t="n">
        <x:v>383.18</x:v>
      </x:c>
      <x:c r="L872" s="54" t="n">
        <x:v>204.13</x:v>
      </x:c>
      <x:c r="M872" s="55" t="n">
        <x:v>0</x:v>
      </x:c>
      <x:c r="N872" s="54" t="n">
        <x:f>ROUND(J872*K872,2)</x:f>
        <x:v>1149.54</x:v>
      </x:c>
      <x:c r="O872" s="54" t="n">
        <x:f>ROUND(N872*(1-M872),2)</x:f>
        <x:v>1149.54</x:v>
      </x:c>
      <x:c r="P872" s="54" t="n">
        <x:f>ROUND(J872*L872,2)</x:f>
        <x:v>612.39</x:v>
      </x:c>
      <x:c r="Q872" s="54" t="n">
        <x:f>ROUND(O872-P872,2)</x:f>
        <x:v>537.15</x:v>
      </x:c>
      <x:c r="R872" s="55" t="n">
        <x:f>IF(O872=0,0,ROUND(Q872/O872,4))</x:f>
        <x:v>0.4673</x:v>
      </x:c>
      <x:c r="S872" s="53" t="n">
        <x:v>8</x:v>
      </x:c>
      <x:c r="T872" t="str">
        <x:v>Entregue</x:v>
      </x:c>
      <x:c r="U872" t="n">
        <x:v>2</x:v>
      </x:c>
      <x:c r="V872" t="str"/>
    </x:row>
    <x:row r="873">
      <x:c r="A873" s="52" t="n">
        <x:v>46031</x:v>
      </x:c>
      <x:c r="B873" t="str">
        <x:v>PED-100872</x:v>
      </x:c>
      <x:c r="C873" t="str">
        <x:v>Cliente 109</x:v>
      </x:c>
      <x:c r="D873" t="str">
        <x:v>AM</x:v>
      </x:c>
      <x:c r="E873" t="str">
        <x:v>Norte</x:v>
      </x:c>
      <x:c r="F873" t="str">
        <x:v>E-commerce</x:v>
      </x:c>
      <x:c r="G873" t="str">
        <x:v>Acessórios</x:v>
      </x:c>
      <x:c r="H873" t="str">
        <x:v>Webcam HD</x:v>
      </x:c>
      <x:c r="I873" t="str">
        <x:v>Ana</x:v>
      </x:c>
      <x:c r="J873" s="53" t="n">
        <x:v>3</x:v>
      </x:c>
      <x:c r="K873" s="54" t="n">
        <x:v>480.45</x:v>
      </x:c>
      <x:c r="L873" s="54" t="n">
        <x:v>245.52</x:v>
      </x:c>
      <x:c r="M873" s="55" t="n">
        <x:v>0.0891</x:v>
      </x:c>
      <x:c r="N873" s="54" t="n">
        <x:f>ROUND(J873*K873,2)</x:f>
        <x:v>1441.35</x:v>
      </x:c>
      <x:c r="O873" s="54" t="n">
        <x:f>ROUND(N873*(1-M873),2)</x:f>
        <x:v>1312.93</x:v>
      </x:c>
      <x:c r="P873" s="54" t="n">
        <x:f>ROUND(J873*L873,2)</x:f>
        <x:v>736.56</x:v>
      </x:c>
      <x:c r="Q873" s="54" t="n">
        <x:f>ROUND(O873-P873,2)</x:f>
        <x:v>576.37</x:v>
      </x:c>
      <x:c r="R873" s="55" t="n">
        <x:f>IF(O873=0,0,ROUND(Q873/O873,4))</x:f>
        <x:v>0.439</x:v>
      </x:c>
      <x:c r="S873" s="53" t="n">
        <x:v>13</x:v>
      </x:c>
      <x:c r="T873" t="str">
        <x:v>Entregue com atraso</x:v>
      </x:c>
      <x:c r="U873" t="n">
        <x:v>4</x:v>
      </x:c>
      <x:c r="V873" t="str"/>
    </x:row>
    <x:row r="874">
      <x:c r="A874" s="52" t="n">
        <x:v>46144</x:v>
      </x:c>
      <x:c r="B874" t="str">
        <x:v>PED-100873</x:v>
      </x:c>
      <x:c r="C874" t="str">
        <x:v>Cliente 051</x:v>
      </x:c>
      <x:c r="D874" t="str">
        <x:v>SC</x:v>
      </x:c>
      <x:c r="E874" t="str">
        <x:v>Sul</x:v>
      </x:c>
      <x:c r="F874" t="str">
        <x:v>Loja</x:v>
      </x:c>
      <x:c r="G874" t="str">
        <x:v>Casa</x:v>
      </x:c>
      <x:c r="H874" t="str">
        <x:v>Aspirador Robô</x:v>
      </x:c>
      <x:c r="I874" t="str">
        <x:v>Ana</x:v>
      </x:c>
      <x:c r="J874" s="53" t="n">
        <x:v>6</x:v>
      </x:c>
      <x:c r="K874" s="54" t="n">
        <x:v>1809.58</x:v>
      </x:c>
      <x:c r="L874" s="54" t="n">
        <x:v>1243.84</x:v>
      </x:c>
      <x:c r="M874" s="55" t="n">
        <x:v>0.0884</x:v>
      </x:c>
      <x:c r="N874" s="54" t="n">
        <x:f>ROUND(J874*K874,2)</x:f>
        <x:v>10857.48</x:v>
      </x:c>
      <x:c r="O874" s="54" t="n">
        <x:f>ROUND(N874*(1-M874),2)</x:f>
        <x:v>9897.68</x:v>
      </x:c>
      <x:c r="P874" s="54" t="n">
        <x:f>ROUND(J874*L874,2)</x:f>
        <x:v>7463.04</x:v>
      </x:c>
      <x:c r="Q874" s="54" t="n">
        <x:f>ROUND(O874-P874,2)</x:f>
        <x:v>2434.64</x:v>
      </x:c>
      <x:c r="R874" s="55" t="n">
        <x:f>IF(O874=0,0,ROUND(Q874/O874,4))</x:f>
        <x:v>0.246</x:v>
      </x:c>
      <x:c r="S874" s="53" t="n">
        <x:v>6</x:v>
      </x:c>
      <x:c r="T874" t="str">
        <x:v>Entregue</x:v>
      </x:c>
      <x:c r="U874" t="n">
        <x:v>4</x:v>
      </x:c>
      <x:c r="V874" t="str"/>
    </x:row>
    <x:row r="875">
      <x:c r="A875" s="52" t="n">
        <x:v>46221</x:v>
      </x:c>
      <x:c r="B875" t="str">
        <x:v>PED-100874</x:v>
      </x:c>
      <x:c r="C875" t="str">
        <x:v>Cliente 016</x:v>
      </x:c>
      <x:c r="D875" t="str">
        <x:v>GO</x:v>
      </x:c>
      <x:c r="E875" t="str">
        <x:v>Centro-Oeste</x:v>
      </x:c>
      <x:c r="F875" t="str">
        <x:v>Loja</x:v>
      </x:c>
      <x:c r="G875" t="str">
        <x:v>Acessórios</x:v>
      </x:c>
      <x:c r="H875" t="str">
        <x:v>Hub USB-C</x:v>
      </x:c>
      <x:c r="I875" t="str">
        <x:v>Gabriela</x:v>
      </x:c>
      <x:c r="J875" s="53" t="n">
        <x:v>3</x:v>
      </x:c>
      <x:c r="K875" s="54" t="n">
        <x:v>334.93</x:v>
      </x:c>
      <x:c r="L875" s="54" t="n">
        <x:v>139.86</x:v>
      </x:c>
      <x:c r="M875" s="55" t="n">
        <x:v>0.1232</x:v>
      </x:c>
      <x:c r="N875" s="54" t="n">
        <x:f>ROUND(J875*K875,2)</x:f>
        <x:v>1004.79</x:v>
      </x:c>
      <x:c r="O875" s="54" t="n">
        <x:f>ROUND(N875*(1-M875),2)</x:f>
        <x:v>881</x:v>
      </x:c>
      <x:c r="P875" s="54" t="n">
        <x:f>ROUND(J875*L875,2)</x:f>
        <x:v>419.58</x:v>
      </x:c>
      <x:c r="Q875" s="54" t="n">
        <x:f>ROUND(O875-P875,2)</x:f>
        <x:v>461.42</x:v>
      </x:c>
      <x:c r="R875" s="55" t="n">
        <x:f>IF(O875=0,0,ROUND(Q875/O875,4))</x:f>
        <x:v>0.5237</x:v>
      </x:c>
      <x:c r="S875" s="53" t="n">
        <x:v>12</x:v>
      </x:c>
      <x:c r="T875" t="str">
        <x:v>Entregue com atraso</x:v>
      </x:c>
      <x:c r="U875" t="n">
        <x:v>2</x:v>
      </x:c>
      <x:c r="V875" t="str"/>
    </x:row>
    <x:row r="876">
      <x:c r="A876" s="52" t="n">
        <x:v>46084</x:v>
      </x:c>
      <x:c r="B876" t="str">
        <x:v>PED-100875</x:v>
      </x:c>
      <x:c r="C876" t="str">
        <x:v>Cliente 053</x:v>
      </x:c>
      <x:c r="D876" t="str">
        <x:v>PE</x:v>
      </x:c>
      <x:c r="E876" t="str">
        <x:v>Nordeste</x:v>
      </x:c>
      <x:c r="F876" t="str">
        <x:v>E-commerce</x:v>
      </x:c>
      <x:c r="G876" t="str">
        <x:v>Tecnologia</x:v>
      </x:c>
      <x:c r="H876" t="str">
        <x:v>Notebook Pro</x:v>
      </x:c>
      <x:c r="I876" t="str">
        <x:v>Felipe</x:v>
      </x:c>
      <x:c r="J876" s="53" t="n">
        <x:v>1</x:v>
      </x:c>
      <x:c r="K876" s="54" t="n">
        <x:v>5953.93</x:v>
      </x:c>
      <x:c r="L876" s="54" t="n">
        <x:v>4633.02</x:v>
      </x:c>
      <x:c r="M876" s="55" t="n">
        <x:v>0.0427</x:v>
      </x:c>
      <x:c r="N876" s="54" t="n">
        <x:f>ROUND(J876*K876,2)</x:f>
        <x:v>5953.93</x:v>
      </x:c>
      <x:c r="O876" s="54" t="n">
        <x:f>ROUND(N876*(1-M876),2)</x:f>
        <x:v>5699.7</x:v>
      </x:c>
      <x:c r="P876" s="54" t="n">
        <x:f>ROUND(J876*L876,2)</x:f>
        <x:v>4633.02</x:v>
      </x:c>
      <x:c r="Q876" s="54" t="n">
        <x:f>ROUND(O876-P876,2)</x:f>
        <x:v>1066.68</x:v>
      </x:c>
      <x:c r="R876" s="55" t="n">
        <x:f>IF(O876=0,0,ROUND(Q876/O876,4))</x:f>
        <x:v>0.1871</x:v>
      </x:c>
      <x:c r="S876" s="53" t="n">
        <x:v>12</x:v>
      </x:c>
      <x:c r="T876" t="str">
        <x:v>Entregue com atraso</x:v>
      </x:c>
      <x:c r="U876" t="n">
        <x:v>2</x:v>
      </x:c>
      <x:c r="V876" t="str"/>
    </x:row>
    <x:row r="877">
      <x:c r="A877" s="52" t="n">
        <x:v>46132</x:v>
      </x:c>
      <x:c r="B877" t="str">
        <x:v>PED-100876</x:v>
      </x:c>
      <x:c r="C877" t="str">
        <x:v>Cliente 067</x:v>
      </x:c>
      <x:c r="D877" t="str">
        <x:v>PR</x:v>
      </x:c>
      <x:c r="E877" t="str">
        <x:v>Sul</x:v>
      </x:c>
      <x:c r="F877" t="str">
        <x:v>Loja</x:v>
      </x:c>
      <x:c r="G877" t="str">
        <x:v>Casa</x:v>
      </x:c>
      <x:c r="H877" t="str">
        <x:v>Purificador</x:v>
      </x:c>
      <x:c r="I877" t="str">
        <x:v>Felipe</x:v>
      </x:c>
      <x:c r="J877" s="53" t="n">
        <x:v>6</x:v>
      </x:c>
      <x:c r="K877" s="54" t="n">
        <x:v>1296.59</x:v>
      </x:c>
      <x:c r="L877" s="54" t="n">
        <x:v>741.51</x:v>
      </x:c>
      <x:c r="M877" s="55" t="n">
        <x:v>0.0248</x:v>
      </x:c>
      <x:c r="N877" s="54" t="n">
        <x:f>ROUND(J877*K877,2)</x:f>
        <x:v>7779.54</x:v>
      </x:c>
      <x:c r="O877" s="54" t="n">
        <x:f>ROUND(N877*(1-M877),2)</x:f>
        <x:v>7586.61</x:v>
      </x:c>
      <x:c r="P877" s="54" t="n">
        <x:f>ROUND(J877*L877,2)</x:f>
        <x:v>4449.06</x:v>
      </x:c>
      <x:c r="Q877" s="54" t="n">
        <x:f>ROUND(O877-P877,2)</x:f>
        <x:v>3137.55</x:v>
      </x:c>
      <x:c r="R877" s="55" t="n">
        <x:f>IF(O877=0,0,ROUND(Q877/O877,4))</x:f>
        <x:v>0.4136</x:v>
      </x:c>
      <x:c r="S877" s="53" t="n">
        <x:v>6</x:v>
      </x:c>
      <x:c r="T877" t="str">
        <x:v>Entregue</x:v>
      </x:c>
      <x:c r="U877" t="n">
        <x:v>2</x:v>
      </x:c>
      <x:c r="V877" t="str"/>
    </x:row>
    <x:row r="878">
      <x:c r="A878" s="52" t="n">
        <x:v>46137</x:v>
      </x:c>
      <x:c r="B878" t="str">
        <x:v>PED-100877</x:v>
      </x:c>
      <x:c r="C878" t="str">
        <x:v>Cliente 001</x:v>
      </x:c>
      <x:c r="D878" t="str">
        <x:v>AM</x:v>
      </x:c>
      <x:c r="E878" t="str">
        <x:v>Norte</x:v>
      </x:c>
      <x:c r="F878" t="str">
        <x:v>Televendas</x:v>
      </x:c>
      <x:c r="G878" t="str">
        <x:v>Casa</x:v>
      </x:c>
      <x:c r="H878" t="str">
        <x:v>Cafeteira Smart</x:v>
      </x:c>
      <x:c r="I878" t="str">
        <x:v>Bruno</x:v>
      </x:c>
      <x:c r="J878" s="53" t="n">
        <x:v>2</x:v>
      </x:c>
      <x:c r="K878" s="54" t="n">
        <x:v>822.93</x:v>
      </x:c>
      <x:c r="L878" s="54" t="n">
        <x:v>489.06</x:v>
      </x:c>
      <x:c r="M878" s="55" t="n">
        <x:v>0.0669</x:v>
      </x:c>
      <x:c r="N878" s="54" t="n">
        <x:f>ROUND(J878*K878,2)</x:f>
        <x:v>1645.86</x:v>
      </x:c>
      <x:c r="O878" s="54" t="n">
        <x:f>ROUND(N878*(1-M878),2)</x:f>
        <x:v>1535.75</x:v>
      </x:c>
      <x:c r="P878" s="54" t="n">
        <x:f>ROUND(J878*L878,2)</x:f>
        <x:v>978.12</x:v>
      </x:c>
      <x:c r="Q878" s="54" t="n">
        <x:f>ROUND(O878-P878,2)</x:f>
        <x:v>557.63</x:v>
      </x:c>
      <x:c r="R878" s="55" t="n">
        <x:f>IF(O878=0,0,ROUND(Q878/O878,4))</x:f>
        <x:v>0.3631</x:v>
      </x:c>
      <x:c r="S878" s="53" t="n">
        <x:v>27</x:v>
      </x:c>
      <x:c r="T878" t="str">
        <x:v>Entregue com atraso</x:v>
      </x:c>
      <x:c r="U878" t="n">
        <x:v>1</x:v>
      </x:c>
      <x:c r="V878" t="str">
        <x:v>Ocorrência logística</x:v>
      </x:c>
    </x:row>
    <x:row r="879">
      <x:c r="A879" s="52" t="n">
        <x:v>46214</x:v>
      </x:c>
      <x:c r="B879" t="str">
        <x:v>PED-100878</x:v>
      </x:c>
      <x:c r="C879" t="str">
        <x:v>Cliente 033</x:v>
      </x:c>
      <x:c r="D879" t="str">
        <x:v>GO</x:v>
      </x:c>
      <x:c r="E879" t="str">
        <x:v>Centro-Oeste</x:v>
      </x:c>
      <x:c r="F879" t="str">
        <x:v>Marketplace</x:v>
      </x:c>
      <x:c r="G879" t="str">
        <x:v>Casa</x:v>
      </x:c>
      <x:c r="H879" t="str">
        <x:v>Aspirador Robô</x:v>
      </x:c>
      <x:c r="I879" t="str">
        <x:v>Henrique</x:v>
      </x:c>
      <x:c r="J879" s="53" t="n">
        <x:v>3</x:v>
      </x:c>
      <x:c r="K879" s="54" t="n">
        <x:v>1912.85</x:v>
      </x:c>
      <x:c r="L879" s="54" t="n">
        <x:v>1191.02</x:v>
      </x:c>
      <x:c r="M879" s="55" t="n">
        <x:v>0.0876</x:v>
      </x:c>
      <x:c r="N879" s="54" t="n">
        <x:f>ROUND(J879*K879,2)</x:f>
        <x:v>5738.55</x:v>
      </x:c>
      <x:c r="O879" s="54" t="n">
        <x:f>ROUND(N879*(1-M879),2)</x:f>
        <x:v>5235.85</x:v>
      </x:c>
      <x:c r="P879" s="54" t="n">
        <x:f>ROUND(J879*L879,2)</x:f>
        <x:v>3573.06</x:v>
      </x:c>
      <x:c r="Q879" s="54" t="n">
        <x:f>ROUND(O879-P879,2)</x:f>
        <x:v>1662.79</x:v>
      </x:c>
      <x:c r="R879" s="55" t="n">
        <x:f>IF(O879=0,0,ROUND(Q879/O879,4))</x:f>
        <x:v>0.3176</x:v>
      </x:c>
      <x:c r="S879" s="53" t="n">
        <x:v>4</x:v>
      </x:c>
      <x:c r="T879" t="str">
        <x:v>Entregue</x:v>
      </x:c>
      <x:c r="U879" t="n">
        <x:v>4</x:v>
      </x:c>
      <x:c r="V879" t="str"/>
    </x:row>
    <x:row r="880">
      <x:c r="A880" s="52" t="n">
        <x:v>46113</x:v>
      </x:c>
      <x:c r="B880" t="str">
        <x:v>PED-100879</x:v>
      </x:c>
      <x:c r="C880" t="str">
        <x:v>Cliente 032</x:v>
      </x:c>
      <x:c r="D880" t="str">
        <x:v>PE</x:v>
      </x:c>
      <x:c r="E880" t="str">
        <x:v>Nordeste</x:v>
      </x:c>
      <x:c r="F880" t="str">
        <x:v>Televendas</x:v>
      </x:c>
      <x:c r="G880" t="str">
        <x:v>Tecnologia</x:v>
      </x:c>
      <x:c r="H880" t="str">
        <x:v>Monitor 27</x:v>
      </x:c>
      <x:c r="I880" t="str">
        <x:v>Henrique</x:v>
      </x:c>
      <x:c r="J880" s="53" t="n">
        <x:v>3</x:v>
      </x:c>
      <x:c r="K880" s="54" t="n">
        <x:v>1785.46</x:v>
      </x:c>
      <x:c r="L880" s="54" t="n">
        <x:v>1125.22</x:v>
      </x:c>
      <x:c r="M880" s="55" t="n">
        <x:v>0.0297</x:v>
      </x:c>
      <x:c r="N880" s="54" t="n">
        <x:f>ROUND(J880*K880,2)</x:f>
        <x:v>5356.38</x:v>
      </x:c>
      <x:c r="O880" s="54" t="n">
        <x:f>ROUND(N880*(1-M880),2)</x:f>
        <x:v>5197.3</x:v>
      </x:c>
      <x:c r="P880" s="54" t="n">
        <x:f>ROUND(J880*L880,2)</x:f>
        <x:v>3375.66</x:v>
      </x:c>
      <x:c r="Q880" s="54" t="n">
        <x:f>ROUND(O880-P880,2)</x:f>
        <x:v>1821.64</x:v>
      </x:c>
      <x:c r="R880" s="55" t="n">
        <x:f>IF(O880=0,0,ROUND(Q880/O880,4))</x:f>
        <x:v>0.3505</x:v>
      </x:c>
      <x:c r="S880" s="53" t="n">
        <x:v>13</x:v>
      </x:c>
      <x:c r="T880" t="str">
        <x:v>Entregue com atraso</x:v>
      </x:c>
      <x:c r="U880" t="n">
        <x:v>5</x:v>
      </x:c>
      <x:c r="V880" t="str"/>
    </x:row>
    <x:row r="881">
      <x:c r="A881" s="52" t="n">
        <x:v>46056</x:v>
      </x:c>
      <x:c r="B881" t="str">
        <x:v>PED-100880</x:v>
      </x:c>
      <x:c r="C881" t="str">
        <x:v>Cliente 027</x:v>
      </x:c>
      <x:c r="D881" t="str">
        <x:v>MT</x:v>
      </x:c>
      <x:c r="E881" t="str">
        <x:v>Centro-Oeste</x:v>
      </x:c>
      <x:c r="F881" t="str">
        <x:v>E-commerce</x:v>
      </x:c>
      <x:c r="G881" t="str">
        <x:v>Tecnologia</x:v>
      </x:c>
      <x:c r="H881" t="str">
        <x:v>Notebook Pro</x:v>
      </x:c>
      <x:c r="I881" t="str">
        <x:v>Diego</x:v>
      </x:c>
      <x:c r="J881" s="53" t="n">
        <x:v>1</x:v>
      </x:c>
      <x:c r="K881" s="54" t="n">
        <x:v>5645.18</x:v>
      </x:c>
      <x:c r="L881" s="54" t="n">
        <x:v>4217.85</x:v>
      </x:c>
      <x:c r="M881" s="55" t="n">
        <x:v>0</x:v>
      </x:c>
      <x:c r="N881" s="54" t="n">
        <x:f>ROUND(J881*K881,2)</x:f>
        <x:v>5645.18</x:v>
      </x:c>
      <x:c r="O881" s="54" t="n">
        <x:f>ROUND(N881*(1-M881),2)</x:f>
        <x:v>5645.18</x:v>
      </x:c>
      <x:c r="P881" s="54" t="n">
        <x:f>ROUND(J881*L881,2)</x:f>
        <x:v>4217.85</x:v>
      </x:c>
      <x:c r="Q881" s="54" t="n">
        <x:f>ROUND(O881-P881,2)</x:f>
        <x:v>1427.33</x:v>
      </x:c>
      <x:c r="R881" s="55" t="n">
        <x:f>IF(O881=0,0,ROUND(Q881/O881,4))</x:f>
        <x:v>0.2528</x:v>
      </x:c>
      <x:c r="S881" s="53" t="n">
        <x:v>3</x:v>
      </x:c>
      <x:c r="T881" t="str">
        <x:v>Entregue</x:v>
      </x:c>
      <x:c r="U881" t="n">
        <x:v>2</x:v>
      </x:c>
      <x:c r="V881" t="str"/>
    </x:row>
    <x:row r="882">
      <x:c r="A882" s="52" t="n">
        <x:v>46153</x:v>
      </x:c>
      <x:c r="B882" t="str">
        <x:v>PED-100881</x:v>
      </x:c>
      <x:c r="C882" t="str">
        <x:v>Cliente 107</x:v>
      </x:c>
      <x:c r="D882" t="str">
        <x:v>PR</x:v>
      </x:c>
      <x:c r="E882" t="str">
        <x:v>Sul</x:v>
      </x:c>
      <x:c r="F882" t="str">
        <x:v>Marketplace</x:v>
      </x:c>
      <x:c r="G882" t="str">
        <x:v>Acessórios</x:v>
      </x:c>
      <x:c r="H882" t="str">
        <x:v>Hub USB-C</x:v>
      </x:c>
      <x:c r="I882" t="str">
        <x:v>Diego</x:v>
      </x:c>
      <x:c r="J882" s="53" t="n">
        <x:v>1</x:v>
      </x:c>
      <x:c r="K882" s="54" t="n">
        <x:v>311.53</x:v>
      </x:c>
      <x:c r="L882" s="54" t="n">
        <x:v>141.59</x:v>
      </x:c>
      <x:c r="M882" s="55" t="n">
        <x:v>0.1201</x:v>
      </x:c>
      <x:c r="N882" s="54" t="n">
        <x:f>ROUND(J882*K882,2)</x:f>
        <x:v>311.53</x:v>
      </x:c>
      <x:c r="O882" s="54" t="n">
        <x:f>ROUND(N882*(1-M882),2)</x:f>
        <x:v>274.12</x:v>
      </x:c>
      <x:c r="P882" s="54" t="n">
        <x:f>ROUND(J882*L882,2)</x:f>
        <x:v>141.59</x:v>
      </x:c>
      <x:c r="Q882" s="54" t="n">
        <x:f>ROUND(O882-P882,2)</x:f>
        <x:v>132.53</x:v>
      </x:c>
      <x:c r="R882" s="55" t="n">
        <x:f>IF(O882=0,0,ROUND(Q882/O882,4))</x:f>
        <x:v>0.4835</x:v>
      </x:c>
      <x:c r="S882" s="53" t="n">
        <x:v>3</x:v>
      </x:c>
      <x:c r="T882" t="str">
        <x:v>Entregue</x:v>
      </x:c>
      <x:c r="U882" t="n">
        <x:v>5</x:v>
      </x:c>
      <x:c r="V882" t="str"/>
    </x:row>
    <x:row r="883">
      <x:c r="A883" s="52" t="n">
        <x:v>46217</x:v>
      </x:c>
      <x:c r="B883" t="str">
        <x:v>PED-100882</x:v>
      </x:c>
      <x:c r="C883" t="str">
        <x:v>Cliente 041</x:v>
      </x:c>
      <x:c r="D883" t="str">
        <x:v>SC</x:v>
      </x:c>
      <x:c r="E883" t="str">
        <x:v>Sul</x:v>
      </x:c>
      <x:c r="F883" t="str">
        <x:v>Televendas</x:v>
      </x:c>
      <x:c r="G883" t="str">
        <x:v>Tecnologia</x:v>
      </x:c>
      <x:c r="H883" t="str">
        <x:v>Monitor 27</x:v>
      </x:c>
      <x:c r="I883" t="str">
        <x:v>Carla</x:v>
      </x:c>
      <x:c r="J883" s="53" t="n">
        <x:v>6</x:v>
      </x:c>
      <x:c r="K883" s="54" t="n">
        <x:v>1655.74</x:v>
      </x:c>
      <x:c r="L883" s="54" t="n">
        <x:v>1127.86</x:v>
      </x:c>
      <x:c r="M883" s="55" t="n">
        <x:v>0</x:v>
      </x:c>
      <x:c r="N883" s="54" t="n">
        <x:f>ROUND(J883*K883,2)</x:f>
        <x:v>9934.44</x:v>
      </x:c>
      <x:c r="O883" s="54" t="n">
        <x:f>ROUND(N883*(1-M883),2)</x:f>
        <x:v>9934.44</x:v>
      </x:c>
      <x:c r="P883" s="54" t="n">
        <x:f>ROUND(J883*L883,2)</x:f>
        <x:v>6767.16</x:v>
      </x:c>
      <x:c r="Q883" s="54" t="n">
        <x:f>ROUND(O883-P883,2)</x:f>
        <x:v>3167.28</x:v>
      </x:c>
      <x:c r="R883" s="55" t="n">
        <x:f>IF(O883=0,0,ROUND(Q883/O883,4))</x:f>
        <x:v>0.3188</x:v>
      </x:c>
      <x:c r="S883" s="53" t="n">
        <x:v>8</x:v>
      </x:c>
      <x:c r="T883" t="str">
        <x:v>Entregue</x:v>
      </x:c>
      <x:c r="U883" t="n">
        <x:v>5</x:v>
      </x:c>
      <x:c r="V883" t="str"/>
    </x:row>
    <x:row r="884">
      <x:c r="A884" s="52" t="n">
        <x:v>46118</x:v>
      </x:c>
      <x:c r="B884" t="str">
        <x:v>PED-100883</x:v>
      </x:c>
      <x:c r="C884" t="str">
        <x:v>Cliente 069</x:v>
      </x:c>
      <x:c r="D884" t="str">
        <x:v>PA</x:v>
      </x:c>
      <x:c r="E884" t="str">
        <x:v>Norte</x:v>
      </x:c>
      <x:c r="F884" t="str">
        <x:v>E-commerce</x:v>
      </x:c>
      <x:c r="G884" t="str">
        <x:v>Escritório</x:v>
      </x:c>
      <x:c r="H884" t="str">
        <x:v>Luminária LED</x:v>
      </x:c>
      <x:c r="I884" t="str">
        <x:v>Isabela</x:v>
      </x:c>
      <x:c r="J884" s="53" t="n">
        <x:v>2</x:v>
      </x:c>
      <x:c r="K884" s="54" t="n">
        <x:v>256.73</x:v>
      </x:c>
      <x:c r="L884" s="54" t="n">
        <x:v>125.82</x:v>
      </x:c>
      <x:c r="M884" s="55" t="n">
        <x:v>0.057</x:v>
      </x:c>
      <x:c r="N884" s="54" t="n">
        <x:f>ROUND(J884*K884,2)</x:f>
        <x:v>513.46</x:v>
      </x:c>
      <x:c r="O884" s="54" t="n">
        <x:f>ROUND(N884*(1-M884),2)</x:f>
        <x:v>484.19</x:v>
      </x:c>
      <x:c r="P884" s="54" t="n">
        <x:f>ROUND(J884*L884,2)</x:f>
        <x:v>251.64</x:v>
      </x:c>
      <x:c r="Q884" s="54" t="n">
        <x:f>ROUND(O884-P884,2)</x:f>
        <x:v>232.55</x:v>
      </x:c>
      <x:c r="R884" s="55" t="n">
        <x:f>IF(O884=0,0,ROUND(Q884/O884,4))</x:f>
        <x:v>0.4803</x:v>
      </x:c>
      <x:c r="S884" s="53" t="n">
        <x:v>6</x:v>
      </x:c>
      <x:c r="T884" t="str">
        <x:v>Entregue</x:v>
      </x:c>
      <x:c r="U884" t="n">
        <x:v>3</x:v>
      </x:c>
      <x:c r="V884" t="str"/>
    </x:row>
    <x:row r="885">
      <x:c r="A885" s="52" t="n">
        <x:v>46180</x:v>
      </x:c>
      <x:c r="B885" t="str">
        <x:v>PED-100884</x:v>
      </x:c>
      <x:c r="C885" t="str">
        <x:v>Cliente 086</x:v>
      </x:c>
      <x:c r="D885" t="str">
        <x:v>MA</x:v>
      </x:c>
      <x:c r="E885" t="str">
        <x:v>Nordeste</x:v>
      </x:c>
      <x:c r="F885" t="str">
        <x:v>Loja</x:v>
      </x:c>
      <x:c r="G885" t="str">
        <x:v>Casa</x:v>
      </x:c>
      <x:c r="H885" t="str">
        <x:v>Aspirador Robô</x:v>
      </x:c>
      <x:c r="I885" t="str">
        <x:v>João</x:v>
      </x:c>
      <x:c r="J885" s="53" t="n">
        <x:v>2</x:v>
      </x:c>
      <x:c r="K885" s="54" t="n">
        <x:v>1942.93</x:v>
      </x:c>
      <x:c r="L885" s="54" t="n">
        <x:v>1227.57</x:v>
      </x:c>
      <x:c r="M885" s="55" t="n">
        <x:v>0.0276</x:v>
      </x:c>
      <x:c r="N885" s="54" t="n">
        <x:f>ROUND(J885*K885,2)</x:f>
        <x:v>3885.86</x:v>
      </x:c>
      <x:c r="O885" s="54" t="n">
        <x:f>ROUND(N885*(1-M885),2)</x:f>
        <x:v>3778.61</x:v>
      </x:c>
      <x:c r="P885" s="54" t="n">
        <x:f>ROUND(J885*L885,2)</x:f>
        <x:v>2455.14</x:v>
      </x:c>
      <x:c r="Q885" s="54" t="n">
        <x:f>ROUND(O885-P885,2)</x:f>
        <x:v>1323.47</x:v>
      </x:c>
      <x:c r="R885" s="55" t="n">
        <x:f>IF(O885=0,0,ROUND(Q885/O885,4))</x:f>
        <x:v>0.3503</x:v>
      </x:c>
      <x:c r="S885" s="53" t="n">
        <x:v>4</x:v>
      </x:c>
      <x:c r="T885" t="str">
        <x:v>Entregue</x:v>
      </x:c>
      <x:c r="U885" t="n">
        <x:v>2</x:v>
      </x:c>
      <x:c r="V885" t="str"/>
    </x:row>
    <x:row r="886">
      <x:c r="A886" s="52" t="n">
        <x:v>46031</x:v>
      </x:c>
      <x:c r="B886" t="str">
        <x:v>PED-100885</x:v>
      </x:c>
      <x:c r="C886" t="str">
        <x:v>Cliente 056</x:v>
      </x:c>
      <x:c r="D886" t="str">
        <x:v>PR</x:v>
      </x:c>
      <x:c r="E886" t="str">
        <x:v>Sul</x:v>
      </x:c>
      <x:c r="F886" t="str">
        <x:v>Marketplace</x:v>
      </x:c>
      <x:c r="G886" t="str">
        <x:v>Acessórios</x:v>
      </x:c>
      <x:c r="H886" t="str">
        <x:v>Webcam HD</x:v>
      </x:c>
      <x:c r="I886" t="str">
        <x:v>Ana</x:v>
      </x:c>
      <x:c r="J886" s="53" t="n">
        <x:v>3</x:v>
      </x:c>
      <x:c r="K886" s="54" t="n">
        <x:v>519.38</x:v>
      </x:c>
      <x:c r="L886" s="54" t="n">
        <x:v>245.12</x:v>
      </x:c>
      <x:c r="M886" s="55" t="n">
        <x:v>0.1193</x:v>
      </x:c>
      <x:c r="N886" s="54" t="n">
        <x:f>ROUND(J886*K886,2)</x:f>
        <x:v>1558.14</x:v>
      </x:c>
      <x:c r="O886" s="54" t="n">
        <x:f>ROUND(N886*(1-M886),2)</x:f>
        <x:v>1372.25</x:v>
      </x:c>
      <x:c r="P886" s="54" t="n">
        <x:f>ROUND(J886*L886,2)</x:f>
        <x:v>735.36</x:v>
      </x:c>
      <x:c r="Q886" s="54" t="n">
        <x:f>ROUND(O886-P886,2)</x:f>
        <x:v>636.89</x:v>
      </x:c>
      <x:c r="R886" s="55" t="n">
        <x:f>IF(O886=0,0,ROUND(Q886/O886,4))</x:f>
        <x:v>0.4641</x:v>
      </x:c>
      <x:c r="S886" s="53" t="n">
        <x:v>9</x:v>
      </x:c>
      <x:c r="T886" t="str">
        <x:v>Entregue</x:v>
      </x:c>
      <x:c r="U886" t="n">
        <x:v>3</x:v>
      </x:c>
      <x:c r="V886" t="str"/>
    </x:row>
    <x:row r="887">
      <x:c r="A887" s="52" t="n">
        <x:v>46056</x:v>
      </x:c>
      <x:c r="B887" t="str">
        <x:v>PED-100886</x:v>
      </x:c>
      <x:c r="C887" t="str">
        <x:v>Cliente 083</x:v>
      </x:c>
      <x:c r="D887" t="str">
        <x:v>PA</x:v>
      </x:c>
      <x:c r="E887" t="str">
        <x:v>Norte</x:v>
      </x:c>
      <x:c r="F887" t="str">
        <x:v>Televendas</x:v>
      </x:c>
      <x:c r="G887" t="str">
        <x:v>Tecnologia</x:v>
      </x:c>
      <x:c r="H887" t="str">
        <x:v>Notebook Pro</x:v>
      </x:c>
      <x:c r="I887" t="str">
        <x:v>Isabela</x:v>
      </x:c>
      <x:c r="J887" s="53" t="n">
        <x:v>7</x:v>
      </x:c>
      <x:c r="K887" s="54" t="n">
        <x:v>6020.3</x:v>
      </x:c>
      <x:c r="L887" s="54" t="n">
        <x:v>4566.2</x:v>
      </x:c>
      <x:c r="M887" s="55" t="n">
        <x:v>0.1013</x:v>
      </x:c>
      <x:c r="N887" s="54" t="n">
        <x:f>ROUND(J887*K887,2)</x:f>
        <x:v>42142.1</x:v>
      </x:c>
      <x:c r="O887" s="54" t="n">
        <x:f>ROUND(N887*(1-M887),2)</x:f>
        <x:v>37873.11</x:v>
      </x:c>
      <x:c r="P887" s="54" t="n">
        <x:f>ROUND(J887*L887,2)</x:f>
        <x:v>31963.4</x:v>
      </x:c>
      <x:c r="Q887" s="54" t="n">
        <x:f>ROUND(O887-P887,2)</x:f>
        <x:v>5909.71</x:v>
      </x:c>
      <x:c r="R887" s="55" t="n">
        <x:f>IF(O887=0,0,ROUND(Q887/O887,4))</x:f>
        <x:v>0.156</x:v>
      </x:c>
      <x:c r="S887" s="53" t="n">
        <x:v>4</x:v>
      </x:c>
      <x:c r="T887" t="str">
        <x:v>Entregue</x:v>
      </x:c>
      <x:c r="U887" t="n">
        <x:v>2</x:v>
      </x:c>
      <x:c r="V887" t="str"/>
    </x:row>
    <x:row r="888">
      <x:c r="A888" s="52" t="n">
        <x:v>46084</x:v>
      </x:c>
      <x:c r="B888" t="str">
        <x:v>PED-100887</x:v>
      </x:c>
      <x:c r="C888" t="str">
        <x:v>Cliente 086</x:v>
      </x:c>
      <x:c r="D888" t="str">
        <x:v>RS</x:v>
      </x:c>
      <x:c r="E888" t="str">
        <x:v>Sul</x:v>
      </x:c>
      <x:c r="F888" t="str">
        <x:v>Loja</x:v>
      </x:c>
      <x:c r="G888" t="str">
        <x:v>Escritório</x:v>
      </x:c>
      <x:c r="H888" t="str">
        <x:v>Luminária LED</x:v>
      </x:c>
      <x:c r="I888" t="str">
        <x:v>Carla</x:v>
      </x:c>
      <x:c r="J888" s="53" t="n">
        <x:v>8</x:v>
      </x:c>
      <x:c r="K888" s="54" t="n">
        <x:v>269.22</x:v>
      </x:c>
      <x:c r="L888" s="54" t="n">
        <x:v>120.73</x:v>
      </x:c>
      <x:c r="M888" s="55" t="n">
        <x:v>0</x:v>
      </x:c>
      <x:c r="N888" s="54" t="n">
        <x:f>ROUND(J888*K888,2)</x:f>
        <x:v>2153.76</x:v>
      </x:c>
      <x:c r="O888" s="54" t="n">
        <x:f>ROUND(N888*(1-M888),2)</x:f>
        <x:v>2153.76</x:v>
      </x:c>
      <x:c r="P888" s="54" t="n">
        <x:f>ROUND(J888*L888,2)</x:f>
        <x:v>965.84</x:v>
      </x:c>
      <x:c r="Q888" s="54" t="n">
        <x:f>ROUND(O888-P888,2)</x:f>
        <x:v>1187.92</x:v>
      </x:c>
      <x:c r="R888" s="55" t="n">
        <x:f>IF(O888=0,0,ROUND(Q888/O888,4))</x:f>
        <x:v>0.5516</x:v>
      </x:c>
      <x:c r="S888" s="53" t="n">
        <x:v>13</x:v>
      </x:c>
      <x:c r="T888" t="str">
        <x:v>Entregue com atraso</x:v>
      </x:c>
      <x:c r="U888" t="n">
        <x:v>4</x:v>
      </x:c>
      <x:c r="V888" t="str"/>
    </x:row>
    <x:row r="889">
      <x:c r="A889" s="52" t="n">
        <x:v>46074</x:v>
      </x:c>
      <x:c r="B889" t="str">
        <x:v>PED-100888</x:v>
      </x:c>
      <x:c r="C889" t="str">
        <x:v>Cliente 050</x:v>
      </x:c>
      <x:c r="D889" t="str">
        <x:v>MA</x:v>
      </x:c>
      <x:c r="E889" t="str">
        <x:v>Nordeste</x:v>
      </x:c>
      <x:c r="F889" t="str">
        <x:v>Marketplace</x:v>
      </x:c>
      <x:c r="G889" t="str">
        <x:v>Escritório</x:v>
      </x:c>
      <x:c r="H889" t="str">
        <x:v>Luminária LED</x:v>
      </x:c>
      <x:c r="I889" t="str">
        <x:v>Isabela</x:v>
      </x:c>
      <x:c r="J889" s="53" t="n">
        <x:v>4</x:v>
      </x:c>
      <x:c r="K889" s="54" t="n">
        <x:v>262.47</x:v>
      </x:c>
      <x:c r="L889" s="54" t="n">
        <x:v>121.9</x:v>
      </x:c>
      <x:c r="M889" s="55" t="n">
        <x:v>0.1005</x:v>
      </x:c>
      <x:c r="N889" s="54" t="n">
        <x:f>ROUND(J889*K889,2)</x:f>
        <x:v>1049.88</x:v>
      </x:c>
      <x:c r="O889" s="54" t="n">
        <x:f>ROUND(N889*(1-M889),2)</x:f>
        <x:v>944.37</x:v>
      </x:c>
      <x:c r="P889" s="54" t="n">
        <x:f>ROUND(J889*L889,2)</x:f>
        <x:v>487.6</x:v>
      </x:c>
      <x:c r="Q889" s="54" t="n">
        <x:f>ROUND(O889-P889,2)</x:f>
        <x:v>456.77</x:v>
      </x:c>
      <x:c r="R889" s="55" t="n">
        <x:f>IF(O889=0,0,ROUND(Q889/O889,4))</x:f>
        <x:v>0.4837</x:v>
      </x:c>
      <x:c r="S889" s="53" t="n">
        <x:v>12</x:v>
      </x:c>
      <x:c r="T889" t="str">
        <x:v>Entregue com atraso</x:v>
      </x:c>
      <x:c r="U889" t="n">
        <x:v>3</x:v>
      </x:c>
      <x:c r="V889" t="str"/>
    </x:row>
    <x:row r="890">
      <x:c r="A890" s="52" t="n">
        <x:v>46219</x:v>
      </x:c>
      <x:c r="B890" t="str">
        <x:v>PED-100889</x:v>
      </x:c>
      <x:c r="C890" t="str">
        <x:v>Cliente 056</x:v>
      </x:c>
      <x:c r="D890" t="str">
        <x:v>MT</x:v>
      </x:c>
      <x:c r="E890" t="str">
        <x:v>Centro-Oeste</x:v>
      </x:c>
      <x:c r="F890" t="str">
        <x:v>E-commerce</x:v>
      </x:c>
      <x:c r="G890" t="str">
        <x:v>Casa</x:v>
      </x:c>
      <x:c r="H890" t="str">
        <x:v>Purificador</x:v>
      </x:c>
      <x:c r="I890" t="str">
        <x:v>Isabela</x:v>
      </x:c>
      <x:c r="J890" s="53" t="n">
        <x:v>7</x:v>
      </x:c>
      <x:c r="K890" s="54" t="n">
        <x:v>1327.08</x:v>
      </x:c>
      <x:c r="L890" s="54" t="n">
        <x:v>766.58</x:v>
      </x:c>
      <x:c r="M890" s="55" t="n">
        <x:v>0.0058</x:v>
      </x:c>
      <x:c r="N890" s="54" t="n">
        <x:f>ROUND(J890*K890,2)</x:f>
        <x:v>9289.56</x:v>
      </x:c>
      <x:c r="O890" s="54" t="n">
        <x:f>ROUND(N890*(1-M890),2)</x:f>
        <x:v>9235.68</x:v>
      </x:c>
      <x:c r="P890" s="54" t="n">
        <x:f>ROUND(J890*L890,2)</x:f>
        <x:v>5366.06</x:v>
      </x:c>
      <x:c r="Q890" s="54" t="n">
        <x:f>ROUND(O890-P890,2)</x:f>
        <x:v>3869.62</x:v>
      </x:c>
      <x:c r="R890" s="55" t="n">
        <x:f>IF(O890=0,0,ROUND(Q890/O890,4))</x:f>
        <x:v>0.419</x:v>
      </x:c>
      <x:c r="S890" s="53" t="n">
        <x:v>3</x:v>
      </x:c>
      <x:c r="T890" t="str">
        <x:v>Entregue</x:v>
      </x:c>
      <x:c r="U890" t="n">
        <x:v>2</x:v>
      </x:c>
      <x:c r="V890" t="str"/>
    </x:row>
    <x:row r="891">
      <x:c r="A891" s="52" t="n">
        <x:v>46156</x:v>
      </x:c>
      <x:c r="B891" t="str">
        <x:v>PED-100890</x:v>
      </x:c>
      <x:c r="C891" t="str">
        <x:v>Cliente 019</x:v>
      </x:c>
      <x:c r="D891" t="str">
        <x:v>PA</x:v>
      </x:c>
      <x:c r="E891" t="str">
        <x:v>Norte</x:v>
      </x:c>
      <x:c r="F891" t="str">
        <x:v>Loja</x:v>
      </x:c>
      <x:c r="G891" t="str">
        <x:v>Casa</x:v>
      </x:c>
      <x:c r="H891" t="str">
        <x:v>Purificador</x:v>
      </x:c>
      <x:c r="I891" t="str">
        <x:v>Ana</x:v>
      </x:c>
      <x:c r="J891" s="53" t="n">
        <x:v>1</x:v>
      </x:c>
      <x:c r="K891" s="54" t="n">
        <x:v>1344.34</x:v>
      </x:c>
      <x:c r="L891" s="54" t="n">
        <x:v>806.38</x:v>
      </x:c>
      <x:c r="M891" s="55" t="n">
        <x:v>0.0271</x:v>
      </x:c>
      <x:c r="N891" s="54" t="n">
        <x:f>ROUND(J891*K891,2)</x:f>
        <x:v>1344.34</x:v>
      </x:c>
      <x:c r="O891" s="54" t="n">
        <x:f>ROUND(N891*(1-M891),2)</x:f>
        <x:v>1307.91</x:v>
      </x:c>
      <x:c r="P891" s="54" t="n">
        <x:f>ROUND(J891*L891,2)</x:f>
        <x:v>806.38</x:v>
      </x:c>
      <x:c r="Q891" s="54" t="n">
        <x:f>ROUND(O891-P891,2)</x:f>
        <x:v>501.53</x:v>
      </x:c>
      <x:c r="R891" s="55" t="n">
        <x:f>IF(O891=0,0,ROUND(Q891/O891,4))</x:f>
        <x:v>0.3835</x:v>
      </x:c>
      <x:c r="S891" s="53" t="n">
        <x:v>5</x:v>
      </x:c>
      <x:c r="T891" t="str">
        <x:v>Entregue</x:v>
      </x:c>
      <x:c r="U891" t="n">
        <x:v>3</x:v>
      </x:c>
      <x:c r="V891" t="str"/>
    </x:row>
    <x:row r="892">
      <x:c r="A892" s="52" t="n">
        <x:v>46137</x:v>
      </x:c>
      <x:c r="B892" t="str">
        <x:v>PED-100891</x:v>
      </x:c>
      <x:c r="C892" t="str">
        <x:v>Cliente 062</x:v>
      </x:c>
      <x:c r="D892" t="str">
        <x:v>RJ</x:v>
      </x:c>
      <x:c r="E892" t="str">
        <x:v>Sudeste</x:v>
      </x:c>
      <x:c r="F892" t="str">
        <x:v>E-commerce</x:v>
      </x:c>
      <x:c r="G892" t="str">
        <x:v>Escritório</x:v>
      </x:c>
      <x:c r="H892" t="str">
        <x:v>Luminária LED</x:v>
      </x:c>
      <x:c r="I892" t="str">
        <x:v>Bruno</x:v>
      </x:c>
      <x:c r="J892" s="53" t="n">
        <x:v>4</x:v>
      </x:c>
      <x:c r="K892" s="54" t="n">
        <x:v>263.74</x:v>
      </x:c>
      <x:c r="L892" s="54" t="n">
        <x:v>115.43</x:v>
      </x:c>
      <x:c r="M892" s="55" t="n">
        <x:v>0</x:v>
      </x:c>
      <x:c r="N892" s="54" t="n">
        <x:f>ROUND(J892*K892,2)</x:f>
        <x:v>1054.96</x:v>
      </x:c>
      <x:c r="O892" s="54" t="n">
        <x:f>ROUND(N892*(1-M892),2)</x:f>
        <x:v>1054.96</x:v>
      </x:c>
      <x:c r="P892" s="54" t="n">
        <x:f>ROUND(J892*L892,2)</x:f>
        <x:v>461.72</x:v>
      </x:c>
      <x:c r="Q892" s="54" t="n">
        <x:f>ROUND(O892-P892,2)</x:f>
        <x:v>593.24</x:v>
      </x:c>
      <x:c r="R892" s="55" t="n">
        <x:f>IF(O892=0,0,ROUND(Q892/O892,4))</x:f>
        <x:v>0.5623</x:v>
      </x:c>
      <x:c r="S892" s="53" t="n">
        <x:v>13</x:v>
      </x:c>
      <x:c r="T892" t="str">
        <x:v>Entregue com atraso</x:v>
      </x:c>
      <x:c r="U892" t="n">
        <x:v>3</x:v>
      </x:c>
      <x:c r="V892" t="str"/>
    </x:row>
    <x:row r="893">
      <x:c r="A893" s="52" t="n">
        <x:v>46077</x:v>
      </x:c>
      <x:c r="B893" t="str">
        <x:v>PED-100892</x:v>
      </x:c>
      <x:c r="C893" t="str">
        <x:v>Cliente 020</x:v>
      </x:c>
      <x:c r="D893" t="str">
        <x:v>CE</x:v>
      </x:c>
      <x:c r="E893" t="str">
        <x:v>Nordeste</x:v>
      </x:c>
      <x:c r="F893" t="str">
        <x:v>Televendas</x:v>
      </x:c>
      <x:c r="G893" t="str">
        <x:v>Escritório</x:v>
      </x:c>
      <x:c r="H893" t="str">
        <x:v>Luminária LED</x:v>
      </x:c>
      <x:c r="I893" t="str">
        <x:v>Carla</x:v>
      </x:c>
      <x:c r="J893" s="53" t="n">
        <x:v>8</x:v>
      </x:c>
      <x:c r="K893" s="54" t="n">
        <x:v>251.69</x:v>
      </x:c>
      <x:c r="L893" s="54" t="n">
        <x:v>122.32</x:v>
      </x:c>
      <x:c r="M893" s="55" t="n">
        <x:v>0.0741</x:v>
      </x:c>
      <x:c r="N893" s="54" t="n">
        <x:f>ROUND(J893*K893,2)</x:f>
        <x:v>2013.52</x:v>
      </x:c>
      <x:c r="O893" s="54" t="n">
        <x:f>ROUND(N893*(1-M893),2)</x:f>
        <x:v>1864.32</x:v>
      </x:c>
      <x:c r="P893" s="54" t="n">
        <x:f>ROUND(J893*L893,2)</x:f>
        <x:v>978.56</x:v>
      </x:c>
      <x:c r="Q893" s="54" t="n">
        <x:f>ROUND(O893-P893,2)</x:f>
        <x:v>885.76</x:v>
      </x:c>
      <x:c r="R893" s="55" t="n">
        <x:f>IF(O893=0,0,ROUND(Q893/O893,4))</x:f>
        <x:v>0.4751</x:v>
      </x:c>
      <x:c r="S893" s="53" t="n">
        <x:v>2</x:v>
      </x:c>
      <x:c r="T893" t="str">
        <x:v>Entregue</x:v>
      </x:c>
      <x:c r="U893" t="n">
        <x:v>3</x:v>
      </x:c>
      <x:c r="V893" t="str"/>
    </x:row>
    <x:row r="894">
      <x:c r="A894" s="52" t="n">
        <x:v>46143</x:v>
      </x:c>
      <x:c r="B894" t="str">
        <x:v>PED-100893</x:v>
      </x:c>
      <x:c r="C894" t="str">
        <x:v>Cliente 106</x:v>
      </x:c>
      <x:c r="D894" t="str">
        <x:v>GO</x:v>
      </x:c>
      <x:c r="E894" t="str">
        <x:v>Centro-Oeste</x:v>
      </x:c>
      <x:c r="F894" t="str">
        <x:v>E-commerce</x:v>
      </x:c>
      <x:c r="G894" t="str">
        <x:v>Escritório</x:v>
      </x:c>
      <x:c r="H894" t="str">
        <x:v>Mesa Ajustável</x:v>
      </x:c>
      <x:c r="I894" t="str">
        <x:v>Bruno</x:v>
      </x:c>
      <x:c r="J894" s="53" t="n">
        <x:v>6</x:v>
      </x:c>
      <x:c r="K894" s="54" t="n">
        <x:v>2859.01</x:v>
      </x:c>
      <x:c r="L894" s="54" t="n">
        <x:v>1829.53</x:v>
      </x:c>
      <x:c r="M894" s="55" t="n">
        <x:v>0</x:v>
      </x:c>
      <x:c r="N894" s="54" t="n">
        <x:f>ROUND(J894*K894,2)</x:f>
        <x:v>17154.06</x:v>
      </x:c>
      <x:c r="O894" s="54" t="n">
        <x:f>ROUND(N894*(1-M894),2)</x:f>
        <x:v>17154.06</x:v>
      </x:c>
      <x:c r="P894" s="54" t="n">
        <x:f>ROUND(J894*L894,2)</x:f>
        <x:v>10977.18</x:v>
      </x:c>
      <x:c r="Q894" s="54" t="n">
        <x:f>ROUND(O894-P894,2)</x:f>
        <x:v>6176.88</x:v>
      </x:c>
      <x:c r="R894" s="55" t="n">
        <x:f>IF(O894=0,0,ROUND(Q894/O894,4))</x:f>
        <x:v>0.3601</x:v>
      </x:c>
      <x:c r="S894" s="53" t="n">
        <x:v>3</x:v>
      </x:c>
      <x:c r="T894" t="str">
        <x:v>Cancelado</x:v>
      </x:c>
      <x:c r="U894"/>
      <x:c r="V894" t="str"/>
    </x:row>
    <x:row r="895">
      <x:c r="A895" s="52" t="n">
        <x:v>46095</x:v>
      </x:c>
      <x:c r="B895" t="str">
        <x:v>PED-100894</x:v>
      </x:c>
      <x:c r="C895" t="str">
        <x:v>Cliente 016</x:v>
      </x:c>
      <x:c r="D895" t="str">
        <x:v>BA</x:v>
      </x:c>
      <x:c r="E895" t="str">
        <x:v>Nordeste</x:v>
      </x:c>
      <x:c r="F895" t="str">
        <x:v>Televendas</x:v>
      </x:c>
      <x:c r="G895" t="str">
        <x:v>Tecnologia</x:v>
      </x:c>
      <x:c r="H895" t="str">
        <x:v>Notebook Pro</x:v>
      </x:c>
      <x:c r="I895" t="str">
        <x:v>Gabriela</x:v>
      </x:c>
      <x:c r="J895" s="53" t="n">
        <x:v>7</x:v>
      </x:c>
      <x:c r="K895" s="54" t="n">
        <x:v>5807.59</x:v>
      </x:c>
      <x:c r="L895" s="54" t="n">
        <x:v>4520.87</x:v>
      </x:c>
      <x:c r="M895" s="55" t="n">
        <x:v>0.0563</x:v>
      </x:c>
      <x:c r="N895" s="54" t="n">
        <x:f>ROUND(J895*K895,2)</x:f>
        <x:v>40653.13</x:v>
      </x:c>
      <x:c r="O895" s="54" t="n">
        <x:f>ROUND(N895*(1-M895),2)</x:f>
        <x:v>38364.36</x:v>
      </x:c>
      <x:c r="P895" s="54" t="n">
        <x:f>ROUND(J895*L895,2)</x:f>
        <x:v>31646.09</x:v>
      </x:c>
      <x:c r="Q895" s="54" t="n">
        <x:f>ROUND(O895-P895,2)</x:f>
        <x:v>6718.27</x:v>
      </x:c>
      <x:c r="R895" s="55" t="n">
        <x:f>IF(O895=0,0,ROUND(Q895/O895,4))</x:f>
        <x:v>0.1751</x:v>
      </x:c>
      <x:c r="S895" s="53" t="n">
        <x:v>8</x:v>
      </x:c>
      <x:c r="T895" t="str">
        <x:v>Entregue</x:v>
      </x:c>
      <x:c r="U895" t="n">
        <x:v>2</x:v>
      </x:c>
      <x:c r="V895" t="str"/>
    </x:row>
    <x:row r="896">
      <x:c r="A896" s="52" t="n">
        <x:v>46092</x:v>
      </x:c>
      <x:c r="B896" t="str">
        <x:v>PED-100895</x:v>
      </x:c>
      <x:c r="C896" t="str">
        <x:v>Cliente 081</x:v>
      </x:c>
      <x:c r="D896" t="str">
        <x:v>BA</x:v>
      </x:c>
      <x:c r="E896" t="str">
        <x:v>Nordeste</x:v>
      </x:c>
      <x:c r="F896" t="str">
        <x:v>Loja</x:v>
      </x:c>
      <x:c r="G896" t="str">
        <x:v>Acessórios</x:v>
      </x:c>
      <x:c r="H896" t="str">
        <x:v>Webcam HD</x:v>
      </x:c>
      <x:c r="I896" t="str">
        <x:v>Ana</x:v>
      </x:c>
      <x:c r="J896" s="53" t="n">
        <x:v>6</x:v>
      </x:c>
      <x:c r="K896" s="54" t="n">
        <x:v>506.81</x:v>
      </x:c>
      <x:c r="L896" s="54" t="n">
        <x:v>245.87</x:v>
      </x:c>
      <x:c r="M896" s="55" t="n">
        <x:v>0</x:v>
      </x:c>
      <x:c r="N896" s="54" t="n">
        <x:f>ROUND(J896*K896,2)</x:f>
        <x:v>3040.86</x:v>
      </x:c>
      <x:c r="O896" s="54" t="n">
        <x:f>ROUND(N896*(1-M896),2)</x:f>
        <x:v>3040.86</x:v>
      </x:c>
      <x:c r="P896" s="54" t="n">
        <x:f>ROUND(J896*L896,2)</x:f>
        <x:v>1475.22</x:v>
      </x:c>
      <x:c r="Q896" s="54" t="n">
        <x:f>ROUND(O896-P896,2)</x:f>
        <x:v>1565.64</x:v>
      </x:c>
      <x:c r="R896" s="55" t="n">
        <x:f>IF(O896=0,0,ROUND(Q896/O896,4))</x:f>
        <x:v>0.5149</x:v>
      </x:c>
      <x:c r="S896" s="53" t="n">
        <x:v>8</x:v>
      </x:c>
      <x:c r="T896" t="str">
        <x:v>Entregue</x:v>
      </x:c>
      <x:c r="U896" t="n">
        <x:v>5</x:v>
      </x:c>
      <x:c r="V896" t="str"/>
    </x:row>
    <x:row r="897">
      <x:c r="A897" s="52" t="n">
        <x:v>46065</x:v>
      </x:c>
      <x:c r="B897" t="str">
        <x:v>PED-100896</x:v>
      </x:c>
      <x:c r="C897" t="str">
        <x:v>Cliente 041</x:v>
      </x:c>
      <x:c r="D897" t="str">
        <x:v>SC</x:v>
      </x:c>
      <x:c r="E897" t="str">
        <x:v>Sul</x:v>
      </x:c>
      <x:c r="F897" t="str">
        <x:v>Televendas</x:v>
      </x:c>
      <x:c r="G897" t="str">
        <x:v>Tecnologia</x:v>
      </x:c>
      <x:c r="H897" t="str">
        <x:v>Monitor 27</x:v>
      </x:c>
      <x:c r="I897" t="str">
        <x:v>Diego</x:v>
      </x:c>
      <x:c r="J897" s="53" t="n">
        <x:v>7</x:v>
      </x:c>
      <x:c r="K897" s="54" t="n">
        <x:v>1642.58</x:v>
      </x:c>
      <x:c r="L897" s="54" t="n">
        <x:v>1054.86</x:v>
      </x:c>
      <x:c r="M897" s="55" t="n">
        <x:v>0.0009</x:v>
      </x:c>
      <x:c r="N897" s="54" t="n">
        <x:f>ROUND(J897*K897,2)</x:f>
        <x:v>11498.06</x:v>
      </x:c>
      <x:c r="O897" s="54" t="n">
        <x:f>ROUND(N897*(1-M897),2)</x:f>
        <x:v>11487.71</x:v>
      </x:c>
      <x:c r="P897" s="54" t="n">
        <x:f>ROUND(J897*L897,2)</x:f>
        <x:v>7384.02</x:v>
      </x:c>
      <x:c r="Q897" s="54" t="n">
        <x:f>ROUND(O897-P897,2)</x:f>
        <x:v>4103.69</x:v>
      </x:c>
      <x:c r="R897" s="55" t="n">
        <x:f>IF(O897=0,0,ROUND(Q897/O897,4))</x:f>
        <x:v>0.3572</x:v>
      </x:c>
      <x:c r="S897" s="53" t="n">
        <x:v>7</x:v>
      </x:c>
      <x:c r="T897" t="str">
        <x:v>Cancelado</x:v>
      </x:c>
      <x:c r="U897"/>
      <x:c r="V897" t="str"/>
    </x:row>
    <x:row r="898">
      <x:c r="A898" s="52" t="n">
        <x:v>46134</x:v>
      </x:c>
      <x:c r="B898" t="str">
        <x:v>PED-100897</x:v>
      </x:c>
      <x:c r="C898" t="str">
        <x:v>Cliente 112</x:v>
      </x:c>
      <x:c r="D898" t="str">
        <x:v>MA</x:v>
      </x:c>
      <x:c r="E898" t="str">
        <x:v>Nordeste</x:v>
      </x:c>
      <x:c r="F898" t="str">
        <x:v>E-commerce</x:v>
      </x:c>
      <x:c r="G898" t="str">
        <x:v>Casa</x:v>
      </x:c>
      <x:c r="H898" t="str">
        <x:v>Purificador</x:v>
      </x:c>
      <x:c r="I898" t="str">
        <x:v>Carla</x:v>
      </x:c>
      <x:c r="J898" s="53" t="n">
        <x:v>4</x:v>
      </x:c>
      <x:c r="K898" s="54" t="n">
        <x:v>1300.3</x:v>
      </x:c>
      <x:c r="L898" s="54" t="n">
        <x:v>777.78</x:v>
      </x:c>
      <x:c r="M898" s="55" t="n">
        <x:v>0.0387</x:v>
      </x:c>
      <x:c r="N898" s="54" t="n">
        <x:f>ROUND(J898*K898,2)</x:f>
        <x:v>5201.2</x:v>
      </x:c>
      <x:c r="O898" s="54" t="n">
        <x:f>ROUND(N898*(1-M898),2)</x:f>
        <x:v>4999.91</x:v>
      </x:c>
      <x:c r="P898" s="54" t="n">
        <x:f>ROUND(J898*L898,2)</x:f>
        <x:v>3111.12</x:v>
      </x:c>
      <x:c r="Q898" s="54" t="n">
        <x:f>ROUND(O898-P898,2)</x:f>
        <x:v>1888.79</x:v>
      </x:c>
      <x:c r="R898" s="55" t="n">
        <x:f>IF(O898=0,0,ROUND(Q898/O898,4))</x:f>
        <x:v>0.3778</x:v>
      </x:c>
      <x:c r="S898" s="53" t="n">
        <x:v>14</x:v>
      </x:c>
      <x:c r="T898" t="str">
        <x:v>Entregue com atraso</x:v>
      </x:c>
      <x:c r="U898" t="n">
        <x:v>3</x:v>
      </x:c>
      <x:c r="V898" t="str"/>
    </x:row>
    <x:row r="899">
      <x:c r="A899" s="52" t="n">
        <x:v>46101</x:v>
      </x:c>
      <x:c r="B899" t="str">
        <x:v>PED-100898</x:v>
      </x:c>
      <x:c r="C899" t="str">
        <x:v>Cliente 096</x:v>
      </x:c>
      <x:c r="D899" t="str">
        <x:v>CE</x:v>
      </x:c>
      <x:c r="E899" t="str">
        <x:v>Nordeste</x:v>
      </x:c>
      <x:c r="F899" t="str">
        <x:v>Loja</x:v>
      </x:c>
      <x:c r="G899" t="str">
        <x:v>Acessórios</x:v>
      </x:c>
      <x:c r="H899" t="str">
        <x:v>Hub USB-C</x:v>
      </x:c>
      <x:c r="I899" t="str">
        <x:v>Bruno</x:v>
      </x:c>
      <x:c r="J899" s="53" t="n">
        <x:v>4</x:v>
      </x:c>
      <x:c r="K899" s="54" t="n">
        <x:v>300.88</x:v>
      </x:c>
      <x:c r="L899" s="54" t="n">
        <x:v>144.82</x:v>
      </x:c>
      <x:c r="M899" s="55" t="n">
        <x:v>0.1269</x:v>
      </x:c>
      <x:c r="N899" s="54" t="n">
        <x:f>ROUND(J899*K899,2)</x:f>
        <x:v>1203.52</x:v>
      </x:c>
      <x:c r="O899" s="54" t="n">
        <x:f>ROUND(N899*(1-M899),2)</x:f>
        <x:v>1050.79</x:v>
      </x:c>
      <x:c r="P899" s="54" t="n">
        <x:f>ROUND(J899*L899,2)</x:f>
        <x:v>579.28</x:v>
      </x:c>
      <x:c r="Q899" s="54" t="n">
        <x:f>ROUND(O899-P899,2)</x:f>
        <x:v>471.51</x:v>
      </x:c>
      <x:c r="R899" s="55" t="n">
        <x:f>IF(O899=0,0,ROUND(Q899/O899,4))</x:f>
        <x:v>0.4487</x:v>
      </x:c>
      <x:c r="S899" s="53" t="n">
        <x:v>3</x:v>
      </x:c>
      <x:c r="T899" t="str">
        <x:v>Entregue</x:v>
      </x:c>
      <x:c r="U899" t="n">
        <x:v>4</x:v>
      </x:c>
      <x:c r="V899" t="str"/>
    </x:row>
    <x:row r="900">
      <x:c r="A900" s="52" t="n">
        <x:v>46211</x:v>
      </x:c>
      <x:c r="B900" t="str">
        <x:v>PED-100899</x:v>
      </x:c>
      <x:c r="C900" t="str">
        <x:v>Cliente 078</x:v>
      </x:c>
      <x:c r="D900" t="str">
        <x:v>CE</x:v>
      </x:c>
      <x:c r="E900" t="str">
        <x:v>Nordeste</x:v>
      </x:c>
      <x:c r="F900" t="str">
        <x:v>E-commerce</x:v>
      </x:c>
      <x:c r="G900" t="str">
        <x:v>Acessórios</x:v>
      </x:c>
      <x:c r="H900" t="str">
        <x:v>Webcam HD</x:v>
      </x:c>
      <x:c r="I900" t="str">
        <x:v>Ana</x:v>
      </x:c>
      <x:c r="J900" s="53" t="n">
        <x:v>5</x:v>
      </x:c>
      <x:c r="K900" s="54" t="n">
        <x:v>519.17</x:v>
      </x:c>
      <x:c r="L900" s="54" t="n">
        <x:v>257.65</x:v>
      </x:c>
      <x:c r="M900" s="55" t="n">
        <x:v>0.0153</x:v>
      </x:c>
      <x:c r="N900" s="54" t="n">
        <x:f>ROUND(J900*K900,2)</x:f>
        <x:v>2595.85</x:v>
      </x:c>
      <x:c r="O900" s="54" t="n">
        <x:f>ROUND(N900*(1-M900),2)</x:f>
        <x:v>2556.13</x:v>
      </x:c>
      <x:c r="P900" s="54" t="n">
        <x:f>ROUND(J900*L900,2)</x:f>
        <x:v>1288.25</x:v>
      </x:c>
      <x:c r="Q900" s="54" t="n">
        <x:f>ROUND(O900-P900,2)</x:f>
        <x:v>1267.88</x:v>
      </x:c>
      <x:c r="R900" s="55" t="n">
        <x:f>IF(O900=0,0,ROUND(Q900/O900,4))</x:f>
        <x:v>0.496</x:v>
      </x:c>
      <x:c r="S900" s="53" t="n">
        <x:v>8</x:v>
      </x:c>
      <x:c r="T900" t="str">
        <x:v>Entregue</x:v>
      </x:c>
      <x:c r="U900" t="n">
        <x:v>3</x:v>
      </x:c>
      <x:c r="V900" t="str"/>
    </x:row>
    <x:row r="901">
      <x:c r="A901" s="52" t="n">
        <x:v>46220</x:v>
      </x:c>
      <x:c r="B901" t="str">
        <x:v>PED-100900</x:v>
      </x:c>
      <x:c r="C901" t="str">
        <x:v>Cliente 022</x:v>
      </x:c>
      <x:c r="D901" t="str">
        <x:v>PR</x:v>
      </x:c>
      <x:c r="E901" t="str">
        <x:v>Sul</x:v>
      </x:c>
      <x:c r="F901" t="str">
        <x:v>Loja</x:v>
      </x:c>
      <x:c r="G901" t="str">
        <x:v>Tecnologia</x:v>
      </x:c>
      <x:c r="H901" t="str">
        <x:v>Headset Office</x:v>
      </x:c>
      <x:c r="I901" t="str">
        <x:v>João</x:v>
      </x:c>
      <x:c r="J901" s="53" t="n">
        <x:v>8</x:v>
      </x:c>
      <x:c r="K901" s="54" t="n">
        <x:v>404.71</x:v>
      </x:c>
      <x:c r="L901" s="54" t="n">
        <x:v>201.86</x:v>
      </x:c>
      <x:c r="M901" s="55" t="n">
        <x:v>0.0096</x:v>
      </x:c>
      <x:c r="N901" s="54" t="n">
        <x:f>ROUND(J901*K901,2)</x:f>
        <x:v>3237.68</x:v>
      </x:c>
      <x:c r="O901" s="54" t="n">
        <x:f>ROUND(N901*(1-M901),2)</x:f>
        <x:v>3206.6</x:v>
      </x:c>
      <x:c r="P901" s="54" t="n">
        <x:f>ROUND(J901*L901,2)</x:f>
        <x:v>1614.88</x:v>
      </x:c>
      <x:c r="Q901" s="54" t="n">
        <x:f>ROUND(O901-P901,2)</x:f>
        <x:v>1591.72</x:v>
      </x:c>
      <x:c r="R901" s="55" t="n">
        <x:f>IF(O901=0,0,ROUND(Q901/O901,4))</x:f>
        <x:v>0.4964</x:v>
      </x:c>
      <x:c r="S901" s="53" t="n">
        <x:v>6</x:v>
      </x:c>
      <x:c r="T901" t="str">
        <x:v>Entregue</x:v>
      </x:c>
      <x:c r="U901" t="n">
        <x:v>3</x:v>
      </x:c>
      <x:c r="V901" t="str"/>
    </x:row>
    <x:row r="902">
      <x:c r="A902" s="52" t="n">
        <x:v>46160</x:v>
      </x:c>
      <x:c r="B902" t="str">
        <x:v>PED-100901</x:v>
      </x:c>
      <x:c r="C902" t="str">
        <x:v>Cliente 004</x:v>
      </x:c>
      <x:c r="D902" t="str">
        <x:v>DF</x:v>
      </x:c>
      <x:c r="E902" t="str">
        <x:v>Centro-Oeste</x:v>
      </x:c>
      <x:c r="F902" t="str">
        <x:v>E-commerce</x:v>
      </x:c>
      <x:c r="G902" t="str">
        <x:v>Tecnologia</x:v>
      </x:c>
      <x:c r="H902" t="str">
        <x:v>Headset Office</x:v>
      </x:c>
      <x:c r="I902" t="str">
        <x:v>Ana</x:v>
      </x:c>
      <x:c r="J902" s="53" t="n">
        <x:v>5</x:v>
      </x:c>
      <x:c r="K902" s="54" t="n">
        <x:v>399.85</x:v>
      </x:c>
      <x:c r="L902" s="54" t="n">
        <x:v>203.21</x:v>
      </x:c>
      <x:c r="M902" s="55" t="n">
        <x:v>0.0186</x:v>
      </x:c>
      <x:c r="N902" s="54" t="n">
        <x:f>ROUND(J902*K902,2)</x:f>
        <x:v>1999.25</x:v>
      </x:c>
      <x:c r="O902" s="54" t="n">
        <x:f>ROUND(N902*(1-M902),2)</x:f>
        <x:v>1962.06</x:v>
      </x:c>
      <x:c r="P902" s="54" t="n">
        <x:f>ROUND(J902*L902,2)</x:f>
        <x:v>1016.05</x:v>
      </x:c>
      <x:c r="Q902" s="54" t="n">
        <x:f>ROUND(O902-P902,2)</x:f>
        <x:v>946.01</x:v>
      </x:c>
      <x:c r="R902" s="55" t="n">
        <x:f>IF(O902=0,0,ROUND(Q902/O902,4))</x:f>
        <x:v>0.4822</x:v>
      </x:c>
      <x:c r="S902" s="53" t="n">
        <x:v>6</x:v>
      </x:c>
      <x:c r="T902" t="str">
        <x:v>Entregue</x:v>
      </x:c>
      <x:c r="U902" t="n">
        <x:v>2</x:v>
      </x:c>
      <x:c r="V902" t="str"/>
    </x:row>
    <x:row r="903">
      <x:c r="A903" s="52" t="n">
        <x:v>46055</x:v>
      </x:c>
      <x:c r="B903" t="str">
        <x:v>PED-100902</x:v>
      </x:c>
      <x:c r="C903" t="str">
        <x:v>Cliente 108</x:v>
      </x:c>
      <x:c r="D903" t="str">
        <x:v>RJ</x:v>
      </x:c>
      <x:c r="E903" t="str">
        <x:v>Sudeste</x:v>
      </x:c>
      <x:c r="F903" t="str">
        <x:v>Loja</x:v>
      </x:c>
      <x:c r="G903" t="str">
        <x:v>Casa</x:v>
      </x:c>
      <x:c r="H903" t="str">
        <x:v>Cafeteira Smart</x:v>
      </x:c>
      <x:c r="I903" t="str">
        <x:v>Henrique</x:v>
      </x:c>
      <x:c r="J903" s="53" t="n">
        <x:v>5</x:v>
      </x:c>
      <x:c r="K903" s="54" t="n">
        <x:v>830.11</x:v>
      </x:c>
      <x:c r="L903" s="54" t="n">
        <x:v>448.67</x:v>
      </x:c>
      <x:c r="M903" s="55" t="n">
        <x:v>0.0837</x:v>
      </x:c>
      <x:c r="N903" s="54" t="n">
        <x:f>ROUND(J903*K903,2)</x:f>
        <x:v>4150.55</x:v>
      </x:c>
      <x:c r="O903" s="54" t="n">
        <x:f>ROUND(N903*(1-M903),2)</x:f>
        <x:v>3803.15</x:v>
      </x:c>
      <x:c r="P903" s="54" t="n">
        <x:f>ROUND(J903*L903,2)</x:f>
        <x:v>2243.35</x:v>
      </x:c>
      <x:c r="Q903" s="54" t="n">
        <x:f>ROUND(O903-P903,2)</x:f>
        <x:v>1559.8</x:v>
      </x:c>
      <x:c r="R903" s="55" t="n">
        <x:f>IF(O903=0,0,ROUND(Q903/O903,4))</x:f>
        <x:v>0.4101</x:v>
      </x:c>
      <x:c r="S903" s="53" t="n">
        <x:v>7</x:v>
      </x:c>
      <x:c r="T903" t="str">
        <x:v>Entregue</x:v>
      </x:c>
      <x:c r="U903" t="n">
        <x:v>4</x:v>
      </x:c>
      <x:c r="V903" t="str"/>
    </x:row>
    <x:row r="904">
      <x:c r="A904" s="52" t="n">
        <x:v>46085</x:v>
      </x:c>
      <x:c r="B904" t="str">
        <x:v>PED-100903</x:v>
      </x:c>
      <x:c r="C904" t="str">
        <x:v>Cliente 080</x:v>
      </x:c>
      <x:c r="D904" t="str">
        <x:v>SP</x:v>
      </x:c>
      <x:c r="E904" t="str">
        <x:v>Sudeste</x:v>
      </x:c>
      <x:c r="F904" t="str">
        <x:v>E-commerce</x:v>
      </x:c>
      <x:c r="G904" t="str">
        <x:v>Tecnologia</x:v>
      </x:c>
      <x:c r="H904" t="str">
        <x:v>Headset Office</x:v>
      </x:c>
      <x:c r="I904" t="str">
        <x:v>Ana</x:v>
      </x:c>
      <x:c r="J904" s="53" t="n">
        <x:v>7</x:v>
      </x:c>
      <x:c r="K904" s="54" t="n">
        <x:v>388.51</x:v>
      </x:c>
      <x:c r="L904" s="54" t="n">
        <x:v>202.86</x:v>
      </x:c>
      <x:c r="M904" s="55" t="n">
        <x:v>0.0849</x:v>
      </x:c>
      <x:c r="N904" s="54" t="n">
        <x:f>ROUND(J904*K904,2)</x:f>
        <x:v>2719.57</x:v>
      </x:c>
      <x:c r="O904" s="54" t="n">
        <x:f>ROUND(N904*(1-M904),2)</x:f>
        <x:v>2488.68</x:v>
      </x:c>
      <x:c r="P904" s="54" t="n">
        <x:f>ROUND(J904*L904,2)</x:f>
        <x:v>1420.02</x:v>
      </x:c>
      <x:c r="Q904" s="54" t="n">
        <x:f>ROUND(O904-P904,2)</x:f>
        <x:v>1068.66</x:v>
      </x:c>
      <x:c r="R904" s="55" t="n">
        <x:f>IF(O904=0,0,ROUND(Q904/O904,4))</x:f>
        <x:v>0.4294</x:v>
      </x:c>
      <x:c r="S904" s="53" t="n">
        <x:v>2</x:v>
      </x:c>
      <x:c r="T904" t="str">
        <x:v>Entregue</x:v>
      </x:c>
      <x:c r="U904" t="n">
        <x:v>5</x:v>
      </x:c>
      <x:c r="V904" t="str"/>
    </x:row>
    <x:row r="905">
      <x:c r="A905" s="52" t="n">
        <x:v>46126</x:v>
      </x:c>
      <x:c r="B905" t="str">
        <x:v>PED-100904</x:v>
      </x:c>
      <x:c r="C905" t="str">
        <x:v>Cliente 041</x:v>
      </x:c>
      <x:c r="D905" t="str">
        <x:v>ES</x:v>
      </x:c>
      <x:c r="E905" t="str">
        <x:v>Sudeste</x:v>
      </x:c>
      <x:c r="F905" t="str">
        <x:v>Loja</x:v>
      </x:c>
      <x:c r="G905" t="str">
        <x:v>Escritório</x:v>
      </x:c>
      <x:c r="H905" t="str">
        <x:v>Luminária LED</x:v>
      </x:c>
      <x:c r="I905" t="str">
        <x:v>Isabela</x:v>
      </x:c>
      <x:c r="J905" s="53" t="n">
        <x:v>5</x:v>
      </x:c>
      <x:c r="K905" s="54" t="n">
        <x:v>266.34</x:v>
      </x:c>
      <x:c r="L905" s="54" t="n">
        <x:v>117.44</x:v>
      </x:c>
      <x:c r="M905" s="55" t="n">
        <x:v>0.0954</x:v>
      </x:c>
      <x:c r="N905" s="54" t="n">
        <x:f>ROUND(J905*K905,2)</x:f>
        <x:v>1331.7</x:v>
      </x:c>
      <x:c r="O905" s="54" t="n">
        <x:f>ROUND(N905*(1-M905),2)</x:f>
        <x:v>1204.66</x:v>
      </x:c>
      <x:c r="P905" s="54" t="n">
        <x:f>ROUND(J905*L905,2)</x:f>
        <x:v>587.2</x:v>
      </x:c>
      <x:c r="Q905" s="54" t="n">
        <x:f>ROUND(O905-P905,2)</x:f>
        <x:v>617.46</x:v>
      </x:c>
      <x:c r="R905" s="55" t="n">
        <x:f>IF(O905=0,0,ROUND(Q905/O905,4))</x:f>
        <x:v>0.5126</x:v>
      </x:c>
      <x:c r="S905" s="53" t="n">
        <x:v>6</x:v>
      </x:c>
      <x:c r="T905" t="str">
        <x:v>Entregue</x:v>
      </x:c>
      <x:c r="U905" t="n">
        <x:v>2</x:v>
      </x:c>
      <x:c r="V905" t="str"/>
    </x:row>
    <x:row r="906">
      <x:c r="A906" s="52" t="n">
        <x:v>46068</x:v>
      </x:c>
      <x:c r="B906" t="str">
        <x:v>PED-100905</x:v>
      </x:c>
      <x:c r="C906" t="str">
        <x:v>Cliente 102</x:v>
      </x:c>
      <x:c r="D906" t="str">
        <x:v>PA</x:v>
      </x:c>
      <x:c r="E906" t="str">
        <x:v>Norte</x:v>
      </x:c>
      <x:c r="F906" t="str">
        <x:v>Loja</x:v>
      </x:c>
      <x:c r="G906" t="str">
        <x:v>Escritório</x:v>
      </x:c>
      <x:c r="H906" t="str">
        <x:v>Mesa Ajustável</x:v>
      </x:c>
      <x:c r="I906" t="str">
        <x:v>Elaine</x:v>
      </x:c>
      <x:c r="J906" s="53" t="n">
        <x:v>8</x:v>
      </x:c>
      <x:c r="K906" s="54" t="n">
        <x:v>2942.42</x:v>
      </x:c>
      <x:c r="L906" s="54" t="n">
        <x:v>1939.22</x:v>
      </x:c>
      <x:c r="M906" s="55" t="n">
        <x:v>0.0497</x:v>
      </x:c>
      <x:c r="N906" s="54" t="n">
        <x:f>ROUND(J906*K906,2)</x:f>
        <x:v>23539.36</x:v>
      </x:c>
      <x:c r="O906" s="54" t="n">
        <x:f>ROUND(N906*(1-M906),2)</x:f>
        <x:v>22369.45</x:v>
      </x:c>
      <x:c r="P906" s="54" t="n">
        <x:f>ROUND(J906*L906,2)</x:f>
        <x:v>15513.76</x:v>
      </x:c>
      <x:c r="Q906" s="54" t="n">
        <x:f>ROUND(O906-P906,2)</x:f>
        <x:v>6855.69</x:v>
      </x:c>
      <x:c r="R906" s="55" t="n">
        <x:f>IF(O906=0,0,ROUND(Q906/O906,4))</x:f>
        <x:v>0.3065</x:v>
      </x:c>
      <x:c r="S906" s="53" t="n">
        <x:v>3</x:v>
      </x:c>
      <x:c r="T906" t="str">
        <x:v>Entregue</x:v>
      </x:c>
      <x:c r="U906" t="n">
        <x:v>4</x:v>
      </x:c>
      <x:c r="V906" t="str"/>
    </x:row>
    <x:row r="907">
      <x:c r="A907" s="52" t="n">
        <x:v>46078</x:v>
      </x:c>
      <x:c r="B907" t="str">
        <x:v>PED-100906</x:v>
      </x:c>
      <x:c r="C907" t="str">
        <x:v>Cliente 100</x:v>
      </x:c>
      <x:c r="D907" t="str">
        <x:v>GO</x:v>
      </x:c>
      <x:c r="E907" t="str">
        <x:v>Centro-Oeste</x:v>
      </x:c>
      <x:c r="F907" t="str">
        <x:v>Marketplace</x:v>
      </x:c>
      <x:c r="G907" t="str">
        <x:v>Tecnologia</x:v>
      </x:c>
      <x:c r="H907" t="str">
        <x:v>Headset Office</x:v>
      </x:c>
      <x:c r="I907" t="str">
        <x:v>Elaine</x:v>
      </x:c>
      <x:c r="J907" s="53" t="n">
        <x:v>7</x:v>
      </x:c>
      <x:c r="K907" s="54" t="n">
        <x:v>396.61</x:v>
      </x:c>
      <x:c r="L907" s="54" t="n">
        <x:v>215.54</x:v>
      </x:c>
      <x:c r="M907" s="55" t="n">
        <x:v>0.041</x:v>
      </x:c>
      <x:c r="N907" s="54" t="n">
        <x:f>ROUND(J907*K907,2)</x:f>
        <x:v>2776.27</x:v>
      </x:c>
      <x:c r="O907" s="54" t="n">
        <x:f>ROUND(N907*(1-M907),2)</x:f>
        <x:v>2662.44</x:v>
      </x:c>
      <x:c r="P907" s="54" t="n">
        <x:f>ROUND(J907*L907,2)</x:f>
        <x:v>1508.78</x:v>
      </x:c>
      <x:c r="Q907" s="54" t="n">
        <x:f>ROUND(O907-P907,2)</x:f>
        <x:v>1153.66</x:v>
      </x:c>
      <x:c r="R907" s="55" t="n">
        <x:f>IF(O907=0,0,ROUND(Q907/O907,4))</x:f>
        <x:v>0.4333</x:v>
      </x:c>
      <x:c r="S907" s="53" t="n">
        <x:v>13</x:v>
      </x:c>
      <x:c r="T907" t="str">
        <x:v>Entregue com atraso</x:v>
      </x:c>
      <x:c r="U907" t="n">
        <x:v>2</x:v>
      </x:c>
      <x:c r="V907" t="str"/>
    </x:row>
    <x:row r="908">
      <x:c r="A908" s="52" t="n">
        <x:v>46071</x:v>
      </x:c>
      <x:c r="B908" t="str">
        <x:v>PED-100907</x:v>
      </x:c>
      <x:c r="C908" t="str">
        <x:v>Cliente 086</x:v>
      </x:c>
      <x:c r="D908" t="str">
        <x:v>PA</x:v>
      </x:c>
      <x:c r="E908" t="str">
        <x:v>Norte</x:v>
      </x:c>
      <x:c r="F908" t="str">
        <x:v>E-commerce</x:v>
      </x:c>
      <x:c r="G908" t="str">
        <x:v>Escritório</x:v>
      </x:c>
      <x:c r="H908" t="str">
        <x:v>Luminária LED</x:v>
      </x:c>
      <x:c r="I908" t="str">
        <x:v>Ana</x:v>
      </x:c>
      <x:c r="J908" s="53" t="n">
        <x:v>8</x:v>
      </x:c>
      <x:c r="K908" s="54" t="n">
        <x:v>246.75</x:v>
      </x:c>
      <x:c r="L908" s="54" t="n">
        <x:v>119.31</x:v>
      </x:c>
      <x:c r="M908" s="55" t="n">
        <x:v>0.1281</x:v>
      </x:c>
      <x:c r="N908" s="54" t="n">
        <x:f>ROUND(J908*K908,2)</x:f>
        <x:v>1974</x:v>
      </x:c>
      <x:c r="O908" s="54" t="n">
        <x:f>ROUND(N908*(1-M908),2)</x:f>
        <x:v>1721.13</x:v>
      </x:c>
      <x:c r="P908" s="54" t="n">
        <x:f>ROUND(J908*L908,2)</x:f>
        <x:v>954.48</x:v>
      </x:c>
      <x:c r="Q908" s="54" t="n">
        <x:f>ROUND(O908-P908,2)</x:f>
        <x:v>766.65</x:v>
      </x:c>
      <x:c r="R908" s="55" t="n">
        <x:f>IF(O908=0,0,ROUND(Q908/O908,4))</x:f>
        <x:v>0.4454</x:v>
      </x:c>
      <x:c r="S908" s="53" t="n">
        <x:v>8</x:v>
      </x:c>
      <x:c r="T908" t="str">
        <x:v>Entregue</x:v>
      </x:c>
      <x:c r="U908" t="n">
        <x:v>3</x:v>
      </x:c>
      <x:c r="V908" t="str"/>
    </x:row>
    <x:row r="909">
      <x:c r="A909" s="52" t="n">
        <x:v>46072</x:v>
      </x:c>
      <x:c r="B909" t="str">
        <x:v>PED-100908</x:v>
      </x:c>
      <x:c r="C909" t="str">
        <x:v>Cliente 036</x:v>
      </x:c>
      <x:c r="D909" t="str">
        <x:v>DF</x:v>
      </x:c>
      <x:c r="E909" t="str">
        <x:v>Centro-Oeste</x:v>
      </x:c>
      <x:c r="F909" t="str">
        <x:v>Televendas</x:v>
      </x:c>
      <x:c r="G909" t="str">
        <x:v>Casa</x:v>
      </x:c>
      <x:c r="H909" t="str">
        <x:v>Aspirador Robô</x:v>
      </x:c>
      <x:c r="I909" t="str">
        <x:v>Elaine</x:v>
      </x:c>
      <x:c r="J909" s="53" t="n">
        <x:v>5</x:v>
      </x:c>
      <x:c r="K909" s="54" t="n">
        <x:v>1835.5</x:v>
      </x:c>
      <x:c r="L909" s="54" t="n">
        <x:v>1214.05</x:v>
      </x:c>
      <x:c r="M909" s="55" t="n">
        <x:v>0.0926</x:v>
      </x:c>
      <x:c r="N909" s="54" t="n">
        <x:f>ROUND(J909*K909,2)</x:f>
        <x:v>9177.5</x:v>
      </x:c>
      <x:c r="O909" s="54" t="n">
        <x:f>ROUND(N909*(1-M909),2)</x:f>
        <x:v>8327.66</x:v>
      </x:c>
      <x:c r="P909" s="54" t="n">
        <x:f>ROUND(J909*L909,2)</x:f>
        <x:v>6070.25</x:v>
      </x:c>
      <x:c r="Q909" s="54" t="n">
        <x:f>ROUND(O909-P909,2)</x:f>
        <x:v>2257.41</x:v>
      </x:c>
      <x:c r="R909" s="55" t="n">
        <x:f>IF(O909=0,0,ROUND(Q909/O909,4))</x:f>
        <x:v>0.2711</x:v>
      </x:c>
      <x:c r="S909" s="53" t="n">
        <x:v>9</x:v>
      </x:c>
      <x:c r="T909" t="str">
        <x:v>Entregue</x:v>
      </x:c>
      <x:c r="U909" t="n">
        <x:v>4</x:v>
      </x:c>
      <x:c r="V909" t="str"/>
    </x:row>
    <x:row r="910">
      <x:c r="A910" s="52" t="n">
        <x:v>46105</x:v>
      </x:c>
      <x:c r="B910" t="str">
        <x:v>PED-100909</x:v>
      </x:c>
      <x:c r="C910" t="str">
        <x:v>Cliente 099</x:v>
      </x:c>
      <x:c r="D910" t="str">
        <x:v>SP</x:v>
      </x:c>
      <x:c r="E910" t="str">
        <x:v>Sudeste</x:v>
      </x:c>
      <x:c r="F910" t="str">
        <x:v>Loja</x:v>
      </x:c>
      <x:c r="G910" t="str">
        <x:v>Escritório</x:v>
      </x:c>
      <x:c r="H910" t="str">
        <x:v>Luminária LED</x:v>
      </x:c>
      <x:c r="I910" t="str">
        <x:v>Ana</x:v>
      </x:c>
      <x:c r="J910" s="53" t="n">
        <x:v>3</x:v>
      </x:c>
      <x:c r="K910" s="54" t="n">
        <x:v>270.89</x:v>
      </x:c>
      <x:c r="L910" s="54" t="n">
        <x:v>122.1</x:v>
      </x:c>
      <x:c r="M910" s="55" t="n">
        <x:v>0</x:v>
      </x:c>
      <x:c r="N910" s="54" t="n">
        <x:f>ROUND(J910*K910,2)</x:f>
        <x:v>812.67</x:v>
      </x:c>
      <x:c r="O910" s="54" t="n">
        <x:f>ROUND(N910*(1-M910),2)</x:f>
        <x:v>812.67</x:v>
      </x:c>
      <x:c r="P910" s="54" t="n">
        <x:f>ROUND(J910*L910,2)</x:f>
        <x:v>366.3</x:v>
      </x:c>
      <x:c r="Q910" s="54" t="n">
        <x:f>ROUND(O910-P910,2)</x:f>
        <x:v>446.37</x:v>
      </x:c>
      <x:c r="R910" s="55" t="n">
        <x:f>IF(O910=0,0,ROUND(Q910/O910,4))</x:f>
        <x:v>0.5493</x:v>
      </x:c>
      <x:c r="S910" s="53" t="n">
        <x:v>12</x:v>
      </x:c>
      <x:c r="T910" t="str">
        <x:v>Entregue com atraso</x:v>
      </x:c>
      <x:c r="U910" t="n">
        <x:v>5</x:v>
      </x:c>
      <x:c r="V910" t="str"/>
    </x:row>
    <x:row r="911">
      <x:c r="A911" s="52" t="n">
        <x:v>46142</x:v>
      </x:c>
      <x:c r="B911" t="str">
        <x:v>PED-100910</x:v>
      </x:c>
      <x:c r="C911" t="str">
        <x:v>Cliente 071</x:v>
      </x:c>
      <x:c r="D911" t="str">
        <x:v>SC</x:v>
      </x:c>
      <x:c r="E911" t="str">
        <x:v>Sul</x:v>
      </x:c>
      <x:c r="F911" t="str">
        <x:v>Loja</x:v>
      </x:c>
      <x:c r="G911" t="str">
        <x:v>Acessórios</x:v>
      </x:c>
      <x:c r="H911" t="str">
        <x:v>Mochila Executiva</x:v>
      </x:c>
      <x:c r="I911" t="str">
        <x:v>João</x:v>
      </x:c>
      <x:c r="J911" s="53" t="n">
        <x:v>8</x:v>
      </x:c>
      <x:c r="K911" s="54" t="n">
        <x:v>433.45</x:v>
      </x:c>
      <x:c r="L911" s="54" t="n">
        <x:v>183.95</x:v>
      </x:c>
      <x:c r="M911" s="55" t="n">
        <x:v>0</x:v>
      </x:c>
      <x:c r="N911" s="54" t="n">
        <x:f>ROUND(J911*K911,2)</x:f>
        <x:v>3467.6</x:v>
      </x:c>
      <x:c r="O911" s="54" t="n">
        <x:f>ROUND(N911*(1-M911),2)</x:f>
        <x:v>3467.6</x:v>
      </x:c>
      <x:c r="P911" s="54" t="n">
        <x:f>ROUND(J911*L911,2)</x:f>
        <x:v>1471.6</x:v>
      </x:c>
      <x:c r="Q911" s="54" t="n">
        <x:f>ROUND(O911-P911,2)</x:f>
        <x:v>1996</x:v>
      </x:c>
      <x:c r="R911" s="55" t="n">
        <x:f>IF(O911=0,0,ROUND(Q911/O911,4))</x:f>
        <x:v>0.5756</x:v>
      </x:c>
      <x:c r="S911" s="53" t="n">
        <x:v>8</x:v>
      </x:c>
      <x:c r="T911" t="str">
        <x:v>Entregue</x:v>
      </x:c>
      <x:c r="U911" t="n">
        <x:v>2</x:v>
      </x:c>
      <x:c r="V911" t="str"/>
    </x:row>
    <x:row r="912">
      <x:c r="A912" s="52" t="n">
        <x:v>46137</x:v>
      </x:c>
      <x:c r="B912" t="str">
        <x:v>PED-100911</x:v>
      </x:c>
      <x:c r="C912" t="str">
        <x:v>Cliente 035</x:v>
      </x:c>
      <x:c r="D912" t="str">
        <x:v>MG</x:v>
      </x:c>
      <x:c r="E912" t="str">
        <x:v>Sudeste</x:v>
      </x:c>
      <x:c r="F912" t="str">
        <x:v>Televendas</x:v>
      </x:c>
      <x:c r="G912" t="str">
        <x:v>Escritório</x:v>
      </x:c>
      <x:c r="H912" t="str">
        <x:v>Mesa Ajustável</x:v>
      </x:c>
      <x:c r="I912" t="str">
        <x:v>Gabriela</x:v>
      </x:c>
      <x:c r="J912" s="53" t="n">
        <x:v>2</x:v>
      </x:c>
      <x:c r="K912" s="54" t="n">
        <x:v>2938.54</x:v>
      </x:c>
      <x:c r="L912" s="54" t="n">
        <x:v>1785.39</x:v>
      </x:c>
      <x:c r="M912" s="55" t="n">
        <x:v>0.0598</x:v>
      </x:c>
      <x:c r="N912" s="54" t="n">
        <x:f>ROUND(J912*K912,2)</x:f>
        <x:v>5877.08</x:v>
      </x:c>
      <x:c r="O912" s="54" t="n">
        <x:f>ROUND(N912*(1-M912),2)</x:f>
        <x:v>5525.63</x:v>
      </x:c>
      <x:c r="P912" s="54" t="n">
        <x:f>ROUND(J912*L912,2)</x:f>
        <x:v>3570.78</x:v>
      </x:c>
      <x:c r="Q912" s="54" t="n">
        <x:f>ROUND(O912-P912,2)</x:f>
        <x:v>1954.85</x:v>
      </x:c>
      <x:c r="R912" s="55" t="n">
        <x:f>IF(O912=0,0,ROUND(Q912/O912,4))</x:f>
        <x:v>0.3538</x:v>
      </x:c>
      <x:c r="S912" s="53" t="n">
        <x:v>6</x:v>
      </x:c>
      <x:c r="T912" t="str">
        <x:v>Entregue</x:v>
      </x:c>
      <x:c r="U912" t="n">
        <x:v>3</x:v>
      </x:c>
      <x:c r="V912" t="str"/>
    </x:row>
    <x:row r="913">
      <x:c r="A913" s="52" t="n">
        <x:v>46085</x:v>
      </x:c>
      <x:c r="B913" t="str">
        <x:v>PED-100912</x:v>
      </x:c>
      <x:c r="C913" t="str">
        <x:v>Cliente 091</x:v>
      </x:c>
      <x:c r="D913" t="str">
        <x:v>PE</x:v>
      </x:c>
      <x:c r="E913" t="str">
        <x:v>Nordeste</x:v>
      </x:c>
      <x:c r="F913" t="str">
        <x:v>Loja</x:v>
      </x:c>
      <x:c r="G913" t="str">
        <x:v>Escritório</x:v>
      </x:c>
      <x:c r="H913" t="str">
        <x:v>Luminária LED</x:v>
      </x:c>
      <x:c r="I913" t="str">
        <x:v>Felipe</x:v>
      </x:c>
      <x:c r="J913" s="53" t="n">
        <x:v>5</x:v>
      </x:c>
      <x:c r="K913" s="54" t="n">
        <x:v>274.07</x:v>
      </x:c>
      <x:c r="L913" s="54" t="n">
        <x:v>124.03</x:v>
      </x:c>
      <x:c r="M913" s="55" t="n">
        <x:v>0.092</x:v>
      </x:c>
      <x:c r="N913" s="54" t="n">
        <x:f>ROUND(J913*K913,2)</x:f>
        <x:v>1370.35</x:v>
      </x:c>
      <x:c r="O913" s="54" t="n">
        <x:f>ROUND(N913*(1-M913),2)</x:f>
        <x:v>1244.28</x:v>
      </x:c>
      <x:c r="P913" s="54" t="n">
        <x:f>ROUND(J913*L913,2)</x:f>
        <x:v>620.15</x:v>
      </x:c>
      <x:c r="Q913" s="54" t="n">
        <x:f>ROUND(O913-P913,2)</x:f>
        <x:v>624.13</x:v>
      </x:c>
      <x:c r="R913" s="55" t="n">
        <x:f>IF(O913=0,0,ROUND(Q913/O913,4))</x:f>
        <x:v>0.5016</x:v>
      </x:c>
      <x:c r="S913" s="53" t="n">
        <x:v>10</x:v>
      </x:c>
      <x:c r="T913" t="str">
        <x:v>Entregue</x:v>
      </x:c>
      <x:c r="U913" t="n">
        <x:v>4</x:v>
      </x:c>
      <x:c r="V913" t="str"/>
    </x:row>
    <x:row r="914">
      <x:c r="A914" s="52" t="n">
        <x:v>46108</x:v>
      </x:c>
      <x:c r="B914" t="str">
        <x:v>PED-100913</x:v>
      </x:c>
      <x:c r="C914" t="str">
        <x:v>Cliente 065</x:v>
      </x:c>
      <x:c r="D914" t="str">
        <x:v>RJ</x:v>
      </x:c>
      <x:c r="E914" t="str">
        <x:v>Sudeste</x:v>
      </x:c>
      <x:c r="F914" t="str">
        <x:v>Loja</x:v>
      </x:c>
      <x:c r="G914" t="str">
        <x:v>Tecnologia</x:v>
      </x:c>
      <x:c r="H914" t="str">
        <x:v>Notebook Pro</x:v>
      </x:c>
      <x:c r="I914" t="str">
        <x:v>Elaine</x:v>
      </x:c>
      <x:c r="J914" s="53" t="n">
        <x:v>7</x:v>
      </x:c>
      <x:c r="K914" s="54" t="n">
        <x:v>5824.19</x:v>
      </x:c>
      <x:c r="L914" s="54" t="n">
        <x:v>4175.17</x:v>
      </x:c>
      <x:c r="M914" s="55" t="n">
        <x:v>0.0393</x:v>
      </x:c>
      <x:c r="N914" s="54" t="n">
        <x:f>ROUND(J914*K914,2)</x:f>
        <x:v>40769.33</x:v>
      </x:c>
      <x:c r="O914" s="54" t="n">
        <x:f>ROUND(N914*(1-M914),2)</x:f>
        <x:v>39167.1</x:v>
      </x:c>
      <x:c r="P914" s="54" t="n">
        <x:f>ROUND(J914*L914,2)</x:f>
        <x:v>29226.19</x:v>
      </x:c>
      <x:c r="Q914" s="54" t="n">
        <x:f>ROUND(O914-P914,2)</x:f>
        <x:v>9940.91</x:v>
      </x:c>
      <x:c r="R914" s="55" t="n">
        <x:f>IF(O914=0,0,ROUND(Q914/O914,4))</x:f>
        <x:v>0.2538</x:v>
      </x:c>
      <x:c r="S914" s="53" t="n">
        <x:v>4</x:v>
      </x:c>
      <x:c r="T914" t="str">
        <x:v>Entregue</x:v>
      </x:c>
      <x:c r="U914" t="n">
        <x:v>3</x:v>
      </x:c>
      <x:c r="V914" t="str"/>
    </x:row>
    <x:row r="915">
      <x:c r="A915" s="52" t="n">
        <x:v>46222</x:v>
      </x:c>
      <x:c r="B915" t="str">
        <x:v>PED-100914</x:v>
      </x:c>
      <x:c r="C915" t="str">
        <x:v>Cliente 074</x:v>
      </x:c>
      <x:c r="D915" t="str">
        <x:v>PE</x:v>
      </x:c>
      <x:c r="E915" t="str">
        <x:v>Nordeste</x:v>
      </x:c>
      <x:c r="F915" t="str">
        <x:v>Televendas</x:v>
      </x:c>
      <x:c r="G915" t="str">
        <x:v>Tecnologia</x:v>
      </x:c>
      <x:c r="H915" t="str">
        <x:v>Headset Office</x:v>
      </x:c>
      <x:c r="I915" t="str">
        <x:v>João</x:v>
      </x:c>
      <x:c r="J915" s="53" t="n">
        <x:v>1</x:v>
      </x:c>
      <x:c r="K915" s="54" t="n">
        <x:v>405.11</x:v>
      </x:c>
      <x:c r="L915" s="54" t="n">
        <x:v>219.9</x:v>
      </x:c>
      <x:c r="M915" s="55" t="n">
        <x:v>0</x:v>
      </x:c>
      <x:c r="N915" s="54" t="n">
        <x:f>ROUND(J915*K915,2)</x:f>
        <x:v>405.11</x:v>
      </x:c>
      <x:c r="O915" s="54" t="n">
        <x:f>ROUND(N915*(1-M915),2)</x:f>
        <x:v>405.11</x:v>
      </x:c>
      <x:c r="P915" s="54" t="n">
        <x:f>ROUND(J915*L915,2)</x:f>
        <x:v>219.9</x:v>
      </x:c>
      <x:c r="Q915" s="54" t="n">
        <x:f>ROUND(O915-P915,2)</x:f>
        <x:v>185.21</x:v>
      </x:c>
      <x:c r="R915" s="55" t="n">
        <x:f>IF(O915=0,0,ROUND(Q915/O915,4))</x:f>
        <x:v>0.4572</x:v>
      </x:c>
      <x:c r="S915" s="53" t="n">
        <x:v>8</x:v>
      </x:c>
      <x:c r="T915" t="str">
        <x:v>Entregue</x:v>
      </x:c>
      <x:c r="U915" t="n">
        <x:v>3</x:v>
      </x:c>
      <x:c r="V915" t="str"/>
    </x:row>
    <x:row r="916">
      <x:c r="A916" s="52" t="n">
        <x:v>46226</x:v>
      </x:c>
      <x:c r="B916" t="str">
        <x:v>PED-100915</x:v>
      </x:c>
      <x:c r="C916" t="str">
        <x:v>Cliente 069</x:v>
      </x:c>
      <x:c r="D916" t="str">
        <x:v>AM</x:v>
      </x:c>
      <x:c r="E916" t="str">
        <x:v>Norte</x:v>
      </x:c>
      <x:c r="F916" t="str">
        <x:v>Televendas</x:v>
      </x:c>
      <x:c r="G916" t="str">
        <x:v>Acessórios</x:v>
      </x:c>
      <x:c r="H916" t="str">
        <x:v>Hub USB-C</x:v>
      </x:c>
      <x:c r="I916" t="str">
        <x:v>Henrique</x:v>
      </x:c>
      <x:c r="J916" s="53" t="n">
        <x:v>6</x:v>
      </x:c>
      <x:c r="K916" s="54" t="n">
        <x:v>326.94</x:v>
      </x:c>
      <x:c r="L916" s="54" t="n">
        <x:v>143.46</x:v>
      </x:c>
      <x:c r="M916" s="55" t="n">
        <x:v>0.0912</x:v>
      </x:c>
      <x:c r="N916" s="54" t="n">
        <x:f>ROUND(J916*K916,2)</x:f>
        <x:v>1961.64</x:v>
      </x:c>
      <x:c r="O916" s="54" t="n">
        <x:f>ROUND(N916*(1-M916),2)</x:f>
        <x:v>1782.74</x:v>
      </x:c>
      <x:c r="P916" s="54" t="n">
        <x:f>ROUND(J916*L916,2)</x:f>
        <x:v>860.76</x:v>
      </x:c>
      <x:c r="Q916" s="54" t="n">
        <x:f>ROUND(O916-P916,2)</x:f>
        <x:v>921.98</x:v>
      </x:c>
      <x:c r="R916" s="55" t="n">
        <x:f>IF(O916=0,0,ROUND(Q916/O916,4))</x:f>
        <x:v>0.5172</x:v>
      </x:c>
      <x:c r="S916" s="53" t="n">
        <x:v>3</x:v>
      </x:c>
      <x:c r="T916" t="str">
        <x:v>Entregue</x:v>
      </x:c>
      <x:c r="U916" t="n">
        <x:v>4</x:v>
      </x:c>
      <x:c r="V916" t="str"/>
    </x:row>
    <x:row r="917">
      <x:c r="A917" s="52" t="n">
        <x:v>46092</x:v>
      </x:c>
      <x:c r="B917" t="str">
        <x:v>PED-100916</x:v>
      </x:c>
      <x:c r="C917" t="str">
        <x:v>Cliente 106</x:v>
      </x:c>
      <x:c r="D917" t="str">
        <x:v>PE</x:v>
      </x:c>
      <x:c r="E917" t="str">
        <x:v>Nordeste</x:v>
      </x:c>
      <x:c r="F917" t="str">
        <x:v>E-commerce</x:v>
      </x:c>
      <x:c r="G917" t="str">
        <x:v>Acessórios</x:v>
      </x:c>
      <x:c r="H917" t="str">
        <x:v>Hub USB-C</x:v>
      </x:c>
      <x:c r="I917" t="str">
        <x:v>Diego</x:v>
      </x:c>
      <x:c r="J917" s="53" t="n">
        <x:v>3</x:v>
      </x:c>
      <x:c r="K917" s="54" t="n">
        <x:v>310.04</x:v>
      </x:c>
      <x:c r="L917" s="54" t="n">
        <x:v>146.47</x:v>
      </x:c>
      <x:c r="M917" s="55" t="n">
        <x:v>0.064</x:v>
      </x:c>
      <x:c r="N917" s="54" t="n">
        <x:f>ROUND(J917*K917,2)</x:f>
        <x:v>930.12</x:v>
      </x:c>
      <x:c r="O917" s="54" t="n">
        <x:f>ROUND(N917*(1-M917),2)</x:f>
        <x:v>870.59</x:v>
      </x:c>
      <x:c r="P917" s="54" t="n">
        <x:f>ROUND(J917*L917,2)</x:f>
        <x:v>439.41</x:v>
      </x:c>
      <x:c r="Q917" s="54" t="n">
        <x:f>ROUND(O917-P917,2)</x:f>
        <x:v>431.18</x:v>
      </x:c>
      <x:c r="R917" s="55" t="n">
        <x:f>IF(O917=0,0,ROUND(Q917/O917,4))</x:f>
        <x:v>0.4953</x:v>
      </x:c>
      <x:c r="S917" s="53" t="n">
        <x:v>6</x:v>
      </x:c>
      <x:c r="T917" t="str">
        <x:v>Entregue</x:v>
      </x:c>
      <x:c r="U917" t="n">
        <x:v>4</x:v>
      </x:c>
      <x:c r="V917" t="str"/>
    </x:row>
    <x:row r="918">
      <x:c r="A918" s="52" t="n">
        <x:v>46205</x:v>
      </x:c>
      <x:c r="B918" t="str">
        <x:v>PED-100917</x:v>
      </x:c>
      <x:c r="C918" t="str">
        <x:v>Cliente 002</x:v>
      </x:c>
      <x:c r="D918" t="str">
        <x:v>SC</x:v>
      </x:c>
      <x:c r="E918" t="str">
        <x:v>Sul</x:v>
      </x:c>
      <x:c r="F918" t="str">
        <x:v>Televendas</x:v>
      </x:c>
      <x:c r="G918" t="str">
        <x:v>Casa</x:v>
      </x:c>
      <x:c r="H918" t="str">
        <x:v>Cafeteira Smart</x:v>
      </x:c>
      <x:c r="I918" t="str">
        <x:v>Henrique</x:v>
      </x:c>
      <x:c r="J918" s="53" t="n">
        <x:v>8</x:v>
      </x:c>
      <x:c r="K918" s="54" t="n">
        <x:v>779</x:v>
      </x:c>
      <x:c r="L918" s="54" t="n">
        <x:v>443.81</x:v>
      </x:c>
      <x:c r="M918" s="55" t="n">
        <x:v>0.0827</x:v>
      </x:c>
      <x:c r="N918" s="54" t="n">
        <x:f>ROUND(J918*K918,2)</x:f>
        <x:v>6232</x:v>
      </x:c>
      <x:c r="O918" s="54" t="n">
        <x:f>ROUND(N918*(1-M918),2)</x:f>
        <x:v>5716.61</x:v>
      </x:c>
      <x:c r="P918" s="54" t="n">
        <x:f>ROUND(J918*L918,2)</x:f>
        <x:v>3550.48</x:v>
      </x:c>
      <x:c r="Q918" s="54" t="n">
        <x:f>ROUND(O918-P918,2)</x:f>
        <x:v>2166.13</x:v>
      </x:c>
      <x:c r="R918" s="55" t="n">
        <x:f>IF(O918=0,0,ROUND(Q918/O918,4))</x:f>
        <x:v>0.3789</x:v>
      </x:c>
      <x:c r="S918" s="53" t="n">
        <x:v>11</x:v>
      </x:c>
      <x:c r="T918" t="str">
        <x:v>Entregue com atraso</x:v>
      </x:c>
      <x:c r="U918" t="n">
        <x:v>4</x:v>
      </x:c>
      <x:c r="V918" t="str"/>
    </x:row>
    <x:row r="919">
      <x:c r="A919" s="52" t="n">
        <x:v>46095</x:v>
      </x:c>
      <x:c r="B919" t="str">
        <x:v>PED-100918</x:v>
      </x:c>
      <x:c r="C919" t="str">
        <x:v>Cliente 108</x:v>
      </x:c>
      <x:c r="D919" t="str">
        <x:v>PR</x:v>
      </x:c>
      <x:c r="E919" t="str">
        <x:v>Sul</x:v>
      </x:c>
      <x:c r="F919" t="str">
        <x:v>Marketplace</x:v>
      </x:c>
      <x:c r="G919" t="str">
        <x:v>Acessórios</x:v>
      </x:c>
      <x:c r="H919" t="str">
        <x:v>Webcam HD</x:v>
      </x:c>
      <x:c r="I919" t="str">
        <x:v>Bruno</x:v>
      </x:c>
      <x:c r="J919" s="53" t="n">
        <x:v>8</x:v>
      </x:c>
      <x:c r="K919" s="54" t="n">
        <x:v>498.1</x:v>
      </x:c>
      <x:c r="L919" s="54" t="n">
        <x:v>249.54</x:v>
      </x:c>
      <x:c r="M919" s="55" t="n">
        <x:v>0.0991</x:v>
      </x:c>
      <x:c r="N919" s="54" t="n">
        <x:f>ROUND(J919*K919,2)</x:f>
        <x:v>3984.8</x:v>
      </x:c>
      <x:c r="O919" s="54" t="n">
        <x:f>ROUND(N919*(1-M919),2)</x:f>
        <x:v>3589.91</x:v>
      </x:c>
      <x:c r="P919" s="54" t="n">
        <x:f>ROUND(J919*L919,2)</x:f>
        <x:v>1996.32</x:v>
      </x:c>
      <x:c r="Q919" s="54" t="n">
        <x:f>ROUND(O919-P919,2)</x:f>
        <x:v>1593.59</x:v>
      </x:c>
      <x:c r="R919" s="55" t="n">
        <x:f>IF(O919=0,0,ROUND(Q919/O919,4))</x:f>
        <x:v>0.4439</x:v>
      </x:c>
      <x:c r="S919" s="53" t="n">
        <x:v>4</x:v>
      </x:c>
      <x:c r="T919" t="str">
        <x:v>Entregue</x:v>
      </x:c>
      <x:c r="U919" t="n">
        <x:v>5</x:v>
      </x:c>
      <x:c r="V919" t="str"/>
    </x:row>
    <x:row r="920">
      <x:c r="A920" s="52" t="n">
        <x:v>46146</x:v>
      </x:c>
      <x:c r="B920" t="str">
        <x:v>PED-100919</x:v>
      </x:c>
      <x:c r="C920" t="str">
        <x:v>Cliente 099</x:v>
      </x:c>
      <x:c r="D920" t="str">
        <x:v>PE</x:v>
      </x:c>
      <x:c r="E920" t="str">
        <x:v>Nordeste</x:v>
      </x:c>
      <x:c r="F920" t="str">
        <x:v>E-commerce</x:v>
      </x:c>
      <x:c r="G920" t="str">
        <x:v>Tecnologia</x:v>
      </x:c>
      <x:c r="H920" t="str">
        <x:v>Notebook Pro</x:v>
      </x:c>
      <x:c r="I920" t="str">
        <x:v>João</x:v>
      </x:c>
      <x:c r="J920" s="53" t="n">
        <x:v>3</x:v>
      </x:c>
      <x:c r="K920" s="54" t="n">
        <x:v>5998.14</x:v>
      </x:c>
      <x:c r="L920" s="54" t="n">
        <x:v>4391.11</x:v>
      </x:c>
      <x:c r="M920" s="55" t="n">
        <x:v>0</x:v>
      </x:c>
      <x:c r="N920" s="54" t="n">
        <x:f>ROUND(J920*K920,2)</x:f>
        <x:v>17994.42</x:v>
      </x:c>
      <x:c r="O920" s="54" t="n">
        <x:f>ROUND(N920*(1-M920),2)</x:f>
        <x:v>17994.42</x:v>
      </x:c>
      <x:c r="P920" s="54" t="n">
        <x:f>ROUND(J920*L920,2)</x:f>
        <x:v>13173.33</x:v>
      </x:c>
      <x:c r="Q920" s="54" t="n">
        <x:f>ROUND(O920-P920,2)</x:f>
        <x:v>4821.09</x:v>
      </x:c>
      <x:c r="R920" s="55" t="n">
        <x:f>IF(O920=0,0,ROUND(Q920/O920,4))</x:f>
        <x:v>0.2679</x:v>
      </x:c>
      <x:c r="S920" s="53" t="n">
        <x:v>10</x:v>
      </x:c>
      <x:c r="T920" t="str">
        <x:v>Entregue</x:v>
      </x:c>
      <x:c r="U920" t="n">
        <x:v>5</x:v>
      </x:c>
      <x:c r="V920" t="str"/>
    </x:row>
    <x:row r="921">
      <x:c r="A921" s="52" t="n">
        <x:v>46099</x:v>
      </x:c>
      <x:c r="B921" t="str">
        <x:v>PED-100920</x:v>
      </x:c>
      <x:c r="C921" t="str">
        <x:v>Cliente 100</x:v>
      </x:c>
      <x:c r="D921" t="str">
        <x:v>ES</x:v>
      </x:c>
      <x:c r="E921" t="str">
        <x:v>Sudeste</x:v>
      </x:c>
      <x:c r="F921" t="str">
        <x:v>Televendas</x:v>
      </x:c>
      <x:c r="G921" t="str">
        <x:v>Escritório</x:v>
      </x:c>
      <x:c r="H921" t="str">
        <x:v>Mesa Ajustável</x:v>
      </x:c>
      <x:c r="I921" t="str">
        <x:v>Carla</x:v>
      </x:c>
      <x:c r="J921" s="53" t="n">
        <x:v>2</x:v>
      </x:c>
      <x:c r="K921" s="54" t="n">
        <x:v>2792.2</x:v>
      </x:c>
      <x:c r="L921" s="54" t="n">
        <x:v>1758.03</x:v>
      </x:c>
      <x:c r="M921" s="55" t="n">
        <x:v>0.0268</x:v>
      </x:c>
      <x:c r="N921" s="54" t="n">
        <x:f>ROUND(J921*K921,2)</x:f>
        <x:v>5584.4</x:v>
      </x:c>
      <x:c r="O921" s="54" t="n">
        <x:f>ROUND(N921*(1-M921),2)</x:f>
        <x:v>5434.74</x:v>
      </x:c>
      <x:c r="P921" s="54" t="n">
        <x:f>ROUND(J921*L921,2)</x:f>
        <x:v>3516.06</x:v>
      </x:c>
      <x:c r="Q921" s="54" t="n">
        <x:f>ROUND(O921-P921,2)</x:f>
        <x:v>1918.68</x:v>
      </x:c>
      <x:c r="R921" s="55" t="n">
        <x:f>IF(O921=0,0,ROUND(Q921/O921,4))</x:f>
        <x:v>0.353</x:v>
      </x:c>
      <x:c r="S921" s="53" t="n">
        <x:v>6</x:v>
      </x:c>
      <x:c r="T921" t="str">
        <x:v>Entregue</x:v>
      </x:c>
      <x:c r="U921" t="n">
        <x:v>3</x:v>
      </x:c>
      <x:c r="V921" t="str"/>
    </x:row>
    <x:row r="922">
      <x:c r="A922" s="52" t="n">
        <x:v>46075</x:v>
      </x:c>
      <x:c r="B922" t="str">
        <x:v>PED-100921</x:v>
      </x:c>
      <x:c r="C922" t="str">
        <x:v>Cliente 076</x:v>
      </x:c>
      <x:c r="D922" t="str">
        <x:v>PR</x:v>
      </x:c>
      <x:c r="E922" t="str">
        <x:v>Sul</x:v>
      </x:c>
      <x:c r="F922" t="str">
        <x:v>E-commerce</x:v>
      </x:c>
      <x:c r="G922" t="str">
        <x:v>Acessórios</x:v>
      </x:c>
      <x:c r="H922" t="str">
        <x:v>Hub USB-C</x:v>
      </x:c>
      <x:c r="I922" t="str">
        <x:v>Carla</x:v>
      </x:c>
      <x:c r="J922" s="53" t="n">
        <x:v>8</x:v>
      </x:c>
      <x:c r="K922" s="54" t="n">
        <x:v>319.48</x:v>
      </x:c>
      <x:c r="L922" s="54" t="n">
        <x:v>137.52</x:v>
      </x:c>
      <x:c r="M922" s="55" t="n">
        <x:v>0.1136</x:v>
      </x:c>
      <x:c r="N922" s="54" t="n">
        <x:f>ROUND(J922*K922,2)</x:f>
        <x:v>2555.84</x:v>
      </x:c>
      <x:c r="O922" s="54" t="n">
        <x:f>ROUND(N922*(1-M922),2)</x:f>
        <x:v>2265.5</x:v>
      </x:c>
      <x:c r="P922" s="54" t="n">
        <x:f>ROUND(J922*L922,2)</x:f>
        <x:v>1100.16</x:v>
      </x:c>
      <x:c r="Q922" s="54" t="n">
        <x:f>ROUND(O922-P922,2)</x:f>
        <x:v>1165.34</x:v>
      </x:c>
      <x:c r="R922" s="55" t="n">
        <x:f>IF(O922=0,0,ROUND(Q922/O922,4))</x:f>
        <x:v>0.5144</x:v>
      </x:c>
      <x:c r="S922" s="53" t="n">
        <x:v>4</x:v>
      </x:c>
      <x:c r="T922" t="str">
        <x:v>Entregue</x:v>
      </x:c>
      <x:c r="U922" t="n">
        <x:v>5</x:v>
      </x:c>
      <x:c r="V922" t="str"/>
    </x:row>
    <x:row r="923">
      <x:c r="A923" s="52" t="n">
        <x:v>46085</x:v>
      </x:c>
      <x:c r="B923" t="str">
        <x:v>PED-100922</x:v>
      </x:c>
      <x:c r="C923" t="str">
        <x:v>Cliente 009</x:v>
      </x:c>
      <x:c r="D923" t="str">
        <x:v>PE</x:v>
      </x:c>
      <x:c r="E923" t="str">
        <x:v>Nordeste</x:v>
      </x:c>
      <x:c r="F923" t="str">
        <x:v>Loja</x:v>
      </x:c>
      <x:c r="G923" t="str">
        <x:v>Casa</x:v>
      </x:c>
      <x:c r="H923" t="str">
        <x:v>Aspirador Robô</x:v>
      </x:c>
      <x:c r="I923" t="str">
        <x:v>Bruno</x:v>
      </x:c>
      <x:c r="J923" s="53" t="n">
        <x:v>4</x:v>
      </x:c>
      <x:c r="K923" s="54" t="n">
        <x:v>1905.06</x:v>
      </x:c>
      <x:c r="L923" s="54" t="n">
        <x:v>1268.02</x:v>
      </x:c>
      <x:c r="M923" s="55" t="n">
        <x:v>0.0958</x:v>
      </x:c>
      <x:c r="N923" s="54" t="n">
        <x:f>ROUND(J923*K923,2)</x:f>
        <x:v>7620.24</x:v>
      </x:c>
      <x:c r="O923" s="54" t="n">
        <x:f>ROUND(N923*(1-M923),2)</x:f>
        <x:v>6890.22</x:v>
      </x:c>
      <x:c r="P923" s="54" t="n">
        <x:f>ROUND(J923*L923,2)</x:f>
        <x:v>5072.08</x:v>
      </x:c>
      <x:c r="Q923" s="54" t="n">
        <x:f>ROUND(O923-P923,2)</x:f>
        <x:v>1818.14</x:v>
      </x:c>
      <x:c r="R923" s="55" t="n">
        <x:f>IF(O923=0,0,ROUND(Q923/O923,4))</x:f>
        <x:v>0.2639</x:v>
      </x:c>
      <x:c r="S923" s="53" t="n">
        <x:v>4</x:v>
      </x:c>
      <x:c r="T923" t="str">
        <x:v>Entregue</x:v>
      </x:c>
      <x:c r="U923" t="n">
        <x:v>3</x:v>
      </x:c>
      <x:c r="V923" t="str"/>
    </x:row>
    <x:row r="924">
      <x:c r="A924" s="52" t="n">
        <x:v>46183</x:v>
      </x:c>
      <x:c r="B924" t="str">
        <x:v>PED-100923</x:v>
      </x:c>
      <x:c r="C924" t="str">
        <x:v>Cliente 046</x:v>
      </x:c>
      <x:c r="D924" t="str">
        <x:v>MG</x:v>
      </x:c>
      <x:c r="E924" t="str">
        <x:v>Sudeste</x:v>
      </x:c>
      <x:c r="F924" t="str">
        <x:v>E-commerce</x:v>
      </x:c>
      <x:c r="G924" t="str">
        <x:v>Tecnologia</x:v>
      </x:c>
      <x:c r="H924" t="str">
        <x:v>Headset Office</x:v>
      </x:c>
      <x:c r="I924" t="str">
        <x:v>Diego</x:v>
      </x:c>
      <x:c r="J924" s="53" t="n">
        <x:v>5</x:v>
      </x:c>
      <x:c r="K924" s="54" t="n">
        <x:v>396.13</x:v>
      </x:c>
      <x:c r="L924" s="54" t="n">
        <x:v>201.78</x:v>
      </x:c>
      <x:c r="M924" s="55" t="n">
        <x:v>0</x:v>
      </x:c>
      <x:c r="N924" s="54" t="n">
        <x:f>ROUND(J924*K924,2)</x:f>
        <x:v>1980.65</x:v>
      </x:c>
      <x:c r="O924" s="54" t="n">
        <x:f>ROUND(N924*(1-M924),2)</x:f>
        <x:v>1980.65</x:v>
      </x:c>
      <x:c r="P924" s="54" t="n">
        <x:f>ROUND(J924*L924,2)</x:f>
        <x:v>1008.9</x:v>
      </x:c>
      <x:c r="Q924" s="54" t="n">
        <x:f>ROUND(O924-P924,2)</x:f>
        <x:v>971.75</x:v>
      </x:c>
      <x:c r="R924" s="55" t="n">
        <x:f>IF(O924=0,0,ROUND(Q924/O924,4))</x:f>
        <x:v>0.4906</x:v>
      </x:c>
      <x:c r="S924" s="53" t="n">
        <x:v>10</x:v>
      </x:c>
      <x:c r="T924" t="str">
        <x:v>Entregue</x:v>
      </x:c>
      <x:c r="U924" t="n">
        <x:v>4</x:v>
      </x:c>
      <x:c r="V924" t="str"/>
    </x:row>
    <x:row r="925">
      <x:c r="A925" s="52" t="n">
        <x:v>46083</x:v>
      </x:c>
      <x:c r="B925" t="str">
        <x:v>PED-100924</x:v>
      </x:c>
      <x:c r="C925" t="str">
        <x:v>Cliente 075</x:v>
      </x:c>
      <x:c r="D925" t="str">
        <x:v>BA</x:v>
      </x:c>
      <x:c r="E925" t="str">
        <x:v>Nordeste</x:v>
      </x:c>
      <x:c r="F925" t="str">
        <x:v>Loja</x:v>
      </x:c>
      <x:c r="G925" t="str">
        <x:v>Casa</x:v>
      </x:c>
      <x:c r="H925" t="str">
        <x:v>Purificador</x:v>
      </x:c>
      <x:c r="I925" t="str">
        <x:v>Felipe</x:v>
      </x:c>
      <x:c r="J925" s="53" t="n">
        <x:v>2</x:v>
      </x:c>
      <x:c r="K925" s="54" t="n">
        <x:v>1306.88</x:v>
      </x:c>
      <x:c r="L925" s="54" t="n">
        <x:v>796.04</x:v>
      </x:c>
      <x:c r="M925" s="55" t="n">
        <x:v>0.0496</x:v>
      </x:c>
      <x:c r="N925" s="54" t="n">
        <x:f>ROUND(J925*K925,2)</x:f>
        <x:v>2613.76</x:v>
      </x:c>
      <x:c r="O925" s="54" t="n">
        <x:f>ROUND(N925*(1-M925),2)</x:f>
        <x:v>2484.12</x:v>
      </x:c>
      <x:c r="P925" s="54" t="n">
        <x:f>ROUND(J925*L925,2)</x:f>
        <x:v>1592.08</x:v>
      </x:c>
      <x:c r="Q925" s="54" t="n">
        <x:f>ROUND(O925-P925,2)</x:f>
        <x:v>892.04</x:v>
      </x:c>
      <x:c r="R925" s="55" t="n">
        <x:f>IF(O925=0,0,ROUND(Q925/O925,4))</x:f>
        <x:v>0.3591</x:v>
      </x:c>
      <x:c r="S925" s="53" t="n">
        <x:v>13</x:v>
      </x:c>
      <x:c r="T925" t="str">
        <x:v>Entregue com atraso</x:v>
      </x:c>
      <x:c r="U925" t="n">
        <x:v>4</x:v>
      </x:c>
      <x:c r="V925" t="str"/>
    </x:row>
    <x:row r="926">
      <x:c r="A926" s="52" t="n">
        <x:v>46042</x:v>
      </x:c>
      <x:c r="B926" t="str">
        <x:v>PED-100925</x:v>
      </x:c>
      <x:c r="C926" t="str">
        <x:v>Cliente 110</x:v>
      </x:c>
      <x:c r="D926" t="str">
        <x:v>ES</x:v>
      </x:c>
      <x:c r="E926" t="str">
        <x:v>Sudeste</x:v>
      </x:c>
      <x:c r="F926" t="str">
        <x:v>Televendas</x:v>
      </x:c>
      <x:c r="G926" t="str">
        <x:v>Casa</x:v>
      </x:c>
      <x:c r="H926" t="str">
        <x:v>Purificador</x:v>
      </x:c>
      <x:c r="I926" t="str">
        <x:v>Bruno</x:v>
      </x:c>
      <x:c r="J926" s="53" t="n">
        <x:v>8</x:v>
      </x:c>
      <x:c r="K926" s="54" t="n">
        <x:v>1285.87</x:v>
      </x:c>
      <x:c r="L926" s="54" t="n">
        <x:v>782.81</x:v>
      </x:c>
      <x:c r="M926" s="55" t="n">
        <x:v>0.1101</x:v>
      </x:c>
      <x:c r="N926" s="54" t="n">
        <x:f>ROUND(J926*K926,2)</x:f>
        <x:v>10286.96</x:v>
      </x:c>
      <x:c r="O926" s="54" t="n">
        <x:f>ROUND(N926*(1-M926),2)</x:f>
        <x:v>9154.37</x:v>
      </x:c>
      <x:c r="P926" s="54" t="n">
        <x:f>ROUND(J926*L926,2)</x:f>
        <x:v>6262.48</x:v>
      </x:c>
      <x:c r="Q926" s="54" t="n">
        <x:f>ROUND(O926-P926,2)</x:f>
        <x:v>2891.89</x:v>
      </x:c>
      <x:c r="R926" s="55" t="n">
        <x:f>IF(O926=0,0,ROUND(Q926/O926,4))</x:f>
        <x:v>0.3159</x:v>
      </x:c>
      <x:c r="S926" s="53" t="n">
        <x:v>5</x:v>
      </x:c>
      <x:c r="T926" t="str">
        <x:v>Entregue</x:v>
      </x:c>
      <x:c r="U926" t="n">
        <x:v>2</x:v>
      </x:c>
      <x:c r="V926" t="str"/>
    </x:row>
    <x:row r="927">
      <x:c r="A927" s="52" t="n">
        <x:v>46183</x:v>
      </x:c>
      <x:c r="B927" t="str">
        <x:v>PED-100926</x:v>
      </x:c>
      <x:c r="C927" t="str">
        <x:v>Cliente 040</x:v>
      </x:c>
      <x:c r="D927" t="str">
        <x:v>PR</x:v>
      </x:c>
      <x:c r="E927" t="str">
        <x:v>Sul</x:v>
      </x:c>
      <x:c r="F927" t="str">
        <x:v>Televendas</x:v>
      </x:c>
      <x:c r="G927" t="str">
        <x:v>Casa</x:v>
      </x:c>
      <x:c r="H927" t="str">
        <x:v>Cafeteira Smart</x:v>
      </x:c>
      <x:c r="I927" t="str">
        <x:v>Isabela</x:v>
      </x:c>
      <x:c r="J927" s="53" t="n">
        <x:v>8</x:v>
      </x:c>
      <x:c r="K927" s="54" t="n">
        <x:v>786.98</x:v>
      </x:c>
      <x:c r="L927" s="54" t="n">
        <x:v>462.14</x:v>
      </x:c>
      <x:c r="M927" s="55" t="n">
        <x:v>0</x:v>
      </x:c>
      <x:c r="N927" s="54" t="n">
        <x:f>ROUND(J927*K927,2)</x:f>
        <x:v>6295.84</x:v>
      </x:c>
      <x:c r="O927" s="54" t="n">
        <x:f>ROUND(N927*(1-M927),2)</x:f>
        <x:v>6295.84</x:v>
      </x:c>
      <x:c r="P927" s="54" t="n">
        <x:f>ROUND(J927*L927,2)</x:f>
        <x:v>3697.12</x:v>
      </x:c>
      <x:c r="Q927" s="54" t="n">
        <x:f>ROUND(O927-P927,2)</x:f>
        <x:v>2598.72</x:v>
      </x:c>
      <x:c r="R927" s="55" t="n">
        <x:f>IF(O927=0,0,ROUND(Q927/O927,4))</x:f>
        <x:v>0.4128</x:v>
      </x:c>
      <x:c r="S927" s="53" t="n">
        <x:v>8</x:v>
      </x:c>
      <x:c r="T927" t="str">
        <x:v>Entregue</x:v>
      </x:c>
      <x:c r="U927" t="n">
        <x:v>4</x:v>
      </x:c>
      <x:c r="V927" t="str"/>
    </x:row>
    <x:row r="928">
      <x:c r="A928" s="52" t="n">
        <x:v>46061</x:v>
      </x:c>
      <x:c r="B928" t="str">
        <x:v>PED-100927</x:v>
      </x:c>
      <x:c r="C928" t="str">
        <x:v>Cliente 117</x:v>
      </x:c>
      <x:c r="D928" t="str">
        <x:v>ES</x:v>
      </x:c>
      <x:c r="E928" t="str">
        <x:v>Sudeste</x:v>
      </x:c>
      <x:c r="F928" t="str">
        <x:v>Loja</x:v>
      </x:c>
      <x:c r="G928" t="str">
        <x:v>Tecnologia</x:v>
      </x:c>
      <x:c r="H928" t="str">
        <x:v>Monitor 27</x:v>
      </x:c>
      <x:c r="I928" t="str">
        <x:v>Gabriela</x:v>
      </x:c>
      <x:c r="J928" s="53" t="n">
        <x:v>5</x:v>
      </x:c>
      <x:c r="K928" s="54" t="n">
        <x:v>1594.7</x:v>
      </x:c>
      <x:c r="L928" s="54" t="n">
        <x:v>1074.22</x:v>
      </x:c>
      <x:c r="M928" s="55" t="n">
        <x:v>0.1105</x:v>
      </x:c>
      <x:c r="N928" s="54" t="n">
        <x:f>ROUND(J928*K928,2)</x:f>
        <x:v>7973.5</x:v>
      </x:c>
      <x:c r="O928" s="54" t="n">
        <x:f>ROUND(N928*(1-M928),2)</x:f>
        <x:v>7092.43</x:v>
      </x:c>
      <x:c r="P928" s="54" t="n">
        <x:f>ROUND(J928*L928,2)</x:f>
        <x:v>5371.1</x:v>
      </x:c>
      <x:c r="Q928" s="54" t="n">
        <x:f>ROUND(O928-P928,2)</x:f>
        <x:v>1721.33</x:v>
      </x:c>
      <x:c r="R928" s="55" t="n">
        <x:f>IF(O928=0,0,ROUND(Q928/O928,4))</x:f>
        <x:v>0.2427</x:v>
      </x:c>
      <x:c r="S928" s="53" t="n">
        <x:v>13</x:v>
      </x:c>
      <x:c r="T928" t="str">
        <x:v>Entregue com atraso</x:v>
      </x:c>
      <x:c r="U928" t="n">
        <x:v>2</x:v>
      </x:c>
      <x:c r="V928" t="str"/>
    </x:row>
    <x:row r="929">
      <x:c r="A929" s="52" t="n">
        <x:v>46175</x:v>
      </x:c>
      <x:c r="B929" t="str">
        <x:v>PED-100928</x:v>
      </x:c>
      <x:c r="C929" t="str">
        <x:v>Cliente 087</x:v>
      </x:c>
      <x:c r="D929" t="str">
        <x:v>ES</x:v>
      </x:c>
      <x:c r="E929" t="str">
        <x:v>Sudeste</x:v>
      </x:c>
      <x:c r="F929" t="str">
        <x:v>Loja</x:v>
      </x:c>
      <x:c r="G929" t="str">
        <x:v>Escritório</x:v>
      </x:c>
      <x:c r="H929" t="str">
        <x:v>Cadeira Ergonômica</x:v>
      </x:c>
      <x:c r="I929" t="str">
        <x:v>Henrique</x:v>
      </x:c>
      <x:c r="J929" s="53" t="n">
        <x:v>8</x:v>
      </x:c>
      <x:c r="K929" s="54" t="n">
        <x:v>2139.64</x:v>
      </x:c>
      <x:c r="L929" s="54" t="n">
        <x:v>1403.43</x:v>
      </x:c>
      <x:c r="M929" s="55" t="n">
        <x:v>0</x:v>
      </x:c>
      <x:c r="N929" s="54" t="n">
        <x:f>ROUND(J929*K929,2)</x:f>
        <x:v>17117.12</x:v>
      </x:c>
      <x:c r="O929" s="54" t="n">
        <x:f>ROUND(N929*(1-M929),2)</x:f>
        <x:v>17117.12</x:v>
      </x:c>
      <x:c r="P929" s="54" t="n">
        <x:f>ROUND(J929*L929,2)</x:f>
        <x:v>11227.44</x:v>
      </x:c>
      <x:c r="Q929" s="54" t="n">
        <x:f>ROUND(O929-P929,2)</x:f>
        <x:v>5889.68</x:v>
      </x:c>
      <x:c r="R929" s="55" t="n">
        <x:f>IF(O929=0,0,ROUND(Q929/O929,4))</x:f>
        <x:v>0.3441</x:v>
      </x:c>
      <x:c r="S929" s="53" t="n">
        <x:v>11</x:v>
      </x:c>
      <x:c r="T929" t="str">
        <x:v>Entregue com atraso</x:v>
      </x:c>
      <x:c r="U929" t="n">
        <x:v>5</x:v>
      </x:c>
      <x:c r="V929" t="str"/>
    </x:row>
    <x:row r="930">
      <x:c r="A930" s="52" t="n">
        <x:v>46101</x:v>
      </x:c>
      <x:c r="B930" t="str">
        <x:v>PED-100929</x:v>
      </x:c>
      <x:c r="C930" t="str">
        <x:v>Cliente 072</x:v>
      </x:c>
      <x:c r="D930" t="str">
        <x:v>BA</x:v>
      </x:c>
      <x:c r="E930" t="str">
        <x:v>Nordeste</x:v>
      </x:c>
      <x:c r="F930" t="str">
        <x:v>Marketplace</x:v>
      </x:c>
      <x:c r="G930" t="str">
        <x:v>Escritório</x:v>
      </x:c>
      <x:c r="H930" t="str">
        <x:v>Cadeira Ergonômica</x:v>
      </x:c>
      <x:c r="I930" t="str">
        <x:v>Bruno</x:v>
      </x:c>
      <x:c r="J930" s="53" t="n">
        <x:v>8</x:v>
      </x:c>
      <x:c r="K930" s="54" t="n">
        <x:v>2243.24</x:v>
      </x:c>
      <x:c r="L930" s="54" t="n">
        <x:v>1467.22</x:v>
      </x:c>
      <x:c r="M930" s="55" t="n">
        <x:v>0.1397</x:v>
      </x:c>
      <x:c r="N930" s="54" t="n">
        <x:f>ROUND(J930*K930,2)</x:f>
        <x:v>17945.92</x:v>
      </x:c>
      <x:c r="O930" s="54" t="n">
        <x:f>ROUND(N930*(1-M930),2)</x:f>
        <x:v>15438.87</x:v>
      </x:c>
      <x:c r="P930" s="54" t="n">
        <x:f>ROUND(J930*L930,2)</x:f>
        <x:v>11737.76</x:v>
      </x:c>
      <x:c r="Q930" s="54" t="n">
        <x:f>ROUND(O930-P930,2)</x:f>
        <x:v>3701.11</x:v>
      </x:c>
      <x:c r="R930" s="55" t="n">
        <x:f>IF(O930=0,0,ROUND(Q930/O930,4))</x:f>
        <x:v>0.2397</x:v>
      </x:c>
      <x:c r="S930" s="53" t="n">
        <x:v>8</x:v>
      </x:c>
      <x:c r="T930" t="str">
        <x:v>Entregue</x:v>
      </x:c>
      <x:c r="U930" t="n">
        <x:v>5</x:v>
      </x:c>
      <x:c r="V930" t="str"/>
    </x:row>
    <x:row r="931">
      <x:c r="A931" s="52" t="n">
        <x:v>46188</x:v>
      </x:c>
      <x:c r="B931" t="str">
        <x:v>PED-100930</x:v>
      </x:c>
      <x:c r="C931" t="str">
        <x:v>Cliente 098</x:v>
      </x:c>
      <x:c r="D931" t="str">
        <x:v>MA</x:v>
      </x:c>
      <x:c r="E931" t="str">
        <x:v>Nordeste</x:v>
      </x:c>
      <x:c r="F931" t="str">
        <x:v>E-commerce</x:v>
      </x:c>
      <x:c r="G931" t="str">
        <x:v>Casa</x:v>
      </x:c>
      <x:c r="H931" t="str">
        <x:v>Cafeteira Smart</x:v>
      </x:c>
      <x:c r="I931" t="str">
        <x:v>Gabriela</x:v>
      </x:c>
      <x:c r="J931" s="53" t="n">
        <x:v>5</x:v>
      </x:c>
      <x:c r="K931" s="54" t="n">
        <x:v>826.32</x:v>
      </x:c>
      <x:c r="L931" s="54" t="n">
        <x:v>482.98</x:v>
      </x:c>
      <x:c r="M931" s="55" t="n">
        <x:v>0.0847</x:v>
      </x:c>
      <x:c r="N931" s="54" t="n">
        <x:f>ROUND(J931*K931,2)</x:f>
        <x:v>4131.6</x:v>
      </x:c>
      <x:c r="O931" s="54" t="n">
        <x:f>ROUND(N931*(1-M931),2)</x:f>
        <x:v>3781.65</x:v>
      </x:c>
      <x:c r="P931" s="54" t="n">
        <x:f>ROUND(J931*L931,2)</x:f>
        <x:v>2414.9</x:v>
      </x:c>
      <x:c r="Q931" s="54" t="n">
        <x:f>ROUND(O931-P931,2)</x:f>
        <x:v>1366.75</x:v>
      </x:c>
      <x:c r="R931" s="55" t="n">
        <x:f>IF(O931=0,0,ROUND(Q931/O931,4))</x:f>
        <x:v>0.3614</x:v>
      </x:c>
      <x:c r="S931" s="53" t="n">
        <x:v>7</x:v>
      </x:c>
      <x:c r="T931" t="str">
        <x:v>Entregue</x:v>
      </x:c>
      <x:c r="U931" t="n">
        <x:v>2</x:v>
      </x:c>
      <x:c r="V931" t="str"/>
    </x:row>
    <x:row r="932">
      <x:c r="A932" s="52" t="n">
        <x:v>46171</x:v>
      </x:c>
      <x:c r="B932" t="str">
        <x:v>PED-100931</x:v>
      </x:c>
      <x:c r="C932" t="str">
        <x:v>Cliente 094</x:v>
      </x:c>
      <x:c r="D932" t="str">
        <x:v>MG</x:v>
      </x:c>
      <x:c r="E932" t="str">
        <x:v>Sudeste</x:v>
      </x:c>
      <x:c r="F932" t="str">
        <x:v>Marketplace</x:v>
      </x:c>
      <x:c r="G932" t="str">
        <x:v>Tecnologia</x:v>
      </x:c>
      <x:c r="H932" t="str">
        <x:v>Monitor 27</x:v>
      </x:c>
      <x:c r="I932" t="str">
        <x:v>Gabriela</x:v>
      </x:c>
      <x:c r="J932" s="53" t="n">
        <x:v>7</x:v>
      </x:c>
      <x:c r="K932" s="54" t="n">
        <x:v>1691.59</x:v>
      </x:c>
      <x:c r="L932" s="54" t="n">
        <x:v>1068.52</x:v>
      </x:c>
      <x:c r="M932" s="55" t="n">
        <x:v>0.1277</x:v>
      </x:c>
      <x:c r="N932" s="54" t="n">
        <x:f>ROUND(J932*K932,2)</x:f>
        <x:v>11841.13</x:v>
      </x:c>
      <x:c r="O932" s="54" t="n">
        <x:f>ROUND(N932*(1-M932),2)</x:f>
        <x:v>10329.02</x:v>
      </x:c>
      <x:c r="P932" s="54" t="n">
        <x:f>ROUND(J932*L932,2)</x:f>
        <x:v>7479.64</x:v>
      </x:c>
      <x:c r="Q932" s="54" t="n">
        <x:f>ROUND(O932-P932,2)</x:f>
        <x:v>2849.38</x:v>
      </x:c>
      <x:c r="R932" s="55" t="n">
        <x:f>IF(O932=0,0,ROUND(Q932/O932,4))</x:f>
        <x:v>0.2759</x:v>
      </x:c>
      <x:c r="S932" s="53" t="n">
        <x:v>11</x:v>
      </x:c>
      <x:c r="T932" t="str">
        <x:v>Entregue com atraso</x:v>
      </x:c>
      <x:c r="U932" t="n">
        <x:v>3</x:v>
      </x:c>
      <x:c r="V932" t="str"/>
    </x:row>
    <x:row r="933">
      <x:c r="A933" s="52" t="n">
        <x:v>46037</x:v>
      </x:c>
      <x:c r="B933" t="str">
        <x:v>PED-100932</x:v>
      </x:c>
      <x:c r="C933" t="str">
        <x:v>Cliente 028</x:v>
      </x:c>
      <x:c r="D933" t="str">
        <x:v>GO</x:v>
      </x:c>
      <x:c r="E933" t="str">
        <x:v>Centro-Oeste</x:v>
      </x:c>
      <x:c r="F933" t="str">
        <x:v>Marketplace</x:v>
      </x:c>
      <x:c r="G933" t="str">
        <x:v>Escritório</x:v>
      </x:c>
      <x:c r="H933" t="str">
        <x:v>Luminária LED</x:v>
      </x:c>
      <x:c r="I933" t="str">
        <x:v>Carla</x:v>
      </x:c>
      <x:c r="J933" s="53" t="n">
        <x:v>8</x:v>
      </x:c>
      <x:c r="K933" s="54" t="n">
        <x:v>265.15</x:v>
      </x:c>
      <x:c r="L933" s="54" t="n">
        <x:v>113.49</x:v>
      </x:c>
      <x:c r="M933" s="55" t="n">
        <x:v>0.035</x:v>
      </x:c>
      <x:c r="N933" s="54" t="n">
        <x:f>ROUND(J933*K933,2)</x:f>
        <x:v>2121.2</x:v>
      </x:c>
      <x:c r="O933" s="54" t="n">
        <x:f>ROUND(N933*(1-M933),2)</x:f>
        <x:v>2046.96</x:v>
      </x:c>
      <x:c r="P933" s="54" t="n">
        <x:f>ROUND(J933*L933,2)</x:f>
        <x:v>907.92</x:v>
      </x:c>
      <x:c r="Q933" s="54" t="n">
        <x:f>ROUND(O933-P933,2)</x:f>
        <x:v>1139.04</x:v>
      </x:c>
      <x:c r="R933" s="55" t="n">
        <x:f>IF(O933=0,0,ROUND(Q933/O933,4))</x:f>
        <x:v>0.5565</x:v>
      </x:c>
      <x:c r="S933" s="53" t="n">
        <x:v>7</x:v>
      </x:c>
      <x:c r="T933" t="str">
        <x:v>Entregue</x:v>
      </x:c>
      <x:c r="U933" t="n">
        <x:v>5</x:v>
      </x:c>
      <x:c r="V933" t="str"/>
    </x:row>
    <x:row r="934">
      <x:c r="A934" s="52" t="n">
        <x:v>46051</x:v>
      </x:c>
      <x:c r="B934" t="str">
        <x:v>PED-100933</x:v>
      </x:c>
      <x:c r="C934" t="str">
        <x:v>Cliente 006</x:v>
      </x:c>
      <x:c r="D934" t="str">
        <x:v>SP</x:v>
      </x:c>
      <x:c r="E934" t="str">
        <x:v>Sudeste</x:v>
      </x:c>
      <x:c r="F934" t="str">
        <x:v>Loja</x:v>
      </x:c>
      <x:c r="G934" t="str">
        <x:v>Acessórios</x:v>
      </x:c>
      <x:c r="H934" t="str">
        <x:v>Webcam HD</x:v>
      </x:c>
      <x:c r="I934" t="str">
        <x:v>Isabela</x:v>
      </x:c>
      <x:c r="J934" s="53" t="n">
        <x:v>5</x:v>
      </x:c>
      <x:c r="K934" s="54" t="n">
        <x:v>508.99</x:v>
      </x:c>
      <x:c r="L934" s="54" t="n">
        <x:v>251.35</x:v>
      </x:c>
      <x:c r="M934" s="55" t="n">
        <x:v>0.0016</x:v>
      </x:c>
      <x:c r="N934" s="54" t="n">
        <x:f>ROUND(J934*K934,2)</x:f>
        <x:v>2544.95</x:v>
      </x:c>
      <x:c r="O934" s="54" t="n">
        <x:f>ROUND(N934*(1-M934),2)</x:f>
        <x:v>2540.88</x:v>
      </x:c>
      <x:c r="P934" s="54" t="n">
        <x:f>ROUND(J934*L934,2)</x:f>
        <x:v>1256.75</x:v>
      </x:c>
      <x:c r="Q934" s="54" t="n">
        <x:f>ROUND(O934-P934,2)</x:f>
        <x:v>1284.13</x:v>
      </x:c>
      <x:c r="R934" s="55" t="n">
        <x:f>IF(O934=0,0,ROUND(Q934/O934,4))</x:f>
        <x:v>0.5054</x:v>
      </x:c>
      <x:c r="S934" s="53" t="n">
        <x:v>5</x:v>
      </x:c>
      <x:c r="T934" t="str">
        <x:v>Entregue</x:v>
      </x:c>
      <x:c r="U934" t="n">
        <x:v>2</x:v>
      </x:c>
      <x:c r="V934" t="str"/>
    </x:row>
    <x:row r="935">
      <x:c r="A935" s="52" t="n">
        <x:v>46080</x:v>
      </x:c>
      <x:c r="B935" t="str">
        <x:v>PED-100934</x:v>
      </x:c>
      <x:c r="C935" t="str">
        <x:v>Cliente 098</x:v>
      </x:c>
      <x:c r="D935" t="str">
        <x:v>MA</x:v>
      </x:c>
      <x:c r="E935" t="str">
        <x:v>Nordeste</x:v>
      </x:c>
      <x:c r="F935" t="str">
        <x:v>E-commerce</x:v>
      </x:c>
      <x:c r="G935" t="str">
        <x:v>Acessórios</x:v>
      </x:c>
      <x:c r="H935" t="str">
        <x:v>Hub USB-C</x:v>
      </x:c>
      <x:c r="I935" t="str">
        <x:v>Diego</x:v>
      </x:c>
      <x:c r="J935" s="53" t="n">
        <x:v>1</x:v>
      </x:c>
      <x:c r="K935" s="54" t="n">
        <x:v>335.1</x:v>
      </x:c>
      <x:c r="L935" s="54" t="n">
        <x:v>134.9</x:v>
      </x:c>
      <x:c r="M935" s="55" t="n">
        <x:v>0</x:v>
      </x:c>
      <x:c r="N935" s="54" t="n">
        <x:f>ROUND(J935*K935,2)</x:f>
        <x:v>335.1</x:v>
      </x:c>
      <x:c r="O935" s="54" t="n">
        <x:f>ROUND(N935*(1-M935),2)</x:f>
        <x:v>335.1</x:v>
      </x:c>
      <x:c r="P935" s="54" t="n">
        <x:f>ROUND(J935*L935,2)</x:f>
        <x:v>134.9</x:v>
      </x:c>
      <x:c r="Q935" s="54" t="n">
        <x:f>ROUND(O935-P935,2)</x:f>
        <x:v>200.2</x:v>
      </x:c>
      <x:c r="R935" s="55" t="n">
        <x:f>IF(O935=0,0,ROUND(Q935/O935,4))</x:f>
        <x:v>0.5974</x:v>
      </x:c>
      <x:c r="S935" s="53" t="n">
        <x:v>13</x:v>
      </x:c>
      <x:c r="T935" t="str">
        <x:v>Entregue com atraso</x:v>
      </x:c>
      <x:c r="U935" t="n">
        <x:v>5</x:v>
      </x:c>
      <x:c r="V935" t="str"/>
    </x:row>
    <x:row r="936">
      <x:c r="A936" s="52" t="n">
        <x:v>46055</x:v>
      </x:c>
      <x:c r="B936" t="str">
        <x:v>PED-100935</x:v>
      </x:c>
      <x:c r="C936" t="str">
        <x:v>Cliente 104</x:v>
      </x:c>
      <x:c r="D936" t="str">
        <x:v>RS</x:v>
      </x:c>
      <x:c r="E936" t="str">
        <x:v>Sul</x:v>
      </x:c>
      <x:c r="F936" t="str">
        <x:v>E-commerce</x:v>
      </x:c>
      <x:c r="G936" t="str">
        <x:v>Escritório</x:v>
      </x:c>
      <x:c r="H936" t="str">
        <x:v>Mesa Ajustável</x:v>
      </x:c>
      <x:c r="I936" t="str">
        <x:v>Henrique</x:v>
      </x:c>
      <x:c r="J936" s="53" t="n">
        <x:v>2</x:v>
      </x:c>
      <x:c r="K936" s="54" t="n">
        <x:v>2908.68</x:v>
      </x:c>
      <x:c r="L936" s="54" t="n">
        <x:v>1800.14</x:v>
      </x:c>
      <x:c r="M936" s="55" t="n">
        <x:v>0</x:v>
      </x:c>
      <x:c r="N936" s="54" t="n">
        <x:f>ROUND(J936*K936,2)</x:f>
        <x:v>5817.36</x:v>
      </x:c>
      <x:c r="O936" s="54" t="n">
        <x:f>ROUND(N936*(1-M936),2)</x:f>
        <x:v>5817.36</x:v>
      </x:c>
      <x:c r="P936" s="54" t="n">
        <x:f>ROUND(J936*L936,2)</x:f>
        <x:v>3600.28</x:v>
      </x:c>
      <x:c r="Q936" s="54" t="n">
        <x:f>ROUND(O936-P936,2)</x:f>
        <x:v>2217.08</x:v>
      </x:c>
      <x:c r="R936" s="55" t="n">
        <x:f>IF(O936=0,0,ROUND(Q936/O936,4))</x:f>
        <x:v>0.3811</x:v>
      </x:c>
      <x:c r="S936" s="53" t="n">
        <x:v>3</x:v>
      </x:c>
      <x:c r="T936" t="str">
        <x:v>Entregue</x:v>
      </x:c>
      <x:c r="U936" t="n">
        <x:v>4</x:v>
      </x:c>
      <x:c r="V936" t="str"/>
    </x:row>
    <x:row r="937">
      <x:c r="A937" s="52" t="n">
        <x:v>46082</x:v>
      </x:c>
      <x:c r="B937" t="str">
        <x:v>PED-100936</x:v>
      </x:c>
      <x:c r="C937" t="str">
        <x:v>Cliente 029</x:v>
      </x:c>
      <x:c r="D937" t="str">
        <x:v>MG</x:v>
      </x:c>
      <x:c r="E937" t="str">
        <x:v>Sudeste</x:v>
      </x:c>
      <x:c r="F937" t="str">
        <x:v>E-commerce</x:v>
      </x:c>
      <x:c r="G937" t="str">
        <x:v>Escritório</x:v>
      </x:c>
      <x:c r="H937" t="str">
        <x:v>Mesa Ajustável</x:v>
      </x:c>
      <x:c r="I937" t="str">
        <x:v>Isabela</x:v>
      </x:c>
      <x:c r="J937" s="53" t="n">
        <x:v>4</x:v>
      </x:c>
      <x:c r="K937" s="54" t="n">
        <x:v>2633.3</x:v>
      </x:c>
      <x:c r="L937" s="54" t="n">
        <x:v>1799.2</x:v>
      </x:c>
      <x:c r="M937" s="55" t="n">
        <x:v>0.0984</x:v>
      </x:c>
      <x:c r="N937" s="54" t="n">
        <x:f>ROUND(J937*K937,2)</x:f>
        <x:v>10533.2</x:v>
      </x:c>
      <x:c r="O937" s="54" t="n">
        <x:f>ROUND(N937*(1-M937),2)</x:f>
        <x:v>9496.73</x:v>
      </x:c>
      <x:c r="P937" s="54" t="n">
        <x:f>ROUND(J937*L937,2)</x:f>
        <x:v>7196.8</x:v>
      </x:c>
      <x:c r="Q937" s="54" t="n">
        <x:f>ROUND(O937-P937,2)</x:f>
        <x:v>2299.93</x:v>
      </x:c>
      <x:c r="R937" s="55" t="n">
        <x:f>IF(O937=0,0,ROUND(Q937/O937,4))</x:f>
        <x:v>0.2422</x:v>
      </x:c>
      <x:c r="S937" s="53" t="n">
        <x:v>2</x:v>
      </x:c>
      <x:c r="T937" t="str">
        <x:v>Entregue</x:v>
      </x:c>
      <x:c r="U937" t="n">
        <x:v>2</x:v>
      </x:c>
      <x:c r="V937" t="str"/>
    </x:row>
    <x:row r="938">
      <x:c r="A938" s="52" t="n">
        <x:v>46127</x:v>
      </x:c>
      <x:c r="B938" t="str">
        <x:v>PED-100937</x:v>
      </x:c>
      <x:c r="C938" t="str">
        <x:v>Cliente 068</x:v>
      </x:c>
      <x:c r="D938" t="str">
        <x:v>BA</x:v>
      </x:c>
      <x:c r="E938" t="str">
        <x:v>Nordeste</x:v>
      </x:c>
      <x:c r="F938" t="str">
        <x:v>Loja</x:v>
      </x:c>
      <x:c r="G938" t="str">
        <x:v>Casa</x:v>
      </x:c>
      <x:c r="H938" t="str">
        <x:v>Cafeteira Smart</x:v>
      </x:c>
      <x:c r="I938" t="str">
        <x:v>João</x:v>
      </x:c>
      <x:c r="J938" s="53" t="n">
        <x:v>4</x:v>
      </x:c>
      <x:c r="K938" s="54" t="n">
        <x:v>742.93</x:v>
      </x:c>
      <x:c r="L938" s="54" t="n">
        <x:v>474.68</x:v>
      </x:c>
      <x:c r="M938" s="55" t="n">
        <x:v>0.0118</x:v>
      </x:c>
      <x:c r="N938" s="54" t="n">
        <x:f>ROUND(J938*K938,2)</x:f>
        <x:v>2971.72</x:v>
      </x:c>
      <x:c r="O938" s="54" t="n">
        <x:f>ROUND(N938*(1-M938),2)</x:f>
        <x:v>2936.65</x:v>
      </x:c>
      <x:c r="P938" s="54" t="n">
        <x:f>ROUND(J938*L938,2)</x:f>
        <x:v>1898.72</x:v>
      </x:c>
      <x:c r="Q938" s="54" t="n">
        <x:f>ROUND(O938-P938,2)</x:f>
        <x:v>1037.93</x:v>
      </x:c>
      <x:c r="R938" s="55" t="n">
        <x:f>IF(O938=0,0,ROUND(Q938/O938,4))</x:f>
        <x:v>0.3534</x:v>
      </x:c>
      <x:c r="S938" s="53" t="n">
        <x:v>8</x:v>
      </x:c>
      <x:c r="T938" t="str">
        <x:v>Entregue</x:v>
      </x:c>
      <x:c r="U938" t="n">
        <x:v>5</x:v>
      </x:c>
      <x:c r="V938" t="str"/>
    </x:row>
    <x:row r="939">
      <x:c r="A939" s="52" t="n">
        <x:v>46115</x:v>
      </x:c>
      <x:c r="B939" t="str">
        <x:v>PED-100938</x:v>
      </x:c>
      <x:c r="C939" t="str">
        <x:v>Cliente 011</x:v>
      </x:c>
      <x:c r="D939" t="str">
        <x:v>RJ</x:v>
      </x:c>
      <x:c r="E939" t="str">
        <x:v>Sudeste</x:v>
      </x:c>
      <x:c r="F939" t="str">
        <x:v>Televendas</x:v>
      </x:c>
      <x:c r="G939" t="str">
        <x:v>Tecnologia</x:v>
      </x:c>
      <x:c r="H939" t="str">
        <x:v>Notebook Pro</x:v>
      </x:c>
      <x:c r="I939" t="str">
        <x:v>Isabela</x:v>
      </x:c>
      <x:c r="J939" s="53" t="n">
        <x:v>2</x:v>
      </x:c>
      <x:c r="K939" s="54" t="n">
        <x:v>6196.71</x:v>
      </x:c>
      <x:c r="L939" s="54" t="n">
        <x:v>4377.92</x:v>
      </x:c>
      <x:c r="M939" s="55" t="n">
        <x:v>0.1216</x:v>
      </x:c>
      <x:c r="N939" s="54" t="n">
        <x:f>ROUND(J939*K939,2)</x:f>
        <x:v>12393.42</x:v>
      </x:c>
      <x:c r="O939" s="54" t="n">
        <x:f>ROUND(N939*(1-M939),2)</x:f>
        <x:v>10886.38</x:v>
      </x:c>
      <x:c r="P939" s="54" t="n">
        <x:f>ROUND(J939*L939,2)</x:f>
        <x:v>8755.84</x:v>
      </x:c>
      <x:c r="Q939" s="54" t="n">
        <x:f>ROUND(O939-P939,2)</x:f>
        <x:v>2130.54</x:v>
      </x:c>
      <x:c r="R939" s="55" t="n">
        <x:f>IF(O939=0,0,ROUND(Q939/O939,4))</x:f>
        <x:v>0.1957</x:v>
      </x:c>
      <x:c r="S939" s="53" t="n">
        <x:v>13</x:v>
      </x:c>
      <x:c r="T939" t="str">
        <x:v>Cancelado</x:v>
      </x:c>
      <x:c r="U939"/>
      <x:c r="V939" t="str"/>
    </x:row>
    <x:row r="940">
      <x:c r="A940" s="52" t="n">
        <x:v>46127</x:v>
      </x:c>
      <x:c r="B940" t="str">
        <x:v>PED-100939</x:v>
      </x:c>
      <x:c r="C940" t="str">
        <x:v>Cliente 064</x:v>
      </x:c>
      <x:c r="D940" t="str">
        <x:v>MA</x:v>
      </x:c>
      <x:c r="E940" t="str">
        <x:v>Nordeste</x:v>
      </x:c>
      <x:c r="F940" t="str">
        <x:v>Loja</x:v>
      </x:c>
      <x:c r="G940" t="str">
        <x:v>Tecnologia</x:v>
      </x:c>
      <x:c r="H940" t="str">
        <x:v>Headset Office</x:v>
      </x:c>
      <x:c r="I940" t="str">
        <x:v>Bruno</x:v>
      </x:c>
      <x:c r="J940" s="53" t="n">
        <x:v>2</x:v>
      </x:c>
      <x:c r="K940" s="54" t="n">
        <x:v>410.82</x:v>
      </x:c>
      <x:c r="L940" s="54" t="n">
        <x:v>217.16</x:v>
      </x:c>
      <x:c r="M940" s="55" t="n">
        <x:v>0.0368</x:v>
      </x:c>
      <x:c r="N940" s="54" t="n">
        <x:f>ROUND(J940*K940,2)</x:f>
        <x:v>821.64</x:v>
      </x:c>
      <x:c r="O940" s="54" t="n">
        <x:f>ROUND(N940*(1-M940),2)</x:f>
        <x:v>791.4</x:v>
      </x:c>
      <x:c r="P940" s="54" t="n">
        <x:f>ROUND(J940*L940,2)</x:f>
        <x:v>434.32</x:v>
      </x:c>
      <x:c r="Q940" s="54" t="n">
        <x:f>ROUND(O940-P940,2)</x:f>
        <x:v>357.08</x:v>
      </x:c>
      <x:c r="R940" s="55" t="n">
        <x:f>IF(O940=0,0,ROUND(Q940/O940,4))</x:f>
        <x:v>0.4512</x:v>
      </x:c>
      <x:c r="S940" s="53" t="n">
        <x:v>2</x:v>
      </x:c>
      <x:c r="T940" t="str">
        <x:v>Entregue</x:v>
      </x:c>
      <x:c r="U940" t="n">
        <x:v>5</x:v>
      </x:c>
      <x:c r="V940" t="str"/>
    </x:row>
    <x:row r="941">
      <x:c r="A941" s="52" t="n">
        <x:v>46083</x:v>
      </x:c>
      <x:c r="B941" t="str">
        <x:v>PED-100940</x:v>
      </x:c>
      <x:c r="C941" t="str">
        <x:v>Cliente 002</x:v>
      </x:c>
      <x:c r="D941" t="str">
        <x:v>DF</x:v>
      </x:c>
      <x:c r="E941" t="str">
        <x:v>Centro-Oeste</x:v>
      </x:c>
      <x:c r="F941" t="str">
        <x:v>Loja</x:v>
      </x:c>
      <x:c r="G941" t="str">
        <x:v>Tecnologia</x:v>
      </x:c>
      <x:c r="H941" t="str">
        <x:v>Monitor 27</x:v>
      </x:c>
      <x:c r="I941" t="str">
        <x:v>Bruno</x:v>
      </x:c>
      <x:c r="J941" s="53" t="n">
        <x:v>1</x:v>
      </x:c>
      <x:c r="K941" s="54" t="n">
        <x:v>1657.38</x:v>
      </x:c>
      <x:c r="L941" s="54" t="n">
        <x:v>1044.13</x:v>
      </x:c>
      <x:c r="M941" s="55" t="n">
        <x:v>0</x:v>
      </x:c>
      <x:c r="N941" s="54" t="n">
        <x:f>ROUND(J941*K941,2)</x:f>
        <x:v>1657.38</x:v>
      </x:c>
      <x:c r="O941" s="54" t="n">
        <x:f>ROUND(N941*(1-M941),2)</x:f>
        <x:v>1657.38</x:v>
      </x:c>
      <x:c r="P941" s="54" t="n">
        <x:f>ROUND(J941*L941,2)</x:f>
        <x:v>1044.13</x:v>
      </x:c>
      <x:c r="Q941" s="54" t="n">
        <x:f>ROUND(O941-P941,2)</x:f>
        <x:v>613.25</x:v>
      </x:c>
      <x:c r="R941" s="55" t="n">
        <x:f>IF(O941=0,0,ROUND(Q941/O941,4))</x:f>
        <x:v>0.37</x:v>
      </x:c>
      <x:c r="S941" s="53" t="n">
        <x:v>6</x:v>
      </x:c>
      <x:c r="T941" t="str">
        <x:v>Entregue</x:v>
      </x:c>
      <x:c r="U941" t="n">
        <x:v>4</x:v>
      </x:c>
      <x:c r="V941" t="str"/>
    </x:row>
    <x:row r="942">
      <x:c r="A942" s="52" t="n">
        <x:v>46177</x:v>
      </x:c>
      <x:c r="B942" t="str">
        <x:v>PED-100941</x:v>
      </x:c>
      <x:c r="C942" t="str">
        <x:v>Cliente 019</x:v>
      </x:c>
      <x:c r="D942" t="str">
        <x:v>MA</x:v>
      </x:c>
      <x:c r="E942" t="str">
        <x:v>Nordeste</x:v>
      </x:c>
      <x:c r="F942" t="str">
        <x:v>Televendas</x:v>
      </x:c>
      <x:c r="G942" t="str">
        <x:v>Tecnologia</x:v>
      </x:c>
      <x:c r="H942" t="str">
        <x:v>Notebook Pro</x:v>
      </x:c>
      <x:c r="I942" t="str">
        <x:v>Felipe</x:v>
      </x:c>
      <x:c r="J942" s="53" t="n">
        <x:v>6</x:v>
      </x:c>
      <x:c r="K942" s="54" t="n">
        <x:v>5639.12</x:v>
      </x:c>
      <x:c r="L942" s="54" t="n">
        <x:v>4590.85</x:v>
      </x:c>
      <x:c r="M942" s="55" t="n">
        <x:v>0.0746</x:v>
      </x:c>
      <x:c r="N942" s="54" t="n">
        <x:f>ROUND(J942*K942,2)</x:f>
        <x:v>33834.72</x:v>
      </x:c>
      <x:c r="O942" s="54" t="n">
        <x:f>ROUND(N942*(1-M942),2)</x:f>
        <x:v>31310.65</x:v>
      </x:c>
      <x:c r="P942" s="54" t="n">
        <x:f>ROUND(J942*L942,2)</x:f>
        <x:v>27545.1</x:v>
      </x:c>
      <x:c r="Q942" s="54" t="n">
        <x:f>ROUND(O942-P942,2)</x:f>
        <x:v>3765.55</x:v>
      </x:c>
      <x:c r="R942" s="55" t="n">
        <x:f>IF(O942=0,0,ROUND(Q942/O942,4))</x:f>
        <x:v>0.1203</x:v>
      </x:c>
      <x:c r="S942" s="53" t="n">
        <x:v>2</x:v>
      </x:c>
      <x:c r="T942" t="str">
        <x:v>Entregue</x:v>
      </x:c>
      <x:c r="U942" t="n">
        <x:v>4</x:v>
      </x:c>
      <x:c r="V942" t="str"/>
    </x:row>
    <x:row r="943">
      <x:c r="A943" s="52" t="n">
        <x:v>46200</x:v>
      </x:c>
      <x:c r="B943" t="str">
        <x:v>PED-100942</x:v>
      </x:c>
      <x:c r="C943" t="str">
        <x:v>Cliente 048</x:v>
      </x:c>
      <x:c r="D943" t="str">
        <x:v>MG</x:v>
      </x:c>
      <x:c r="E943" t="str">
        <x:v>Sudeste</x:v>
      </x:c>
      <x:c r="F943" t="str">
        <x:v>E-commerce</x:v>
      </x:c>
      <x:c r="G943" t="str">
        <x:v>Casa</x:v>
      </x:c>
      <x:c r="H943" t="str">
        <x:v>Cafeteira Smart</x:v>
      </x:c>
      <x:c r="I943" t="str">
        <x:v>Henrique</x:v>
      </x:c>
      <x:c r="J943" s="53" t="n">
        <x:v>8</x:v>
      </x:c>
      <x:c r="K943" s="54" t="n">
        <x:v>800.16</x:v>
      </x:c>
      <x:c r="L943" s="54" t="n">
        <x:v>467.06</x:v>
      </x:c>
      <x:c r="M943" s="55" t="n">
        <x:v>0</x:v>
      </x:c>
      <x:c r="N943" s="54" t="n">
        <x:f>ROUND(J943*K943,2)</x:f>
        <x:v>6401.28</x:v>
      </x:c>
      <x:c r="O943" s="54" t="n">
        <x:f>ROUND(N943*(1-M943),2)</x:f>
        <x:v>6401.28</x:v>
      </x:c>
      <x:c r="P943" s="54" t="n">
        <x:f>ROUND(J943*L943,2)</x:f>
        <x:v>3736.48</x:v>
      </x:c>
      <x:c r="Q943" s="54" t="n">
        <x:f>ROUND(O943-P943,2)</x:f>
        <x:v>2664.8</x:v>
      </x:c>
      <x:c r="R943" s="55" t="n">
        <x:f>IF(O943=0,0,ROUND(Q943/O943,4))</x:f>
        <x:v>0.4163</x:v>
      </x:c>
      <x:c r="S943" s="53" t="n">
        <x:v>6</x:v>
      </x:c>
      <x:c r="T943" t="str">
        <x:v>Entregue</x:v>
      </x:c>
      <x:c r="U943" t="n">
        <x:v>4</x:v>
      </x:c>
      <x:c r="V943" t="str"/>
    </x:row>
    <x:row r="944">
      <x:c r="A944" s="52" t="n">
        <x:v>46034</x:v>
      </x:c>
      <x:c r="B944" t="str">
        <x:v>PED-100943</x:v>
      </x:c>
      <x:c r="C944" t="str">
        <x:v>Cliente 007</x:v>
      </x:c>
      <x:c r="D944" t="str">
        <x:v>BA</x:v>
      </x:c>
      <x:c r="E944" t="str">
        <x:v>Nordeste</x:v>
      </x:c>
      <x:c r="F944" t="str">
        <x:v>Marketplace</x:v>
      </x:c>
      <x:c r="G944" t="str">
        <x:v>Acessórios</x:v>
      </x:c>
      <x:c r="H944" t="str">
        <x:v>Mochila Executiva</x:v>
      </x:c>
      <x:c r="I944" t="str">
        <x:v>Ana</x:v>
      </x:c>
      <x:c r="J944" s="53" t="n">
        <x:v>5</x:v>
      </x:c>
      <x:c r="K944" s="54" t="n">
        <x:v>452.13</x:v>
      </x:c>
      <x:c r="L944" s="54" t="n">
        <x:v>197.6</x:v>
      </x:c>
      <x:c r="M944" s="55" t="n">
        <x:v>0.035</x:v>
      </x:c>
      <x:c r="N944" s="54" t="n">
        <x:f>ROUND(J944*K944,2)</x:f>
        <x:v>2260.65</x:v>
      </x:c>
      <x:c r="O944" s="54" t="n">
        <x:f>ROUND(N944*(1-M944),2)</x:f>
        <x:v>2181.53</x:v>
      </x:c>
      <x:c r="P944" s="54" t="n">
        <x:f>ROUND(J944*L944,2)</x:f>
        <x:v>988</x:v>
      </x:c>
      <x:c r="Q944" s="54" t="n">
        <x:f>ROUND(O944-P944,2)</x:f>
        <x:v>1193.53</x:v>
      </x:c>
      <x:c r="R944" s="55" t="n">
        <x:f>IF(O944=0,0,ROUND(Q944/O944,4))</x:f>
        <x:v>0.5471</x:v>
      </x:c>
      <x:c r="S944" s="53" t="n">
        <x:v>5</x:v>
      </x:c>
      <x:c r="T944" t="str">
        <x:v>Entregue</x:v>
      </x:c>
      <x:c r="U944" t="n">
        <x:v>5</x:v>
      </x:c>
      <x:c r="V944" t="str"/>
    </x:row>
    <x:row r="945">
      <x:c r="A945" s="52" t="n">
        <x:v>46229</x:v>
      </x:c>
      <x:c r="B945" t="str">
        <x:v>PED-100944</x:v>
      </x:c>
      <x:c r="C945" t="str">
        <x:v>Cliente 027</x:v>
      </x:c>
      <x:c r="D945" t="str">
        <x:v>GO</x:v>
      </x:c>
      <x:c r="E945" t="str">
        <x:v>Centro-Oeste</x:v>
      </x:c>
      <x:c r="F945" t="str">
        <x:v>E-commerce</x:v>
      </x:c>
      <x:c r="G945" t="str">
        <x:v>Acessórios</x:v>
      </x:c>
      <x:c r="H945" t="str">
        <x:v>Mochila Executiva</x:v>
      </x:c>
      <x:c r="I945" t="str">
        <x:v>Gabriela</x:v>
      </x:c>
      <x:c r="J945" s="53" t="n">
        <x:v>8</x:v>
      </x:c>
      <x:c r="K945" s="54" t="n">
        <x:v>421.68</x:v>
      </x:c>
      <x:c r="L945" s="54" t="n">
        <x:v>185.82</x:v>
      </x:c>
      <x:c r="M945" s="55" t="n">
        <x:v>0.0503</x:v>
      </x:c>
      <x:c r="N945" s="54" t="n">
        <x:f>ROUND(J945*K945,2)</x:f>
        <x:v>3373.44</x:v>
      </x:c>
      <x:c r="O945" s="54" t="n">
        <x:f>ROUND(N945*(1-M945),2)</x:f>
        <x:v>3203.76</x:v>
      </x:c>
      <x:c r="P945" s="54" t="n">
        <x:f>ROUND(J945*L945,2)</x:f>
        <x:v>1486.56</x:v>
      </x:c>
      <x:c r="Q945" s="54" t="n">
        <x:f>ROUND(O945-P945,2)</x:f>
        <x:v>1717.2</x:v>
      </x:c>
      <x:c r="R945" s="55" t="n">
        <x:f>IF(O945=0,0,ROUND(Q945/O945,4))</x:f>
        <x:v>0.536</x:v>
      </x:c>
      <x:c r="S945" s="53" t="n">
        <x:v>13</x:v>
      </x:c>
      <x:c r="T945" t="str">
        <x:v>Entregue com atraso</x:v>
      </x:c>
      <x:c r="U945" t="n">
        <x:v>5</x:v>
      </x:c>
      <x:c r="V945" t="str"/>
    </x:row>
    <x:row r="946">
      <x:c r="A946" s="52" t="n">
        <x:v>46103</x:v>
      </x:c>
      <x:c r="B946" t="str">
        <x:v>PED-100945</x:v>
      </x:c>
      <x:c r="C946" t="str">
        <x:v>Cliente 104</x:v>
      </x:c>
      <x:c r="D946" t="str">
        <x:v>RJ</x:v>
      </x:c>
      <x:c r="E946" t="str">
        <x:v>Sudeste</x:v>
      </x:c>
      <x:c r="F946" t="str">
        <x:v>E-commerce</x:v>
      </x:c>
      <x:c r="G946" t="str">
        <x:v>Casa</x:v>
      </x:c>
      <x:c r="H946" t="str">
        <x:v>Cafeteira Smart</x:v>
      </x:c>
      <x:c r="I946" t="str">
        <x:v>Gabriela</x:v>
      </x:c>
      <x:c r="J946" s="53" t="n">
        <x:v>8</x:v>
      </x:c>
      <x:c r="K946" s="54" t="n">
        <x:v>777.33</x:v>
      </x:c>
      <x:c r="L946" s="54" t="n">
        <x:v>470.46</x:v>
      </x:c>
      <x:c r="M946" s="55" t="n">
        <x:v>0.0148</x:v>
      </x:c>
      <x:c r="N946" s="54" t="n">
        <x:f>ROUND(J946*K946,2)</x:f>
        <x:v>6218.64</x:v>
      </x:c>
      <x:c r="O946" s="54" t="n">
        <x:f>ROUND(N946*(1-M946),2)</x:f>
        <x:v>6126.6</x:v>
      </x:c>
      <x:c r="P946" s="54" t="n">
        <x:f>ROUND(J946*L946,2)</x:f>
        <x:v>3763.68</x:v>
      </x:c>
      <x:c r="Q946" s="54" t="n">
        <x:f>ROUND(O946-P946,2)</x:f>
        <x:v>2362.92</x:v>
      </x:c>
      <x:c r="R946" s="55" t="n">
        <x:f>IF(O946=0,0,ROUND(Q946/O946,4))</x:f>
        <x:v>0.3857</x:v>
      </x:c>
      <x:c r="S946" s="53" t="n">
        <x:v>11</x:v>
      </x:c>
      <x:c r="T946" t="str">
        <x:v>Entregue com atraso</x:v>
      </x:c>
      <x:c r="U946" t="n">
        <x:v>3</x:v>
      </x:c>
      <x:c r="V946" t="str"/>
    </x:row>
    <x:row r="947">
      <x:c r="A947" s="52" t="n">
        <x:v>46119</x:v>
      </x:c>
      <x:c r="B947" t="str">
        <x:v>PED-100946</x:v>
      </x:c>
      <x:c r="C947" t="str">
        <x:v>Cliente 033</x:v>
      </x:c>
      <x:c r="D947" t="str">
        <x:v>CE</x:v>
      </x:c>
      <x:c r="E947" t="str">
        <x:v>Nordeste</x:v>
      </x:c>
      <x:c r="F947" t="str">
        <x:v>Televendas</x:v>
      </x:c>
      <x:c r="G947" t="str">
        <x:v>Acessórios</x:v>
      </x:c>
      <x:c r="H947" t="str">
        <x:v>Webcam HD</x:v>
      </x:c>
      <x:c r="I947" t="str">
        <x:v>Ana</x:v>
      </x:c>
      <x:c r="J947" s="53" t="n">
        <x:v>1</x:v>
      </x:c>
      <x:c r="K947" s="54" t="n">
        <x:v>509.13</x:v>
      </x:c>
      <x:c r="L947" s="54" t="n">
        <x:v>245.39</x:v>
      </x:c>
      <x:c r="M947" s="55" t="n">
        <x:v>0</x:v>
      </x:c>
      <x:c r="N947" s="54" t="n">
        <x:f>ROUND(J947*K947,2)</x:f>
        <x:v>509.13</x:v>
      </x:c>
      <x:c r="O947" s="54" t="n">
        <x:f>ROUND(N947*(1-M947),2)</x:f>
        <x:v>509.13</x:v>
      </x:c>
      <x:c r="P947" s="54" t="n">
        <x:f>ROUND(J947*L947,2)</x:f>
        <x:v>245.39</x:v>
      </x:c>
      <x:c r="Q947" s="54" t="n">
        <x:f>ROUND(O947-P947,2)</x:f>
        <x:v>263.74</x:v>
      </x:c>
      <x:c r="R947" s="55" t="n">
        <x:f>IF(O947=0,0,ROUND(Q947/O947,4))</x:f>
        <x:v>0.518</x:v>
      </x:c>
      <x:c r="S947" s="53" t="n">
        <x:v>7</x:v>
      </x:c>
      <x:c r="T947" t="str">
        <x:v>Entregue</x:v>
      </x:c>
      <x:c r="U947" t="n">
        <x:v>2</x:v>
      </x:c>
      <x:c r="V947" t="str"/>
    </x:row>
    <x:row r="948">
      <x:c r="A948" s="52" t="n">
        <x:v>46107</x:v>
      </x:c>
      <x:c r="B948" t="str">
        <x:v>PED-100947</x:v>
      </x:c>
      <x:c r="C948" t="str">
        <x:v>Cliente 088</x:v>
      </x:c>
      <x:c r="D948" t="str">
        <x:v>SC</x:v>
      </x:c>
      <x:c r="E948" t="str">
        <x:v>Sul</x:v>
      </x:c>
      <x:c r="F948" t="str">
        <x:v>Marketplace</x:v>
      </x:c>
      <x:c r="G948" t="str">
        <x:v>Casa</x:v>
      </x:c>
      <x:c r="H948" t="str">
        <x:v>Aspirador Robô</x:v>
      </x:c>
      <x:c r="I948" t="str">
        <x:v>Felipe</x:v>
      </x:c>
      <x:c r="J948" s="53" t="n">
        <x:v>2</x:v>
      </x:c>
      <x:c r="K948" s="54" t="n">
        <x:v>1894.79</x:v>
      </x:c>
      <x:c r="L948" s="54" t="n">
        <x:v>1166.5</x:v>
      </x:c>
      <x:c r="M948" s="55" t="n">
        <x:v>0.044</x:v>
      </x:c>
      <x:c r="N948" s="54" t="n">
        <x:f>ROUND(J948*K948,2)</x:f>
        <x:v>3789.58</x:v>
      </x:c>
      <x:c r="O948" s="54" t="n">
        <x:f>ROUND(N948*(1-M948),2)</x:f>
        <x:v>3622.84</x:v>
      </x:c>
      <x:c r="P948" s="54" t="n">
        <x:f>ROUND(J948*L948,2)</x:f>
        <x:v>2333</x:v>
      </x:c>
      <x:c r="Q948" s="54" t="n">
        <x:f>ROUND(O948-P948,2)</x:f>
        <x:v>1289.84</x:v>
      </x:c>
      <x:c r="R948" s="55" t="n">
        <x:f>IF(O948=0,0,ROUND(Q948/O948,4))</x:f>
        <x:v>0.356</x:v>
      </x:c>
      <x:c r="S948" s="53" t="n">
        <x:v>10</x:v>
      </x:c>
      <x:c r="T948" t="str">
        <x:v>Entregue</x:v>
      </x:c>
      <x:c r="U948" t="n">
        <x:v>2</x:v>
      </x:c>
      <x:c r="V948" t="str"/>
    </x:row>
    <x:row r="949">
      <x:c r="A949" s="52" t="n">
        <x:v>46105</x:v>
      </x:c>
      <x:c r="B949" t="str">
        <x:v>PED-100948</x:v>
      </x:c>
      <x:c r="C949" t="str">
        <x:v>Cliente 056</x:v>
      </x:c>
      <x:c r="D949" t="str">
        <x:v>SP</x:v>
      </x:c>
      <x:c r="E949" t="str">
        <x:v>Sudeste</x:v>
      </x:c>
      <x:c r="F949" t="str">
        <x:v>E-commerce</x:v>
      </x:c>
      <x:c r="G949" t="str">
        <x:v>Casa</x:v>
      </x:c>
      <x:c r="H949" t="str">
        <x:v>Purificador</x:v>
      </x:c>
      <x:c r="I949" t="str">
        <x:v>Isabela</x:v>
      </x:c>
      <x:c r="J949" s="53" t="n">
        <x:v>8</x:v>
      </x:c>
      <x:c r="K949" s="54" t="n">
        <x:v>1340.54</x:v>
      </x:c>
      <x:c r="L949" s="54" t="n">
        <x:v>747.1</x:v>
      </x:c>
      <x:c r="M949" s="55" t="n">
        <x:v>0.051</x:v>
      </x:c>
      <x:c r="N949" s="54" t="n">
        <x:f>ROUND(J949*K949,2)</x:f>
        <x:v>10724.32</x:v>
      </x:c>
      <x:c r="O949" s="54" t="n">
        <x:f>ROUND(N949*(1-M949),2)</x:f>
        <x:v>10177.38</x:v>
      </x:c>
      <x:c r="P949" s="54" t="n">
        <x:f>ROUND(J949*L949,2)</x:f>
        <x:v>5976.8</x:v>
      </x:c>
      <x:c r="Q949" s="54" t="n">
        <x:f>ROUND(O949-P949,2)</x:f>
        <x:v>4200.58</x:v>
      </x:c>
      <x:c r="R949" s="55" t="n">
        <x:f>IF(O949=0,0,ROUND(Q949/O949,4))</x:f>
        <x:v>0.4127</x:v>
      </x:c>
      <x:c r="S949" s="53" t="n">
        <x:v>10</x:v>
      </x:c>
      <x:c r="T949" t="str">
        <x:v>Entregue</x:v>
      </x:c>
      <x:c r="U949" t="n">
        <x:v>3</x:v>
      </x:c>
      <x:c r="V949" t="str"/>
    </x:row>
    <x:row r="950">
      <x:c r="A950" s="52" t="n">
        <x:v>46164</x:v>
      </x:c>
      <x:c r="B950" t="str">
        <x:v>PED-100949</x:v>
      </x:c>
      <x:c r="C950" t="str">
        <x:v>Cliente 080</x:v>
      </x:c>
      <x:c r="D950" t="str">
        <x:v>PE</x:v>
      </x:c>
      <x:c r="E950" t="str">
        <x:v>Nordeste</x:v>
      </x:c>
      <x:c r="F950" t="str">
        <x:v>Loja</x:v>
      </x:c>
      <x:c r="G950" t="str">
        <x:v>Casa</x:v>
      </x:c>
      <x:c r="H950" t="str">
        <x:v>Cafeteira Smart</x:v>
      </x:c>
      <x:c r="I950" t="str">
        <x:v>Carla</x:v>
      </x:c>
      <x:c r="J950" s="53" t="n">
        <x:v>6</x:v>
      </x:c>
      <x:c r="K950" s="54" t="n">
        <x:v>830.97</x:v>
      </x:c>
      <x:c r="L950" s="54" t="n">
        <x:v>483.39</x:v>
      </x:c>
      <x:c r="M950" s="55" t="n">
        <x:v>0.0514</x:v>
      </x:c>
      <x:c r="N950" s="54" t="n">
        <x:f>ROUND(J950*K950,2)</x:f>
        <x:v>4985.82</x:v>
      </x:c>
      <x:c r="O950" s="54" t="n">
        <x:f>ROUND(N950*(1-M950),2)</x:f>
        <x:v>4729.55</x:v>
      </x:c>
      <x:c r="P950" s="54" t="n">
        <x:f>ROUND(J950*L950,2)</x:f>
        <x:v>2900.34</x:v>
      </x:c>
      <x:c r="Q950" s="54" t="n">
        <x:f>ROUND(O950-P950,2)</x:f>
        <x:v>1829.21</x:v>
      </x:c>
      <x:c r="R950" s="55" t="n">
        <x:f>IF(O950=0,0,ROUND(Q950/O950,4))</x:f>
        <x:v>0.3868</x:v>
      </x:c>
      <x:c r="S950" s="53" t="n">
        <x:v>9</x:v>
      </x:c>
      <x:c r="T950" t="str">
        <x:v>Entregue</x:v>
      </x:c>
      <x:c r="U950" t="n">
        <x:v>5</x:v>
      </x:c>
      <x:c r="V950" t="str"/>
    </x:row>
    <x:row r="951">
      <x:c r="A951" s="52" t="n">
        <x:v>46158</x:v>
      </x:c>
      <x:c r="B951" t="str">
        <x:v>PED-100950</x:v>
      </x:c>
      <x:c r="C951" t="str">
        <x:v>Cliente 002</x:v>
      </x:c>
      <x:c r="D951" t="str">
        <x:v>SP</x:v>
      </x:c>
      <x:c r="E951" t="str">
        <x:v>Sudeste</x:v>
      </x:c>
      <x:c r="F951" t="str">
        <x:v>Loja</x:v>
      </x:c>
      <x:c r="G951" t="str">
        <x:v>Tecnologia</x:v>
      </x:c>
      <x:c r="H951" t="str">
        <x:v>Headset Office</x:v>
      </x:c>
      <x:c r="I951" t="str">
        <x:v>Carla</x:v>
      </x:c>
      <x:c r="J951" s="53" t="n">
        <x:v>3</x:v>
      </x:c>
      <x:c r="K951" s="54" t="n">
        <x:v>367.35</x:v>
      </x:c>
      <x:c r="L951" s="54" t="n">
        <x:v>209.75</x:v>
      </x:c>
      <x:c r="M951" s="55" t="n">
        <x:v>0</x:v>
      </x:c>
      <x:c r="N951" s="54" t="n">
        <x:f>ROUND(J951*K951,2)</x:f>
        <x:v>1102.05</x:v>
      </x:c>
      <x:c r="O951" s="54" t="n">
        <x:f>ROUND(N951*(1-M951),2)</x:f>
        <x:v>1102.05</x:v>
      </x:c>
      <x:c r="P951" s="54" t="n">
        <x:f>ROUND(J951*L951,2)</x:f>
        <x:v>629.25</x:v>
      </x:c>
      <x:c r="Q951" s="54" t="n">
        <x:f>ROUND(O951-P951,2)</x:f>
        <x:v>472.8</x:v>
      </x:c>
      <x:c r="R951" s="55" t="n">
        <x:f>IF(O951=0,0,ROUND(Q951/O951,4))</x:f>
        <x:v>0.429</x:v>
      </x:c>
      <x:c r="S951" s="53" t="n">
        <x:v>29</x:v>
      </x:c>
      <x:c r="T951" t="str">
        <x:v>Entregue com atraso</x:v>
      </x:c>
      <x:c r="U951" t="n">
        <x:v>2</x:v>
      </x:c>
      <x:c r="V951" t="str">
        <x:v>Ocorrência logística</x:v>
      </x:c>
    </x:row>
    <x:row r="952">
      <x:c r="A952" s="52" t="n">
        <x:v>46173</x:v>
      </x:c>
      <x:c r="B952" t="str">
        <x:v>PED-100951</x:v>
      </x:c>
      <x:c r="C952" t="str">
        <x:v>Cliente 064</x:v>
      </x:c>
      <x:c r="D952" t="str">
        <x:v>PA</x:v>
      </x:c>
      <x:c r="E952" t="str">
        <x:v>Norte</x:v>
      </x:c>
      <x:c r="F952" t="str">
        <x:v>Marketplace</x:v>
      </x:c>
      <x:c r="G952" t="str">
        <x:v>Tecnologia</x:v>
      </x:c>
      <x:c r="H952" t="str">
        <x:v>Notebook Pro</x:v>
      </x:c>
      <x:c r="I952" t="str">
        <x:v>Carla</x:v>
      </x:c>
      <x:c r="J952" s="53" t="n">
        <x:v>8</x:v>
      </x:c>
      <x:c r="K952" s="54" t="n">
        <x:v>5800.9</x:v>
      </x:c>
      <x:c r="L952" s="54" t="n">
        <x:v>4532.66</x:v>
      </x:c>
      <x:c r="M952" s="55" t="n">
        <x:v>0.0562</x:v>
      </x:c>
      <x:c r="N952" s="54" t="n">
        <x:f>ROUND(J952*K952,2)</x:f>
        <x:v>46407.2</x:v>
      </x:c>
      <x:c r="O952" s="54" t="n">
        <x:f>ROUND(N952*(1-M952),2)</x:f>
        <x:v>43799.12</x:v>
      </x:c>
      <x:c r="P952" s="54" t="n">
        <x:f>ROUND(J952*L952,2)</x:f>
        <x:v>36261.28</x:v>
      </x:c>
      <x:c r="Q952" s="54" t="n">
        <x:f>ROUND(O952-P952,2)</x:f>
        <x:v>7537.84</x:v>
      </x:c>
      <x:c r="R952" s="55" t="n">
        <x:f>IF(O952=0,0,ROUND(Q952/O952,4))</x:f>
        <x:v>0.1721</x:v>
      </x:c>
      <x:c r="S952" s="53" t="n">
        <x:v>4</x:v>
      </x:c>
      <x:c r="T952" t="str">
        <x:v>Entregue</x:v>
      </x:c>
      <x:c r="U952" t="n">
        <x:v>3</x:v>
      </x:c>
      <x:c r="V952" t="str"/>
    </x:row>
    <x:row r="953">
      <x:c r="A953" s="52" t="n">
        <x:v>46036</x:v>
      </x:c>
      <x:c r="B953" t="str">
        <x:v>PED-100952</x:v>
      </x:c>
      <x:c r="C953" t="str">
        <x:v>Cliente 008</x:v>
      </x:c>
      <x:c r="D953" t="str">
        <x:v>MA</x:v>
      </x:c>
      <x:c r="E953" t="str">
        <x:v>Nordeste</x:v>
      </x:c>
      <x:c r="F953" t="str">
        <x:v>Televendas</x:v>
      </x:c>
      <x:c r="G953" t="str">
        <x:v>Tecnologia</x:v>
      </x:c>
      <x:c r="H953" t="str">
        <x:v>Headset Office</x:v>
      </x:c>
      <x:c r="I953" t="str">
        <x:v>Elaine</x:v>
      </x:c>
      <x:c r="J953" s="53" t="n">
        <x:v>4</x:v>
      </x:c>
      <x:c r="K953" s="54" t="n">
        <x:v>407.52</x:v>
      </x:c>
      <x:c r="L953" s="54" t="n">
        <x:v>223.29</x:v>
      </x:c>
      <x:c r="M953" s="55" t="n">
        <x:v>0</x:v>
      </x:c>
      <x:c r="N953" s="54" t="n">
        <x:f>ROUND(J953*K953,2)</x:f>
        <x:v>1630.08</x:v>
      </x:c>
      <x:c r="O953" s="54" t="n">
        <x:f>ROUND(N953*(1-M953),2)</x:f>
        <x:v>1630.08</x:v>
      </x:c>
      <x:c r="P953" s="54" t="n">
        <x:f>ROUND(J953*L953,2)</x:f>
        <x:v>893.16</x:v>
      </x:c>
      <x:c r="Q953" s="54" t="n">
        <x:f>ROUND(O953-P953,2)</x:f>
        <x:v>736.92</x:v>
      </x:c>
      <x:c r="R953" s="55" t="n">
        <x:f>IF(O953=0,0,ROUND(Q953/O953,4))</x:f>
        <x:v>0.4521</x:v>
      </x:c>
      <x:c r="S953" s="53" t="n">
        <x:v>3</x:v>
      </x:c>
      <x:c r="T953" t="str">
        <x:v>Entregue</x:v>
      </x:c>
      <x:c r="U953" t="n">
        <x:v>4</x:v>
      </x:c>
      <x:c r="V953" t="str"/>
    </x:row>
    <x:row r="954">
      <x:c r="A954" s="52" t="n">
        <x:v>46056</x:v>
      </x:c>
      <x:c r="B954" t="str">
        <x:v>PED-100953</x:v>
      </x:c>
      <x:c r="C954" t="str">
        <x:v>Cliente 034</x:v>
      </x:c>
      <x:c r="D954" t="str">
        <x:v>PA</x:v>
      </x:c>
      <x:c r="E954" t="str">
        <x:v>Norte</x:v>
      </x:c>
      <x:c r="F954" t="str">
        <x:v>Marketplace</x:v>
      </x:c>
      <x:c r="G954" t="str">
        <x:v>Escritório</x:v>
      </x:c>
      <x:c r="H954" t="str">
        <x:v>Luminária LED</x:v>
      </x:c>
      <x:c r="I954" t="str">
        <x:v>Gabriela</x:v>
      </x:c>
      <x:c r="J954" s="53" t="n">
        <x:v>4</x:v>
      </x:c>
      <x:c r="K954" s="54" t="n">
        <x:v>252.77</x:v>
      </x:c>
      <x:c r="L954" s="54" t="n">
        <x:v>122.06</x:v>
      </x:c>
      <x:c r="M954" s="55" t="n">
        <x:v>0.0845</x:v>
      </x:c>
      <x:c r="N954" s="54" t="n">
        <x:f>ROUND(J954*K954,2)</x:f>
        <x:v>1011.08</x:v>
      </x:c>
      <x:c r="O954" s="54" t="n">
        <x:f>ROUND(N954*(1-M954),2)</x:f>
        <x:v>925.64</x:v>
      </x:c>
      <x:c r="P954" s="54" t="n">
        <x:f>ROUND(J954*L954,2)</x:f>
        <x:v>488.24</x:v>
      </x:c>
      <x:c r="Q954" s="54" t="n">
        <x:f>ROUND(O954-P954,2)</x:f>
        <x:v>437.4</x:v>
      </x:c>
      <x:c r="R954" s="55" t="n">
        <x:f>IF(O954=0,0,ROUND(Q954/O954,4))</x:f>
        <x:v>0.4725</x:v>
      </x:c>
      <x:c r="S954" s="53" t="n">
        <x:v>3</x:v>
      </x:c>
      <x:c r="T954" t="str">
        <x:v>Entregue</x:v>
      </x:c>
      <x:c r="U954" t="n">
        <x:v>3</x:v>
      </x:c>
      <x:c r="V954" t="str"/>
    </x:row>
    <x:row r="955">
      <x:c r="A955" s="52" t="n">
        <x:v>46038</x:v>
      </x:c>
      <x:c r="B955" t="str">
        <x:v>PED-100954</x:v>
      </x:c>
      <x:c r="C955" t="str">
        <x:v>Cliente 002</x:v>
      </x:c>
      <x:c r="D955" t="str">
        <x:v>AM</x:v>
      </x:c>
      <x:c r="E955" t="str">
        <x:v>Norte</x:v>
      </x:c>
      <x:c r="F955" t="str">
        <x:v>Televendas</x:v>
      </x:c>
      <x:c r="G955" t="str">
        <x:v>Casa</x:v>
      </x:c>
      <x:c r="H955" t="str">
        <x:v>Aspirador Robô</x:v>
      </x:c>
      <x:c r="I955" t="str">
        <x:v>Carla</x:v>
      </x:c>
      <x:c r="J955" s="53" t="n">
        <x:v>4</x:v>
      </x:c>
      <x:c r="K955" s="54" t="n">
        <x:v>1833.98</x:v>
      </x:c>
      <x:c r="L955" s="54" t="n">
        <x:v>1213.05</x:v>
      </x:c>
      <x:c r="M955" s="55" t="n">
        <x:v>0</x:v>
      </x:c>
      <x:c r="N955" s="54" t="n">
        <x:f>ROUND(J955*K955,2)</x:f>
        <x:v>7335.92</x:v>
      </x:c>
      <x:c r="O955" s="54" t="n">
        <x:f>ROUND(N955*(1-M955),2)</x:f>
        <x:v>7335.92</x:v>
      </x:c>
      <x:c r="P955" s="54" t="n">
        <x:f>ROUND(J955*L955,2)</x:f>
        <x:v>4852.2</x:v>
      </x:c>
      <x:c r="Q955" s="54" t="n">
        <x:f>ROUND(O955-P955,2)</x:f>
        <x:v>2483.72</x:v>
      </x:c>
      <x:c r="R955" s="55" t="n">
        <x:f>IF(O955=0,0,ROUND(Q955/O955,4))</x:f>
        <x:v>0.3386</x:v>
      </x:c>
      <x:c r="S955" s="53" t="n">
        <x:v>8</x:v>
      </x:c>
      <x:c r="T955" t="str">
        <x:v>Entregue</x:v>
      </x:c>
      <x:c r="U955" t="n">
        <x:v>4</x:v>
      </x:c>
      <x:c r="V955" t="str"/>
    </x:row>
    <x:row r="956">
      <x:c r="A956" s="52" t="n">
        <x:v>46138</x:v>
      </x:c>
      <x:c r="B956" t="str">
        <x:v>PED-100955</x:v>
      </x:c>
      <x:c r="C956" t="str">
        <x:v>Cliente 070</x:v>
      </x:c>
      <x:c r="D956" t="str">
        <x:v>AM</x:v>
      </x:c>
      <x:c r="E956" t="str">
        <x:v>Norte</x:v>
      </x:c>
      <x:c r="F956" t="str">
        <x:v>Loja</x:v>
      </x:c>
      <x:c r="G956" t="str">
        <x:v>Tecnologia</x:v>
      </x:c>
      <x:c r="H956" t="str">
        <x:v>Monitor 27</x:v>
      </x:c>
      <x:c r="I956" t="str">
        <x:v>Felipe</x:v>
      </x:c>
      <x:c r="J956" s="53" t="n">
        <x:v>5</x:v>
      </x:c>
      <x:c r="K956" s="54" t="n">
        <x:v>1656.28</x:v>
      </x:c>
      <x:c r="L956" s="54" t="n">
        <x:v>1110.24</x:v>
      </x:c>
      <x:c r="M956" s="55" t="n">
        <x:v>0</x:v>
      </x:c>
      <x:c r="N956" s="54" t="n">
        <x:f>ROUND(J956*K956,2)</x:f>
        <x:v>8281.4</x:v>
      </x:c>
      <x:c r="O956" s="54" t="n">
        <x:f>ROUND(N956*(1-M956),2)</x:f>
        <x:v>8281.4</x:v>
      </x:c>
      <x:c r="P956" s="54" t="n">
        <x:f>ROUND(J956*L956,2)</x:f>
        <x:v>5551.2</x:v>
      </x:c>
      <x:c r="Q956" s="54" t="n">
        <x:f>ROUND(O956-P956,2)</x:f>
        <x:v>2730.2</x:v>
      </x:c>
      <x:c r="R956" s="55" t="n">
        <x:f>IF(O956=0,0,ROUND(Q956/O956,4))</x:f>
        <x:v>0.3297</x:v>
      </x:c>
      <x:c r="S956" s="53" t="n">
        <x:v>14</x:v>
      </x:c>
      <x:c r="T956" t="str">
        <x:v>Entregue com atraso</x:v>
      </x:c>
      <x:c r="U956" t="n">
        <x:v>5</x:v>
      </x:c>
      <x:c r="V956" t="str"/>
    </x:row>
    <x:row r="957">
      <x:c r="A957" s="52" t="n">
        <x:v>46059</x:v>
      </x:c>
      <x:c r="B957" t="str">
        <x:v>PED-100956</x:v>
      </x:c>
      <x:c r="C957" t="str">
        <x:v>Cliente 054</x:v>
      </x:c>
      <x:c r="D957" t="str">
        <x:v>PE</x:v>
      </x:c>
      <x:c r="E957" t="str">
        <x:v>Nordeste</x:v>
      </x:c>
      <x:c r="F957" t="str">
        <x:v>Marketplace</x:v>
      </x:c>
      <x:c r="G957" t="str">
        <x:v>Tecnologia</x:v>
      </x:c>
      <x:c r="H957" t="str">
        <x:v>Notebook Pro</x:v>
      </x:c>
      <x:c r="I957" t="str">
        <x:v>João</x:v>
      </x:c>
      <x:c r="J957" s="53" t="n">
        <x:v>1</x:v>
      </x:c>
      <x:c r="K957" s="54" t="n">
        <x:v>6143.64</x:v>
      </x:c>
      <x:c r="L957" s="54" t="n">
        <x:v>4576.86</x:v>
      </x:c>
      <x:c r="M957" s="55" t="n">
        <x:v>0.153</x:v>
      </x:c>
      <x:c r="N957" s="54" t="n">
        <x:f>ROUND(J957*K957,2)</x:f>
        <x:v>6143.64</x:v>
      </x:c>
      <x:c r="O957" s="54" t="n">
        <x:f>ROUND(N957*(1-M957),2)</x:f>
        <x:v>5203.66</x:v>
      </x:c>
      <x:c r="P957" s="54" t="n">
        <x:f>ROUND(J957*L957,2)</x:f>
        <x:v>4576.86</x:v>
      </x:c>
      <x:c r="Q957" s="54" t="n">
        <x:f>ROUND(O957-P957,2)</x:f>
        <x:v>626.8</x:v>
      </x:c>
      <x:c r="R957" s="55" t="n">
        <x:f>IF(O957=0,0,ROUND(Q957/O957,4))</x:f>
        <x:v>0.1205</x:v>
      </x:c>
      <x:c r="S957" s="53" t="n">
        <x:v>11</x:v>
      </x:c>
      <x:c r="T957" t="str">
        <x:v>Entregue com atraso</x:v>
      </x:c>
      <x:c r="U957" t="n">
        <x:v>2</x:v>
      </x:c>
      <x:c r="V957" t="str"/>
    </x:row>
    <x:row r="958">
      <x:c r="A958" s="52" t="n">
        <x:v>46226</x:v>
      </x:c>
      <x:c r="B958" t="str">
        <x:v>PED-100957</x:v>
      </x:c>
      <x:c r="C958" t="str">
        <x:v>Cliente 101</x:v>
      </x:c>
      <x:c r="D958" t="str">
        <x:v>SC</x:v>
      </x:c>
      <x:c r="E958" t="str">
        <x:v>Sul</x:v>
      </x:c>
      <x:c r="F958" t="str">
        <x:v>E-commerce</x:v>
      </x:c>
      <x:c r="G958" t="str">
        <x:v>Acessórios</x:v>
      </x:c>
      <x:c r="H958" t="str">
        <x:v>Mochila Executiva</x:v>
      </x:c>
      <x:c r="I958" t="str">
        <x:v>Ana</x:v>
      </x:c>
      <x:c r="J958" s="53" t="n">
        <x:v>4</x:v>
      </x:c>
      <x:c r="K958" s="54" t="n">
        <x:v>416.86</x:v>
      </x:c>
      <x:c r="L958" s="54" t="n">
        <x:v>183.46</x:v>
      </x:c>
      <x:c r="M958" s="55" t="n">
        <x:v>0</x:v>
      </x:c>
      <x:c r="N958" s="54" t="n">
        <x:f>ROUND(J958*K958,2)</x:f>
        <x:v>1667.44</x:v>
      </x:c>
      <x:c r="O958" s="54" t="n">
        <x:f>ROUND(N958*(1-M958),2)</x:f>
        <x:v>1667.44</x:v>
      </x:c>
      <x:c r="P958" s="54" t="n">
        <x:f>ROUND(J958*L958,2)</x:f>
        <x:v>733.84</x:v>
      </x:c>
      <x:c r="Q958" s="54" t="n">
        <x:f>ROUND(O958-P958,2)</x:f>
        <x:v>933.6</x:v>
      </x:c>
      <x:c r="R958" s="55" t="n">
        <x:f>IF(O958=0,0,ROUND(Q958/O958,4))</x:f>
        <x:v>0.5599</x:v>
      </x:c>
      <x:c r="S958" s="53" t="n">
        <x:v>13</x:v>
      </x:c>
      <x:c r="T958" t="str">
        <x:v>Entregue com atraso</x:v>
      </x:c>
      <x:c r="U958" t="n">
        <x:v>5</x:v>
      </x:c>
      <x:c r="V958" t="str"/>
    </x:row>
    <x:row r="959">
      <x:c r="A959" s="52" t="n">
        <x:v>46058</x:v>
      </x:c>
      <x:c r="B959" t="str">
        <x:v>PED-100958</x:v>
      </x:c>
      <x:c r="C959" t="str">
        <x:v>Cliente 099</x:v>
      </x:c>
      <x:c r="D959" t="str">
        <x:v>MT</x:v>
      </x:c>
      <x:c r="E959" t="str">
        <x:v>Centro-Oeste</x:v>
      </x:c>
      <x:c r="F959" t="str">
        <x:v>Loja</x:v>
      </x:c>
      <x:c r="G959" t="str">
        <x:v>Tecnologia</x:v>
      </x:c>
      <x:c r="H959" t="str">
        <x:v>Monitor 27</x:v>
      </x:c>
      <x:c r="I959" t="str">
        <x:v>Ana</x:v>
      </x:c>
      <x:c r="J959" s="53" t="n">
        <x:v>3</x:v>
      </x:c>
      <x:c r="K959" s="54" t="n">
        <x:v>1762.31</x:v>
      </x:c>
      <x:c r="L959" s="54" t="n">
        <x:v>1079.35</x:v>
      </x:c>
      <x:c r="M959" s="55" t="n">
        <x:v>0</x:v>
      </x:c>
      <x:c r="N959" s="54" t="n">
        <x:f>ROUND(J959*K959,2)</x:f>
        <x:v>5286.93</x:v>
      </x:c>
      <x:c r="O959" s="54" t="n">
        <x:f>ROUND(N959*(1-M959),2)</x:f>
        <x:v>5286.93</x:v>
      </x:c>
      <x:c r="P959" s="54" t="n">
        <x:f>ROUND(J959*L959,2)</x:f>
        <x:v>3238.05</x:v>
      </x:c>
      <x:c r="Q959" s="54" t="n">
        <x:f>ROUND(O959-P959,2)</x:f>
        <x:v>2048.88</x:v>
      </x:c>
      <x:c r="R959" s="55" t="n">
        <x:f>IF(O959=0,0,ROUND(Q959/O959,4))</x:f>
        <x:v>0.3875</x:v>
      </x:c>
      <x:c r="S959" s="53" t="n">
        <x:v>12</x:v>
      </x:c>
      <x:c r="T959" t="str">
        <x:v>Entregue com atraso</x:v>
      </x:c>
      <x:c r="U959" t="n">
        <x:v>5</x:v>
      </x:c>
      <x:c r="V959" t="str"/>
    </x:row>
    <x:row r="960">
      <x:c r="A960" s="52" t="n">
        <x:v>46038</x:v>
      </x:c>
      <x:c r="B960" t="str">
        <x:v>PED-100959</x:v>
      </x:c>
      <x:c r="C960" t="str">
        <x:v>Cliente 119</x:v>
      </x:c>
      <x:c r="D960" t="str">
        <x:v>SC</x:v>
      </x:c>
      <x:c r="E960" t="str">
        <x:v>Sul</x:v>
      </x:c>
      <x:c r="F960" t="str">
        <x:v>Loja</x:v>
      </x:c>
      <x:c r="G960" t="str">
        <x:v>Casa</x:v>
      </x:c>
      <x:c r="H960" t="str">
        <x:v>Cafeteira Smart</x:v>
      </x:c>
      <x:c r="I960" t="str">
        <x:v>Ana</x:v>
      </x:c>
      <x:c r="J960" s="53" t="n">
        <x:v>2</x:v>
      </x:c>
      <x:c r="K960" s="54" t="n">
        <x:v>778.76</x:v>
      </x:c>
      <x:c r="L960" s="54" t="n">
        <x:v>466.52</x:v>
      </x:c>
      <x:c r="M960" s="55" t="n">
        <x:v>0.0888</x:v>
      </x:c>
      <x:c r="N960" s="54" t="n">
        <x:f>ROUND(J960*K960,2)</x:f>
        <x:v>1557.52</x:v>
      </x:c>
      <x:c r="O960" s="54" t="n">
        <x:f>ROUND(N960*(1-M960),2)</x:f>
        <x:v>1419.21</x:v>
      </x:c>
      <x:c r="P960" s="54" t="n">
        <x:f>ROUND(J960*L960,2)</x:f>
        <x:v>933.04</x:v>
      </x:c>
      <x:c r="Q960" s="54" t="n">
        <x:f>ROUND(O960-P960,2)</x:f>
        <x:v>486.17</x:v>
      </x:c>
      <x:c r="R960" s="55" t="n">
        <x:f>IF(O960=0,0,ROUND(Q960/O960,4))</x:f>
        <x:v>0.3426</x:v>
      </x:c>
      <x:c r="S960" s="53" t="n">
        <x:v>4</x:v>
      </x:c>
      <x:c r="T960" t="str">
        <x:v>Entregue</x:v>
      </x:c>
      <x:c r="U960" t="n">
        <x:v>3</x:v>
      </x:c>
      <x:c r="V960" t="str"/>
    </x:row>
    <x:row r="961">
      <x:c r="A961" s="52" t="n">
        <x:v>46200</x:v>
      </x:c>
      <x:c r="B961" t="str">
        <x:v>PED-100960</x:v>
      </x:c>
      <x:c r="C961" t="str">
        <x:v>Cliente 050</x:v>
      </x:c>
      <x:c r="D961" t="str">
        <x:v>BA</x:v>
      </x:c>
      <x:c r="E961" t="str">
        <x:v>Nordeste</x:v>
      </x:c>
      <x:c r="F961" t="str">
        <x:v>Televendas</x:v>
      </x:c>
      <x:c r="G961" t="str">
        <x:v>Casa</x:v>
      </x:c>
      <x:c r="H961" t="str">
        <x:v>Cafeteira Smart</x:v>
      </x:c>
      <x:c r="I961" t="str">
        <x:v>Ana</x:v>
      </x:c>
      <x:c r="J961" s="53" t="n">
        <x:v>3</x:v>
      </x:c>
      <x:c r="K961" s="54" t="n">
        <x:v>827.52</x:v>
      </x:c>
      <x:c r="L961" s="54" t="n">
        <x:v>455.91</x:v>
      </x:c>
      <x:c r="M961" s="55" t="n">
        <x:v>0</x:v>
      </x:c>
      <x:c r="N961" s="54" t="n">
        <x:f>ROUND(J961*K961,2)</x:f>
        <x:v>2482.56</x:v>
      </x:c>
      <x:c r="O961" s="54" t="n">
        <x:f>ROUND(N961*(1-M961),2)</x:f>
        <x:v>2482.56</x:v>
      </x:c>
      <x:c r="P961" s="54" t="n">
        <x:f>ROUND(J961*L961,2)</x:f>
        <x:v>1367.73</x:v>
      </x:c>
      <x:c r="Q961" s="54" t="n">
        <x:f>ROUND(O961-P961,2)</x:f>
        <x:v>1114.83</x:v>
      </x:c>
      <x:c r="R961" s="55" t="n">
        <x:f>IF(O961=0,0,ROUND(Q961/O961,4))</x:f>
        <x:v>0.4491</x:v>
      </x:c>
      <x:c r="S961" s="53" t="n">
        <x:v>6</x:v>
      </x:c>
      <x:c r="T961" t="str">
        <x:v>Entregue</x:v>
      </x:c>
      <x:c r="U961" t="n">
        <x:v>4</x:v>
      </x:c>
      <x:c r="V961" t="str"/>
    </x:row>
    <x:row r="962">
      <x:c r="A962" s="52" t="n">
        <x:v>46119</x:v>
      </x:c>
      <x:c r="B962" t="str">
        <x:v>PED-100961</x:v>
      </x:c>
      <x:c r="C962" t="str">
        <x:v>Cliente 046</x:v>
      </x:c>
      <x:c r="D962" t="str">
        <x:v>AM</x:v>
      </x:c>
      <x:c r="E962" t="str">
        <x:v>Norte</x:v>
      </x:c>
      <x:c r="F962" t="str">
        <x:v>E-commerce</x:v>
      </x:c>
      <x:c r="G962" t="str">
        <x:v>Acessórios</x:v>
      </x:c>
      <x:c r="H962" t="str">
        <x:v>Mochila Executiva</x:v>
      </x:c>
      <x:c r="I962" t="str">
        <x:v>Felipe</x:v>
      </x:c>
      <x:c r="J962" s="53" t="n">
        <x:v>1</x:v>
      </x:c>
      <x:c r="K962" s="54" t="n">
        <x:v>439.99</x:v>
      </x:c>
      <x:c r="L962" s="54" t="n">
        <x:v>199.64</x:v>
      </x:c>
      <x:c r="M962" s="55" t="n">
        <x:v>0.0537</x:v>
      </x:c>
      <x:c r="N962" s="54" t="n">
        <x:f>ROUND(J962*K962,2)</x:f>
        <x:v>439.99</x:v>
      </x:c>
      <x:c r="O962" s="54" t="n">
        <x:f>ROUND(N962*(1-M962),2)</x:f>
        <x:v>416.36</x:v>
      </x:c>
      <x:c r="P962" s="54" t="n">
        <x:f>ROUND(J962*L962,2)</x:f>
        <x:v>199.64</x:v>
      </x:c>
      <x:c r="Q962" s="54" t="n">
        <x:f>ROUND(O962-P962,2)</x:f>
        <x:v>216.72</x:v>
      </x:c>
      <x:c r="R962" s="55" t="n">
        <x:f>IF(O962=0,0,ROUND(Q962/O962,4))</x:f>
        <x:v>0.5205</x:v>
      </x:c>
      <x:c r="S962" s="53" t="n">
        <x:v>8</x:v>
      </x:c>
      <x:c r="T962" t="str">
        <x:v>Entregue</x:v>
      </x:c>
      <x:c r="U962" t="n">
        <x:v>2</x:v>
      </x:c>
      <x:c r="V962" t="str"/>
    </x:row>
    <x:row r="963">
      <x:c r="A963" s="52" t="n">
        <x:v>46036</x:v>
      </x:c>
      <x:c r="B963" t="str">
        <x:v>PED-100962</x:v>
      </x:c>
      <x:c r="C963" t="str">
        <x:v>Cliente 102</x:v>
      </x:c>
      <x:c r="D963" t="str">
        <x:v>PR</x:v>
      </x:c>
      <x:c r="E963" t="str">
        <x:v>Sul</x:v>
      </x:c>
      <x:c r="F963" t="str">
        <x:v>Loja</x:v>
      </x:c>
      <x:c r="G963" t="str">
        <x:v>Casa</x:v>
      </x:c>
      <x:c r="H963" t="str">
        <x:v>Cafeteira Smart</x:v>
      </x:c>
      <x:c r="I963" t="str">
        <x:v>Gabriela</x:v>
      </x:c>
      <x:c r="J963" s="53" t="n">
        <x:v>7</x:v>
      </x:c>
      <x:c r="K963" s="54" t="n">
        <x:v>786.97</x:v>
      </x:c>
      <x:c r="L963" s="54" t="n">
        <x:v>438.72</x:v>
      </x:c>
      <x:c r="M963" s="55" t="n">
        <x:v>0</x:v>
      </x:c>
      <x:c r="N963" s="54" t="n">
        <x:f>ROUND(J963*K963,2)</x:f>
        <x:v>5508.79</x:v>
      </x:c>
      <x:c r="O963" s="54" t="n">
        <x:f>ROUND(N963*(1-M963),2)</x:f>
        <x:v>5508.79</x:v>
      </x:c>
      <x:c r="P963" s="54" t="n">
        <x:f>ROUND(J963*L963,2)</x:f>
        <x:v>3071.04</x:v>
      </x:c>
      <x:c r="Q963" s="54" t="n">
        <x:f>ROUND(O963-P963,2)</x:f>
        <x:v>2437.75</x:v>
      </x:c>
      <x:c r="R963" s="55" t="n">
        <x:f>IF(O963=0,0,ROUND(Q963/O963,4))</x:f>
        <x:v>0.4425</x:v>
      </x:c>
      <x:c r="S963" s="53" t="n">
        <x:v>9</x:v>
      </x:c>
      <x:c r="T963" t="str">
        <x:v>Entregue</x:v>
      </x:c>
      <x:c r="U963" t="n">
        <x:v>2</x:v>
      </x:c>
      <x:c r="V963" t="str"/>
    </x:row>
    <x:row r="964">
      <x:c r="A964" s="52" t="n">
        <x:v>46217</x:v>
      </x:c>
      <x:c r="B964" t="str">
        <x:v>PED-100963</x:v>
      </x:c>
      <x:c r="C964" t="str">
        <x:v>Cliente 082</x:v>
      </x:c>
      <x:c r="D964" t="str">
        <x:v>BA</x:v>
      </x:c>
      <x:c r="E964" t="str">
        <x:v>Nordeste</x:v>
      </x:c>
      <x:c r="F964" t="str">
        <x:v>Televendas</x:v>
      </x:c>
      <x:c r="G964" t="str">
        <x:v>Tecnologia</x:v>
      </x:c>
      <x:c r="H964" t="str">
        <x:v>Monitor 27</x:v>
      </x:c>
      <x:c r="I964" t="str">
        <x:v>Henrique</x:v>
      </x:c>
      <x:c r="J964" s="53" t="n">
        <x:v>5</x:v>
      </x:c>
      <x:c r="K964" s="54" t="n">
        <x:v>1738.02</x:v>
      </x:c>
      <x:c r="L964" s="54" t="n">
        <x:v>1138.29</x:v>
      </x:c>
      <x:c r="M964" s="55" t="n">
        <x:v>0.0417</x:v>
      </x:c>
      <x:c r="N964" s="54" t="n">
        <x:f>ROUND(J964*K964,2)</x:f>
        <x:v>8690.1</x:v>
      </x:c>
      <x:c r="O964" s="54" t="n">
        <x:f>ROUND(N964*(1-M964),2)</x:f>
        <x:v>8327.72</x:v>
      </x:c>
      <x:c r="P964" s="54" t="n">
        <x:f>ROUND(J964*L964,2)</x:f>
        <x:v>5691.45</x:v>
      </x:c>
      <x:c r="Q964" s="54" t="n">
        <x:f>ROUND(O964-P964,2)</x:f>
        <x:v>2636.27</x:v>
      </x:c>
      <x:c r="R964" s="55" t="n">
        <x:f>IF(O964=0,0,ROUND(Q964/O964,4))</x:f>
        <x:v>0.3166</x:v>
      </x:c>
      <x:c r="S964" s="53" t="n">
        <x:v>2</x:v>
      </x:c>
      <x:c r="T964" t="str">
        <x:v>Entregue</x:v>
      </x:c>
      <x:c r="U964" t="n">
        <x:v>3</x:v>
      </x:c>
      <x:c r="V964" t="str"/>
    </x:row>
    <x:row r="965">
      <x:c r="A965" s="52" t="n">
        <x:v>46067</x:v>
      </x:c>
      <x:c r="B965" t="str">
        <x:v>PED-100964</x:v>
      </x:c>
      <x:c r="C965" t="str">
        <x:v>Cliente 013</x:v>
      </x:c>
      <x:c r="D965" t="str">
        <x:v>SP</x:v>
      </x:c>
      <x:c r="E965" t="str">
        <x:v>Sudeste</x:v>
      </x:c>
      <x:c r="F965" t="str">
        <x:v>E-commerce</x:v>
      </x:c>
      <x:c r="G965" t="str">
        <x:v>Acessórios</x:v>
      </x:c>
      <x:c r="H965" t="str">
        <x:v>Webcam HD</x:v>
      </x:c>
      <x:c r="I965" t="str">
        <x:v>Ana</x:v>
      </x:c>
      <x:c r="J965" s="53" t="n">
        <x:v>7</x:v>
      </x:c>
      <x:c r="K965" s="54" t="n">
        <x:v>507.85</x:v>
      </x:c>
      <x:c r="L965" s="54" t="n">
        <x:v>243.85</x:v>
      </x:c>
      <x:c r="M965" s="55" t="n">
        <x:v>0</x:v>
      </x:c>
      <x:c r="N965" s="54" t="n">
        <x:f>ROUND(J965*K965,2)</x:f>
        <x:v>3554.95</x:v>
      </x:c>
      <x:c r="O965" s="54" t="n">
        <x:f>ROUND(N965*(1-M965),2)</x:f>
        <x:v>3554.95</x:v>
      </x:c>
      <x:c r="P965" s="54" t="n">
        <x:f>ROUND(J965*L965,2)</x:f>
        <x:v>1706.95</x:v>
      </x:c>
      <x:c r="Q965" s="54" t="n">
        <x:f>ROUND(O965-P965,2)</x:f>
        <x:v>1848</x:v>
      </x:c>
      <x:c r="R965" s="55" t="n">
        <x:f>IF(O965=0,0,ROUND(Q965/O965,4))</x:f>
        <x:v>0.5198</x:v>
      </x:c>
      <x:c r="S965" s="53" t="n">
        <x:v>14</x:v>
      </x:c>
      <x:c r="T965" t="str">
        <x:v>Entregue com atraso</x:v>
      </x:c>
      <x:c r="U965" t="n">
        <x:v>3</x:v>
      </x:c>
      <x:c r="V965" t="str"/>
    </x:row>
    <x:row r="966">
      <x:c r="A966" s="52" t="n">
        <x:v>46222</x:v>
      </x:c>
      <x:c r="B966" t="str">
        <x:v>PED-100965</x:v>
      </x:c>
      <x:c r="C966" t="str">
        <x:v>Cliente 088</x:v>
      </x:c>
      <x:c r="D966" t="str">
        <x:v>SC</x:v>
      </x:c>
      <x:c r="E966" t="str">
        <x:v>Sul</x:v>
      </x:c>
      <x:c r="F966" t="str">
        <x:v>Televendas</x:v>
      </x:c>
      <x:c r="G966" t="str">
        <x:v>Escritório</x:v>
      </x:c>
      <x:c r="H966" t="str">
        <x:v>Mesa Ajustável</x:v>
      </x:c>
      <x:c r="I966" t="str">
        <x:v>Carla</x:v>
      </x:c>
      <x:c r="J966" s="53" t="n">
        <x:v>8</x:v>
      </x:c>
      <x:c r="K966" s="54" t="n">
        <x:v>2730.88</x:v>
      </x:c>
      <x:c r="L966" s="54" t="n">
        <x:v>1878.52</x:v>
      </x:c>
      <x:c r="M966" s="55" t="n">
        <x:v>0.0977</x:v>
      </x:c>
      <x:c r="N966" s="54" t="n">
        <x:f>ROUND(J966*K966,2)</x:f>
        <x:v>21847.04</x:v>
      </x:c>
      <x:c r="O966" s="54" t="n">
        <x:f>ROUND(N966*(1-M966),2)</x:f>
        <x:v>19712.58</x:v>
      </x:c>
      <x:c r="P966" s="54" t="n">
        <x:f>ROUND(J966*L966,2)</x:f>
        <x:v>15028.16</x:v>
      </x:c>
      <x:c r="Q966" s="54" t="n">
        <x:f>ROUND(O966-P966,2)</x:f>
        <x:v>4684.42</x:v>
      </x:c>
      <x:c r="R966" s="55" t="n">
        <x:f>IF(O966=0,0,ROUND(Q966/O966,4))</x:f>
        <x:v>0.2376</x:v>
      </x:c>
      <x:c r="S966" s="53" t="n">
        <x:v>9</x:v>
      </x:c>
      <x:c r="T966" t="str">
        <x:v>Entregue</x:v>
      </x:c>
      <x:c r="U966" t="n">
        <x:v>2</x:v>
      </x:c>
      <x:c r="V966" t="str"/>
    </x:row>
    <x:row r="967">
      <x:c r="A967" s="52" t="n">
        <x:v>46143</x:v>
      </x:c>
      <x:c r="B967" t="str">
        <x:v>PED-100966</x:v>
      </x:c>
      <x:c r="C967" t="str">
        <x:v>Cliente 098</x:v>
      </x:c>
      <x:c r="D967" t="str">
        <x:v>MG</x:v>
      </x:c>
      <x:c r="E967" t="str">
        <x:v>Sudeste</x:v>
      </x:c>
      <x:c r="F967" t="str">
        <x:v>Marketplace</x:v>
      </x:c>
      <x:c r="G967" t="str">
        <x:v>Tecnologia</x:v>
      </x:c>
      <x:c r="H967" t="str">
        <x:v>Notebook Pro</x:v>
      </x:c>
      <x:c r="I967" t="str">
        <x:v>Bruno</x:v>
      </x:c>
      <x:c r="J967" s="53" t="n">
        <x:v>1</x:v>
      </x:c>
      <x:c r="K967" s="54" t="n">
        <x:v>6161.19</x:v>
      </x:c>
      <x:c r="L967" s="54" t="n">
        <x:v>4365.19</x:v>
      </x:c>
      <x:c r="M967" s="55" t="n">
        <x:v>0.1032</x:v>
      </x:c>
      <x:c r="N967" s="54" t="n">
        <x:f>ROUND(J967*K967,2)</x:f>
        <x:v>6161.19</x:v>
      </x:c>
      <x:c r="O967" s="54" t="n">
        <x:f>ROUND(N967*(1-M967),2)</x:f>
        <x:v>5525.36</x:v>
      </x:c>
      <x:c r="P967" s="54" t="n">
        <x:f>ROUND(J967*L967,2)</x:f>
        <x:v>4365.19</x:v>
      </x:c>
      <x:c r="Q967" s="54" t="n">
        <x:f>ROUND(O967-P967,2)</x:f>
        <x:v>1160.17</x:v>
      </x:c>
      <x:c r="R967" s="55" t="n">
        <x:f>IF(O967=0,0,ROUND(Q967/O967,4))</x:f>
        <x:v>0.21</x:v>
      </x:c>
      <x:c r="S967" s="53" t="n">
        <x:v>4</x:v>
      </x:c>
      <x:c r="T967" t="str">
        <x:v>Entregue</x:v>
      </x:c>
      <x:c r="U967" t="n">
        <x:v>2</x:v>
      </x:c>
      <x:c r="V967" t="str"/>
    </x:row>
    <x:row r="968">
      <x:c r="A968" s="52" t="n">
        <x:v>46191</x:v>
      </x:c>
      <x:c r="B968" t="str">
        <x:v>PED-100967</x:v>
      </x:c>
      <x:c r="C968" t="str">
        <x:v>Cliente 016</x:v>
      </x:c>
      <x:c r="D968" t="str">
        <x:v>RJ</x:v>
      </x:c>
      <x:c r="E968" t="str">
        <x:v>Sudeste</x:v>
      </x:c>
      <x:c r="F968" t="str">
        <x:v>E-commerce</x:v>
      </x:c>
      <x:c r="G968" t="str">
        <x:v>Casa</x:v>
      </x:c>
      <x:c r="H968" t="str">
        <x:v>Cafeteira Smart</x:v>
      </x:c>
      <x:c r="I968" t="str">
        <x:v>Ana</x:v>
      </x:c>
      <x:c r="J968" s="53" t="n">
        <x:v>6</x:v>
      </x:c>
      <x:c r="K968" s="54" t="n">
        <x:v>824.86</x:v>
      </x:c>
      <x:c r="L968" s="54" t="n">
        <x:v>474.42</x:v>
      </x:c>
      <x:c r="M968" s="55" t="n">
        <x:v>0.0487</x:v>
      </x:c>
      <x:c r="N968" s="54" t="n">
        <x:f>ROUND(J968*K968,2)</x:f>
        <x:v>4949.16</x:v>
      </x:c>
      <x:c r="O968" s="54" t="n">
        <x:f>ROUND(N968*(1-M968),2)</x:f>
        <x:v>4708.14</x:v>
      </x:c>
      <x:c r="P968" s="54" t="n">
        <x:f>ROUND(J968*L968,2)</x:f>
        <x:v>2846.52</x:v>
      </x:c>
      <x:c r="Q968" s="54" t="n">
        <x:f>ROUND(O968-P968,2)</x:f>
        <x:v>1861.62</x:v>
      </x:c>
      <x:c r="R968" s="55" t="n">
        <x:f>IF(O968=0,0,ROUND(Q968/O968,4))</x:f>
        <x:v>0.3954</x:v>
      </x:c>
      <x:c r="S968" s="53" t="n">
        <x:v>12</x:v>
      </x:c>
      <x:c r="T968" t="str">
        <x:v>Entregue com atraso</x:v>
      </x:c>
      <x:c r="U968" t="n">
        <x:v>3</x:v>
      </x:c>
      <x:c r="V968" t="str"/>
    </x:row>
    <x:row r="969">
      <x:c r="A969" s="52" t="n">
        <x:v>46116</x:v>
      </x:c>
      <x:c r="B969" t="str">
        <x:v>PED-100968</x:v>
      </x:c>
      <x:c r="C969" t="str">
        <x:v>Cliente 069</x:v>
      </x:c>
      <x:c r="D969" t="str">
        <x:v>PA</x:v>
      </x:c>
      <x:c r="E969" t="str">
        <x:v>Norte</x:v>
      </x:c>
      <x:c r="F969" t="str">
        <x:v>E-commerce</x:v>
      </x:c>
      <x:c r="G969" t="str">
        <x:v>Escritório</x:v>
      </x:c>
      <x:c r="H969" t="str">
        <x:v>Mesa Ajustável</x:v>
      </x:c>
      <x:c r="I969" t="str">
        <x:v>Elaine</x:v>
      </x:c>
      <x:c r="J969" s="53" t="n">
        <x:v>5</x:v>
      </x:c>
      <x:c r="K969" s="54" t="n">
        <x:v>2900.09</x:v>
      </x:c>
      <x:c r="L969" s="54" t="n">
        <x:v>1846.84</x:v>
      </x:c>
      <x:c r="M969" s="55" t="n">
        <x:v>0.0768</x:v>
      </x:c>
      <x:c r="N969" s="54" t="n">
        <x:f>ROUND(J969*K969,2)</x:f>
        <x:v>14500.45</x:v>
      </x:c>
      <x:c r="O969" s="54" t="n">
        <x:f>ROUND(N969*(1-M969),2)</x:f>
        <x:v>13386.82</x:v>
      </x:c>
      <x:c r="P969" s="54" t="n">
        <x:f>ROUND(J969*L969,2)</x:f>
        <x:v>9234.2</x:v>
      </x:c>
      <x:c r="Q969" s="54" t="n">
        <x:f>ROUND(O969-P969,2)</x:f>
        <x:v>4152.62</x:v>
      </x:c>
      <x:c r="R969" s="55" t="n">
        <x:f>IF(O969=0,0,ROUND(Q969/O969,4))</x:f>
        <x:v>0.3102</x:v>
      </x:c>
      <x:c r="S969" s="53" t="n">
        <x:v>11</x:v>
      </x:c>
      <x:c r="T969" t="str">
        <x:v>Entregue com atraso</x:v>
      </x:c>
      <x:c r="U969" t="n">
        <x:v>4</x:v>
      </x:c>
      <x:c r="V969" t="str"/>
    </x:row>
    <x:row r="970">
      <x:c r="A970" s="52" t="n">
        <x:v>46210</x:v>
      </x:c>
      <x:c r="B970" t="str">
        <x:v>PED-100969</x:v>
      </x:c>
      <x:c r="C970" t="str">
        <x:v>Cliente 098</x:v>
      </x:c>
      <x:c r="D970" t="str">
        <x:v>MT</x:v>
      </x:c>
      <x:c r="E970" t="str">
        <x:v>Centro-Oeste</x:v>
      </x:c>
      <x:c r="F970" t="str">
        <x:v>E-commerce</x:v>
      </x:c>
      <x:c r="G970" t="str">
        <x:v>Tecnologia</x:v>
      </x:c>
      <x:c r="H970" t="str">
        <x:v>Headset Office</x:v>
      </x:c>
      <x:c r="I970" t="str">
        <x:v>Diego</x:v>
      </x:c>
      <x:c r="J970" s="53" t="n">
        <x:v>1</x:v>
      </x:c>
      <x:c r="K970" s="54" t="n">
        <x:v>409.91</x:v>
      </x:c>
      <x:c r="L970" s="54" t="n">
        <x:v>202.86</x:v>
      </x:c>
      <x:c r="M970" s="55" t="n">
        <x:v>0</x:v>
      </x:c>
      <x:c r="N970" s="54" t="n">
        <x:f>ROUND(J970*K970,2)</x:f>
        <x:v>409.91</x:v>
      </x:c>
      <x:c r="O970" s="54" t="n">
        <x:f>ROUND(N970*(1-M970),2)</x:f>
        <x:v>409.91</x:v>
      </x:c>
      <x:c r="P970" s="54" t="n">
        <x:f>ROUND(J970*L970,2)</x:f>
        <x:v>202.86</x:v>
      </x:c>
      <x:c r="Q970" s="54" t="n">
        <x:f>ROUND(O970-P970,2)</x:f>
        <x:v>207.05</x:v>
      </x:c>
      <x:c r="R970" s="55" t="n">
        <x:f>IF(O970=0,0,ROUND(Q970/O970,4))</x:f>
        <x:v>0.5051</x:v>
      </x:c>
      <x:c r="S970" s="53" t="n">
        <x:v>8</x:v>
      </x:c>
      <x:c r="T970" t="str">
        <x:v>Entregue</x:v>
      </x:c>
      <x:c r="U970" t="n">
        <x:v>4</x:v>
      </x:c>
      <x:c r="V970" t="str"/>
    </x:row>
    <x:row r="971">
      <x:c r="A971" s="52" t="n">
        <x:v>46091</x:v>
      </x:c>
      <x:c r="B971" t="str">
        <x:v>PED-100970</x:v>
      </x:c>
      <x:c r="C971" t="str">
        <x:v>Cliente 001</x:v>
      </x:c>
      <x:c r="D971" t="str">
        <x:v>AM</x:v>
      </x:c>
      <x:c r="E971" t="str">
        <x:v>Norte</x:v>
      </x:c>
      <x:c r="F971" t="str">
        <x:v>Televendas</x:v>
      </x:c>
      <x:c r="G971" t="str">
        <x:v>Escritório</x:v>
      </x:c>
      <x:c r="H971" t="str">
        <x:v>Cadeira Ergonômica</x:v>
      </x:c>
      <x:c r="I971" t="str">
        <x:v>Diego</x:v>
      </x:c>
      <x:c r="J971" s="53" t="n">
        <x:v>7</x:v>
      </x:c>
      <x:c r="K971" s="54" t="n">
        <x:v>2168.77</x:v>
      </x:c>
      <x:c r="L971" s="54" t="n">
        <x:v>1431.04</x:v>
      </x:c>
      <x:c r="M971" s="55" t="n">
        <x:v>0</x:v>
      </x:c>
      <x:c r="N971" s="54" t="n">
        <x:f>ROUND(J971*K971,2)</x:f>
        <x:v>15181.39</x:v>
      </x:c>
      <x:c r="O971" s="54" t="n">
        <x:f>ROUND(N971*(1-M971),2)</x:f>
        <x:v>15181.39</x:v>
      </x:c>
      <x:c r="P971" s="54" t="n">
        <x:f>ROUND(J971*L971,2)</x:f>
        <x:v>10017.28</x:v>
      </x:c>
      <x:c r="Q971" s="54" t="n">
        <x:f>ROUND(O971-P971,2)</x:f>
        <x:v>5164.11</x:v>
      </x:c>
      <x:c r="R971" s="55" t="n">
        <x:f>IF(O971=0,0,ROUND(Q971/O971,4))</x:f>
        <x:v>0.3402</x:v>
      </x:c>
      <x:c r="S971" s="53" t="n">
        <x:v>4</x:v>
      </x:c>
      <x:c r="T971" t="str">
        <x:v>Entregue</x:v>
      </x:c>
      <x:c r="U971" t="n">
        <x:v>4</x:v>
      </x:c>
      <x:c r="V971" t="str"/>
    </x:row>
    <x:row r="972">
      <x:c r="A972" s="52" t="n">
        <x:v>46036</x:v>
      </x:c>
      <x:c r="B972" t="str">
        <x:v>PED-100971</x:v>
      </x:c>
      <x:c r="C972" t="str">
        <x:v>Cliente 119</x:v>
      </x:c>
      <x:c r="D972" t="str">
        <x:v>MA</x:v>
      </x:c>
      <x:c r="E972" t="str">
        <x:v>Nordeste</x:v>
      </x:c>
      <x:c r="F972" t="str">
        <x:v>Televendas</x:v>
      </x:c>
      <x:c r="G972" t="str">
        <x:v>Escritório</x:v>
      </x:c>
      <x:c r="H972" t="str">
        <x:v>Luminária LED</x:v>
      </x:c>
      <x:c r="I972" t="str">
        <x:v>Carla</x:v>
      </x:c>
      <x:c r="J972" s="53" t="n">
        <x:v>2</x:v>
      </x:c>
      <x:c r="K972" s="54" t="n">
        <x:v>247.24</x:v>
      </x:c>
      <x:c r="L972" s="54" t="n">
        <x:v>119.77</x:v>
      </x:c>
      <x:c r="M972" s="55" t="n">
        <x:v>0</x:v>
      </x:c>
      <x:c r="N972" s="54" t="n">
        <x:f>ROUND(J972*K972,2)</x:f>
        <x:v>494.48</x:v>
      </x:c>
      <x:c r="O972" s="54" t="n">
        <x:f>ROUND(N972*(1-M972),2)</x:f>
        <x:v>494.48</x:v>
      </x:c>
      <x:c r="P972" s="54" t="n">
        <x:f>ROUND(J972*L972,2)</x:f>
        <x:v>239.54</x:v>
      </x:c>
      <x:c r="Q972" s="54" t="n">
        <x:f>ROUND(O972-P972,2)</x:f>
        <x:v>254.94</x:v>
      </x:c>
      <x:c r="R972" s="55" t="n">
        <x:f>IF(O972=0,0,ROUND(Q972/O972,4))</x:f>
        <x:v>0.5156</x:v>
      </x:c>
      <x:c r="S972" s="53" t="n">
        <x:v>13</x:v>
      </x:c>
      <x:c r="T972" t="str">
        <x:v>Entregue com atraso</x:v>
      </x:c>
      <x:c r="U972" t="n">
        <x:v>4</x:v>
      </x:c>
      <x:c r="V972" t="str"/>
    </x:row>
    <x:row r="973">
      <x:c r="A973" s="52" t="n">
        <x:v>46110</x:v>
      </x:c>
      <x:c r="B973" t="str">
        <x:v>PED-100972</x:v>
      </x:c>
      <x:c r="C973" t="str">
        <x:v>Cliente 007</x:v>
      </x:c>
      <x:c r="D973" t="str">
        <x:v>MA</x:v>
      </x:c>
      <x:c r="E973" t="str">
        <x:v>Nordeste</x:v>
      </x:c>
      <x:c r="F973" t="str">
        <x:v>Loja</x:v>
      </x:c>
      <x:c r="G973" t="str">
        <x:v>Escritório</x:v>
      </x:c>
      <x:c r="H973" t="str">
        <x:v>Mesa Ajustável</x:v>
      </x:c>
      <x:c r="I973" t="str">
        <x:v>Felipe</x:v>
      </x:c>
      <x:c r="J973" s="53" t="n">
        <x:v>6</x:v>
      </x:c>
      <x:c r="K973" s="54" t="n">
        <x:v>2926.7</x:v>
      </x:c>
      <x:c r="L973" s="54" t="n">
        <x:v>1935.7</x:v>
      </x:c>
      <x:c r="M973" s="55" t="n">
        <x:v>0</x:v>
      </x:c>
      <x:c r="N973" s="54" t="n">
        <x:f>ROUND(J973*K973,2)</x:f>
        <x:v>17560.2</x:v>
      </x:c>
      <x:c r="O973" s="54" t="n">
        <x:f>ROUND(N973*(1-M973),2)</x:f>
        <x:v>17560.2</x:v>
      </x:c>
      <x:c r="P973" s="54" t="n">
        <x:f>ROUND(J973*L973,2)</x:f>
        <x:v>11614.2</x:v>
      </x:c>
      <x:c r="Q973" s="54" t="n">
        <x:f>ROUND(O973-P973,2)</x:f>
        <x:v>5946</x:v>
      </x:c>
      <x:c r="R973" s="55" t="n">
        <x:f>IF(O973=0,0,ROUND(Q973/O973,4))</x:f>
        <x:v>0.3386</x:v>
      </x:c>
      <x:c r="S973" s="53" t="n">
        <x:v>14</x:v>
      </x:c>
      <x:c r="T973" t="str">
        <x:v>Entregue com atraso</x:v>
      </x:c>
      <x:c r="U973" t="n">
        <x:v>4</x:v>
      </x:c>
      <x:c r="V973" t="str"/>
    </x:row>
    <x:row r="974">
      <x:c r="A974" s="52" t="n">
        <x:v>46046</x:v>
      </x:c>
      <x:c r="B974" t="str">
        <x:v>PED-100973</x:v>
      </x:c>
      <x:c r="C974" t="str">
        <x:v>Cliente 080</x:v>
      </x:c>
      <x:c r="D974" t="str">
        <x:v>MG</x:v>
      </x:c>
      <x:c r="E974" t="str">
        <x:v>Sudeste</x:v>
      </x:c>
      <x:c r="F974" t="str">
        <x:v>E-commerce</x:v>
      </x:c>
      <x:c r="G974" t="str">
        <x:v>Escritório</x:v>
      </x:c>
      <x:c r="H974" t="str">
        <x:v>Luminária LED</x:v>
      </x:c>
      <x:c r="I974" t="str">
        <x:v>Diego</x:v>
      </x:c>
      <x:c r="J974" s="53" t="n">
        <x:v>3</x:v>
      </x:c>
      <x:c r="K974" s="54" t="n">
        <x:v>269.52</x:v>
      </x:c>
      <x:c r="L974" s="54" t="n">
        <x:v>118.57</x:v>
      </x:c>
      <x:c r="M974" s="55" t="n">
        <x:v>0</x:v>
      </x:c>
      <x:c r="N974" s="54" t="n">
        <x:f>ROUND(J974*K974,2)</x:f>
        <x:v>808.56</x:v>
      </x:c>
      <x:c r="O974" s="54" t="n">
        <x:f>ROUND(N974*(1-M974),2)</x:f>
        <x:v>808.56</x:v>
      </x:c>
      <x:c r="P974" s="54" t="n">
        <x:f>ROUND(J974*L974,2)</x:f>
        <x:v>355.71</x:v>
      </x:c>
      <x:c r="Q974" s="54" t="n">
        <x:f>ROUND(O974-P974,2)</x:f>
        <x:v>452.85</x:v>
      </x:c>
      <x:c r="R974" s="55" t="n">
        <x:f>IF(O974=0,0,ROUND(Q974/O974,4))</x:f>
        <x:v>0.5601</x:v>
      </x:c>
      <x:c r="S974" s="53" t="n">
        <x:v>10</x:v>
      </x:c>
      <x:c r="T974" t="str">
        <x:v>Entregue</x:v>
      </x:c>
      <x:c r="U974" t="n">
        <x:v>5</x:v>
      </x:c>
      <x:c r="V974" t="str"/>
    </x:row>
    <x:row r="975">
      <x:c r="A975" s="52" t="n">
        <x:v>46090</x:v>
      </x:c>
      <x:c r="B975" t="str">
        <x:v>PED-100974</x:v>
      </x:c>
      <x:c r="C975" t="str">
        <x:v>Cliente 062</x:v>
      </x:c>
      <x:c r="D975" t="str">
        <x:v>RS</x:v>
      </x:c>
      <x:c r="E975" t="str">
        <x:v>Sul</x:v>
      </x:c>
      <x:c r="F975" t="str">
        <x:v>Marketplace</x:v>
      </x:c>
      <x:c r="G975" t="str">
        <x:v>Escritório</x:v>
      </x:c>
      <x:c r="H975" t="str">
        <x:v>Cadeira Ergonômica</x:v>
      </x:c>
      <x:c r="I975" t="str">
        <x:v>Diego</x:v>
      </x:c>
      <x:c r="J975" s="53" t="n">
        <x:v>5</x:v>
      </x:c>
      <x:c r="K975" s="54" t="n">
        <x:v>2190.55</x:v>
      </x:c>
      <x:c r="L975" s="54" t="n">
        <x:v>1474.44</x:v>
      </x:c>
      <x:c r="M975" s="55" t="n">
        <x:v>0.1398</x:v>
      </x:c>
      <x:c r="N975" s="54" t="n">
        <x:f>ROUND(J975*K975,2)</x:f>
        <x:v>10952.75</x:v>
      </x:c>
      <x:c r="O975" s="54" t="n">
        <x:f>ROUND(N975*(1-M975),2)</x:f>
        <x:v>9421.56</x:v>
      </x:c>
      <x:c r="P975" s="54" t="n">
        <x:f>ROUND(J975*L975,2)</x:f>
        <x:v>7372.2</x:v>
      </x:c>
      <x:c r="Q975" s="54" t="n">
        <x:f>ROUND(O975-P975,2)</x:f>
        <x:v>2049.36</x:v>
      </x:c>
      <x:c r="R975" s="55" t="n">
        <x:f>IF(O975=0,0,ROUND(Q975/O975,4))</x:f>
        <x:v>0.2175</x:v>
      </x:c>
      <x:c r="S975" s="53" t="n">
        <x:v>6</x:v>
      </x:c>
      <x:c r="T975" t="str">
        <x:v>Entregue</x:v>
      </x:c>
      <x:c r="U975" t="n">
        <x:v>3</x:v>
      </x:c>
      <x:c r="V975" t="str"/>
    </x:row>
    <x:row r="976">
      <x:c r="A976" s="52" t="n">
        <x:v>46223</x:v>
      </x:c>
      <x:c r="B976" t="str">
        <x:v>PED-100975</x:v>
      </x:c>
      <x:c r="C976" t="str">
        <x:v>Cliente 084</x:v>
      </x:c>
      <x:c r="D976" t="str">
        <x:v>RJ</x:v>
      </x:c>
      <x:c r="E976" t="str">
        <x:v>Sudeste</x:v>
      </x:c>
      <x:c r="F976" t="str">
        <x:v>Televendas</x:v>
      </x:c>
      <x:c r="G976" t="str">
        <x:v>Acessórios</x:v>
      </x:c>
      <x:c r="H976" t="str">
        <x:v>Webcam HD</x:v>
      </x:c>
      <x:c r="I976" t="str">
        <x:v>Isabela</x:v>
      </x:c>
      <x:c r="J976" s="53" t="n">
        <x:v>4</x:v>
      </x:c>
      <x:c r="K976" s="54" t="n">
        <x:v>510.24</x:v>
      </x:c>
      <x:c r="L976" s="54" t="n">
        <x:v>248.15</x:v>
      </x:c>
      <x:c r="M976" s="55" t="n">
        <x:v>0.1047</x:v>
      </x:c>
      <x:c r="N976" s="54" t="n">
        <x:f>ROUND(J976*K976,2)</x:f>
        <x:v>2040.96</x:v>
      </x:c>
      <x:c r="O976" s="54" t="n">
        <x:f>ROUND(N976*(1-M976),2)</x:f>
        <x:v>1827.27</x:v>
      </x:c>
      <x:c r="P976" s="54" t="n">
        <x:f>ROUND(J976*L976,2)</x:f>
        <x:v>992.6</x:v>
      </x:c>
      <x:c r="Q976" s="54" t="n">
        <x:f>ROUND(O976-P976,2)</x:f>
        <x:v>834.67</x:v>
      </x:c>
      <x:c r="R976" s="55" t="n">
        <x:f>IF(O976=0,0,ROUND(Q976/O976,4))</x:f>
        <x:v>0.4568</x:v>
      </x:c>
      <x:c r="S976" s="53" t="n">
        <x:v>12</x:v>
      </x:c>
      <x:c r="T976" t="str">
        <x:v>Entregue com atraso</x:v>
      </x:c>
      <x:c r="U976" t="n">
        <x:v>4</x:v>
      </x:c>
      <x:c r="V976" t="str"/>
    </x:row>
    <x:row r="977">
      <x:c r="A977" s="52" t="n">
        <x:v>46117</x:v>
      </x:c>
      <x:c r="B977" t="str">
        <x:v>PED-100976</x:v>
      </x:c>
      <x:c r="C977" t="str">
        <x:v>Cliente 082</x:v>
      </x:c>
      <x:c r="D977" t="str">
        <x:v>ES</x:v>
      </x:c>
      <x:c r="E977" t="str">
        <x:v>Sudeste</x:v>
      </x:c>
      <x:c r="F977" t="str">
        <x:v>Televendas</x:v>
      </x:c>
      <x:c r="G977" t="str">
        <x:v>Acessórios</x:v>
      </x:c>
      <x:c r="H977" t="str">
        <x:v>Hub USB-C</x:v>
      </x:c>
      <x:c r="I977" t="str">
        <x:v>Felipe</x:v>
      </x:c>
      <x:c r="J977" s="53" t="n">
        <x:v>1</x:v>
      </x:c>
      <x:c r="K977" s="54" t="n">
        <x:v>306.28</x:v>
      </x:c>
      <x:c r="L977" s="54" t="n">
        <x:v>134.51</x:v>
      </x:c>
      <x:c r="M977" s="55" t="n">
        <x:v>0</x:v>
      </x:c>
      <x:c r="N977" s="54" t="n">
        <x:f>ROUND(J977*K977,2)</x:f>
        <x:v>306.28</x:v>
      </x:c>
      <x:c r="O977" s="54" t="n">
        <x:f>ROUND(N977*(1-M977),2)</x:f>
        <x:v>306.28</x:v>
      </x:c>
      <x:c r="P977" s="54" t="n">
        <x:f>ROUND(J977*L977,2)</x:f>
        <x:v>134.51</x:v>
      </x:c>
      <x:c r="Q977" s="54" t="n">
        <x:f>ROUND(O977-P977,2)</x:f>
        <x:v>171.77</x:v>
      </x:c>
      <x:c r="R977" s="55" t="n">
        <x:f>IF(O977=0,0,ROUND(Q977/O977,4))</x:f>
        <x:v>0.5608</x:v>
      </x:c>
      <x:c r="S977" s="53" t="n">
        <x:v>9</x:v>
      </x:c>
      <x:c r="T977" t="str">
        <x:v>Entregue</x:v>
      </x:c>
      <x:c r="U977" t="n">
        <x:v>4</x:v>
      </x:c>
      <x:c r="V977" t="str"/>
    </x:row>
    <x:row r="978">
      <x:c r="A978" s="52" t="n">
        <x:v>46165</x:v>
      </x:c>
      <x:c r="B978" t="str">
        <x:v>PED-100977</x:v>
      </x:c>
      <x:c r="C978" t="str">
        <x:v>Cliente 098</x:v>
      </x:c>
      <x:c r="D978" t="str">
        <x:v>RS</x:v>
      </x:c>
      <x:c r="E978" t="str">
        <x:v>Sul</x:v>
      </x:c>
      <x:c r="F978" t="str">
        <x:v>Televendas</x:v>
      </x:c>
      <x:c r="G978" t="str">
        <x:v>Tecnologia</x:v>
      </x:c>
      <x:c r="H978" t="str">
        <x:v>Notebook Pro</x:v>
      </x:c>
      <x:c r="I978" t="str">
        <x:v>Ana</x:v>
      </x:c>
      <x:c r="J978" s="53" t="n">
        <x:v>2</x:v>
      </x:c>
      <x:c r="K978" s="54" t="n">
        <x:v>5647.7</x:v>
      </x:c>
      <x:c r="L978" s="54" t="n">
        <x:v>4496.52</x:v>
      </x:c>
      <x:c r="M978" s="55" t="n">
        <x:v>0.0175</x:v>
      </x:c>
      <x:c r="N978" s="54" t="n">
        <x:f>ROUND(J978*K978,2)</x:f>
        <x:v>11295.4</x:v>
      </x:c>
      <x:c r="O978" s="54" t="n">
        <x:f>ROUND(N978*(1-M978),2)</x:f>
        <x:v>11097.73</x:v>
      </x:c>
      <x:c r="P978" s="54" t="n">
        <x:f>ROUND(J978*L978,2)</x:f>
        <x:v>8993.04</x:v>
      </x:c>
      <x:c r="Q978" s="54" t="n">
        <x:f>ROUND(O978-P978,2)</x:f>
        <x:v>2104.69</x:v>
      </x:c>
      <x:c r="R978" s="55" t="n">
        <x:f>IF(O978=0,0,ROUND(Q978/O978,4))</x:f>
        <x:v>0.1897</x:v>
      </x:c>
      <x:c r="S978" s="53" t="n">
        <x:v>11</x:v>
      </x:c>
      <x:c r="T978" t="str">
        <x:v>Entregue com atraso</x:v>
      </x:c>
      <x:c r="U978" t="n">
        <x:v>3</x:v>
      </x:c>
      <x:c r="V978" t="str"/>
    </x:row>
    <x:row r="979">
      <x:c r="A979" s="52" t="n">
        <x:v>46045</x:v>
      </x:c>
      <x:c r="B979" t="str">
        <x:v>PED-100978</x:v>
      </x:c>
      <x:c r="C979" t="str">
        <x:v>Cliente 053</x:v>
      </x:c>
      <x:c r="D979" t="str">
        <x:v>MA</x:v>
      </x:c>
      <x:c r="E979" t="str">
        <x:v>Nordeste</x:v>
      </x:c>
      <x:c r="F979" t="str">
        <x:v>E-commerce</x:v>
      </x:c>
      <x:c r="G979" t="str">
        <x:v>Acessórios</x:v>
      </x:c>
      <x:c r="H979" t="str">
        <x:v>Webcam HD</x:v>
      </x:c>
      <x:c r="I979" t="str">
        <x:v>Gabriela</x:v>
      </x:c>
      <x:c r="J979" s="53" t="n">
        <x:v>4</x:v>
      </x:c>
      <x:c r="K979" s="54" t="n">
        <x:v>520.65</x:v>
      </x:c>
      <x:c r="L979" s="54" t="n">
        <x:v>257.86</x:v>
      </x:c>
      <x:c r="M979" s="55" t="n">
        <x:v>0.0001</x:v>
      </x:c>
      <x:c r="N979" s="54" t="n">
        <x:f>ROUND(J979*K979,2)</x:f>
        <x:v>2082.6</x:v>
      </x:c>
      <x:c r="O979" s="54" t="n">
        <x:f>ROUND(N979*(1-M979),2)</x:f>
        <x:v>2082.39</x:v>
      </x:c>
      <x:c r="P979" s="54" t="n">
        <x:f>ROUND(J979*L979,2)</x:f>
        <x:v>1031.44</x:v>
      </x:c>
      <x:c r="Q979" s="54" t="n">
        <x:f>ROUND(O979-P979,2)</x:f>
        <x:v>1050.95</x:v>
      </x:c>
      <x:c r="R979" s="55" t="n">
        <x:f>IF(O979=0,0,ROUND(Q979/O979,4))</x:f>
        <x:v>0.5047</x:v>
      </x:c>
      <x:c r="S979" s="53" t="n">
        <x:v>3</x:v>
      </x:c>
      <x:c r="T979" t="str">
        <x:v>Entregue</x:v>
      </x:c>
      <x:c r="U979" t="n">
        <x:v>2</x:v>
      </x:c>
      <x:c r="V979" t="str"/>
    </x:row>
    <x:row r="980">
      <x:c r="A980" s="52" t="n">
        <x:v>46029</x:v>
      </x:c>
      <x:c r="B980" t="str">
        <x:v>PED-100979</x:v>
      </x:c>
      <x:c r="C980" t="str">
        <x:v>Cliente 062</x:v>
      </x:c>
      <x:c r="D980" t="str">
        <x:v>SP</x:v>
      </x:c>
      <x:c r="E980" t="str">
        <x:v>Sudeste</x:v>
      </x:c>
      <x:c r="F980" t="str">
        <x:v>Loja</x:v>
      </x:c>
      <x:c r="G980" t="str">
        <x:v>Escritório</x:v>
      </x:c>
      <x:c r="H980" t="str">
        <x:v>Mesa Ajustável</x:v>
      </x:c>
      <x:c r="I980" t="str">
        <x:v>Isabela</x:v>
      </x:c>
      <x:c r="J980" s="53" t="n">
        <x:v>3</x:v>
      </x:c>
      <x:c r="K980" s="54" t="n">
        <x:v>2767.64</x:v>
      </x:c>
      <x:c r="L980" s="54" t="n">
        <x:v>1825.28</x:v>
      </x:c>
      <x:c r="M980" s="55" t="n">
        <x:v>0.0136</x:v>
      </x:c>
      <x:c r="N980" s="54" t="n">
        <x:f>ROUND(J980*K980,2)</x:f>
        <x:v>8302.92</x:v>
      </x:c>
      <x:c r="O980" s="54" t="n">
        <x:f>ROUND(N980*(1-M980),2)</x:f>
        <x:v>8190</x:v>
      </x:c>
      <x:c r="P980" s="54" t="n">
        <x:f>ROUND(J980*L980,2)</x:f>
        <x:v>5475.84</x:v>
      </x:c>
      <x:c r="Q980" s="54" t="n">
        <x:f>ROUND(O980-P980,2)</x:f>
        <x:v>2714.16</x:v>
      </x:c>
      <x:c r="R980" s="55" t="n">
        <x:f>IF(O980=0,0,ROUND(Q980/O980,4))</x:f>
        <x:v>0.3314</x:v>
      </x:c>
      <x:c r="S980" s="53" t="n">
        <x:v>12</x:v>
      </x:c>
      <x:c r="T980" t="str">
        <x:v>Entregue com atraso</x:v>
      </x:c>
      <x:c r="U980" t="n">
        <x:v>4</x:v>
      </x:c>
      <x:c r="V980" t="str"/>
    </x:row>
    <x:row r="981">
      <x:c r="A981" s="52" t="n">
        <x:v>46221</x:v>
      </x:c>
      <x:c r="B981" t="str">
        <x:v>PED-100980</x:v>
      </x:c>
      <x:c r="C981" t="str">
        <x:v>Cliente 001</x:v>
      </x:c>
      <x:c r="D981" t="str">
        <x:v>AM</x:v>
      </x:c>
      <x:c r="E981" t="str">
        <x:v>Norte</x:v>
      </x:c>
      <x:c r="F981" t="str">
        <x:v>Marketplace</x:v>
      </x:c>
      <x:c r="G981" t="str">
        <x:v>Casa</x:v>
      </x:c>
      <x:c r="H981" t="str">
        <x:v>Purificador</x:v>
      </x:c>
      <x:c r="I981" t="str">
        <x:v>Felipe</x:v>
      </x:c>
      <x:c r="J981" s="53" t="n">
        <x:v>7</x:v>
      </x:c>
      <x:c r="K981" s="54" t="n">
        <x:v>1364.74</x:v>
      </x:c>
      <x:c r="L981" s="54" t="n">
        <x:v>818.82</x:v>
      </x:c>
      <x:c r="M981" s="55" t="n">
        <x:v>0.035</x:v>
      </x:c>
      <x:c r="N981" s="54" t="n">
        <x:f>ROUND(J981*K981,2)</x:f>
        <x:v>9553.18</x:v>
      </x:c>
      <x:c r="O981" s="54" t="n">
        <x:f>ROUND(N981*(1-M981),2)</x:f>
        <x:v>9218.82</x:v>
      </x:c>
      <x:c r="P981" s="54" t="n">
        <x:f>ROUND(J981*L981,2)</x:f>
        <x:v>5731.74</x:v>
      </x:c>
      <x:c r="Q981" s="54" t="n">
        <x:f>ROUND(O981-P981,2)</x:f>
        <x:v>3487.08</x:v>
      </x:c>
      <x:c r="R981" s="55" t="n">
        <x:f>IF(O981=0,0,ROUND(Q981/O981,4))</x:f>
        <x:v>0.3783</x:v>
      </x:c>
      <x:c r="S981" s="53" t="n">
        <x:v>2</x:v>
      </x:c>
      <x:c r="T981" t="str">
        <x:v>Entregue</x:v>
      </x:c>
      <x:c r="U981" t="n">
        <x:v>2</x:v>
      </x:c>
      <x:c r="V981" t="str"/>
    </x:row>
    <x:row r="982">
      <x:c r="A982" s="52" t="n">
        <x:v>46188</x:v>
      </x:c>
      <x:c r="B982" t="str">
        <x:v>PED-100981</x:v>
      </x:c>
      <x:c r="C982" t="str">
        <x:v>Cliente 038</x:v>
      </x:c>
      <x:c r="D982" t="str">
        <x:v>DF</x:v>
      </x:c>
      <x:c r="E982" t="str">
        <x:v>Centro-Oeste</x:v>
      </x:c>
      <x:c r="F982" t="str">
        <x:v>Marketplace</x:v>
      </x:c>
      <x:c r="G982" t="str">
        <x:v>Tecnologia</x:v>
      </x:c>
      <x:c r="H982" t="str">
        <x:v>Notebook Pro</x:v>
      </x:c>
      <x:c r="I982" t="str">
        <x:v>João</x:v>
      </x:c>
      <x:c r="J982" s="53" t="n">
        <x:v>8</x:v>
      </x:c>
      <x:c r="K982" s="54" t="n">
        <x:v>5538.09</x:v>
      </x:c>
      <x:c r="L982" s="54" t="n">
        <x:v>4225.1</x:v>
      </x:c>
      <x:c r="M982" s="55" t="n">
        <x:v>0.0725</x:v>
      </x:c>
      <x:c r="N982" s="54" t="n">
        <x:f>ROUND(J982*K982,2)</x:f>
        <x:v>44304.72</x:v>
      </x:c>
      <x:c r="O982" s="54" t="n">
        <x:f>ROUND(N982*(1-M982),2)</x:f>
        <x:v>41092.63</x:v>
      </x:c>
      <x:c r="P982" s="54" t="n">
        <x:f>ROUND(J982*L982,2)</x:f>
        <x:v>33800.8</x:v>
      </x:c>
      <x:c r="Q982" s="54" t="n">
        <x:f>ROUND(O982-P982,2)</x:f>
        <x:v>7291.83</x:v>
      </x:c>
      <x:c r="R982" s="55" t="n">
        <x:f>IF(O982=0,0,ROUND(Q982/O982,4))</x:f>
        <x:v>0.1774</x:v>
      </x:c>
      <x:c r="S982" s="53" t="n">
        <x:v>12</x:v>
      </x:c>
      <x:c r="T982" t="str">
        <x:v>Entregue com atraso</x:v>
      </x:c>
      <x:c r="U982" t="n">
        <x:v>4</x:v>
      </x:c>
      <x:c r="V982" t="str"/>
    </x:row>
    <x:row r="983">
      <x:c r="A983" s="52" t="n">
        <x:v>46208</x:v>
      </x:c>
      <x:c r="B983" t="str">
        <x:v>PED-100982</x:v>
      </x:c>
      <x:c r="C983" t="str">
        <x:v>Cliente 074</x:v>
      </x:c>
      <x:c r="D983" t="str">
        <x:v>PE</x:v>
      </x:c>
      <x:c r="E983" t="str">
        <x:v>Nordeste</x:v>
      </x:c>
      <x:c r="F983" t="str">
        <x:v>Marketplace</x:v>
      </x:c>
      <x:c r="G983" t="str">
        <x:v>Casa</x:v>
      </x:c>
      <x:c r="H983" t="str">
        <x:v>Aspirador Robô</x:v>
      </x:c>
      <x:c r="I983" t="str">
        <x:v>Ana</x:v>
      </x:c>
      <x:c r="J983" s="53" t="n">
        <x:v>2</x:v>
      </x:c>
      <x:c r="K983" s="54" t="n">
        <x:v>1900.31</x:v>
      </x:c>
      <x:c r="L983" s="54" t="n">
        <x:v>1243.46</x:v>
      </x:c>
      <x:c r="M983" s="55" t="n">
        <x:v>0.1529</x:v>
      </x:c>
      <x:c r="N983" s="54" t="n">
        <x:f>ROUND(J983*K983,2)</x:f>
        <x:v>3800.62</x:v>
      </x:c>
      <x:c r="O983" s="54" t="n">
        <x:f>ROUND(N983*(1-M983),2)</x:f>
        <x:v>3219.51</x:v>
      </x:c>
      <x:c r="P983" s="54" t="n">
        <x:f>ROUND(J983*L983,2)</x:f>
        <x:v>2486.92</x:v>
      </x:c>
      <x:c r="Q983" s="54" t="n">
        <x:f>ROUND(O983-P983,2)</x:f>
        <x:v>732.59</x:v>
      </x:c>
      <x:c r="R983" s="55" t="n">
        <x:f>IF(O983=0,0,ROUND(Q983/O983,4))</x:f>
        <x:v>0.2275</x:v>
      </x:c>
      <x:c r="S983" s="53" t="n">
        <x:v>2</x:v>
      </x:c>
      <x:c r="T983" t="str">
        <x:v>Entregue</x:v>
      </x:c>
      <x:c r="U983" t="n">
        <x:v>5</x:v>
      </x:c>
      <x:c r="V983" t="str"/>
    </x:row>
    <x:row r="984">
      <x:c r="A984" s="52" t="n">
        <x:v>46164</x:v>
      </x:c>
      <x:c r="B984" t="str">
        <x:v>PED-100983</x:v>
      </x:c>
      <x:c r="C984" t="str">
        <x:v>Cliente 118</x:v>
      </x:c>
      <x:c r="D984" t="str">
        <x:v>GO</x:v>
      </x:c>
      <x:c r="E984" t="str">
        <x:v>Centro-Oeste</x:v>
      </x:c>
      <x:c r="F984" t="str">
        <x:v>Loja</x:v>
      </x:c>
      <x:c r="G984" t="str">
        <x:v>Tecnologia</x:v>
      </x:c>
      <x:c r="H984" t="str">
        <x:v>Notebook Pro</x:v>
      </x:c>
      <x:c r="I984" t="str">
        <x:v>Ana</x:v>
      </x:c>
      <x:c r="J984" s="53" t="n">
        <x:v>7</x:v>
      </x:c>
      <x:c r="K984" s="54" t="n">
        <x:v>5948.34</x:v>
      </x:c>
      <x:c r="L984" s="54" t="n">
        <x:v>4489.5</x:v>
      </x:c>
      <x:c r="M984" s="55" t="n">
        <x:v>0.0886</x:v>
      </x:c>
      <x:c r="N984" s="54" t="n">
        <x:f>ROUND(J984*K984,2)</x:f>
        <x:v>41638.38</x:v>
      </x:c>
      <x:c r="O984" s="54" t="n">
        <x:f>ROUND(N984*(1-M984),2)</x:f>
        <x:v>37949.22</x:v>
      </x:c>
      <x:c r="P984" s="54" t="n">
        <x:f>ROUND(J984*L984,2)</x:f>
        <x:v>31426.5</x:v>
      </x:c>
      <x:c r="Q984" s="54" t="n">
        <x:f>ROUND(O984-P984,2)</x:f>
        <x:v>6522.72</x:v>
      </x:c>
      <x:c r="R984" s="55" t="n">
        <x:f>IF(O984=0,0,ROUND(Q984/O984,4))</x:f>
        <x:v>0.1719</x:v>
      </x:c>
      <x:c r="S984" s="53" t="n">
        <x:v>6</x:v>
      </x:c>
      <x:c r="T984" t="str">
        <x:v>Entregue</x:v>
      </x:c>
      <x:c r="U984" t="n">
        <x:v>4</x:v>
      </x:c>
      <x:c r="V984" t="str"/>
    </x:row>
    <x:row r="985">
      <x:c r="A985" s="52" t="n">
        <x:v>46121</x:v>
      </x:c>
      <x:c r="B985" t="str">
        <x:v>PED-100984</x:v>
      </x:c>
      <x:c r="C985" t="str">
        <x:v>Cliente 114</x:v>
      </x:c>
      <x:c r="D985" t="str">
        <x:v>ES</x:v>
      </x:c>
      <x:c r="E985" t="str">
        <x:v>Sudeste</x:v>
      </x:c>
      <x:c r="F985" t="str">
        <x:v>Loja</x:v>
      </x:c>
      <x:c r="G985" t="str">
        <x:v>Tecnologia</x:v>
      </x:c>
      <x:c r="H985" t="str">
        <x:v>Headset Office</x:v>
      </x:c>
      <x:c r="I985" t="str">
        <x:v>Ana</x:v>
      </x:c>
      <x:c r="J985" s="53" t="n">
        <x:v>5</x:v>
      </x:c>
      <x:c r="K985" s="54" t="n">
        <x:v>399.02</x:v>
      </x:c>
      <x:c r="L985" s="54" t="n">
        <x:v>203.4</x:v>
      </x:c>
      <x:c r="M985" s="55" t="n">
        <x:v>0.0322</x:v>
      </x:c>
      <x:c r="N985" s="54" t="n">
        <x:f>ROUND(J985*K985,2)</x:f>
        <x:v>1995.1</x:v>
      </x:c>
      <x:c r="O985" s="54" t="n">
        <x:f>ROUND(N985*(1-M985),2)</x:f>
        <x:v>1930.86</x:v>
      </x:c>
      <x:c r="P985" s="54" t="n">
        <x:f>ROUND(J985*L985,2)</x:f>
        <x:v>1017</x:v>
      </x:c>
      <x:c r="Q985" s="54" t="n">
        <x:f>ROUND(O985-P985,2)</x:f>
        <x:v>913.86</x:v>
      </x:c>
      <x:c r="R985" s="55" t="n">
        <x:f>IF(O985=0,0,ROUND(Q985/O985,4))</x:f>
        <x:v>0.4733</x:v>
      </x:c>
      <x:c r="S985" s="53" t="n">
        <x:v>7</x:v>
      </x:c>
      <x:c r="T985" t="str">
        <x:v>Entregue</x:v>
      </x:c>
      <x:c r="U985" t="n">
        <x:v>4</x:v>
      </x:c>
      <x:c r="V985" t="str"/>
    </x:row>
    <x:row r="986">
      <x:c r="A986" s="52" t="n">
        <x:v>46056</x:v>
      </x:c>
      <x:c r="B986" t="str">
        <x:v>PED-100985</x:v>
      </x:c>
      <x:c r="C986" t="str">
        <x:v>Cliente 018</x:v>
      </x:c>
      <x:c r="D986" t="str">
        <x:v>CE</x:v>
      </x:c>
      <x:c r="E986" t="str">
        <x:v>Nordeste</x:v>
      </x:c>
      <x:c r="F986" t="str">
        <x:v>E-commerce</x:v>
      </x:c>
      <x:c r="G986" t="str">
        <x:v>Acessórios</x:v>
      </x:c>
      <x:c r="H986" t="str">
        <x:v>Webcam HD</x:v>
      </x:c>
      <x:c r="I986" t="str">
        <x:v>Ana</x:v>
      </x:c>
      <x:c r="J986" s="53" t="n">
        <x:v>3</x:v>
      </x:c>
      <x:c r="K986" s="54" t="n">
        <x:v>532.88</x:v>
      </x:c>
      <x:c r="L986" s="54" t="n">
        <x:v>243.33</x:v>
      </x:c>
      <x:c r="M986" s="55" t="n">
        <x:v>0.065</x:v>
      </x:c>
      <x:c r="N986" s="54" t="n">
        <x:f>ROUND(J986*K986,2)</x:f>
        <x:v>1598.64</x:v>
      </x:c>
      <x:c r="O986" s="54" t="n">
        <x:f>ROUND(N986*(1-M986),2)</x:f>
        <x:v>1494.73</x:v>
      </x:c>
      <x:c r="P986" s="54" t="n">
        <x:f>ROUND(J986*L986,2)</x:f>
        <x:v>729.99</x:v>
      </x:c>
      <x:c r="Q986" s="54" t="n">
        <x:f>ROUND(O986-P986,2)</x:f>
        <x:v>764.74</x:v>
      </x:c>
      <x:c r="R986" s="55" t="n">
        <x:f>IF(O986=0,0,ROUND(Q986/O986,4))</x:f>
        <x:v>0.5116</x:v>
      </x:c>
      <x:c r="S986" s="53" t="n">
        <x:v>13</x:v>
      </x:c>
      <x:c r="T986" t="str">
        <x:v>Entregue com atraso</x:v>
      </x:c>
      <x:c r="U986" t="n">
        <x:v>5</x:v>
      </x:c>
      <x:c r="V986" t="str"/>
    </x:row>
    <x:row r="987">
      <x:c r="A987" s="52" t="n">
        <x:v>46103</x:v>
      </x:c>
      <x:c r="B987" t="str">
        <x:v>PED-100986</x:v>
      </x:c>
      <x:c r="C987" t="str">
        <x:v>Cliente 081</x:v>
      </x:c>
      <x:c r="D987" t="str">
        <x:v>DF</x:v>
      </x:c>
      <x:c r="E987" t="str">
        <x:v>Centro-Oeste</x:v>
      </x:c>
      <x:c r="F987" t="str">
        <x:v>Televendas</x:v>
      </x:c>
      <x:c r="G987" t="str">
        <x:v>Acessórios</x:v>
      </x:c>
      <x:c r="H987" t="str">
        <x:v>Hub USB-C</x:v>
      </x:c>
      <x:c r="I987" t="str">
        <x:v>Elaine</x:v>
      </x:c>
      <x:c r="J987" s="53" t="n">
        <x:v>3</x:v>
      </x:c>
      <x:c r="K987" s="54" t="n">
        <x:v>333.6</x:v>
      </x:c>
      <x:c r="L987" s="54" t="n">
        <x:v>130.59</x:v>
      </x:c>
      <x:c r="M987" s="55" t="n">
        <x:v>0.3884</x:v>
      </x:c>
      <x:c r="N987" s="54" t="n">
        <x:f>ROUND(J987*K987,2)</x:f>
        <x:v>1000.8</x:v>
      </x:c>
      <x:c r="O987" s="54" t="n">
        <x:f>ROUND(N987*(1-M987),2)</x:f>
        <x:v>612.09</x:v>
      </x:c>
      <x:c r="P987" s="54" t="n">
        <x:f>ROUND(J987*L987,2)</x:f>
        <x:v>391.77</x:v>
      </x:c>
      <x:c r="Q987" s="54" t="n">
        <x:f>ROUND(O987-P987,2)</x:f>
        <x:v>220.32</x:v>
      </x:c>
      <x:c r="R987" s="55" t="n">
        <x:f>IF(O987=0,0,ROUND(Q987/O987,4))</x:f>
        <x:v>0.3599</x:v>
      </x:c>
      <x:c r="S987" s="53" t="n">
        <x:v>2</x:v>
      </x:c>
      <x:c r="T987" t="str">
        <x:v>Entregue</x:v>
      </x:c>
      <x:c r="U987" t="n">
        <x:v>4</x:v>
      </x:c>
      <x:c r="V987" t="str">
        <x:v>Desconto autorizado fora da campanha</x:v>
      </x:c>
    </x:row>
    <x:row r="988">
      <x:c r="A988" s="52" t="n">
        <x:v>46162</x:v>
      </x:c>
      <x:c r="B988" t="str">
        <x:v>PED-100987</x:v>
      </x:c>
      <x:c r="C988" t="str">
        <x:v>Cliente 057</x:v>
      </x:c>
      <x:c r="D988" t="str">
        <x:v>RS</x:v>
      </x:c>
      <x:c r="E988" t="str">
        <x:v>Sul</x:v>
      </x:c>
      <x:c r="F988" t="str">
        <x:v>Loja</x:v>
      </x:c>
      <x:c r="G988" t="str">
        <x:v>Escritório</x:v>
      </x:c>
      <x:c r="H988" t="str">
        <x:v>Luminária LED</x:v>
      </x:c>
      <x:c r="I988" t="str">
        <x:v>Henrique</x:v>
      </x:c>
      <x:c r="J988" s="53" t="n">
        <x:v>6</x:v>
      </x:c>
      <x:c r="K988" s="54" t="n">
        <x:v>269.5</x:v>
      </x:c>
      <x:c r="L988" s="54" t="n">
        <x:v>122.82</x:v>
      </x:c>
      <x:c r="M988" s="55" t="n">
        <x:v>0</x:v>
      </x:c>
      <x:c r="N988" s="54" t="n">
        <x:f>ROUND(J988*K988,2)</x:f>
        <x:v>1617</x:v>
      </x:c>
      <x:c r="O988" s="54" t="n">
        <x:f>ROUND(N988*(1-M988),2)</x:f>
        <x:v>1617</x:v>
      </x:c>
      <x:c r="P988" s="54" t="n">
        <x:f>ROUND(J988*L988,2)</x:f>
        <x:v>736.92</x:v>
      </x:c>
      <x:c r="Q988" s="54" t="n">
        <x:f>ROUND(O988-P988,2)</x:f>
        <x:v>880.08</x:v>
      </x:c>
      <x:c r="R988" s="55" t="n">
        <x:f>IF(O988=0,0,ROUND(Q988/O988,4))</x:f>
        <x:v>0.5443</x:v>
      </x:c>
      <x:c r="S988" s="53" t="n">
        <x:v>12</x:v>
      </x:c>
      <x:c r="T988" t="str">
        <x:v>Entregue com atraso</x:v>
      </x:c>
      <x:c r="U988" t="n">
        <x:v>5</x:v>
      </x:c>
      <x:c r="V988" t="str"/>
    </x:row>
    <x:row r="989">
      <x:c r="A989" s="52" t="n">
        <x:v>46166</x:v>
      </x:c>
      <x:c r="B989" t="str">
        <x:v>PED-100988</x:v>
      </x:c>
      <x:c r="C989" t="str">
        <x:v>Cliente 047</x:v>
      </x:c>
      <x:c r="D989" t="str">
        <x:v>CE</x:v>
      </x:c>
      <x:c r="E989" t="str">
        <x:v>Nordeste</x:v>
      </x:c>
      <x:c r="F989" t="str">
        <x:v>Marketplace</x:v>
      </x:c>
      <x:c r="G989" t="str">
        <x:v>Casa</x:v>
      </x:c>
      <x:c r="H989" t="str">
        <x:v>Cafeteira Smart</x:v>
      </x:c>
      <x:c r="I989" t="str">
        <x:v>João</x:v>
      </x:c>
      <x:c r="J989" s="53" t="n">
        <x:v>2</x:v>
      </x:c>
      <x:c r="K989" s="54" t="n">
        <x:v>770.04</x:v>
      </x:c>
      <x:c r="L989" s="54" t="n">
        <x:v>481.45</x:v>
      </x:c>
      <x:c r="M989" s="55" t="n">
        <x:v>0.035</x:v>
      </x:c>
      <x:c r="N989" s="54" t="n">
        <x:f>ROUND(J989*K989,2)</x:f>
        <x:v>1540.08</x:v>
      </x:c>
      <x:c r="O989" s="54" t="n">
        <x:f>ROUND(N989*(1-M989),2)</x:f>
        <x:v>1486.18</x:v>
      </x:c>
      <x:c r="P989" s="54" t="n">
        <x:f>ROUND(J989*L989,2)</x:f>
        <x:v>962.9</x:v>
      </x:c>
      <x:c r="Q989" s="54" t="n">
        <x:f>ROUND(O989-P989,2)</x:f>
        <x:v>523.28</x:v>
      </x:c>
      <x:c r="R989" s="55" t="n">
        <x:f>IF(O989=0,0,ROUND(Q989/O989,4))</x:f>
        <x:v>0.3521</x:v>
      </x:c>
      <x:c r="S989" s="53" t="n">
        <x:v>10</x:v>
      </x:c>
      <x:c r="T989" t="str">
        <x:v>Entregue</x:v>
      </x:c>
      <x:c r="U989" t="n">
        <x:v>4</x:v>
      </x:c>
      <x:c r="V989" t="str"/>
    </x:row>
    <x:row r="990">
      <x:c r="A990" s="52" t="n">
        <x:v>46156</x:v>
      </x:c>
      <x:c r="B990" t="str">
        <x:v>PED-100989</x:v>
      </x:c>
      <x:c r="C990" t="str">
        <x:v>Cliente 039</x:v>
      </x:c>
      <x:c r="D990" t="str">
        <x:v>RS</x:v>
      </x:c>
      <x:c r="E990" t="str">
        <x:v>Sul</x:v>
      </x:c>
      <x:c r="F990" t="str">
        <x:v>Televendas</x:v>
      </x:c>
      <x:c r="G990" t="str">
        <x:v>Tecnologia</x:v>
      </x:c>
      <x:c r="H990" t="str">
        <x:v>Monitor 27</x:v>
      </x:c>
      <x:c r="I990" t="str">
        <x:v>Bruno</x:v>
      </x:c>
      <x:c r="J990" s="53" t="n">
        <x:v>2</x:v>
      </x:c>
      <x:c r="K990" s="54" t="n">
        <x:v>1648.83</x:v>
      </x:c>
      <x:c r="L990" s="54" t="n">
        <x:v>1058.85</x:v>
      </x:c>
      <x:c r="M990" s="55" t="n">
        <x:v>0.0728</x:v>
      </x:c>
      <x:c r="N990" s="54" t="n">
        <x:f>ROUND(J990*K990,2)</x:f>
        <x:v>3297.66</x:v>
      </x:c>
      <x:c r="O990" s="54" t="n">
        <x:f>ROUND(N990*(1-M990),2)</x:f>
        <x:v>3057.59</x:v>
      </x:c>
      <x:c r="P990" s="54" t="n">
        <x:f>ROUND(J990*L990,2)</x:f>
        <x:v>2117.7</x:v>
      </x:c>
      <x:c r="Q990" s="54" t="n">
        <x:f>ROUND(O990-P990,2)</x:f>
        <x:v>939.89</x:v>
      </x:c>
      <x:c r="R990" s="55" t="n">
        <x:f>IF(O990=0,0,ROUND(Q990/O990,4))</x:f>
        <x:v>0.3074</x:v>
      </x:c>
      <x:c r="S990" s="53" t="n">
        <x:v>9</x:v>
      </x:c>
      <x:c r="T990" t="str">
        <x:v>Entregue</x:v>
      </x:c>
      <x:c r="U990" t="n">
        <x:v>3</x:v>
      </x:c>
      <x:c r="V990" t="str"/>
    </x:row>
    <x:row r="991">
      <x:c r="A991" s="52" t="n">
        <x:v>46228</x:v>
      </x:c>
      <x:c r="B991" t="str">
        <x:v>PED-100990</x:v>
      </x:c>
      <x:c r="C991" t="str">
        <x:v>Cliente 032</x:v>
      </x:c>
      <x:c r="D991" t="str">
        <x:v>RJ</x:v>
      </x:c>
      <x:c r="E991" t="str">
        <x:v>Sudeste</x:v>
      </x:c>
      <x:c r="F991" t="str">
        <x:v>E-commerce</x:v>
      </x:c>
      <x:c r="G991" t="str">
        <x:v>Tecnologia</x:v>
      </x:c>
      <x:c r="H991" t="str">
        <x:v>Notebook Pro</x:v>
      </x:c>
      <x:c r="I991" t="str">
        <x:v>Felipe</x:v>
      </x:c>
      <x:c r="J991" s="53" t="n">
        <x:v>7</x:v>
      </x:c>
      <x:c r="K991" s="54" t="n">
        <x:v>5669.18</x:v>
      </x:c>
      <x:c r="L991" s="54" t="n">
        <x:v>4429.59</x:v>
      </x:c>
      <x:c r="M991" s="55" t="n">
        <x:v>0.1114</x:v>
      </x:c>
      <x:c r="N991" s="54" t="n">
        <x:f>ROUND(J991*K991,2)</x:f>
        <x:v>39684.26</x:v>
      </x:c>
      <x:c r="O991" s="54" t="n">
        <x:f>ROUND(N991*(1-M991),2)</x:f>
        <x:v>35263.43</x:v>
      </x:c>
      <x:c r="P991" s="54" t="n">
        <x:f>ROUND(J991*L991,2)</x:f>
        <x:v>31007.13</x:v>
      </x:c>
      <x:c r="Q991" s="54" t="n">
        <x:f>ROUND(O991-P991,2)</x:f>
        <x:v>4256.3</x:v>
      </x:c>
      <x:c r="R991" s="55" t="n">
        <x:f>IF(O991=0,0,ROUND(Q991/O991,4))</x:f>
        <x:v>0.1207</x:v>
      </x:c>
      <x:c r="S991" s="53" t="n">
        <x:v>9</x:v>
      </x:c>
      <x:c r="T991" t="str">
        <x:v>Entregue</x:v>
      </x:c>
      <x:c r="U991" t="n">
        <x:v>2</x:v>
      </x:c>
      <x:c r="V991" t="str"/>
    </x:row>
    <x:row r="992">
      <x:c r="A992" s="52" t="n">
        <x:v>46033</x:v>
      </x:c>
      <x:c r="B992" t="str">
        <x:v>PED-100991</x:v>
      </x:c>
      <x:c r="C992" t="str">
        <x:v>Cliente 011</x:v>
      </x:c>
      <x:c r="D992" t="str">
        <x:v>GO</x:v>
      </x:c>
      <x:c r="E992" t="str">
        <x:v>Centro-Oeste</x:v>
      </x:c>
      <x:c r="F992" t="str">
        <x:v>Loja</x:v>
      </x:c>
      <x:c r="G992" t="str">
        <x:v>Escritório</x:v>
      </x:c>
      <x:c r="H992" t="str">
        <x:v>Mesa Ajustável</x:v>
      </x:c>
      <x:c r="I992" t="str">
        <x:v>Ana</x:v>
      </x:c>
      <x:c r="J992" s="53" t="n">
        <x:v>5</x:v>
      </x:c>
      <x:c r="K992" s="54" t="n">
        <x:v>2704.72</x:v>
      </x:c>
      <x:c r="L992" s="54" t="n">
        <x:v>1790.98</x:v>
      </x:c>
      <x:c r="M992" s="55" t="n">
        <x:v>0.1202</x:v>
      </x:c>
      <x:c r="N992" s="54" t="n">
        <x:f>ROUND(J992*K992,2)</x:f>
        <x:v>13523.6</x:v>
      </x:c>
      <x:c r="O992" s="54" t="n">
        <x:f>ROUND(N992*(1-M992),2)</x:f>
        <x:v>11898.06</x:v>
      </x:c>
      <x:c r="P992" s="54" t="n">
        <x:f>ROUND(J992*L992,2)</x:f>
        <x:v>8954.9</x:v>
      </x:c>
      <x:c r="Q992" s="54" t="n">
        <x:f>ROUND(O992-P992,2)</x:f>
        <x:v>2943.16</x:v>
      </x:c>
      <x:c r="R992" s="55" t="n">
        <x:f>IF(O992=0,0,ROUND(Q992/O992,4))</x:f>
        <x:v>0.2474</x:v>
      </x:c>
      <x:c r="S992" s="53" t="n">
        <x:v>13</x:v>
      </x:c>
      <x:c r="T992" t="str">
        <x:v>Entregue com atraso</x:v>
      </x:c>
      <x:c r="U992" t="n">
        <x:v>3</x:v>
      </x:c>
      <x:c r="V992" t="str"/>
    </x:row>
    <x:row r="993">
      <x:c r="A993" s="52" t="n">
        <x:v>46110</x:v>
      </x:c>
      <x:c r="B993" t="str">
        <x:v>PED-100992</x:v>
      </x:c>
      <x:c r="C993" t="str">
        <x:v>Cliente 014</x:v>
      </x:c>
      <x:c r="D993" t="str">
        <x:v>ES</x:v>
      </x:c>
      <x:c r="E993" t="str">
        <x:v>Sudeste</x:v>
      </x:c>
      <x:c r="F993" t="str">
        <x:v>E-commerce</x:v>
      </x:c>
      <x:c r="G993" t="str">
        <x:v>Escritório</x:v>
      </x:c>
      <x:c r="H993" t="str">
        <x:v>Mesa Ajustável</x:v>
      </x:c>
      <x:c r="I993" t="str">
        <x:v>Felipe</x:v>
      </x:c>
      <x:c r="J993" s="53" t="n">
        <x:v>6</x:v>
      </x:c>
      <x:c r="K993" s="54" t="n">
        <x:v>2735.92</x:v>
      </x:c>
      <x:c r="L993" s="54" t="n">
        <x:v>1841.22</x:v>
      </x:c>
      <x:c r="M993" s="55" t="n">
        <x:v>0.0601</x:v>
      </x:c>
      <x:c r="N993" s="54" t="n">
        <x:f>ROUND(J993*K993,2)</x:f>
        <x:v>16415.52</x:v>
      </x:c>
      <x:c r="O993" s="54" t="n">
        <x:f>ROUND(N993*(1-M993),2)</x:f>
        <x:v>15428.95</x:v>
      </x:c>
      <x:c r="P993" s="54" t="n">
        <x:f>ROUND(J993*L993,2)</x:f>
        <x:v>11047.32</x:v>
      </x:c>
      <x:c r="Q993" s="54" t="n">
        <x:f>ROUND(O993-P993,2)</x:f>
        <x:v>4381.63</x:v>
      </x:c>
      <x:c r="R993" s="55" t="n">
        <x:f>IF(O993=0,0,ROUND(Q993/O993,4))</x:f>
        <x:v>0.284</x:v>
      </x:c>
      <x:c r="S993" s="53" t="n">
        <x:v>12</x:v>
      </x:c>
      <x:c r="T993" t="str">
        <x:v>Entregue com atraso</x:v>
      </x:c>
      <x:c r="U993" t="n">
        <x:v>3</x:v>
      </x:c>
      <x:c r="V993" t="str"/>
    </x:row>
    <x:row r="994">
      <x:c r="A994" s="52" t="n">
        <x:v>46191</x:v>
      </x:c>
      <x:c r="B994" t="str">
        <x:v>PED-100993</x:v>
      </x:c>
      <x:c r="C994" t="str">
        <x:v>Cliente 044</x:v>
      </x:c>
      <x:c r="D994" t="str">
        <x:v>BA</x:v>
      </x:c>
      <x:c r="E994" t="str">
        <x:v>Nordeste</x:v>
      </x:c>
      <x:c r="F994" t="str">
        <x:v>Loja</x:v>
      </x:c>
      <x:c r="G994" t="str">
        <x:v>Casa</x:v>
      </x:c>
      <x:c r="H994" t="str">
        <x:v>Cafeteira Smart</x:v>
      </x:c>
      <x:c r="I994" t="str">
        <x:v>Gabriela</x:v>
      </x:c>
      <x:c r="J994" s="53" t="n">
        <x:v>7</x:v>
      </x:c>
      <x:c r="K994" s="54" t="n">
        <x:v>749.61</x:v>
      </x:c>
      <x:c r="L994" s="54" t="n">
        <x:v>461.4</x:v>
      </x:c>
      <x:c r="M994" s="55" t="n">
        <x:v>0</x:v>
      </x:c>
      <x:c r="N994" s="54" t="n">
        <x:f>ROUND(J994*K994,2)</x:f>
        <x:v>5247.27</x:v>
      </x:c>
      <x:c r="O994" s="54" t="n">
        <x:f>ROUND(N994*(1-M994),2)</x:f>
        <x:v>5247.27</x:v>
      </x:c>
      <x:c r="P994" s="54" t="n">
        <x:f>ROUND(J994*L994,2)</x:f>
        <x:v>3229.8</x:v>
      </x:c>
      <x:c r="Q994" s="54" t="n">
        <x:f>ROUND(O994-P994,2)</x:f>
        <x:v>2017.47</x:v>
      </x:c>
      <x:c r="R994" s="55" t="n">
        <x:f>IF(O994=0,0,ROUND(Q994/O994,4))</x:f>
        <x:v>0.3845</x:v>
      </x:c>
      <x:c r="S994" s="53" t="n">
        <x:v>6</x:v>
      </x:c>
      <x:c r="T994" t="str">
        <x:v>Entregue</x:v>
      </x:c>
      <x:c r="U994" t="n">
        <x:v>3</x:v>
      </x:c>
      <x:c r="V994" t="str"/>
    </x:row>
    <x:row r="995">
      <x:c r="A995" s="52" t="n">
        <x:v>46087</x:v>
      </x:c>
      <x:c r="B995" t="str">
        <x:v>PED-100994</x:v>
      </x:c>
      <x:c r="C995" t="str">
        <x:v>Cliente 028</x:v>
      </x:c>
      <x:c r="D995" t="str">
        <x:v>RS</x:v>
      </x:c>
      <x:c r="E995" t="str">
        <x:v>Sul</x:v>
      </x:c>
      <x:c r="F995" t="str">
        <x:v>E-commerce</x:v>
      </x:c>
      <x:c r="G995" t="str">
        <x:v>Escritório</x:v>
      </x:c>
      <x:c r="H995" t="str">
        <x:v>Luminária LED</x:v>
      </x:c>
      <x:c r="I995" t="str">
        <x:v>Gabriela</x:v>
      </x:c>
      <x:c r="J995" s="53" t="n">
        <x:v>6</x:v>
      </x:c>
      <x:c r="K995" s="54" t="n">
        <x:v>258.55</x:v>
      </x:c>
      <x:c r="L995" s="54" t="n">
        <x:v>120.84</x:v>
      </x:c>
      <x:c r="M995" s="55" t="n">
        <x:v>0.0437</x:v>
      </x:c>
      <x:c r="N995" s="54" t="n">
        <x:f>ROUND(J995*K995,2)</x:f>
        <x:v>1551.3</x:v>
      </x:c>
      <x:c r="O995" s="54" t="n">
        <x:f>ROUND(N995*(1-M995),2)</x:f>
        <x:v>1483.51</x:v>
      </x:c>
      <x:c r="P995" s="54" t="n">
        <x:f>ROUND(J995*L995,2)</x:f>
        <x:v>725.04</x:v>
      </x:c>
      <x:c r="Q995" s="54" t="n">
        <x:f>ROUND(O995-P995,2)</x:f>
        <x:v>758.47</x:v>
      </x:c>
      <x:c r="R995" s="55" t="n">
        <x:f>IF(O995=0,0,ROUND(Q995/O995,4))</x:f>
        <x:v>0.5113</x:v>
      </x:c>
      <x:c r="S995" s="53" t="n">
        <x:v>12</x:v>
      </x:c>
      <x:c r="T995" t="str">
        <x:v>Entregue com atraso</x:v>
      </x:c>
      <x:c r="U995" t="n">
        <x:v>3</x:v>
      </x:c>
      <x:c r="V995" t="str"/>
    </x:row>
    <x:row r="996">
      <x:c r="A996" s="52" t="n">
        <x:v>46135</x:v>
      </x:c>
      <x:c r="B996" t="str">
        <x:v>PED-100995</x:v>
      </x:c>
      <x:c r="C996" t="str">
        <x:v>Cliente 011</x:v>
      </x:c>
      <x:c r="D996" t="str">
        <x:v>PA</x:v>
      </x:c>
      <x:c r="E996" t="str">
        <x:v>Norte</x:v>
      </x:c>
      <x:c r="F996" t="str">
        <x:v>Loja</x:v>
      </x:c>
      <x:c r="G996" t="str">
        <x:v>Escritório</x:v>
      </x:c>
      <x:c r="H996" t="str">
        <x:v>Luminária LED</x:v>
      </x:c>
      <x:c r="I996" t="str">
        <x:v>Gabriela</x:v>
      </x:c>
      <x:c r="J996" s="53" t="n">
        <x:v>1</x:v>
      </x:c>
      <x:c r="K996" s="54" t="n">
        <x:v>254.81</x:v>
      </x:c>
      <x:c r="L996" s="54" t="n">
        <x:v>124.38</x:v>
      </x:c>
      <x:c r="M996" s="55" t="n">
        <x:v>0.0336</x:v>
      </x:c>
      <x:c r="N996" s="54" t="n">
        <x:f>ROUND(J996*K996,2)</x:f>
        <x:v>254.81</x:v>
      </x:c>
      <x:c r="O996" s="54" t="n">
        <x:f>ROUND(N996*(1-M996),2)</x:f>
        <x:v>246.25</x:v>
      </x:c>
      <x:c r="P996" s="54" t="n">
        <x:f>ROUND(J996*L996,2)</x:f>
        <x:v>124.38</x:v>
      </x:c>
      <x:c r="Q996" s="54" t="n">
        <x:f>ROUND(O996-P996,2)</x:f>
        <x:v>121.87</x:v>
      </x:c>
      <x:c r="R996" s="55" t="n">
        <x:f>IF(O996=0,0,ROUND(Q996/O996,4))</x:f>
        <x:v>0.4949</x:v>
      </x:c>
      <x:c r="S996" s="53" t="n">
        <x:v>8</x:v>
      </x:c>
      <x:c r="T996" t="str">
        <x:v>Entregue</x:v>
      </x:c>
      <x:c r="U996" t="n">
        <x:v>5</x:v>
      </x:c>
      <x:c r="V996" t="str"/>
    </x:row>
    <x:row r="997">
      <x:c r="A997" s="52" t="n">
        <x:v>46169</x:v>
      </x:c>
      <x:c r="B997" t="str">
        <x:v>PED-100996</x:v>
      </x:c>
      <x:c r="C997" t="str">
        <x:v>Cliente 001</x:v>
      </x:c>
      <x:c r="D997" t="str">
        <x:v>DF</x:v>
      </x:c>
      <x:c r="E997" t="str">
        <x:v>Centro-Oeste</x:v>
      </x:c>
      <x:c r="F997" t="str">
        <x:v>Marketplace</x:v>
      </x:c>
      <x:c r="G997" t="str">
        <x:v>Acessórios</x:v>
      </x:c>
      <x:c r="H997" t="str">
        <x:v>Webcam HD</x:v>
      </x:c>
      <x:c r="I997" t="str">
        <x:v>Diego</x:v>
      </x:c>
      <x:c r="J997" s="53" t="n">
        <x:v>7</x:v>
      </x:c>
      <x:c r="K997" s="54" t="n">
        <x:v>525.19</x:v>
      </x:c>
      <x:c r="L997" s="54" t="n">
        <x:v>243.12</x:v>
      </x:c>
      <x:c r="M997" s="55" t="n">
        <x:v>0.035</x:v>
      </x:c>
      <x:c r="N997" s="54" t="n">
        <x:f>ROUND(J997*K997,2)</x:f>
        <x:v>3676.33</x:v>
      </x:c>
      <x:c r="O997" s="54" t="n">
        <x:f>ROUND(N997*(1-M997),2)</x:f>
        <x:v>3547.66</x:v>
      </x:c>
      <x:c r="P997" s="54" t="n">
        <x:f>ROUND(J997*L997,2)</x:f>
        <x:v>1701.84</x:v>
      </x:c>
      <x:c r="Q997" s="54" t="n">
        <x:f>ROUND(O997-P997,2)</x:f>
        <x:v>1845.82</x:v>
      </x:c>
      <x:c r="R997" s="55" t="n">
        <x:f>IF(O997=0,0,ROUND(Q997/O997,4))</x:f>
        <x:v>0.5203</x:v>
      </x:c>
      <x:c r="S997" s="53" t="n">
        <x:v>10</x:v>
      </x:c>
      <x:c r="T997" t="str">
        <x:v>Entregue</x:v>
      </x:c>
      <x:c r="U997" t="n">
        <x:v>5</x:v>
      </x:c>
      <x:c r="V997" t="str"/>
    </x:row>
    <x:row r="998">
      <x:c r="A998" s="52" t="n">
        <x:v>46202</x:v>
      </x:c>
      <x:c r="B998" t="str">
        <x:v>PED-100997</x:v>
      </x:c>
      <x:c r="C998" t="str">
        <x:v>Cliente 108</x:v>
      </x:c>
      <x:c r="D998" t="str">
        <x:v>MG</x:v>
      </x:c>
      <x:c r="E998" t="str">
        <x:v>Sudeste</x:v>
      </x:c>
      <x:c r="F998" t="str">
        <x:v>Loja</x:v>
      </x:c>
      <x:c r="G998" t="str">
        <x:v>Escritório</x:v>
      </x:c>
      <x:c r="H998" t="str">
        <x:v>Mesa Ajustável</x:v>
      </x:c>
      <x:c r="I998" t="str">
        <x:v>João</x:v>
      </x:c>
      <x:c r="J998" s="53" t="n">
        <x:v>5</x:v>
      </x:c>
      <x:c r="K998" s="54" t="n">
        <x:v>2643.32</x:v>
      </x:c>
      <x:c r="L998" s="54" t="n">
        <x:v>1758.71</x:v>
      </x:c>
      <x:c r="M998" s="55" t="n">
        <x:v>0</x:v>
      </x:c>
      <x:c r="N998" s="54" t="n">
        <x:f>ROUND(J998*K998,2)</x:f>
        <x:v>13216.6</x:v>
      </x:c>
      <x:c r="O998" s="54" t="n">
        <x:f>ROUND(N998*(1-M998),2)</x:f>
        <x:v>13216.6</x:v>
      </x:c>
      <x:c r="P998" s="54" t="n">
        <x:f>ROUND(J998*L998,2)</x:f>
        <x:v>8793.55</x:v>
      </x:c>
      <x:c r="Q998" s="54" t="n">
        <x:f>ROUND(O998-P998,2)</x:f>
        <x:v>4423.05</x:v>
      </x:c>
      <x:c r="R998" s="55" t="n">
        <x:f>IF(O998=0,0,ROUND(Q998/O998,4))</x:f>
        <x:v>0.3347</x:v>
      </x:c>
      <x:c r="S998" s="53" t="n">
        <x:v>9</x:v>
      </x:c>
      <x:c r="T998" t="str">
        <x:v>Entregue</x:v>
      </x:c>
      <x:c r="U998" t="n">
        <x:v>2</x:v>
      </x:c>
      <x:c r="V998" t="str"/>
    </x:row>
    <x:row r="999">
      <x:c r="A999" s="52" t="n">
        <x:v>46160</x:v>
      </x:c>
      <x:c r="B999" t="str">
        <x:v>PED-100998</x:v>
      </x:c>
      <x:c r="C999" t="str">
        <x:v>Cliente 065</x:v>
      </x:c>
      <x:c r="D999" t="str">
        <x:v>SP</x:v>
      </x:c>
      <x:c r="E999" t="str">
        <x:v>Sudeste</x:v>
      </x:c>
      <x:c r="F999" t="str">
        <x:v>E-commerce</x:v>
      </x:c>
      <x:c r="G999" t="str">
        <x:v>Acessórios</x:v>
      </x:c>
      <x:c r="H999" t="str">
        <x:v>Mochila Executiva</x:v>
      </x:c>
      <x:c r="I999" t="str">
        <x:v>Isabela</x:v>
      </x:c>
      <x:c r="J999" s="53" t="n">
        <x:v>6</x:v>
      </x:c>
      <x:c r="K999" s="54" t="n">
        <x:v>438.23</x:v>
      </x:c>
      <x:c r="L999" s="54" t="n">
        <x:v>186.83</x:v>
      </x:c>
      <x:c r="M999" s="55" t="n">
        <x:v>0</x:v>
      </x:c>
      <x:c r="N999" s="54" t="n">
        <x:f>ROUND(J999*K999,2)</x:f>
        <x:v>2629.38</x:v>
      </x:c>
      <x:c r="O999" s="54" t="n">
        <x:f>ROUND(N999*(1-M999),2)</x:f>
        <x:v>2629.38</x:v>
      </x:c>
      <x:c r="P999" s="54" t="n">
        <x:f>ROUND(J999*L999,2)</x:f>
        <x:v>1120.98</x:v>
      </x:c>
      <x:c r="Q999" s="54" t="n">
        <x:f>ROUND(O999-P999,2)</x:f>
        <x:v>1508.4</x:v>
      </x:c>
      <x:c r="R999" s="55" t="n">
        <x:f>IF(O999=0,0,ROUND(Q999/O999,4))</x:f>
        <x:v>0.5737</x:v>
      </x:c>
      <x:c r="S999" s="53" t="n">
        <x:v>11</x:v>
      </x:c>
      <x:c r="T999" t="str">
        <x:v>Entregue com atraso</x:v>
      </x:c>
      <x:c r="U999" t="n">
        <x:v>4</x:v>
      </x:c>
      <x:c r="V999" t="str"/>
    </x:row>
    <x:row r="1000">
      <x:c r="A1000" s="52" t="n">
        <x:v>46164</x:v>
      </x:c>
      <x:c r="B1000" t="str">
        <x:v>PED-100999</x:v>
      </x:c>
      <x:c r="C1000" t="str">
        <x:v>Cliente 083</x:v>
      </x:c>
      <x:c r="D1000" t="str">
        <x:v>PR</x:v>
      </x:c>
      <x:c r="E1000" t="str">
        <x:v>Sul</x:v>
      </x:c>
      <x:c r="F1000" t="str">
        <x:v>E-commerce</x:v>
      </x:c>
      <x:c r="G1000" t="str">
        <x:v>Casa</x:v>
      </x:c>
      <x:c r="H1000" t="str">
        <x:v>Purificador</x:v>
      </x:c>
      <x:c r="I1000" t="str">
        <x:v>João</x:v>
      </x:c>
      <x:c r="J1000" s="53" t="n">
        <x:v>3</x:v>
      </x:c>
      <x:c r="K1000" s="54" t="n">
        <x:v>1277.18</x:v>
      </x:c>
      <x:c r="L1000" s="54" t="n">
        <x:v>763.53</x:v>
      </x:c>
      <x:c r="M1000" s="55" t="n">
        <x:v>0.0586</x:v>
      </x:c>
      <x:c r="N1000" s="54" t="n">
        <x:f>ROUND(J1000*K1000,2)</x:f>
        <x:v>3831.54</x:v>
      </x:c>
      <x:c r="O1000" s="54" t="n">
        <x:f>ROUND(N1000*(1-M1000),2)</x:f>
        <x:v>3607.01</x:v>
      </x:c>
      <x:c r="P1000" s="54" t="n">
        <x:f>ROUND(J1000*L1000,2)</x:f>
        <x:v>2290.59</x:v>
      </x:c>
      <x:c r="Q1000" s="54" t="n">
        <x:f>ROUND(O1000-P1000,2)</x:f>
        <x:v>1316.42</x:v>
      </x:c>
      <x:c r="R1000" s="55" t="n">
        <x:f>IF(O1000=0,0,ROUND(Q1000/O1000,4))</x:f>
        <x:v>0.365</x:v>
      </x:c>
      <x:c r="S1000" s="53" t="n">
        <x:v>11</x:v>
      </x:c>
      <x:c r="T1000" t="str">
        <x:v>Entregue com atraso</x:v>
      </x:c>
      <x:c r="U1000" t="n">
        <x:v>5</x:v>
      </x:c>
      <x:c r="V1000" t="str"/>
    </x:row>
    <x:row r="1001">
      <x:c r="A1001" s="52" t="n">
        <x:v>46117</x:v>
      </x:c>
      <x:c r="B1001" t="str">
        <x:v>PED-101000</x:v>
      </x:c>
      <x:c r="C1001" t="str">
        <x:v>Cliente 103</x:v>
      </x:c>
      <x:c r="D1001" t="str">
        <x:v>BA</x:v>
      </x:c>
      <x:c r="E1001" t="str">
        <x:v>Nordeste</x:v>
      </x:c>
      <x:c r="F1001" t="str">
        <x:v>Televendas</x:v>
      </x:c>
      <x:c r="G1001" t="str">
        <x:v>Tecnologia</x:v>
      </x:c>
      <x:c r="H1001" t="str">
        <x:v>Headset Office</x:v>
      </x:c>
      <x:c r="I1001" t="str">
        <x:v>Gabriela</x:v>
      </x:c>
      <x:c r="J1001" s="53" t="n">
        <x:v>3</x:v>
      </x:c>
      <x:c r="K1001" s="54" t="n">
        <x:v>367.15</x:v>
      </x:c>
      <x:c r="L1001" s="54" t="n">
        <x:v>209.38</x:v>
      </x:c>
      <x:c r="M1001" s="55" t="n">
        <x:v>0.1133</x:v>
      </x:c>
      <x:c r="N1001" s="54" t="n">
        <x:f>ROUND(J1001*K1001,2)</x:f>
        <x:v>1101.45</x:v>
      </x:c>
      <x:c r="O1001" s="54" t="n">
        <x:f>ROUND(N1001*(1-M1001),2)</x:f>
        <x:v>976.66</x:v>
      </x:c>
      <x:c r="P1001" s="54" t="n">
        <x:f>ROUND(J1001*L1001,2)</x:f>
        <x:v>628.14</x:v>
      </x:c>
      <x:c r="Q1001" s="54" t="n">
        <x:f>ROUND(O1001-P1001,2)</x:f>
        <x:v>348.52</x:v>
      </x:c>
      <x:c r="R1001" s="55" t="n">
        <x:f>IF(O1001=0,0,ROUND(Q1001/O1001,4))</x:f>
        <x:v>0.3568</x:v>
      </x:c>
      <x:c r="S1001" s="53" t="n">
        <x:v>5</x:v>
      </x:c>
      <x:c r="T1001" t="str">
        <x:v>Entregue</x:v>
      </x:c>
      <x:c r="U1001" t="n">
        <x:v>4</x:v>
      </x:c>
      <x:c r="V1001" t="str"/>
    </x:row>
    <x:row r="1002">
      <x:c r="A1002" s="52" t="n">
        <x:v>46119</x:v>
      </x:c>
      <x:c r="B1002" t="str">
        <x:v>PED-101001</x:v>
      </x:c>
      <x:c r="C1002" t="str">
        <x:v>Cliente 009</x:v>
      </x:c>
      <x:c r="D1002" t="str">
        <x:v>RJ</x:v>
      </x:c>
      <x:c r="E1002" t="str">
        <x:v>Sudeste</x:v>
      </x:c>
      <x:c r="F1002" t="str">
        <x:v>E-commerce</x:v>
      </x:c>
      <x:c r="G1002" t="str">
        <x:v>Escritório</x:v>
      </x:c>
      <x:c r="H1002" t="str">
        <x:v>Cadeira Ergonômica</x:v>
      </x:c>
      <x:c r="I1002" t="str">
        <x:v>Bruno</x:v>
      </x:c>
      <x:c r="J1002" s="53" t="n">
        <x:v>6</x:v>
      </x:c>
      <x:c r="K1002" s="54" t="n">
        <x:v>2311.22</x:v>
      </x:c>
      <x:c r="L1002" s="54" t="n">
        <x:v>1468.41</x:v>
      </x:c>
      <x:c r="M1002" s="55" t="n">
        <x:v>0</x:v>
      </x:c>
      <x:c r="N1002" s="54" t="n">
        <x:f>ROUND(J1002*K1002,2)</x:f>
        <x:v>13867.32</x:v>
      </x:c>
      <x:c r="O1002" s="54" t="n">
        <x:f>ROUND(N1002*(1-M1002),2)</x:f>
        <x:v>13867.32</x:v>
      </x:c>
      <x:c r="P1002" s="54" t="n">
        <x:f>ROUND(J1002*L1002,2)</x:f>
        <x:v>8810.46</x:v>
      </x:c>
      <x:c r="Q1002" s="54" t="n">
        <x:f>ROUND(O1002-P1002,2)</x:f>
        <x:v>5056.86</x:v>
      </x:c>
      <x:c r="R1002" s="55" t="n">
        <x:f>IF(O1002=0,0,ROUND(Q1002/O1002,4))</x:f>
        <x:v>0.3647</x:v>
      </x:c>
      <x:c r="S1002" s="53" t="n">
        <x:v>10</x:v>
      </x:c>
      <x:c r="T1002" t="str">
        <x:v>Cancelado</x:v>
      </x:c>
      <x:c r="U1002"/>
      <x:c r="V1002" t="str"/>
    </x:row>
    <x:row r="1003">
      <x:c r="A1003" s="52" t="n">
        <x:v>46131</x:v>
      </x:c>
      <x:c r="B1003" t="str">
        <x:v>PED-101002</x:v>
      </x:c>
      <x:c r="C1003" t="str">
        <x:v>Cliente 085</x:v>
      </x:c>
      <x:c r="D1003" t="str">
        <x:v>RS</x:v>
      </x:c>
      <x:c r="E1003" t="str">
        <x:v>Sul</x:v>
      </x:c>
      <x:c r="F1003" t="str">
        <x:v>Marketplace</x:v>
      </x:c>
      <x:c r="G1003" t="str">
        <x:v>Tecnologia</x:v>
      </x:c>
      <x:c r="H1003" t="str">
        <x:v>Headset Office</x:v>
      </x:c>
      <x:c r="I1003" t="str">
        <x:v>Gabriela</x:v>
      </x:c>
      <x:c r="J1003" s="53" t="n">
        <x:v>4</x:v>
      </x:c>
      <x:c r="K1003" s="54" t="n">
        <x:v>406.96</x:v>
      </x:c>
      <x:c r="L1003" s="54" t="n">
        <x:v>202.39</x:v>
      </x:c>
      <x:c r="M1003" s="55" t="n">
        <x:v>0.1348</x:v>
      </x:c>
      <x:c r="N1003" s="54" t="n">
        <x:f>ROUND(J1003*K1003,2)</x:f>
        <x:v>1627.84</x:v>
      </x:c>
      <x:c r="O1003" s="54" t="n">
        <x:f>ROUND(N1003*(1-M1003),2)</x:f>
        <x:v>1408.41</x:v>
      </x:c>
      <x:c r="P1003" s="54" t="n">
        <x:f>ROUND(J1003*L1003,2)</x:f>
        <x:v>809.56</x:v>
      </x:c>
      <x:c r="Q1003" s="54" t="n">
        <x:f>ROUND(O1003-P1003,2)</x:f>
        <x:v>598.85</x:v>
      </x:c>
      <x:c r="R1003" s="55" t="n">
        <x:f>IF(O1003=0,0,ROUND(Q1003/O1003,4))</x:f>
        <x:v>0.4252</x:v>
      </x:c>
      <x:c r="S1003" s="53" t="n">
        <x:v>2</x:v>
      </x:c>
      <x:c r="T1003" t="str">
        <x:v>Entregue</x:v>
      </x:c>
      <x:c r="U1003" t="n">
        <x:v>2</x:v>
      </x:c>
      <x:c r="V1003" t="str"/>
    </x:row>
    <x:row r="1004">
      <x:c r="A1004" s="52" t="n">
        <x:v>46093</x:v>
      </x:c>
      <x:c r="B1004" t="str">
        <x:v>PED-101003</x:v>
      </x:c>
      <x:c r="C1004" t="str">
        <x:v>Cliente 002</x:v>
      </x:c>
      <x:c r="D1004" t="str">
        <x:v>MG</x:v>
      </x:c>
      <x:c r="E1004" t="str">
        <x:v>Sudeste</x:v>
      </x:c>
      <x:c r="F1004" t="str">
        <x:v>Loja</x:v>
      </x:c>
      <x:c r="G1004" t="str">
        <x:v>Tecnologia</x:v>
      </x:c>
      <x:c r="H1004" t="str">
        <x:v>Headset Office</x:v>
      </x:c>
      <x:c r="I1004" t="str">
        <x:v>João</x:v>
      </x:c>
      <x:c r="J1004" s="53" t="n">
        <x:v>1</x:v>
      </x:c>
      <x:c r="K1004" s="54" t="n">
        <x:v>405.44</x:v>
      </x:c>
      <x:c r="L1004" s="54" t="n">
        <x:v>209.99</x:v>
      </x:c>
      <x:c r="M1004" s="55" t="n">
        <x:v>0.0522</x:v>
      </x:c>
      <x:c r="N1004" s="54" t="n">
        <x:f>ROUND(J1004*K1004,2)</x:f>
        <x:v>405.44</x:v>
      </x:c>
      <x:c r="O1004" s="54" t="n">
        <x:f>ROUND(N1004*(1-M1004),2)</x:f>
        <x:v>384.28</x:v>
      </x:c>
      <x:c r="P1004" s="54" t="n">
        <x:f>ROUND(J1004*L1004,2)</x:f>
        <x:v>209.99</x:v>
      </x:c>
      <x:c r="Q1004" s="54" t="n">
        <x:f>ROUND(O1004-P1004,2)</x:f>
        <x:v>174.29</x:v>
      </x:c>
      <x:c r="R1004" s="55" t="n">
        <x:f>IF(O1004=0,0,ROUND(Q1004/O1004,4))</x:f>
        <x:v>0.4535</x:v>
      </x:c>
      <x:c r="S1004" s="53" t="n">
        <x:v>13</x:v>
      </x:c>
      <x:c r="T1004" t="str">
        <x:v>Entregue com atraso</x:v>
      </x:c>
      <x:c r="U1004" t="n">
        <x:v>5</x:v>
      </x:c>
      <x:c r="V1004" t="str"/>
    </x:row>
    <x:row r="1005">
      <x:c r="A1005" s="52" t="n">
        <x:v>46135</x:v>
      </x:c>
      <x:c r="B1005" t="str">
        <x:v>PED-101004</x:v>
      </x:c>
      <x:c r="C1005" t="str">
        <x:v>Cliente 016</x:v>
      </x:c>
      <x:c r="D1005" t="str">
        <x:v>ES</x:v>
      </x:c>
      <x:c r="E1005" t="str">
        <x:v>Sudeste</x:v>
      </x:c>
      <x:c r="F1005" t="str">
        <x:v>Televendas</x:v>
      </x:c>
      <x:c r="G1005" t="str">
        <x:v>Tecnologia</x:v>
      </x:c>
      <x:c r="H1005" t="str">
        <x:v>Monitor 27</x:v>
      </x:c>
      <x:c r="I1005" t="str">
        <x:v>Isabela</x:v>
      </x:c>
      <x:c r="J1005" s="53" t="n">
        <x:v>6</x:v>
      </x:c>
      <x:c r="K1005" s="54" t="n">
        <x:v>1618.62</x:v>
      </x:c>
      <x:c r="L1005" s="54" t="n">
        <x:v>1102.46</x:v>
      </x:c>
      <x:c r="M1005" s="55" t="n">
        <x:v>0</x:v>
      </x:c>
      <x:c r="N1005" s="54" t="n">
        <x:f>ROUND(J1005*K1005,2)</x:f>
        <x:v>9711.72</x:v>
      </x:c>
      <x:c r="O1005" s="54" t="n">
        <x:f>ROUND(N1005*(1-M1005),2)</x:f>
        <x:v>9711.72</x:v>
      </x:c>
      <x:c r="P1005" s="54" t="n">
        <x:f>ROUND(J1005*L1005,2)</x:f>
        <x:v>6614.76</x:v>
      </x:c>
      <x:c r="Q1005" s="54" t="n">
        <x:f>ROUND(O1005-P1005,2)</x:f>
        <x:v>3096.96</x:v>
      </x:c>
      <x:c r="R1005" s="55" t="n">
        <x:f>IF(O1005=0,0,ROUND(Q1005/O1005,4))</x:f>
        <x:v>0.3189</x:v>
      </x:c>
      <x:c r="S1005" s="53" t="n">
        <x:v>6</x:v>
      </x:c>
      <x:c r="T1005" t="str">
        <x:v>Entregue</x:v>
      </x:c>
      <x:c r="U1005" t="n">
        <x:v>2</x:v>
      </x:c>
      <x:c r="V1005" t="str"/>
    </x:row>
    <x:row r="1006">
      <x:c r="A1006" s="52" t="n">
        <x:v>46157</x:v>
      </x:c>
      <x:c r="B1006" t="str">
        <x:v>PED-101005</x:v>
      </x:c>
      <x:c r="C1006" t="str">
        <x:v>Cliente 087</x:v>
      </x:c>
      <x:c r="D1006" t="str">
        <x:v>SP</x:v>
      </x:c>
      <x:c r="E1006" t="str">
        <x:v>Sudeste</x:v>
      </x:c>
      <x:c r="F1006" t="str">
        <x:v>Televendas</x:v>
      </x:c>
      <x:c r="G1006" t="str">
        <x:v>Tecnologia</x:v>
      </x:c>
      <x:c r="H1006" t="str">
        <x:v>Notebook Pro</x:v>
      </x:c>
      <x:c r="I1006" t="str">
        <x:v>Bruno</x:v>
      </x:c>
      <x:c r="J1006" s="53" t="n">
        <x:v>3</x:v>
      </x:c>
      <x:c r="K1006" s="54" t="n">
        <x:v>5583.34</x:v>
      </x:c>
      <x:c r="L1006" s="54" t="n">
        <x:v>4495.56</x:v>
      </x:c>
      <x:c r="M1006" s="55" t="n">
        <x:v>0.088</x:v>
      </x:c>
      <x:c r="N1006" s="54" t="n">
        <x:f>ROUND(J1006*K1006,2)</x:f>
        <x:v>16750.02</x:v>
      </x:c>
      <x:c r="O1006" s="54" t="n">
        <x:f>ROUND(N1006*(1-M1006),2)</x:f>
        <x:v>15276.02</x:v>
      </x:c>
      <x:c r="P1006" s="54" t="n">
        <x:f>ROUND(J1006*L1006,2)</x:f>
        <x:v>13486.68</x:v>
      </x:c>
      <x:c r="Q1006" s="54" t="n">
        <x:f>ROUND(O1006-P1006,2)</x:f>
        <x:v>1789.34</x:v>
      </x:c>
      <x:c r="R1006" s="55" t="n">
        <x:f>IF(O1006=0,0,ROUND(Q1006/O1006,4))</x:f>
        <x:v>0.1171</x:v>
      </x:c>
      <x:c r="S1006" s="53" t="n">
        <x:v>2</x:v>
      </x:c>
      <x:c r="T1006" t="str">
        <x:v>Entregue</x:v>
      </x:c>
      <x:c r="U1006" t="n">
        <x:v>3</x:v>
      </x:c>
      <x:c r="V1006" t="str"/>
    </x:row>
    <x:row r="1007">
      <x:c r="A1007" s="52" t="n">
        <x:v>46230</x:v>
      </x:c>
      <x:c r="B1007" t="str">
        <x:v>PED-101006</x:v>
      </x:c>
      <x:c r="C1007" t="str">
        <x:v>Cliente 018</x:v>
      </x:c>
      <x:c r="D1007" t="str">
        <x:v>GO</x:v>
      </x:c>
      <x:c r="E1007" t="str">
        <x:v>Centro-Oeste</x:v>
      </x:c>
      <x:c r="F1007" t="str">
        <x:v>Marketplace</x:v>
      </x:c>
      <x:c r="G1007" t="str">
        <x:v>Casa</x:v>
      </x:c>
      <x:c r="H1007" t="str">
        <x:v>Aspirador Robô</x:v>
      </x:c>
      <x:c r="I1007" t="str">
        <x:v>Felipe</x:v>
      </x:c>
      <x:c r="J1007" s="53" t="n">
        <x:v>3</x:v>
      </x:c>
      <x:c r="K1007" s="54" t="n">
        <x:v>1889.24</x:v>
      </x:c>
      <x:c r="L1007" s="54" t="n">
        <x:v>1225.66</x:v>
      </x:c>
      <x:c r="M1007" s="55" t="n">
        <x:v>0.035</x:v>
      </x:c>
      <x:c r="N1007" s="54" t="n">
        <x:f>ROUND(J1007*K1007,2)</x:f>
        <x:v>5667.72</x:v>
      </x:c>
      <x:c r="O1007" s="54" t="n">
        <x:f>ROUND(N1007*(1-M1007),2)</x:f>
        <x:v>5469.35</x:v>
      </x:c>
      <x:c r="P1007" s="54" t="n">
        <x:f>ROUND(J1007*L1007,2)</x:f>
        <x:v>3676.98</x:v>
      </x:c>
      <x:c r="Q1007" s="54" t="n">
        <x:f>ROUND(O1007-P1007,2)</x:f>
        <x:v>1792.37</x:v>
      </x:c>
      <x:c r="R1007" s="55" t="n">
        <x:f>IF(O1007=0,0,ROUND(Q1007/O1007,4))</x:f>
        <x:v>0.3277</x:v>
      </x:c>
      <x:c r="S1007" s="53" t="n">
        <x:v>6</x:v>
      </x:c>
      <x:c r="T1007" t="str">
        <x:v>Entregue</x:v>
      </x:c>
      <x:c r="U1007" t="n">
        <x:v>2</x:v>
      </x:c>
      <x:c r="V1007" t="str"/>
    </x:row>
    <x:row r="1008">
      <x:c r="A1008" s="52" t="n">
        <x:v>46086</x:v>
      </x:c>
      <x:c r="B1008" t="str">
        <x:v>PED-101007</x:v>
      </x:c>
      <x:c r="C1008" t="str">
        <x:v>Cliente 014</x:v>
      </x:c>
      <x:c r="D1008" t="str">
        <x:v>DF</x:v>
      </x:c>
      <x:c r="E1008" t="str">
        <x:v>Centro-Oeste</x:v>
      </x:c>
      <x:c r="F1008" t="str">
        <x:v>Loja</x:v>
      </x:c>
      <x:c r="G1008" t="str">
        <x:v>Acessórios</x:v>
      </x:c>
      <x:c r="H1008" t="str">
        <x:v>Webcam HD</x:v>
      </x:c>
      <x:c r="I1008" t="str">
        <x:v>Henrique</x:v>
      </x:c>
      <x:c r="J1008" s="53" t="n">
        <x:v>7</x:v>
      </x:c>
      <x:c r="K1008" s="54" t="n">
        <x:v>494.04</x:v>
      </x:c>
      <x:c r="L1008" s="54" t="n">
        <x:v>248.73</x:v>
      </x:c>
      <x:c r="M1008" s="55" t="n">
        <x:v>0</x:v>
      </x:c>
      <x:c r="N1008" s="54" t="n">
        <x:f>ROUND(J1008*K1008,2)</x:f>
        <x:v>3458.28</x:v>
      </x:c>
      <x:c r="O1008" s="54" t="n">
        <x:f>ROUND(N1008*(1-M1008),2)</x:f>
        <x:v>3458.28</x:v>
      </x:c>
      <x:c r="P1008" s="54" t="n">
        <x:f>ROUND(J1008*L1008,2)</x:f>
        <x:v>1741.11</x:v>
      </x:c>
      <x:c r="Q1008" s="54" t="n">
        <x:f>ROUND(O1008-P1008,2)</x:f>
        <x:v>1717.17</x:v>
      </x:c>
      <x:c r="R1008" s="55" t="n">
        <x:f>IF(O1008=0,0,ROUND(Q1008/O1008,4))</x:f>
        <x:v>0.4965</x:v>
      </x:c>
      <x:c r="S1008" s="53" t="n">
        <x:v>14</x:v>
      </x:c>
      <x:c r="T1008" t="str">
        <x:v>Entregue com atraso</x:v>
      </x:c>
      <x:c r="U1008" t="n">
        <x:v>4</x:v>
      </x:c>
      <x:c r="V1008" t="str"/>
    </x:row>
    <x:row r="1009">
      <x:c r="A1009" s="52" t="n">
        <x:v>46035</x:v>
      </x:c>
      <x:c r="B1009" t="str">
        <x:v>PED-101008</x:v>
      </x:c>
      <x:c r="C1009" t="str">
        <x:v>Cliente 106</x:v>
      </x:c>
      <x:c r="D1009" t="str">
        <x:v>DF</x:v>
      </x:c>
      <x:c r="E1009" t="str">
        <x:v>Centro-Oeste</x:v>
      </x:c>
      <x:c r="F1009" t="str">
        <x:v>E-commerce</x:v>
      </x:c>
      <x:c r="G1009" t="str">
        <x:v>Escritório</x:v>
      </x:c>
      <x:c r="H1009" t="str">
        <x:v>Cadeira Ergonômica</x:v>
      </x:c>
      <x:c r="I1009" t="str">
        <x:v>Diego</x:v>
      </x:c>
      <x:c r="J1009" s="53" t="n">
        <x:v>3</x:v>
      </x:c>
      <x:c r="K1009" s="54" t="n">
        <x:v>2283.8</x:v>
      </x:c>
      <x:c r="L1009" s="54" t="n">
        <x:v>1410.29</x:v>
      </x:c>
      <x:c r="M1009" s="55" t="n">
        <x:v>0</x:v>
      </x:c>
      <x:c r="N1009" s="54" t="n">
        <x:f>ROUND(J1009*K1009,2)</x:f>
        <x:v>6851.4</x:v>
      </x:c>
      <x:c r="O1009" s="54" t="n">
        <x:f>ROUND(N1009*(1-M1009),2)</x:f>
        <x:v>6851.4</x:v>
      </x:c>
      <x:c r="P1009" s="54" t="n">
        <x:f>ROUND(J1009*L1009,2)</x:f>
        <x:v>4230.87</x:v>
      </x:c>
      <x:c r="Q1009" s="54" t="n">
        <x:f>ROUND(O1009-P1009,2)</x:f>
        <x:v>2620.53</x:v>
      </x:c>
      <x:c r="R1009" s="55" t="n">
        <x:f>IF(O1009=0,0,ROUND(Q1009/O1009,4))</x:f>
        <x:v>0.3825</x:v>
      </x:c>
      <x:c r="S1009" s="53" t="n">
        <x:v>3</x:v>
      </x:c>
      <x:c r="T1009" t="str">
        <x:v>Entregue</x:v>
      </x:c>
      <x:c r="U1009" t="n">
        <x:v>2</x:v>
      </x:c>
      <x:c r="V1009" t="str"/>
    </x:row>
    <x:row r="1010">
      <x:c r="A1010" s="52" t="n">
        <x:v>46085</x:v>
      </x:c>
      <x:c r="B1010" t="str">
        <x:v>PED-101009</x:v>
      </x:c>
      <x:c r="C1010" t="str">
        <x:v>Cliente 052</x:v>
      </x:c>
      <x:c r="D1010" t="str">
        <x:v>GO</x:v>
      </x:c>
      <x:c r="E1010" t="str">
        <x:v>Centro-Oeste</x:v>
      </x:c>
      <x:c r="F1010" t="str">
        <x:v>E-commerce</x:v>
      </x:c>
      <x:c r="G1010" t="str">
        <x:v>Tecnologia</x:v>
      </x:c>
      <x:c r="H1010" t="str">
        <x:v>Notebook Pro</x:v>
      </x:c>
      <x:c r="I1010" t="str">
        <x:v>João</x:v>
      </x:c>
      <x:c r="J1010" s="53" t="n">
        <x:v>4</x:v>
      </x:c>
      <x:c r="K1010" s="54" t="n">
        <x:v>5988.11</x:v>
      </x:c>
      <x:c r="L1010" s="54" t="n">
        <x:v>4416.92</x:v>
      </x:c>
      <x:c r="M1010" s="55" t="n">
        <x:v>0.1001</x:v>
      </x:c>
      <x:c r="N1010" s="54" t="n">
        <x:f>ROUND(J1010*K1010,2)</x:f>
        <x:v>23952.44</x:v>
      </x:c>
      <x:c r="O1010" s="54" t="n">
        <x:f>ROUND(N1010*(1-M1010),2)</x:f>
        <x:v>21554.8</x:v>
      </x:c>
      <x:c r="P1010" s="54" t="n">
        <x:f>ROUND(J1010*L1010,2)</x:f>
        <x:v>17667.68</x:v>
      </x:c>
      <x:c r="Q1010" s="54" t="n">
        <x:f>ROUND(O1010-P1010,2)</x:f>
        <x:v>3887.12</x:v>
      </x:c>
      <x:c r="R1010" s="55" t="n">
        <x:f>IF(O1010=0,0,ROUND(Q1010/O1010,4))</x:f>
        <x:v>0.1803</x:v>
      </x:c>
      <x:c r="S1010" s="53" t="n">
        <x:v>14</x:v>
      </x:c>
      <x:c r="T1010" t="str">
        <x:v>Entregue com atraso</x:v>
      </x:c>
      <x:c r="U1010" t="n">
        <x:v>3</x:v>
      </x:c>
      <x:c r="V1010" t="str"/>
    </x:row>
    <x:row r="1011">
      <x:c r="A1011" s="52" t="n">
        <x:v>46149</x:v>
      </x:c>
      <x:c r="B1011" t="str">
        <x:v>PED-101010</x:v>
      </x:c>
      <x:c r="C1011" t="str">
        <x:v>Cliente 095</x:v>
      </x:c>
      <x:c r="D1011" t="str">
        <x:v>MT</x:v>
      </x:c>
      <x:c r="E1011" t="str">
        <x:v>Centro-Oeste</x:v>
      </x:c>
      <x:c r="F1011" t="str">
        <x:v>E-commerce</x:v>
      </x:c>
      <x:c r="G1011" t="str">
        <x:v>Tecnologia</x:v>
      </x:c>
      <x:c r="H1011" t="str">
        <x:v>Monitor 27</x:v>
      </x:c>
      <x:c r="I1011" t="str">
        <x:v>Carla</x:v>
      </x:c>
      <x:c r="J1011" s="53" t="n">
        <x:v>2</x:v>
      </x:c>
      <x:c r="K1011" s="54" t="n">
        <x:v>1660.68</x:v>
      </x:c>
      <x:c r="L1011" s="54" t="n">
        <x:v>1095.73</x:v>
      </x:c>
      <x:c r="M1011" s="55" t="n">
        <x:v>0.0584</x:v>
      </x:c>
      <x:c r="N1011" s="54" t="n">
        <x:f>ROUND(J1011*K1011,2)</x:f>
        <x:v>3321.36</x:v>
      </x:c>
      <x:c r="O1011" s="54" t="n">
        <x:f>ROUND(N1011*(1-M1011),2)</x:f>
        <x:v>3127.39</x:v>
      </x:c>
      <x:c r="P1011" s="54" t="n">
        <x:f>ROUND(J1011*L1011,2)</x:f>
        <x:v>2191.46</x:v>
      </x:c>
      <x:c r="Q1011" s="54" t="n">
        <x:f>ROUND(O1011-P1011,2)</x:f>
        <x:v>935.93</x:v>
      </x:c>
      <x:c r="R1011" s="55" t="n">
        <x:f>IF(O1011=0,0,ROUND(Q1011/O1011,4))</x:f>
        <x:v>0.2993</x:v>
      </x:c>
      <x:c r="S1011" s="53" t="n">
        <x:v>5</x:v>
      </x:c>
      <x:c r="T1011" t="str">
        <x:v>Entregue</x:v>
      </x:c>
      <x:c r="U1011" t="n">
        <x:v>2</x:v>
      </x:c>
      <x:c r="V1011" t="str"/>
    </x:row>
    <x:row r="1012">
      <x:c r="A1012" s="52" t="n">
        <x:v>46080</x:v>
      </x:c>
      <x:c r="B1012" t="str">
        <x:v>PED-101011</x:v>
      </x:c>
      <x:c r="C1012" t="str">
        <x:v>Cliente 020</x:v>
      </x:c>
      <x:c r="D1012" t="str">
        <x:v>AM</x:v>
      </x:c>
      <x:c r="E1012" t="str">
        <x:v>Norte</x:v>
      </x:c>
      <x:c r="F1012" t="str">
        <x:v>Televendas</x:v>
      </x:c>
      <x:c r="G1012" t="str">
        <x:v>Escritório</x:v>
      </x:c>
      <x:c r="H1012" t="str">
        <x:v>Luminária LED</x:v>
      </x:c>
      <x:c r="I1012" t="str">
        <x:v>Isabela</x:v>
      </x:c>
      <x:c r="J1012" s="53" t="n">
        <x:v>7</x:v>
      </x:c>
      <x:c r="K1012" s="54" t="n">
        <x:v>257.19</x:v>
      </x:c>
      <x:c r="L1012" s="54" t="n">
        <x:v>117.82</x:v>
      </x:c>
      <x:c r="M1012" s="55" t="n">
        <x:v>0</x:v>
      </x:c>
      <x:c r="N1012" s="54" t="n">
        <x:f>ROUND(J1012*K1012,2)</x:f>
        <x:v>1800.33</x:v>
      </x:c>
      <x:c r="O1012" s="54" t="n">
        <x:f>ROUND(N1012*(1-M1012),2)</x:f>
        <x:v>1800.33</x:v>
      </x:c>
      <x:c r="P1012" s="54" t="n">
        <x:f>ROUND(J1012*L1012,2)</x:f>
        <x:v>824.74</x:v>
      </x:c>
      <x:c r="Q1012" s="54" t="n">
        <x:f>ROUND(O1012-P1012,2)</x:f>
        <x:v>975.59</x:v>
      </x:c>
      <x:c r="R1012" s="55" t="n">
        <x:f>IF(O1012=0,0,ROUND(Q1012/O1012,4))</x:f>
        <x:v>0.5419</x:v>
      </x:c>
      <x:c r="S1012" s="53" t="n">
        <x:v>6</x:v>
      </x:c>
      <x:c r="T1012" t="str">
        <x:v>Entregue</x:v>
      </x:c>
      <x:c r="U1012" t="n">
        <x:v>5</x:v>
      </x:c>
      <x:c r="V1012" t="str"/>
    </x:row>
    <x:row r="1013">
      <x:c r="A1013" s="52" t="n">
        <x:v>46158</x:v>
      </x:c>
      <x:c r="B1013" t="str">
        <x:v>PED-101012</x:v>
      </x:c>
      <x:c r="C1013" t="str">
        <x:v>Cliente 011</x:v>
      </x:c>
      <x:c r="D1013" t="str">
        <x:v>PR</x:v>
      </x:c>
      <x:c r="E1013" t="str">
        <x:v>Sul</x:v>
      </x:c>
      <x:c r="F1013" t="str">
        <x:v>E-commerce</x:v>
      </x:c>
      <x:c r="G1013" t="str">
        <x:v>Tecnologia</x:v>
      </x:c>
      <x:c r="H1013" t="str">
        <x:v>Headset Office</x:v>
      </x:c>
      <x:c r="I1013" t="str">
        <x:v>Isabela</x:v>
      </x:c>
      <x:c r="J1013" s="53" t="n">
        <x:v>3</x:v>
      </x:c>
      <x:c r="K1013" s="54" t="n">
        <x:v>370.34</x:v>
      </x:c>
      <x:c r="L1013" s="54" t="n">
        <x:v>205.73</x:v>
      </x:c>
      <x:c r="M1013" s="55" t="n">
        <x:v>0</x:v>
      </x:c>
      <x:c r="N1013" s="54" t="n">
        <x:f>ROUND(J1013*K1013,2)</x:f>
        <x:v>1111.02</x:v>
      </x:c>
      <x:c r="O1013" s="54" t="n">
        <x:f>ROUND(N1013*(1-M1013),2)</x:f>
        <x:v>1111.02</x:v>
      </x:c>
      <x:c r="P1013" s="54" t="n">
        <x:f>ROUND(J1013*L1013,2)</x:f>
        <x:v>617.19</x:v>
      </x:c>
      <x:c r="Q1013" s="54" t="n">
        <x:f>ROUND(O1013-P1013,2)</x:f>
        <x:v>493.83</x:v>
      </x:c>
      <x:c r="R1013" s="55" t="n">
        <x:f>IF(O1013=0,0,ROUND(Q1013/O1013,4))</x:f>
        <x:v>0.4445</x:v>
      </x:c>
      <x:c r="S1013" s="53" t="n">
        <x:v>9</x:v>
      </x:c>
      <x:c r="T1013" t="str">
        <x:v>Entregue</x:v>
      </x:c>
      <x:c r="U1013" t="n">
        <x:v>3</x:v>
      </x:c>
      <x:c r="V1013" t="str"/>
    </x:row>
    <x:row r="1014">
      <x:c r="A1014" s="52" t="n">
        <x:v>46122</x:v>
      </x:c>
      <x:c r="B1014" t="str">
        <x:v>PED-101013</x:v>
      </x:c>
      <x:c r="C1014" t="str">
        <x:v>Cliente 020</x:v>
      </x:c>
      <x:c r="D1014" t="str">
        <x:v>SP</x:v>
      </x:c>
      <x:c r="E1014" t="str">
        <x:v>Sudeste</x:v>
      </x:c>
      <x:c r="F1014" t="str">
        <x:v>Marketplace</x:v>
      </x:c>
      <x:c r="G1014" t="str">
        <x:v>Acessórios</x:v>
      </x:c>
      <x:c r="H1014" t="str">
        <x:v>Mochila Executiva</x:v>
      </x:c>
      <x:c r="I1014" t="str">
        <x:v>Henrique</x:v>
      </x:c>
      <x:c r="J1014" s="53" t="n">
        <x:v>6</x:v>
      </x:c>
      <x:c r="K1014" s="54" t="n">
        <x:v>436.9</x:v>
      </x:c>
      <x:c r="L1014" s="54" t="n">
        <x:v>186.88</x:v>
      </x:c>
      <x:c r="M1014" s="55" t="n">
        <x:v>0.0613</x:v>
      </x:c>
      <x:c r="N1014" s="54" t="n">
        <x:f>ROUND(J1014*K1014,2)</x:f>
        <x:v>2621.4</x:v>
      </x:c>
      <x:c r="O1014" s="54" t="n">
        <x:f>ROUND(N1014*(1-M1014),2)</x:f>
        <x:v>2460.71</x:v>
      </x:c>
      <x:c r="P1014" s="54" t="n">
        <x:f>ROUND(J1014*L1014,2)</x:f>
        <x:v>1121.28</x:v>
      </x:c>
      <x:c r="Q1014" s="54" t="n">
        <x:f>ROUND(O1014-P1014,2)</x:f>
        <x:v>1339.43</x:v>
      </x:c>
      <x:c r="R1014" s="55" t="n">
        <x:f>IF(O1014=0,0,ROUND(Q1014/O1014,4))</x:f>
        <x:v>0.5443</x:v>
      </x:c>
      <x:c r="S1014" s="53" t="n">
        <x:v>10</x:v>
      </x:c>
      <x:c r="T1014" t="str">
        <x:v>Entregue</x:v>
      </x:c>
      <x:c r="U1014" t="n">
        <x:v>2</x:v>
      </x:c>
      <x:c r="V1014" t="str"/>
    </x:row>
    <x:row r="1015">
      <x:c r="A1015" s="52" t="n">
        <x:v>46228</x:v>
      </x:c>
      <x:c r="B1015" t="str">
        <x:v>PED-101014</x:v>
      </x:c>
      <x:c r="C1015" t="str">
        <x:v>Cliente 071</x:v>
      </x:c>
      <x:c r="D1015" t="str">
        <x:v>SP</x:v>
      </x:c>
      <x:c r="E1015" t="str">
        <x:v>Sudeste</x:v>
      </x:c>
      <x:c r="F1015" t="str">
        <x:v>Televendas</x:v>
      </x:c>
      <x:c r="G1015" t="str">
        <x:v>Casa</x:v>
      </x:c>
      <x:c r="H1015" t="str">
        <x:v>Cafeteira Smart</x:v>
      </x:c>
      <x:c r="I1015" t="str">
        <x:v>Henrique</x:v>
      </x:c>
      <x:c r="J1015" s="53" t="n">
        <x:v>6</x:v>
      </x:c>
      <x:c r="K1015" s="54" t="n">
        <x:v>821.54</x:v>
      </x:c>
      <x:c r="L1015" s="54" t="n">
        <x:v>452.77</x:v>
      </x:c>
      <x:c r="M1015" s="55" t="n">
        <x:v>0</x:v>
      </x:c>
      <x:c r="N1015" s="54" t="n">
        <x:f>ROUND(J1015*K1015,2)</x:f>
        <x:v>4929.24</x:v>
      </x:c>
      <x:c r="O1015" s="54" t="n">
        <x:f>ROUND(N1015*(1-M1015),2)</x:f>
        <x:v>4929.24</x:v>
      </x:c>
      <x:c r="P1015" s="54" t="n">
        <x:f>ROUND(J1015*L1015,2)</x:f>
        <x:v>2716.62</x:v>
      </x:c>
      <x:c r="Q1015" s="54" t="n">
        <x:f>ROUND(O1015-P1015,2)</x:f>
        <x:v>2212.62</x:v>
      </x:c>
      <x:c r="R1015" s="55" t="n">
        <x:f>IF(O1015=0,0,ROUND(Q1015/O1015,4))</x:f>
        <x:v>0.4489</x:v>
      </x:c>
      <x:c r="S1015" s="53" t="n">
        <x:v>8</x:v>
      </x:c>
      <x:c r="T1015" t="str">
        <x:v>Entregue</x:v>
      </x:c>
      <x:c r="U1015" t="n">
        <x:v>3</x:v>
      </x:c>
      <x:c r="V1015" t="str"/>
    </x:row>
    <x:row r="1016">
      <x:c r="A1016" s="52" t="n">
        <x:v>46179</x:v>
      </x:c>
      <x:c r="B1016" t="str">
        <x:v>PED-101015</x:v>
      </x:c>
      <x:c r="C1016" t="str">
        <x:v>Cliente 066</x:v>
      </x:c>
      <x:c r="D1016" t="str">
        <x:v>GO</x:v>
      </x:c>
      <x:c r="E1016" t="str">
        <x:v>Centro-Oeste</x:v>
      </x:c>
      <x:c r="F1016" t="str">
        <x:v>Televendas</x:v>
      </x:c>
      <x:c r="G1016" t="str">
        <x:v>Tecnologia</x:v>
      </x:c>
      <x:c r="H1016" t="str">
        <x:v>Monitor 27</x:v>
      </x:c>
      <x:c r="I1016" t="str">
        <x:v>Ana</x:v>
      </x:c>
      <x:c r="J1016" s="53" t="n">
        <x:v>6</x:v>
      </x:c>
      <x:c r="K1016" s="54" t="n">
        <x:v>1689.86</x:v>
      </x:c>
      <x:c r="L1016" s="54" t="n">
        <x:v>1042.13</x:v>
      </x:c>
      <x:c r="M1016" s="55" t="n">
        <x:v>0.1294</x:v>
      </x:c>
      <x:c r="N1016" s="54" t="n">
        <x:f>ROUND(J1016*K1016,2)</x:f>
        <x:v>10139.16</x:v>
      </x:c>
      <x:c r="O1016" s="54" t="n">
        <x:f>ROUND(N1016*(1-M1016),2)</x:f>
        <x:v>8827.15</x:v>
      </x:c>
      <x:c r="P1016" s="54" t="n">
        <x:f>ROUND(J1016*L1016,2)</x:f>
        <x:v>6252.78</x:v>
      </x:c>
      <x:c r="Q1016" s="54" t="n">
        <x:f>ROUND(O1016-P1016,2)</x:f>
        <x:v>2574.37</x:v>
      </x:c>
      <x:c r="R1016" s="55" t="n">
        <x:f>IF(O1016=0,0,ROUND(Q1016/O1016,4))</x:f>
        <x:v>0.2916</x:v>
      </x:c>
      <x:c r="S1016" s="53" t="n">
        <x:v>8</x:v>
      </x:c>
      <x:c r="T1016" t="str">
        <x:v>Entregue</x:v>
      </x:c>
      <x:c r="U1016" t="n">
        <x:v>5</x:v>
      </x:c>
      <x:c r="V1016" t="str"/>
    </x:row>
    <x:row r="1017">
      <x:c r="A1017" s="52" t="n">
        <x:v>46074</x:v>
      </x:c>
      <x:c r="B1017" t="str">
        <x:v>PED-101016</x:v>
      </x:c>
      <x:c r="C1017" t="str">
        <x:v>Cliente 006</x:v>
      </x:c>
      <x:c r="D1017" t="str">
        <x:v>DF</x:v>
      </x:c>
      <x:c r="E1017" t="str">
        <x:v>Centro-Oeste</x:v>
      </x:c>
      <x:c r="F1017" t="str">
        <x:v>Televendas</x:v>
      </x:c>
      <x:c r="G1017" t="str">
        <x:v>Tecnologia</x:v>
      </x:c>
      <x:c r="H1017" t="str">
        <x:v>Monitor 27</x:v>
      </x:c>
      <x:c r="I1017" t="str">
        <x:v>João</x:v>
      </x:c>
      <x:c r="J1017" s="53" t="n">
        <x:v>7</x:v>
      </x:c>
      <x:c r="K1017" s="54" t="n">
        <x:v>1732.46</x:v>
      </x:c>
      <x:c r="L1017" s="54" t="n">
        <x:v>1126.27</x:v>
      </x:c>
      <x:c r="M1017" s="55" t="n">
        <x:v>0</x:v>
      </x:c>
      <x:c r="N1017" s="54" t="n">
        <x:f>ROUND(J1017*K1017,2)</x:f>
        <x:v>12127.22</x:v>
      </x:c>
      <x:c r="O1017" s="54" t="n">
        <x:f>ROUND(N1017*(1-M1017),2)</x:f>
        <x:v>12127.22</x:v>
      </x:c>
      <x:c r="P1017" s="54" t="n">
        <x:f>ROUND(J1017*L1017,2)</x:f>
        <x:v>7883.89</x:v>
      </x:c>
      <x:c r="Q1017" s="54" t="n">
        <x:f>ROUND(O1017-P1017,2)</x:f>
        <x:v>4243.33</x:v>
      </x:c>
      <x:c r="R1017" s="55" t="n">
        <x:f>IF(O1017=0,0,ROUND(Q1017/O1017,4))</x:f>
        <x:v>0.3499</x:v>
      </x:c>
      <x:c r="S1017" s="53" t="n">
        <x:v>11</x:v>
      </x:c>
      <x:c r="T1017" t="str">
        <x:v>Cancelado</x:v>
      </x:c>
      <x:c r="U1017"/>
      <x:c r="V1017" t="str"/>
    </x:row>
    <x:row r="1018">
      <x:c r="A1018" s="52" t="n">
        <x:v>46120</x:v>
      </x:c>
      <x:c r="B1018" t="str">
        <x:v>PED-101017</x:v>
      </x:c>
      <x:c r="C1018" t="str">
        <x:v>Cliente 118</x:v>
      </x:c>
      <x:c r="D1018" t="str">
        <x:v>SP</x:v>
      </x:c>
      <x:c r="E1018" t="str">
        <x:v>Sudeste</x:v>
      </x:c>
      <x:c r="F1018" t="str">
        <x:v>E-commerce</x:v>
      </x:c>
      <x:c r="G1018" t="str">
        <x:v>Acessórios</x:v>
      </x:c>
      <x:c r="H1018" t="str">
        <x:v>Webcam HD</x:v>
      </x:c>
      <x:c r="I1018" t="str">
        <x:v>Bruno</x:v>
      </x:c>
      <x:c r="J1018" s="53" t="n">
        <x:v>5</x:v>
      </x:c>
      <x:c r="K1018" s="54" t="n">
        <x:v>519.72</x:v>
      </x:c>
      <x:c r="L1018" s="54" t="n">
        <x:v>234.58</x:v>
      </x:c>
      <x:c r="M1018" s="55" t="n">
        <x:v>0</x:v>
      </x:c>
      <x:c r="N1018" s="54" t="n">
        <x:f>ROUND(J1018*K1018,2)</x:f>
        <x:v>2598.6</x:v>
      </x:c>
      <x:c r="O1018" s="54" t="n">
        <x:f>ROUND(N1018*(1-M1018),2)</x:f>
        <x:v>2598.6</x:v>
      </x:c>
      <x:c r="P1018" s="54" t="n">
        <x:f>ROUND(J1018*L1018,2)</x:f>
        <x:v>1172.9</x:v>
      </x:c>
      <x:c r="Q1018" s="54" t="n">
        <x:f>ROUND(O1018-P1018,2)</x:f>
        <x:v>1425.7</x:v>
      </x:c>
      <x:c r="R1018" s="55" t="n">
        <x:f>IF(O1018=0,0,ROUND(Q1018/O1018,4))</x:f>
        <x:v>0.5486</x:v>
      </x:c>
      <x:c r="S1018" s="53" t="n">
        <x:v>11</x:v>
      </x:c>
      <x:c r="T1018" t="str">
        <x:v>Entregue com atraso</x:v>
      </x:c>
      <x:c r="U1018" t="n">
        <x:v>4</x:v>
      </x:c>
      <x:c r="V1018" t="str"/>
    </x:row>
    <x:row r="1019">
      <x:c r="A1019" s="52" t="n">
        <x:v>46228</x:v>
      </x:c>
      <x:c r="B1019" t="str">
        <x:v>PED-101018</x:v>
      </x:c>
      <x:c r="C1019" t="str">
        <x:v>Cliente 120</x:v>
      </x:c>
      <x:c r="D1019" t="str">
        <x:v>RJ</x:v>
      </x:c>
      <x:c r="E1019" t="str">
        <x:v>Sudeste</x:v>
      </x:c>
      <x:c r="F1019" t="str">
        <x:v>Loja</x:v>
      </x:c>
      <x:c r="G1019" t="str">
        <x:v>Escritório</x:v>
      </x:c>
      <x:c r="H1019" t="str">
        <x:v>Mesa Ajustável</x:v>
      </x:c>
      <x:c r="I1019" t="str">
        <x:v>Carla</x:v>
      </x:c>
      <x:c r="J1019" s="53" t="n">
        <x:v>5</x:v>
      </x:c>
      <x:c r="K1019" s="54" t="n">
        <x:v>2833.43</x:v>
      </x:c>
      <x:c r="L1019" s="54" t="n">
        <x:v>1740.64</x:v>
      </x:c>
      <x:c r="M1019" s="55" t="n">
        <x:v>0</x:v>
      </x:c>
      <x:c r="N1019" s="54" t="n">
        <x:f>ROUND(J1019*K1019,2)</x:f>
        <x:v>14167.15</x:v>
      </x:c>
      <x:c r="O1019" s="54" t="n">
        <x:f>ROUND(N1019*(1-M1019),2)</x:f>
        <x:v>14167.15</x:v>
      </x:c>
      <x:c r="P1019" s="54" t="n">
        <x:f>ROUND(J1019*L1019,2)</x:f>
        <x:v>8703.2</x:v>
      </x:c>
      <x:c r="Q1019" s="54" t="n">
        <x:f>ROUND(O1019-P1019,2)</x:f>
        <x:v>5463.95</x:v>
      </x:c>
      <x:c r="R1019" s="55" t="n">
        <x:f>IF(O1019=0,0,ROUND(Q1019/O1019,4))</x:f>
        <x:v>0.3857</x:v>
      </x:c>
      <x:c r="S1019" s="53" t="n">
        <x:v>12</x:v>
      </x:c>
      <x:c r="T1019" t="str">
        <x:v>Entregue com atraso</x:v>
      </x:c>
      <x:c r="U1019" t="n">
        <x:v>5</x:v>
      </x:c>
      <x:c r="V1019" t="str"/>
    </x:row>
    <x:row r="1020">
      <x:c r="A1020" s="52" t="n">
        <x:v>46060</x:v>
      </x:c>
      <x:c r="B1020" t="str">
        <x:v>PED-101019</x:v>
      </x:c>
      <x:c r="C1020" t="str">
        <x:v>Cliente 069</x:v>
      </x:c>
      <x:c r="D1020" t="str">
        <x:v>BA</x:v>
      </x:c>
      <x:c r="E1020" t="str">
        <x:v>Nordeste</x:v>
      </x:c>
      <x:c r="F1020" t="str">
        <x:v>Marketplace</x:v>
      </x:c>
      <x:c r="G1020" t="str">
        <x:v>Escritório</x:v>
      </x:c>
      <x:c r="H1020" t="str">
        <x:v>Cadeira Ergonômica</x:v>
      </x:c>
      <x:c r="I1020" t="str">
        <x:v>Carla</x:v>
      </x:c>
      <x:c r="J1020" s="53" t="n">
        <x:v>1</x:v>
      </x:c>
      <x:c r="K1020" s="54" t="n">
        <x:v>2271.25</x:v>
      </x:c>
      <x:c r="L1020" s="54" t="n">
        <x:v>1441.55</x:v>
      </x:c>
      <x:c r="M1020" s="55" t="n">
        <x:v>0.035</x:v>
      </x:c>
      <x:c r="N1020" s="54" t="n">
        <x:f>ROUND(J1020*K1020,2)</x:f>
        <x:v>2271.25</x:v>
      </x:c>
      <x:c r="O1020" s="54" t="n">
        <x:f>ROUND(N1020*(1-M1020),2)</x:f>
        <x:v>2191.76</x:v>
      </x:c>
      <x:c r="P1020" s="54" t="n">
        <x:f>ROUND(J1020*L1020,2)</x:f>
        <x:v>1441.55</x:v>
      </x:c>
      <x:c r="Q1020" s="54" t="n">
        <x:f>ROUND(O1020-P1020,2)</x:f>
        <x:v>750.21</x:v>
      </x:c>
      <x:c r="R1020" s="55" t="n">
        <x:f>IF(O1020=0,0,ROUND(Q1020/O1020,4))</x:f>
        <x:v>0.3423</x:v>
      </x:c>
      <x:c r="S1020" s="53" t="n">
        <x:v>14</x:v>
      </x:c>
      <x:c r="T1020" t="str">
        <x:v>Entregue com atraso</x:v>
      </x:c>
      <x:c r="U1020" t="n">
        <x:v>4</x:v>
      </x:c>
      <x:c r="V1020" t="str"/>
    </x:row>
    <x:row r="1021">
      <x:c r="A1021" s="52" t="n">
        <x:v>46092</x:v>
      </x:c>
      <x:c r="B1021" t="str">
        <x:v>PED-101020</x:v>
      </x:c>
      <x:c r="C1021" t="str">
        <x:v>Cliente 077</x:v>
      </x:c>
      <x:c r="D1021" t="str">
        <x:v>MA</x:v>
      </x:c>
      <x:c r="E1021" t="str">
        <x:v>Nordeste</x:v>
      </x:c>
      <x:c r="F1021" t="str">
        <x:v>E-commerce</x:v>
      </x:c>
      <x:c r="G1021" t="str">
        <x:v>Tecnologia</x:v>
      </x:c>
      <x:c r="H1021" t="str">
        <x:v>Notebook Pro</x:v>
      </x:c>
      <x:c r="I1021" t="str">
        <x:v>Gabriela</x:v>
      </x:c>
      <x:c r="J1021" s="53" t="n">
        <x:v>3</x:v>
      </x:c>
      <x:c r="K1021" s="54" t="n">
        <x:v>5577.15</x:v>
      </x:c>
      <x:c r="L1021" s="54" t="n">
        <x:v>4630.32</x:v>
      </x:c>
      <x:c r="M1021" s="55" t="n">
        <x:v>0</x:v>
      </x:c>
      <x:c r="N1021" s="54" t="n">
        <x:f>ROUND(J1021*K1021,2)</x:f>
        <x:v>16731.45</x:v>
      </x:c>
      <x:c r="O1021" s="54" t="n">
        <x:f>ROUND(N1021*(1-M1021),2)</x:f>
        <x:v>16731.45</x:v>
      </x:c>
      <x:c r="P1021" s="54" t="n">
        <x:f>ROUND(J1021*L1021,2)</x:f>
        <x:v>13890.96</x:v>
      </x:c>
      <x:c r="Q1021" s="54" t="n">
        <x:f>ROUND(O1021-P1021,2)</x:f>
        <x:v>2840.49</x:v>
      </x:c>
      <x:c r="R1021" s="55" t="n">
        <x:f>IF(O1021=0,0,ROUND(Q1021/O1021,4))</x:f>
        <x:v>0.1698</x:v>
      </x:c>
      <x:c r="S1021" s="53" t="n">
        <x:v>11</x:v>
      </x:c>
      <x:c r="T1021" t="str">
        <x:v>Entregue com atraso</x:v>
      </x:c>
      <x:c r="U1021" t="n">
        <x:v>2</x:v>
      </x:c>
      <x:c r="V1021" t="str"/>
    </x:row>
    <x:row r="1022">
      <x:c r="A1022" s="52" t="n">
        <x:v>46057</x:v>
      </x:c>
      <x:c r="B1022" t="str">
        <x:v>PED-101021</x:v>
      </x:c>
      <x:c r="C1022" t="str">
        <x:v>Cliente 120</x:v>
      </x:c>
      <x:c r="D1022" t="str">
        <x:v>RJ</x:v>
      </x:c>
      <x:c r="E1022" t="str">
        <x:v>Sudeste</x:v>
      </x:c>
      <x:c r="F1022" t="str">
        <x:v>E-commerce</x:v>
      </x:c>
      <x:c r="G1022" t="str">
        <x:v>Tecnologia</x:v>
      </x:c>
      <x:c r="H1022" t="str">
        <x:v>Headset Office</x:v>
      </x:c>
      <x:c r="I1022" t="str">
        <x:v>Henrique</x:v>
      </x:c>
      <x:c r="J1022" s="53" t="n">
        <x:v>5</x:v>
      </x:c>
      <x:c r="K1022" s="54" t="n">
        <x:v>396.8</x:v>
      </x:c>
      <x:c r="L1022" s="54" t="n">
        <x:v>206.24</x:v>
      </x:c>
      <x:c r="M1022" s="55" t="n">
        <x:v>0</x:v>
      </x:c>
      <x:c r="N1022" s="54" t="n">
        <x:f>ROUND(J1022*K1022,2)</x:f>
        <x:v>1984</x:v>
      </x:c>
      <x:c r="O1022" s="54" t="n">
        <x:f>ROUND(N1022*(1-M1022),2)</x:f>
        <x:v>1984</x:v>
      </x:c>
      <x:c r="P1022" s="54" t="n">
        <x:f>ROUND(J1022*L1022,2)</x:f>
        <x:v>1031.2</x:v>
      </x:c>
      <x:c r="Q1022" s="54" t="n">
        <x:f>ROUND(O1022-P1022,2)</x:f>
        <x:v>952.8</x:v>
      </x:c>
      <x:c r="R1022" s="55" t="n">
        <x:f>IF(O1022=0,0,ROUND(Q1022/O1022,4))</x:f>
        <x:v>0.4802</x:v>
      </x:c>
      <x:c r="S1022" s="53" t="n">
        <x:v>5</x:v>
      </x:c>
      <x:c r="T1022" t="str">
        <x:v>Entregue</x:v>
      </x:c>
      <x:c r="U1022" t="n">
        <x:v>4</x:v>
      </x:c>
      <x:c r="V1022" t="str"/>
    </x:row>
    <x:row r="1023">
      <x:c r="A1023" s="52" t="n">
        <x:v>46192</x:v>
      </x:c>
      <x:c r="B1023" t="str">
        <x:v>PED-101022</x:v>
      </x:c>
      <x:c r="C1023" t="str">
        <x:v>Cliente 104</x:v>
      </x:c>
      <x:c r="D1023" t="str">
        <x:v>PA</x:v>
      </x:c>
      <x:c r="E1023" t="str">
        <x:v>Norte</x:v>
      </x:c>
      <x:c r="F1023" t="str">
        <x:v>Marketplace</x:v>
      </x:c>
      <x:c r="G1023" t="str">
        <x:v>Escritório</x:v>
      </x:c>
      <x:c r="H1023" t="str">
        <x:v>Luminária LED</x:v>
      </x:c>
      <x:c r="I1023" t="str">
        <x:v>Bruno</x:v>
      </x:c>
      <x:c r="J1023" s="53" t="n">
        <x:v>6</x:v>
      </x:c>
      <x:c r="K1023" s="54" t="n">
        <x:v>259.43</x:v>
      </x:c>
      <x:c r="L1023" s="54" t="n">
        <x:v>124.01</x:v>
      </x:c>
      <x:c r="M1023" s="55" t="n">
        <x:v>0.035</x:v>
      </x:c>
      <x:c r="N1023" s="54" t="n">
        <x:f>ROUND(J1023*K1023,2)</x:f>
        <x:v>1556.58</x:v>
      </x:c>
      <x:c r="O1023" s="54" t="n">
        <x:f>ROUND(N1023*(1-M1023),2)</x:f>
        <x:v>1502.1</x:v>
      </x:c>
      <x:c r="P1023" s="54" t="n">
        <x:f>ROUND(J1023*L1023,2)</x:f>
        <x:v>744.06</x:v>
      </x:c>
      <x:c r="Q1023" s="54" t="n">
        <x:f>ROUND(O1023-P1023,2)</x:f>
        <x:v>758.04</x:v>
      </x:c>
      <x:c r="R1023" s="55" t="n">
        <x:f>IF(O1023=0,0,ROUND(Q1023/O1023,4))</x:f>
        <x:v>0.5047</x:v>
      </x:c>
      <x:c r="S1023" s="53" t="n">
        <x:v>8</x:v>
      </x:c>
      <x:c r="T1023" t="str">
        <x:v>Entregue</x:v>
      </x:c>
      <x:c r="U1023" t="n">
        <x:v>4</x:v>
      </x:c>
      <x:c r="V1023" t="str"/>
    </x:row>
    <x:row r="1024">
      <x:c r="A1024" s="52" t="n">
        <x:v>46197</x:v>
      </x:c>
      <x:c r="B1024" t="str">
        <x:v>PED-101023</x:v>
      </x:c>
      <x:c r="C1024" t="str">
        <x:v>Cliente 040</x:v>
      </x:c>
      <x:c r="D1024" t="str">
        <x:v>SC</x:v>
      </x:c>
      <x:c r="E1024" t="str">
        <x:v>Sul</x:v>
      </x:c>
      <x:c r="F1024" t="str">
        <x:v>Loja</x:v>
      </x:c>
      <x:c r="G1024" t="str">
        <x:v>Acessórios</x:v>
      </x:c>
      <x:c r="H1024" t="str">
        <x:v>Mochila Executiva</x:v>
      </x:c>
      <x:c r="I1024" t="str">
        <x:v>Isabela</x:v>
      </x:c>
      <x:c r="J1024" s="53" t="n">
        <x:v>8</x:v>
      </x:c>
      <x:c r="K1024" s="54" t="n">
        <x:v>436.65</x:v>
      </x:c>
      <x:c r="L1024" s="54" t="n">
        <x:v>192.42</x:v>
      </x:c>
      <x:c r="M1024" s="55" t="n">
        <x:v>0.0099</x:v>
      </x:c>
      <x:c r="N1024" s="54" t="n">
        <x:f>ROUND(J1024*K1024,2)</x:f>
        <x:v>3493.2</x:v>
      </x:c>
      <x:c r="O1024" s="54" t="n">
        <x:f>ROUND(N1024*(1-M1024),2)</x:f>
        <x:v>3458.62</x:v>
      </x:c>
      <x:c r="P1024" s="54" t="n">
        <x:f>ROUND(J1024*L1024,2)</x:f>
        <x:v>1539.36</x:v>
      </x:c>
      <x:c r="Q1024" s="54" t="n">
        <x:f>ROUND(O1024-P1024,2)</x:f>
        <x:v>1919.26</x:v>
      </x:c>
      <x:c r="R1024" s="55" t="n">
        <x:f>IF(O1024=0,0,ROUND(Q1024/O1024,4))</x:f>
        <x:v>0.5549</x:v>
      </x:c>
      <x:c r="S1024" s="53" t="n">
        <x:v>23</x:v>
      </x:c>
      <x:c r="T1024" t="str">
        <x:v>Entregue com atraso</x:v>
      </x:c>
      <x:c r="U1024" t="n">
        <x:v>1</x:v>
      </x:c>
      <x:c r="V1024" t="str">
        <x:v>Ocorrência logística</x:v>
      </x:c>
    </x:row>
    <x:row r="1025">
      <x:c r="A1025" s="52" t="n">
        <x:v>46157</x:v>
      </x:c>
      <x:c r="B1025" t="str">
        <x:v>PED-101024</x:v>
      </x:c>
      <x:c r="C1025" t="str">
        <x:v>Cliente 083</x:v>
      </x:c>
      <x:c r="D1025" t="str">
        <x:v>MA</x:v>
      </x:c>
      <x:c r="E1025" t="str">
        <x:v>Nordeste</x:v>
      </x:c>
      <x:c r="F1025" t="str">
        <x:v>Televendas</x:v>
      </x:c>
      <x:c r="G1025" t="str">
        <x:v>Casa</x:v>
      </x:c>
      <x:c r="H1025" t="str">
        <x:v>Purificador</x:v>
      </x:c>
      <x:c r="I1025" t="str">
        <x:v>Ana</x:v>
      </x:c>
      <x:c r="J1025" s="53" t="n">
        <x:v>6</x:v>
      </x:c>
      <x:c r="K1025" s="54" t="n">
        <x:v>1317.77</x:v>
      </x:c>
      <x:c r="L1025" s="54" t="n">
        <x:v>779.97</x:v>
      </x:c>
      <x:c r="M1025" s="55" t="n">
        <x:v>0</x:v>
      </x:c>
      <x:c r="N1025" s="54" t="n">
        <x:f>ROUND(J1025*K1025,2)</x:f>
        <x:v>7906.62</x:v>
      </x:c>
      <x:c r="O1025" s="54" t="n">
        <x:f>ROUND(N1025*(1-M1025),2)</x:f>
        <x:v>7906.62</x:v>
      </x:c>
      <x:c r="P1025" s="54" t="n">
        <x:f>ROUND(J1025*L1025,2)</x:f>
        <x:v>4679.82</x:v>
      </x:c>
      <x:c r="Q1025" s="54" t="n">
        <x:f>ROUND(O1025-P1025,2)</x:f>
        <x:v>3226.8</x:v>
      </x:c>
      <x:c r="R1025" s="55" t="n">
        <x:f>IF(O1025=0,0,ROUND(Q1025/O1025,4))</x:f>
        <x:v>0.4081</x:v>
      </x:c>
      <x:c r="S1025" s="53" t="n">
        <x:v>4</x:v>
      </x:c>
      <x:c r="T1025" t="str">
        <x:v>Entregue</x:v>
      </x:c>
      <x:c r="U1025" t="n">
        <x:v>2</x:v>
      </x:c>
      <x:c r="V1025" t="str"/>
    </x:row>
    <x:row r="1026">
      <x:c r="A1026" s="52" t="n">
        <x:v>46180</x:v>
      </x:c>
      <x:c r="B1026" t="str">
        <x:v>PED-101025</x:v>
      </x:c>
      <x:c r="C1026" t="str">
        <x:v>Cliente 031</x:v>
      </x:c>
      <x:c r="D1026" t="str">
        <x:v>RJ</x:v>
      </x:c>
      <x:c r="E1026" t="str">
        <x:v>Sudeste</x:v>
      </x:c>
      <x:c r="F1026" t="str">
        <x:v>Marketplace</x:v>
      </x:c>
      <x:c r="G1026" t="str">
        <x:v>Acessórios</x:v>
      </x:c>
      <x:c r="H1026" t="str">
        <x:v>Webcam HD</x:v>
      </x:c>
      <x:c r="I1026" t="str">
        <x:v>Ana</x:v>
      </x:c>
      <x:c r="J1026" s="53" t="n">
        <x:v>8</x:v>
      </x:c>
      <x:c r="K1026" s="54" t="n">
        <x:v>533.88</x:v>
      </x:c>
      <x:c r="L1026" s="54" t="n">
        <x:v>249.5</x:v>
      </x:c>
      <x:c r="M1026" s="55" t="n">
        <x:v>0.1304</x:v>
      </x:c>
      <x:c r="N1026" s="54" t="n">
        <x:f>ROUND(J1026*K1026,2)</x:f>
        <x:v>4271.04</x:v>
      </x:c>
      <x:c r="O1026" s="54" t="n">
        <x:f>ROUND(N1026*(1-M1026),2)</x:f>
        <x:v>3714.1</x:v>
      </x:c>
      <x:c r="P1026" s="54" t="n">
        <x:f>ROUND(J1026*L1026,2)</x:f>
        <x:v>1996</x:v>
      </x:c>
      <x:c r="Q1026" s="54" t="n">
        <x:f>ROUND(O1026-P1026,2)</x:f>
        <x:v>1718.1</x:v>
      </x:c>
      <x:c r="R1026" s="55" t="n">
        <x:f>IF(O1026=0,0,ROUND(Q1026/O1026,4))</x:f>
        <x:v>0.4626</x:v>
      </x:c>
      <x:c r="S1026" s="53" t="n">
        <x:v>6</x:v>
      </x:c>
      <x:c r="T1026" t="str">
        <x:v>Entregue</x:v>
      </x:c>
      <x:c r="U1026" t="n">
        <x:v>5</x:v>
      </x:c>
      <x:c r="V1026" t="str"/>
    </x:row>
    <x:row r="1027">
      <x:c r="A1027" s="52" t="n">
        <x:v>46233</x:v>
      </x:c>
      <x:c r="B1027" t="str">
        <x:v>PED-101026</x:v>
      </x:c>
      <x:c r="C1027" t="str">
        <x:v>Cliente 062</x:v>
      </x:c>
      <x:c r="D1027" t="str">
        <x:v>PA</x:v>
      </x:c>
      <x:c r="E1027" t="str">
        <x:v>Norte</x:v>
      </x:c>
      <x:c r="F1027" t="str">
        <x:v>E-commerce</x:v>
      </x:c>
      <x:c r="G1027" t="str">
        <x:v>Escritório</x:v>
      </x:c>
      <x:c r="H1027" t="str">
        <x:v>Luminária LED</x:v>
      </x:c>
      <x:c r="I1027" t="str">
        <x:v>Felipe</x:v>
      </x:c>
      <x:c r="J1027" s="53" t="n">
        <x:v>5</x:v>
      </x:c>
      <x:c r="K1027" s="54" t="n">
        <x:v>249.71</x:v>
      </x:c>
      <x:c r="L1027" s="54" t="n">
        <x:v>128.16</x:v>
      </x:c>
      <x:c r="M1027" s="55" t="n">
        <x:v>0</x:v>
      </x:c>
      <x:c r="N1027" s="54" t="n">
        <x:f>ROUND(J1027*K1027,2)</x:f>
        <x:v>1248.55</x:v>
      </x:c>
      <x:c r="O1027" s="54" t="n">
        <x:f>ROUND(N1027*(1-M1027),2)</x:f>
        <x:v>1248.55</x:v>
      </x:c>
      <x:c r="P1027" s="54" t="n">
        <x:f>ROUND(J1027*L1027,2)</x:f>
        <x:v>640.8</x:v>
      </x:c>
      <x:c r="Q1027" s="54" t="n">
        <x:f>ROUND(O1027-P1027,2)</x:f>
        <x:v>607.75</x:v>
      </x:c>
      <x:c r="R1027" s="55" t="n">
        <x:f>IF(O1027=0,0,ROUND(Q1027/O1027,4))</x:f>
        <x:v>0.4868</x:v>
      </x:c>
      <x:c r="S1027" s="53" t="n">
        <x:v>14</x:v>
      </x:c>
      <x:c r="T1027" t="str">
        <x:v>Entregue com atraso</x:v>
      </x:c>
      <x:c r="U1027" t="n">
        <x:v>4</x:v>
      </x:c>
      <x:c r="V1027" t="str"/>
    </x:row>
    <x:row r="1028">
      <x:c r="A1028" s="52" t="n">
        <x:v>46121</x:v>
      </x:c>
      <x:c r="B1028" t="str">
        <x:v>PED-101027</x:v>
      </x:c>
      <x:c r="C1028" t="str">
        <x:v>Cliente 062</x:v>
      </x:c>
      <x:c r="D1028" t="str">
        <x:v>RJ</x:v>
      </x:c>
      <x:c r="E1028" t="str">
        <x:v>Sudeste</x:v>
      </x:c>
      <x:c r="F1028" t="str">
        <x:v>Televendas</x:v>
      </x:c>
      <x:c r="G1028" t="str">
        <x:v>Casa</x:v>
      </x:c>
      <x:c r="H1028" t="str">
        <x:v>Aspirador Robô</x:v>
      </x:c>
      <x:c r="I1028" t="str">
        <x:v>Ana</x:v>
      </x:c>
      <x:c r="J1028" s="53" t="n">
        <x:v>6</x:v>
      </x:c>
      <x:c r="K1028" s="54" t="n">
        <x:v>1816.85</x:v>
      </x:c>
      <x:c r="L1028" s="54" t="n">
        <x:v>1201.39</x:v>
      </x:c>
      <x:c r="M1028" s="55" t="n">
        <x:v>0.1286</x:v>
      </x:c>
      <x:c r="N1028" s="54" t="n">
        <x:f>ROUND(J1028*K1028,2)</x:f>
        <x:v>10901.1</x:v>
      </x:c>
      <x:c r="O1028" s="54" t="n">
        <x:f>ROUND(N1028*(1-M1028),2)</x:f>
        <x:v>9499.22</x:v>
      </x:c>
      <x:c r="P1028" s="54" t="n">
        <x:f>ROUND(J1028*L1028,2)</x:f>
        <x:v>7208.34</x:v>
      </x:c>
      <x:c r="Q1028" s="54" t="n">
        <x:f>ROUND(O1028-P1028,2)</x:f>
        <x:v>2290.88</x:v>
      </x:c>
      <x:c r="R1028" s="55" t="n">
        <x:f>IF(O1028=0,0,ROUND(Q1028/O1028,4))</x:f>
        <x:v>0.2412</x:v>
      </x:c>
      <x:c r="S1028" s="53" t="n">
        <x:v>2</x:v>
      </x:c>
      <x:c r="T1028" t="str">
        <x:v>Entregue</x:v>
      </x:c>
      <x:c r="U1028" t="n">
        <x:v>5</x:v>
      </x:c>
      <x:c r="V1028" t="str"/>
    </x:row>
    <x:row r="1029">
      <x:c r="A1029" s="52" t="n">
        <x:v>46077</x:v>
      </x:c>
      <x:c r="B1029" t="str">
        <x:v>PED-101028</x:v>
      </x:c>
      <x:c r="C1029" t="str">
        <x:v>Cliente 032</x:v>
      </x:c>
      <x:c r="D1029" t="str">
        <x:v>PR</x:v>
      </x:c>
      <x:c r="E1029" t="str">
        <x:v>Sul</x:v>
      </x:c>
      <x:c r="F1029" t="str">
        <x:v>Marketplace</x:v>
      </x:c>
      <x:c r="G1029" t="str">
        <x:v>Escritório</x:v>
      </x:c>
      <x:c r="H1029" t="str">
        <x:v>Luminária LED</x:v>
      </x:c>
      <x:c r="I1029" t="str">
        <x:v>Gabriela</x:v>
      </x:c>
      <x:c r="J1029" s="53" t="n">
        <x:v>5</x:v>
      </x:c>
      <x:c r="K1029" s="54" t="n">
        <x:v>262.37</x:v>
      </x:c>
      <x:c r="L1029" s="54" t="n">
        <x:v>115.49</x:v>
      </x:c>
      <x:c r="M1029" s="55" t="n">
        <x:v>0.035</x:v>
      </x:c>
      <x:c r="N1029" s="54" t="n">
        <x:f>ROUND(J1029*K1029,2)</x:f>
        <x:v>1311.85</x:v>
      </x:c>
      <x:c r="O1029" s="54" t="n">
        <x:f>ROUND(N1029*(1-M1029),2)</x:f>
        <x:v>1265.94</x:v>
      </x:c>
      <x:c r="P1029" s="54" t="n">
        <x:f>ROUND(J1029*L1029,2)</x:f>
        <x:v>577.45</x:v>
      </x:c>
      <x:c r="Q1029" s="54" t="n">
        <x:f>ROUND(O1029-P1029,2)</x:f>
        <x:v>688.49</x:v>
      </x:c>
      <x:c r="R1029" s="55" t="n">
        <x:f>IF(O1029=0,0,ROUND(Q1029/O1029,4))</x:f>
        <x:v>0.5439</x:v>
      </x:c>
      <x:c r="S1029" s="53" t="n">
        <x:v>5</x:v>
      </x:c>
      <x:c r="T1029" t="str">
        <x:v>Entregue</x:v>
      </x:c>
      <x:c r="U1029" t="n">
        <x:v>4</x:v>
      </x:c>
      <x:c r="V1029" t="str"/>
    </x:row>
    <x:row r="1030">
      <x:c r="A1030" s="52" t="n">
        <x:v>46041</x:v>
      </x:c>
      <x:c r="B1030" t="str">
        <x:v>PED-101029</x:v>
      </x:c>
      <x:c r="C1030" t="str">
        <x:v>Cliente 056</x:v>
      </x:c>
      <x:c r="D1030" t="str">
        <x:v>DF</x:v>
      </x:c>
      <x:c r="E1030" t="str">
        <x:v>Centro-Oeste</x:v>
      </x:c>
      <x:c r="F1030" t="str">
        <x:v>Televendas</x:v>
      </x:c>
      <x:c r="G1030" t="str">
        <x:v>Acessórios</x:v>
      </x:c>
      <x:c r="H1030" t="str">
        <x:v>Hub USB-C</x:v>
      </x:c>
      <x:c r="I1030" t="str">
        <x:v>Bruno</x:v>
      </x:c>
      <x:c r="J1030" s="53" t="n">
        <x:v>5</x:v>
      </x:c>
      <x:c r="K1030" s="54" t="n">
        <x:v>314.43</x:v>
      </x:c>
      <x:c r="L1030" s="54" t="n">
        <x:v>132.01</x:v>
      </x:c>
      <x:c r="M1030" s="55" t="n">
        <x:v>0</x:v>
      </x:c>
      <x:c r="N1030" s="54" t="n">
        <x:f>ROUND(J1030*K1030,2)</x:f>
        <x:v>1572.15</x:v>
      </x:c>
      <x:c r="O1030" s="54" t="n">
        <x:f>ROUND(N1030*(1-M1030),2)</x:f>
        <x:v>1572.15</x:v>
      </x:c>
      <x:c r="P1030" s="54" t="n">
        <x:f>ROUND(J1030*L1030,2)</x:f>
        <x:v>660.05</x:v>
      </x:c>
      <x:c r="Q1030" s="54" t="n">
        <x:f>ROUND(O1030-P1030,2)</x:f>
        <x:v>912.1</x:v>
      </x:c>
      <x:c r="R1030" s="55" t="n">
        <x:f>IF(O1030=0,0,ROUND(Q1030/O1030,4))</x:f>
        <x:v>0.5802</x:v>
      </x:c>
      <x:c r="S1030" s="53" t="n">
        <x:v>8</x:v>
      </x:c>
      <x:c r="T1030" t="str">
        <x:v>Entregue</x:v>
      </x:c>
      <x:c r="U1030" t="n">
        <x:v>5</x:v>
      </x:c>
      <x:c r="V1030" t="str"/>
    </x:row>
    <x:row r="1031">
      <x:c r="A1031" s="52" t="n">
        <x:v>46023</x:v>
      </x:c>
      <x:c r="B1031" t="str">
        <x:v>PED-101030</x:v>
      </x:c>
      <x:c r="C1031" t="str">
        <x:v>Cliente 048</x:v>
      </x:c>
      <x:c r="D1031" t="str">
        <x:v>MG</x:v>
      </x:c>
      <x:c r="E1031" t="str">
        <x:v>Sudeste</x:v>
      </x:c>
      <x:c r="F1031" t="str">
        <x:v>Televendas</x:v>
      </x:c>
      <x:c r="G1031" t="str">
        <x:v>Acessórios</x:v>
      </x:c>
      <x:c r="H1031" t="str">
        <x:v>Webcam HD</x:v>
      </x:c>
      <x:c r="I1031" t="str">
        <x:v>Diego</x:v>
      </x:c>
      <x:c r="J1031" s="53" t="n">
        <x:v>4</x:v>
      </x:c>
      <x:c r="K1031" s="54" t="n">
        <x:v>503.33</x:v>
      </x:c>
      <x:c r="L1031" s="54" t="n">
        <x:v>241.18</x:v>
      </x:c>
      <x:c r="M1031" s="55" t="n">
        <x:v>0</x:v>
      </x:c>
      <x:c r="N1031" s="54" t="n">
        <x:f>ROUND(J1031*K1031,2)</x:f>
        <x:v>2013.32</x:v>
      </x:c>
      <x:c r="O1031" s="54" t="n">
        <x:f>ROUND(N1031*(1-M1031),2)</x:f>
        <x:v>2013.32</x:v>
      </x:c>
      <x:c r="P1031" s="54" t="n">
        <x:f>ROUND(J1031*L1031,2)</x:f>
        <x:v>964.72</x:v>
      </x:c>
      <x:c r="Q1031" s="54" t="n">
        <x:f>ROUND(O1031-P1031,2)</x:f>
        <x:v>1048.6</x:v>
      </x:c>
      <x:c r="R1031" s="55" t="n">
        <x:f>IF(O1031=0,0,ROUND(Q1031/O1031,4))</x:f>
        <x:v>0.5208</x:v>
      </x:c>
      <x:c r="S1031" s="53" t="n">
        <x:v>14</x:v>
      </x:c>
      <x:c r="T1031" t="str">
        <x:v>Entregue com atraso</x:v>
      </x:c>
      <x:c r="U1031" t="n">
        <x:v>3</x:v>
      </x:c>
      <x:c r="V1031" t="str"/>
    </x:row>
    <x:row r="1032">
      <x:c r="A1032" s="52" t="n">
        <x:v>46080</x:v>
      </x:c>
      <x:c r="B1032" t="str">
        <x:v>PED-101031</x:v>
      </x:c>
      <x:c r="C1032" t="str">
        <x:v>Cliente 018</x:v>
      </x:c>
      <x:c r="D1032" t="str">
        <x:v>DF</x:v>
      </x:c>
      <x:c r="E1032" t="str">
        <x:v>Centro-Oeste</x:v>
      </x:c>
      <x:c r="F1032" t="str">
        <x:v>Televendas</x:v>
      </x:c>
      <x:c r="G1032" t="str">
        <x:v>Casa</x:v>
      </x:c>
      <x:c r="H1032" t="str">
        <x:v>Purificador</x:v>
      </x:c>
      <x:c r="I1032" t="str">
        <x:v>Bruno</x:v>
      </x:c>
      <x:c r="J1032" s="53" t="n">
        <x:v>1</x:v>
      </x:c>
      <x:c r="K1032" s="54" t="n">
        <x:v>1232.6</x:v>
      </x:c>
      <x:c r="L1032" s="54" t="n">
        <x:v>754.73</x:v>
      </x:c>
      <x:c r="M1032" s="55" t="n">
        <x:v>0.1163</x:v>
      </x:c>
      <x:c r="N1032" s="54" t="n">
        <x:f>ROUND(J1032*K1032,2)</x:f>
        <x:v>1232.6</x:v>
      </x:c>
      <x:c r="O1032" s="54" t="n">
        <x:f>ROUND(N1032*(1-M1032),2)</x:f>
        <x:v>1089.25</x:v>
      </x:c>
      <x:c r="P1032" s="54" t="n">
        <x:f>ROUND(J1032*L1032,2)</x:f>
        <x:v>754.73</x:v>
      </x:c>
      <x:c r="Q1032" s="54" t="n">
        <x:f>ROUND(O1032-P1032,2)</x:f>
        <x:v>334.52</x:v>
      </x:c>
      <x:c r="R1032" s="55" t="n">
        <x:f>IF(O1032=0,0,ROUND(Q1032/O1032,4))</x:f>
        <x:v>0.3071</x:v>
      </x:c>
      <x:c r="S1032" s="53" t="n">
        <x:v>3</x:v>
      </x:c>
      <x:c r="T1032" t="str">
        <x:v>Entregue</x:v>
      </x:c>
      <x:c r="U1032" t="n">
        <x:v>2</x:v>
      </x:c>
      <x:c r="V1032" t="str"/>
    </x:row>
    <x:row r="1033">
      <x:c r="A1033" s="52" t="n">
        <x:v>46047</x:v>
      </x:c>
      <x:c r="B1033" t="str">
        <x:v>PED-101032</x:v>
      </x:c>
      <x:c r="C1033" t="str">
        <x:v>Cliente 091</x:v>
      </x:c>
      <x:c r="D1033" t="str">
        <x:v>AM</x:v>
      </x:c>
      <x:c r="E1033" t="str">
        <x:v>Norte</x:v>
      </x:c>
      <x:c r="F1033" t="str">
        <x:v>Marketplace</x:v>
      </x:c>
      <x:c r="G1033" t="str">
        <x:v>Tecnologia</x:v>
      </x:c>
      <x:c r="H1033" t="str">
        <x:v>Notebook Pro</x:v>
      </x:c>
      <x:c r="I1033" t="str">
        <x:v>Carla</x:v>
      </x:c>
      <x:c r="J1033" s="53" t="n">
        <x:v>3</x:v>
      </x:c>
      <x:c r="K1033" s="54" t="n">
        <x:v>5552.15</x:v>
      </x:c>
      <x:c r="L1033" s="54" t="n">
        <x:v>4312.61</x:v>
      </x:c>
      <x:c r="M1033" s="55" t="n">
        <x:v>0.1337</x:v>
      </x:c>
      <x:c r="N1033" s="54" t="n">
        <x:f>ROUND(J1033*K1033,2)</x:f>
        <x:v>16656.45</x:v>
      </x:c>
      <x:c r="O1033" s="54" t="n">
        <x:f>ROUND(N1033*(1-M1033),2)</x:f>
        <x:v>14429.48</x:v>
      </x:c>
      <x:c r="P1033" s="54" t="n">
        <x:f>ROUND(J1033*L1033,2)</x:f>
        <x:v>12937.83</x:v>
      </x:c>
      <x:c r="Q1033" s="54" t="n">
        <x:f>ROUND(O1033-P1033,2)</x:f>
        <x:v>1491.65</x:v>
      </x:c>
      <x:c r="R1033" s="55" t="n">
        <x:f>IF(O1033=0,0,ROUND(Q1033/O1033,4))</x:f>
        <x:v>0.1034</x:v>
      </x:c>
      <x:c r="S1033" s="53" t="n">
        <x:v>5</x:v>
      </x:c>
      <x:c r="T1033" t="str">
        <x:v>Entregue</x:v>
      </x:c>
      <x:c r="U1033" t="n">
        <x:v>5</x:v>
      </x:c>
      <x:c r="V1033" t="str"/>
    </x:row>
    <x:row r="1034">
      <x:c r="A1034" s="52" t="n">
        <x:v>46053</x:v>
      </x:c>
      <x:c r="B1034" t="str">
        <x:v>PED-101033</x:v>
      </x:c>
      <x:c r="C1034" t="str">
        <x:v>Cliente 116</x:v>
      </x:c>
      <x:c r="D1034" t="str">
        <x:v>PE</x:v>
      </x:c>
      <x:c r="E1034" t="str">
        <x:v>Nordeste</x:v>
      </x:c>
      <x:c r="F1034" t="str">
        <x:v>Loja</x:v>
      </x:c>
      <x:c r="G1034" t="str">
        <x:v>Casa</x:v>
      </x:c>
      <x:c r="H1034" t="str">
        <x:v>Aspirador Robô</x:v>
      </x:c>
      <x:c r="I1034" t="str">
        <x:v>Elaine</x:v>
      </x:c>
      <x:c r="J1034" s="53" t="n">
        <x:v>3</x:v>
      </x:c>
      <x:c r="K1034" s="54" t="n">
        <x:v>1851.87</x:v>
      </x:c>
      <x:c r="L1034" s="54" t="n">
        <x:v>1192.24</x:v>
      </x:c>
      <x:c r="M1034" s="55" t="n">
        <x:v>0</x:v>
      </x:c>
      <x:c r="N1034" s="54" t="n">
        <x:f>ROUND(J1034*K1034,2)</x:f>
        <x:v>5555.61</x:v>
      </x:c>
      <x:c r="O1034" s="54" t="n">
        <x:f>ROUND(N1034*(1-M1034),2)</x:f>
        <x:v>5555.61</x:v>
      </x:c>
      <x:c r="P1034" s="54" t="n">
        <x:f>ROUND(J1034*L1034,2)</x:f>
        <x:v>3576.72</x:v>
      </x:c>
      <x:c r="Q1034" s="54" t="n">
        <x:f>ROUND(O1034-P1034,2)</x:f>
        <x:v>1978.89</x:v>
      </x:c>
      <x:c r="R1034" s="55" t="n">
        <x:f>IF(O1034=0,0,ROUND(Q1034/O1034,4))</x:f>
        <x:v>0.3562</x:v>
      </x:c>
      <x:c r="S1034" s="53" t="n">
        <x:v>12</x:v>
      </x:c>
      <x:c r="T1034" t="str">
        <x:v>Entregue com atraso</x:v>
      </x:c>
      <x:c r="U1034" t="n">
        <x:v>4</x:v>
      </x:c>
      <x:c r="V1034" t="str"/>
    </x:row>
    <x:row r="1035">
      <x:c r="A1035" s="52" t="n">
        <x:v>46165</x:v>
      </x:c>
      <x:c r="B1035" t="str">
        <x:v>PED-101034</x:v>
      </x:c>
      <x:c r="C1035" t="str">
        <x:v>Cliente 041</x:v>
      </x:c>
      <x:c r="D1035" t="str">
        <x:v>MT</x:v>
      </x:c>
      <x:c r="E1035" t="str">
        <x:v>Centro-Oeste</x:v>
      </x:c>
      <x:c r="F1035" t="str">
        <x:v>Televendas</x:v>
      </x:c>
      <x:c r="G1035" t="str">
        <x:v>Escritório</x:v>
      </x:c>
      <x:c r="H1035" t="str">
        <x:v>Cadeira Ergonômica</x:v>
      </x:c>
      <x:c r="I1035" t="str">
        <x:v>Henrique</x:v>
      </x:c>
      <x:c r="J1035" s="53" t="n">
        <x:v>7</x:v>
      </x:c>
      <x:c r="K1035" s="54" t="n">
        <x:v>2223.56</x:v>
      </x:c>
      <x:c r="L1035" s="54" t="n">
        <x:v>1371.34</x:v>
      </x:c>
      <x:c r="M1035" s="55" t="n">
        <x:v>0</x:v>
      </x:c>
      <x:c r="N1035" s="54" t="n">
        <x:f>ROUND(J1035*K1035,2)</x:f>
        <x:v>15564.92</x:v>
      </x:c>
      <x:c r="O1035" s="54" t="n">
        <x:f>ROUND(N1035*(1-M1035),2)</x:f>
        <x:v>15564.92</x:v>
      </x:c>
      <x:c r="P1035" s="54" t="n">
        <x:f>ROUND(J1035*L1035,2)</x:f>
        <x:v>9599.38</x:v>
      </x:c>
      <x:c r="Q1035" s="54" t="n">
        <x:f>ROUND(O1035-P1035,2)</x:f>
        <x:v>5965.54</x:v>
      </x:c>
      <x:c r="R1035" s="55" t="n">
        <x:f>IF(O1035=0,0,ROUND(Q1035/O1035,4))</x:f>
        <x:v>0.3833</x:v>
      </x:c>
      <x:c r="S1035" s="53" t="n">
        <x:v>8</x:v>
      </x:c>
      <x:c r="T1035" t="str">
        <x:v>Entregue</x:v>
      </x:c>
      <x:c r="U1035" t="n">
        <x:v>4</x:v>
      </x:c>
      <x:c r="V1035" t="str"/>
    </x:row>
    <x:row r="1036">
      <x:c r="A1036" s="52" t="n">
        <x:v>46208</x:v>
      </x:c>
      <x:c r="B1036" t="str">
        <x:v>PED-101035</x:v>
      </x:c>
      <x:c r="C1036" t="str">
        <x:v>Cliente 047</x:v>
      </x:c>
      <x:c r="D1036" t="str">
        <x:v>PR</x:v>
      </x:c>
      <x:c r="E1036" t="str">
        <x:v>Sul</x:v>
      </x:c>
      <x:c r="F1036" t="str">
        <x:v>Marketplace</x:v>
      </x:c>
      <x:c r="G1036" t="str">
        <x:v>Casa</x:v>
      </x:c>
      <x:c r="H1036" t="str">
        <x:v>Purificador</x:v>
      </x:c>
      <x:c r="I1036" t="str">
        <x:v>João</x:v>
      </x:c>
      <x:c r="J1036" s="53" t="n">
        <x:v>7</x:v>
      </x:c>
      <x:c r="K1036" s="54" t="n">
        <x:v>1277.14</x:v>
      </x:c>
      <x:c r="L1036" s="54" t="n">
        <x:v>749.61</x:v>
      </x:c>
      <x:c r="M1036" s="55" t="n">
        <x:v>0.0803</x:v>
      </x:c>
      <x:c r="N1036" s="54" t="n">
        <x:f>ROUND(J1036*K1036,2)</x:f>
        <x:v>8939.98</x:v>
      </x:c>
      <x:c r="O1036" s="54" t="n">
        <x:f>ROUND(N1036*(1-M1036),2)</x:f>
        <x:v>8222.1</x:v>
      </x:c>
      <x:c r="P1036" s="54" t="n">
        <x:f>ROUND(J1036*L1036,2)</x:f>
        <x:v>5247.27</x:v>
      </x:c>
      <x:c r="Q1036" s="54" t="n">
        <x:f>ROUND(O1036-P1036,2)</x:f>
        <x:v>2974.83</x:v>
      </x:c>
      <x:c r="R1036" s="55" t="n">
        <x:f>IF(O1036=0,0,ROUND(Q1036/O1036,4))</x:f>
        <x:v>0.3618</x:v>
      </x:c>
      <x:c r="S1036" s="53" t="n">
        <x:v>3</x:v>
      </x:c>
      <x:c r="T1036" t="str">
        <x:v>Entregue</x:v>
      </x:c>
      <x:c r="U1036" t="n">
        <x:v>4</x:v>
      </x:c>
      <x:c r="V1036" t="str"/>
    </x:row>
    <x:row r="1037">
      <x:c r="A1037" s="52" t="n">
        <x:v>46110</x:v>
      </x:c>
      <x:c r="B1037" t="str">
        <x:v>PED-101036</x:v>
      </x:c>
      <x:c r="C1037" t="str">
        <x:v>Cliente 019</x:v>
      </x:c>
      <x:c r="D1037" t="str">
        <x:v>PA</x:v>
      </x:c>
      <x:c r="E1037" t="str">
        <x:v>Norte</x:v>
      </x:c>
      <x:c r="F1037" t="str">
        <x:v>Televendas</x:v>
      </x:c>
      <x:c r="G1037" t="str">
        <x:v>Acessórios</x:v>
      </x:c>
      <x:c r="H1037" t="str">
        <x:v>Hub USB-C</x:v>
      </x:c>
      <x:c r="I1037" t="str">
        <x:v>Isabela</x:v>
      </x:c>
      <x:c r="J1037" s="53" t="n">
        <x:v>2</x:v>
      </x:c>
      <x:c r="K1037" s="54" t="n">
        <x:v>304.79</x:v>
      </x:c>
      <x:c r="L1037" s="54" t="n">
        <x:v>139.49</x:v>
      </x:c>
      <x:c r="M1037" s="55" t="n">
        <x:v>0.0015</x:v>
      </x:c>
      <x:c r="N1037" s="54" t="n">
        <x:f>ROUND(J1037*K1037,2)</x:f>
        <x:v>609.58</x:v>
      </x:c>
      <x:c r="O1037" s="54" t="n">
        <x:f>ROUND(N1037*(1-M1037),2)</x:f>
        <x:v>608.67</x:v>
      </x:c>
      <x:c r="P1037" s="54" t="n">
        <x:f>ROUND(J1037*L1037,2)</x:f>
        <x:v>278.98</x:v>
      </x:c>
      <x:c r="Q1037" s="54" t="n">
        <x:f>ROUND(O1037-P1037,2)</x:f>
        <x:v>329.69</x:v>
      </x:c>
      <x:c r="R1037" s="55" t="n">
        <x:f>IF(O1037=0,0,ROUND(Q1037/O1037,4))</x:f>
        <x:v>0.5417</x:v>
      </x:c>
      <x:c r="S1037" s="53" t="n">
        <x:v>9</x:v>
      </x:c>
      <x:c r="T1037" t="str">
        <x:v>Entregue</x:v>
      </x:c>
      <x:c r="U1037" t="n">
        <x:v>2</x:v>
      </x:c>
      <x:c r="V1037" t="str"/>
    </x:row>
    <x:row r="1038">
      <x:c r="A1038" s="52" t="n">
        <x:v>46117</x:v>
      </x:c>
      <x:c r="B1038" t="str">
        <x:v>PED-101037</x:v>
      </x:c>
      <x:c r="C1038" t="str">
        <x:v>Cliente 073</x:v>
      </x:c>
      <x:c r="D1038" t="str">
        <x:v>RJ</x:v>
      </x:c>
      <x:c r="E1038" t="str">
        <x:v>Sudeste</x:v>
      </x:c>
      <x:c r="F1038" t="str">
        <x:v>Televendas</x:v>
      </x:c>
      <x:c r="G1038" t="str">
        <x:v>Casa</x:v>
      </x:c>
      <x:c r="H1038" t="str">
        <x:v>Aspirador Robô</x:v>
      </x:c>
      <x:c r="I1038" t="str">
        <x:v>Isabela</x:v>
      </x:c>
      <x:c r="J1038" s="53" t="n">
        <x:v>2</x:v>
      </x:c>
      <x:c r="K1038" s="54" t="n">
        <x:v>1945.45</x:v>
      </x:c>
      <x:c r="L1038" s="54" t="n">
        <x:v>1142.51</x:v>
      </x:c>
      <x:c r="M1038" s="55" t="n">
        <x:v>0.0119</x:v>
      </x:c>
      <x:c r="N1038" s="54" t="n">
        <x:f>ROUND(J1038*K1038,2)</x:f>
        <x:v>3890.9</x:v>
      </x:c>
      <x:c r="O1038" s="54" t="n">
        <x:f>ROUND(N1038*(1-M1038),2)</x:f>
        <x:v>3844.6</x:v>
      </x:c>
      <x:c r="P1038" s="54" t="n">
        <x:f>ROUND(J1038*L1038,2)</x:f>
        <x:v>2285.02</x:v>
      </x:c>
      <x:c r="Q1038" s="54" t="n">
        <x:f>ROUND(O1038-P1038,2)</x:f>
        <x:v>1559.58</x:v>
      </x:c>
      <x:c r="R1038" s="55" t="n">
        <x:f>IF(O1038=0,0,ROUND(Q1038/O1038,4))</x:f>
        <x:v>0.4057</x:v>
      </x:c>
      <x:c r="S1038" s="53" t="n">
        <x:v>9</x:v>
      </x:c>
      <x:c r="T1038" t="str">
        <x:v>Entregue</x:v>
      </x:c>
      <x:c r="U1038" t="n">
        <x:v>5</x:v>
      </x:c>
      <x:c r="V1038" t="str"/>
    </x:row>
    <x:row r="1039">
      <x:c r="A1039" s="52" t="n">
        <x:v>46084</x:v>
      </x:c>
      <x:c r="B1039" t="str">
        <x:v>PED-101038</x:v>
      </x:c>
      <x:c r="C1039" t="str">
        <x:v>Cliente 015</x:v>
      </x:c>
      <x:c r="D1039" t="str">
        <x:v>MT</x:v>
      </x:c>
      <x:c r="E1039" t="str">
        <x:v>Centro-Oeste</x:v>
      </x:c>
      <x:c r="F1039" t="str">
        <x:v>Loja</x:v>
      </x:c>
      <x:c r="G1039" t="str">
        <x:v>Escritório</x:v>
      </x:c>
      <x:c r="H1039" t="str">
        <x:v>Cadeira Ergonômica</x:v>
      </x:c>
      <x:c r="I1039" t="str">
        <x:v>Carla</x:v>
      </x:c>
      <x:c r="J1039" s="53" t="n">
        <x:v>3</x:v>
      </x:c>
      <x:c r="K1039" s="54" t="n">
        <x:v>2065.76</x:v>
      </x:c>
      <x:c r="L1039" s="54" t="n">
        <x:v>1356.44</x:v>
      </x:c>
      <x:c r="M1039" s="55" t="n">
        <x:v>0</x:v>
      </x:c>
      <x:c r="N1039" s="54" t="n">
        <x:f>ROUND(J1039*K1039,2)</x:f>
        <x:v>6197.28</x:v>
      </x:c>
      <x:c r="O1039" s="54" t="n">
        <x:f>ROUND(N1039*(1-M1039),2)</x:f>
        <x:v>6197.28</x:v>
      </x:c>
      <x:c r="P1039" s="54" t="n">
        <x:f>ROUND(J1039*L1039,2)</x:f>
        <x:v>4069.32</x:v>
      </x:c>
      <x:c r="Q1039" s="54" t="n">
        <x:f>ROUND(O1039-P1039,2)</x:f>
        <x:v>2127.96</x:v>
      </x:c>
      <x:c r="R1039" s="55" t="n">
        <x:f>IF(O1039=0,0,ROUND(Q1039/O1039,4))</x:f>
        <x:v>0.3434</x:v>
      </x:c>
      <x:c r="S1039" s="53" t="n">
        <x:v>9</x:v>
      </x:c>
      <x:c r="T1039" t="str">
        <x:v>Entregue</x:v>
      </x:c>
      <x:c r="U1039" t="n">
        <x:v>4</x:v>
      </x:c>
      <x:c r="V1039" t="str"/>
    </x:row>
    <x:row r="1040">
      <x:c r="A1040" s="52" t="n">
        <x:v>46190</x:v>
      </x:c>
      <x:c r="B1040" t="str">
        <x:v>PED-101039</x:v>
      </x:c>
      <x:c r="C1040" t="str">
        <x:v>Cliente 066</x:v>
      </x:c>
      <x:c r="D1040" t="str">
        <x:v>SP</x:v>
      </x:c>
      <x:c r="E1040" t="str">
        <x:v>Sudeste</x:v>
      </x:c>
      <x:c r="F1040" t="str">
        <x:v>Loja</x:v>
      </x:c>
      <x:c r="G1040" t="str">
        <x:v>Casa</x:v>
      </x:c>
      <x:c r="H1040" t="str">
        <x:v>Aspirador Robô</x:v>
      </x:c>
      <x:c r="I1040" t="str">
        <x:v>Ana</x:v>
      </x:c>
      <x:c r="J1040" s="53" t="n">
        <x:v>1</x:v>
      </x:c>
      <x:c r="K1040" s="54" t="n">
        <x:v>1992.8</x:v>
      </x:c>
      <x:c r="L1040" s="54" t="n">
        <x:v>1174.72</x:v>
      </x:c>
      <x:c r="M1040" s="55" t="n">
        <x:v>0</x:v>
      </x:c>
      <x:c r="N1040" s="54" t="n">
        <x:f>ROUND(J1040*K1040,2)</x:f>
        <x:v>1992.8</x:v>
      </x:c>
      <x:c r="O1040" s="54" t="n">
        <x:f>ROUND(N1040*(1-M1040),2)</x:f>
        <x:v>1992.8</x:v>
      </x:c>
      <x:c r="P1040" s="54" t="n">
        <x:f>ROUND(J1040*L1040,2)</x:f>
        <x:v>1174.72</x:v>
      </x:c>
      <x:c r="Q1040" s="54" t="n">
        <x:f>ROUND(O1040-P1040,2)</x:f>
        <x:v>818.08</x:v>
      </x:c>
      <x:c r="R1040" s="55" t="n">
        <x:f>IF(O1040=0,0,ROUND(Q1040/O1040,4))</x:f>
        <x:v>0.4105</x:v>
      </x:c>
      <x:c r="S1040" s="53" t="n">
        <x:v>11</x:v>
      </x:c>
      <x:c r="T1040" t="str">
        <x:v>Entregue com atraso</x:v>
      </x:c>
      <x:c r="U1040" t="n">
        <x:v>2</x:v>
      </x:c>
      <x:c r="V1040" t="str"/>
    </x:row>
    <x:row r="1041">
      <x:c r="A1041" s="52" t="n">
        <x:v>46159</x:v>
      </x:c>
      <x:c r="B1041" t="str">
        <x:v>PED-101040</x:v>
      </x:c>
      <x:c r="C1041" t="str">
        <x:v>Cliente 049</x:v>
      </x:c>
      <x:c r="D1041" t="str">
        <x:v>GO</x:v>
      </x:c>
      <x:c r="E1041" t="str">
        <x:v>Centro-Oeste</x:v>
      </x:c>
      <x:c r="F1041" t="str">
        <x:v>E-commerce</x:v>
      </x:c>
      <x:c r="G1041" t="str">
        <x:v>Escritório</x:v>
      </x:c>
      <x:c r="H1041" t="str">
        <x:v>Mesa Ajustável</x:v>
      </x:c>
      <x:c r="I1041" t="str">
        <x:v>João</x:v>
      </x:c>
      <x:c r="J1041" s="53" t="n">
        <x:v>4</x:v>
      </x:c>
      <x:c r="K1041" s="54" t="n">
        <x:v>2882.35</x:v>
      </x:c>
      <x:c r="L1041" s="54" t="n">
        <x:v>1799.31</x:v>
      </x:c>
      <x:c r="M1041" s="55" t="n">
        <x:v>0.0011</x:v>
      </x:c>
      <x:c r="N1041" s="54" t="n">
        <x:f>ROUND(J1041*K1041,2)</x:f>
        <x:v>11529.4</x:v>
      </x:c>
      <x:c r="O1041" s="54" t="n">
        <x:f>ROUND(N1041*(1-M1041),2)</x:f>
        <x:v>11516.72</x:v>
      </x:c>
      <x:c r="P1041" s="54" t="n">
        <x:f>ROUND(J1041*L1041,2)</x:f>
        <x:v>7197.24</x:v>
      </x:c>
      <x:c r="Q1041" s="54" t="n">
        <x:f>ROUND(O1041-P1041,2)</x:f>
        <x:v>4319.48</x:v>
      </x:c>
      <x:c r="R1041" s="55" t="n">
        <x:f>IF(O1041=0,0,ROUND(Q1041/O1041,4))</x:f>
        <x:v>0.3751</x:v>
      </x:c>
      <x:c r="S1041" s="53" t="n">
        <x:v>3</x:v>
      </x:c>
      <x:c r="T1041" t="str">
        <x:v>Entregue</x:v>
      </x:c>
      <x:c r="U1041" t="n">
        <x:v>2</x:v>
      </x:c>
      <x:c r="V1041" t="str"/>
    </x:row>
    <x:row r="1042">
      <x:c r="A1042" s="52" t="n">
        <x:v>46074</x:v>
      </x:c>
      <x:c r="B1042" t="str">
        <x:v>PED-101041</x:v>
      </x:c>
      <x:c r="C1042" t="str">
        <x:v>Cliente 054</x:v>
      </x:c>
      <x:c r="D1042" t="str">
        <x:v>GO</x:v>
      </x:c>
      <x:c r="E1042" t="str">
        <x:v>Centro-Oeste</x:v>
      </x:c>
      <x:c r="F1042" t="str">
        <x:v>Loja</x:v>
      </x:c>
      <x:c r="G1042" t="str">
        <x:v>Tecnologia</x:v>
      </x:c>
      <x:c r="H1042" t="str">
        <x:v>Headset Office</x:v>
      </x:c>
      <x:c r="I1042" t="str">
        <x:v>Ana</x:v>
      </x:c>
      <x:c r="J1042" s="53" t="n">
        <x:v>6</x:v>
      </x:c>
      <x:c r="K1042" s="54" t="n">
        <x:v>375.69</x:v>
      </x:c>
      <x:c r="L1042" s="54" t="n">
        <x:v>216.13</x:v>
      </x:c>
      <x:c r="M1042" s="55" t="n">
        <x:v>0.0621</x:v>
      </x:c>
      <x:c r="N1042" s="54" t="n">
        <x:f>ROUND(J1042*K1042,2)</x:f>
        <x:v>2254.14</x:v>
      </x:c>
      <x:c r="O1042" s="54" t="n">
        <x:f>ROUND(N1042*(1-M1042),2)</x:f>
        <x:v>2114.16</x:v>
      </x:c>
      <x:c r="P1042" s="54" t="n">
        <x:f>ROUND(J1042*L1042,2)</x:f>
        <x:v>1296.78</x:v>
      </x:c>
      <x:c r="Q1042" s="54" t="n">
        <x:f>ROUND(O1042-P1042,2)</x:f>
        <x:v>817.38</x:v>
      </x:c>
      <x:c r="R1042" s="55" t="n">
        <x:f>IF(O1042=0,0,ROUND(Q1042/O1042,4))</x:f>
        <x:v>0.3866</x:v>
      </x:c>
      <x:c r="S1042" s="53" t="n">
        <x:v>6</x:v>
      </x:c>
      <x:c r="T1042" t="str">
        <x:v>Entregue</x:v>
      </x:c>
      <x:c r="U1042" t="n">
        <x:v>4</x:v>
      </x:c>
      <x:c r="V1042" t="str"/>
    </x:row>
    <x:row r="1043">
      <x:c r="A1043" s="52" t="n">
        <x:v>46090</x:v>
      </x:c>
      <x:c r="B1043" t="str">
        <x:v>PED-101042</x:v>
      </x:c>
      <x:c r="C1043" t="str">
        <x:v>Cliente 087</x:v>
      </x:c>
      <x:c r="D1043" t="str">
        <x:v>MG</x:v>
      </x:c>
      <x:c r="E1043" t="str">
        <x:v>Sudeste</x:v>
      </x:c>
      <x:c r="F1043" t="str">
        <x:v>Televendas</x:v>
      </x:c>
      <x:c r="G1043" t="str">
        <x:v>Acessórios</x:v>
      </x:c>
      <x:c r="H1043" t="str">
        <x:v>Mochila Executiva</x:v>
      </x:c>
      <x:c r="I1043" t="str">
        <x:v>Ana</x:v>
      </x:c>
      <x:c r="J1043" s="53" t="n">
        <x:v>4</x:v>
      </x:c>
      <x:c r="K1043" s="54" t="n">
        <x:v>442.34</x:v>
      </x:c>
      <x:c r="L1043" s="54" t="n">
        <x:v>187.68</x:v>
      </x:c>
      <x:c r="M1043" s="55" t="n">
        <x:v>0.1086</x:v>
      </x:c>
      <x:c r="N1043" s="54" t="n">
        <x:f>ROUND(J1043*K1043,2)</x:f>
        <x:v>1769.36</x:v>
      </x:c>
      <x:c r="O1043" s="54" t="n">
        <x:f>ROUND(N1043*(1-M1043),2)</x:f>
        <x:v>1577.21</x:v>
      </x:c>
      <x:c r="P1043" s="54" t="n">
        <x:f>ROUND(J1043*L1043,2)</x:f>
        <x:v>750.72</x:v>
      </x:c>
      <x:c r="Q1043" s="54" t="n">
        <x:f>ROUND(O1043-P1043,2)</x:f>
        <x:v>826.49</x:v>
      </x:c>
      <x:c r="R1043" s="55" t="n">
        <x:f>IF(O1043=0,0,ROUND(Q1043/O1043,4))</x:f>
        <x:v>0.524</x:v>
      </x:c>
      <x:c r="S1043" s="53" t="n">
        <x:v>8</x:v>
      </x:c>
      <x:c r="T1043" t="str">
        <x:v>Entregue</x:v>
      </x:c>
      <x:c r="U1043" t="n">
        <x:v>5</x:v>
      </x:c>
      <x:c r="V1043" t="str"/>
    </x:row>
    <x:row r="1044">
      <x:c r="A1044" s="52" t="n">
        <x:v>46115</x:v>
      </x:c>
      <x:c r="B1044" t="str">
        <x:v>PED-101043</x:v>
      </x:c>
      <x:c r="C1044" t="str">
        <x:v>Cliente 017</x:v>
      </x:c>
      <x:c r="D1044" t="str">
        <x:v>DF</x:v>
      </x:c>
      <x:c r="E1044" t="str">
        <x:v>Centro-Oeste</x:v>
      </x:c>
      <x:c r="F1044" t="str">
        <x:v>Loja</x:v>
      </x:c>
      <x:c r="G1044" t="str">
        <x:v>Tecnologia</x:v>
      </x:c>
      <x:c r="H1044" t="str">
        <x:v>Notebook Pro</x:v>
      </x:c>
      <x:c r="I1044" t="str">
        <x:v>Isabela</x:v>
      </x:c>
      <x:c r="J1044" s="53" t="n">
        <x:v>4</x:v>
      </x:c>
      <x:c r="K1044" s="54" t="n">
        <x:v>5904.18</x:v>
      </x:c>
      <x:c r="L1044" s="54" t="n">
        <x:v>4405.6</x:v>
      </x:c>
      <x:c r="M1044" s="55" t="n">
        <x:v>0.0342</x:v>
      </x:c>
      <x:c r="N1044" s="54" t="n">
        <x:f>ROUND(J1044*K1044,2)</x:f>
        <x:v>23616.72</x:v>
      </x:c>
      <x:c r="O1044" s="54" t="n">
        <x:f>ROUND(N1044*(1-M1044),2)</x:f>
        <x:v>22809.03</x:v>
      </x:c>
      <x:c r="P1044" s="54" t="n">
        <x:f>ROUND(J1044*L1044,2)</x:f>
        <x:v>17622.4</x:v>
      </x:c>
      <x:c r="Q1044" s="54" t="n">
        <x:f>ROUND(O1044-P1044,2)</x:f>
        <x:v>5186.63</x:v>
      </x:c>
      <x:c r="R1044" s="55" t="n">
        <x:f>IF(O1044=0,0,ROUND(Q1044/O1044,4))</x:f>
        <x:v>0.2274</x:v>
      </x:c>
      <x:c r="S1044" s="53" t="n">
        <x:v>9</x:v>
      </x:c>
      <x:c r="T1044" t="str">
        <x:v>Entregue</x:v>
      </x:c>
      <x:c r="U1044" t="n">
        <x:v>5</x:v>
      </x:c>
      <x:c r="V1044" t="str"/>
    </x:row>
    <x:row r="1045">
      <x:c r="A1045" s="52" t="n">
        <x:v>46158</x:v>
      </x:c>
      <x:c r="B1045" t="str">
        <x:v>PED-101044</x:v>
      </x:c>
      <x:c r="C1045" t="str">
        <x:v>Cliente 082</x:v>
      </x:c>
      <x:c r="D1045" t="str">
        <x:v>MT</x:v>
      </x:c>
      <x:c r="E1045" t="str">
        <x:v>Centro-Oeste</x:v>
      </x:c>
      <x:c r="F1045" t="str">
        <x:v>Marketplace</x:v>
      </x:c>
      <x:c r="G1045" t="str">
        <x:v>Escritório</x:v>
      </x:c>
      <x:c r="H1045" t="str">
        <x:v>Luminária LED</x:v>
      </x:c>
      <x:c r="I1045" t="str">
        <x:v>Bruno</x:v>
      </x:c>
      <x:c r="J1045" s="53" t="n">
        <x:v>5</x:v>
      </x:c>
      <x:c r="K1045" s="54" t="n">
        <x:v>260.94</x:v>
      </x:c>
      <x:c r="L1045" s="54" t="n">
        <x:v>119.52</x:v>
      </x:c>
      <x:c r="M1045" s="55" t="n">
        <x:v>0.035</x:v>
      </x:c>
      <x:c r="N1045" s="54" t="n">
        <x:f>ROUND(J1045*K1045,2)</x:f>
        <x:v>1304.7</x:v>
      </x:c>
      <x:c r="O1045" s="54" t="n">
        <x:f>ROUND(N1045*(1-M1045),2)</x:f>
        <x:v>1259.04</x:v>
      </x:c>
      <x:c r="P1045" s="54" t="n">
        <x:f>ROUND(J1045*L1045,2)</x:f>
        <x:v>597.6</x:v>
      </x:c>
      <x:c r="Q1045" s="54" t="n">
        <x:f>ROUND(O1045-P1045,2)</x:f>
        <x:v>661.44</x:v>
      </x:c>
      <x:c r="R1045" s="55" t="n">
        <x:f>IF(O1045=0,0,ROUND(Q1045/O1045,4))</x:f>
        <x:v>0.5254</x:v>
      </x:c>
      <x:c r="S1045" s="53" t="n">
        <x:v>10</x:v>
      </x:c>
      <x:c r="T1045" t="str">
        <x:v>Entregue</x:v>
      </x:c>
      <x:c r="U1045" t="n">
        <x:v>3</x:v>
      </x:c>
      <x:c r="V1045" t="str"/>
    </x:row>
    <x:row r="1046">
      <x:c r="A1046" s="52" t="n">
        <x:v>46129</x:v>
      </x:c>
      <x:c r="B1046" t="str">
        <x:v>PED-101045</x:v>
      </x:c>
      <x:c r="C1046" t="str">
        <x:v>Cliente 024</x:v>
      </x:c>
      <x:c r="D1046" t="str">
        <x:v>RS</x:v>
      </x:c>
      <x:c r="E1046" t="str">
        <x:v>Sul</x:v>
      </x:c>
      <x:c r="F1046" t="str">
        <x:v>E-commerce</x:v>
      </x:c>
      <x:c r="G1046" t="str">
        <x:v>Tecnologia</x:v>
      </x:c>
      <x:c r="H1046" t="str">
        <x:v>Notebook Pro</x:v>
      </x:c>
      <x:c r="I1046" t="str">
        <x:v>Bruno</x:v>
      </x:c>
      <x:c r="J1046" s="53" t="n">
        <x:v>1</x:v>
      </x:c>
      <x:c r="K1046" s="54" t="n">
        <x:v>5957.41</x:v>
      </x:c>
      <x:c r="L1046" s="54" t="n">
        <x:v>4460</x:v>
      </x:c>
      <x:c r="M1046" s="55" t="n">
        <x:v>0.0539</x:v>
      </x:c>
      <x:c r="N1046" s="54" t="n">
        <x:f>ROUND(J1046*K1046,2)</x:f>
        <x:v>5957.41</x:v>
      </x:c>
      <x:c r="O1046" s="54" t="n">
        <x:f>ROUND(N1046*(1-M1046),2)</x:f>
        <x:v>5636.31</x:v>
      </x:c>
      <x:c r="P1046" s="54" t="n">
        <x:f>ROUND(J1046*L1046,2)</x:f>
        <x:v>4460</x:v>
      </x:c>
      <x:c r="Q1046" s="54" t="n">
        <x:f>ROUND(O1046-P1046,2)</x:f>
        <x:v>1176.31</x:v>
      </x:c>
      <x:c r="R1046" s="55" t="n">
        <x:f>IF(O1046=0,0,ROUND(Q1046/O1046,4))</x:f>
        <x:v>0.2087</x:v>
      </x:c>
      <x:c r="S1046" s="53" t="n">
        <x:v>11</x:v>
      </x:c>
      <x:c r="T1046" t="str">
        <x:v>Entregue com atraso</x:v>
      </x:c>
      <x:c r="U1046" t="n">
        <x:v>4</x:v>
      </x:c>
      <x:c r="V1046" t="str"/>
    </x:row>
    <x:row r="1047">
      <x:c r="A1047" s="52" t="n">
        <x:v>46104</x:v>
      </x:c>
      <x:c r="B1047" t="str">
        <x:v>PED-101046</x:v>
      </x:c>
      <x:c r="C1047" t="str">
        <x:v>Cliente 002</x:v>
      </x:c>
      <x:c r="D1047" t="str">
        <x:v>SP</x:v>
      </x:c>
      <x:c r="E1047" t="str">
        <x:v>Sudeste</x:v>
      </x:c>
      <x:c r="F1047" t="str">
        <x:v>Loja</x:v>
      </x:c>
      <x:c r="G1047" t="str">
        <x:v>Tecnologia</x:v>
      </x:c>
      <x:c r="H1047" t="str">
        <x:v>Notebook Pro</x:v>
      </x:c>
      <x:c r="I1047" t="str">
        <x:v>Ana</x:v>
      </x:c>
      <x:c r="J1047" s="53" t="n">
        <x:v>2</x:v>
      </x:c>
      <x:c r="K1047" s="54" t="n">
        <x:v>6218.93</x:v>
      </x:c>
      <x:c r="L1047" s="54" t="n">
        <x:v>4371.3</x:v>
      </x:c>
      <x:c r="M1047" s="55" t="n">
        <x:v>0.1292</x:v>
      </x:c>
      <x:c r="N1047" s="54" t="n">
        <x:f>ROUND(J1047*K1047,2)</x:f>
        <x:v>12437.86</x:v>
      </x:c>
      <x:c r="O1047" s="54" t="n">
        <x:f>ROUND(N1047*(1-M1047),2)</x:f>
        <x:v>10830.89</x:v>
      </x:c>
      <x:c r="P1047" s="54" t="n">
        <x:f>ROUND(J1047*L1047,2)</x:f>
        <x:v>8742.6</x:v>
      </x:c>
      <x:c r="Q1047" s="54" t="n">
        <x:f>ROUND(O1047-P1047,2)</x:f>
        <x:v>2088.29</x:v>
      </x:c>
      <x:c r="R1047" s="55" t="n">
        <x:f>IF(O1047=0,0,ROUND(Q1047/O1047,4))</x:f>
        <x:v>0.1928</x:v>
      </x:c>
      <x:c r="S1047" s="53" t="n">
        <x:v>2</x:v>
      </x:c>
      <x:c r="T1047" t="str">
        <x:v>Entregue</x:v>
      </x:c>
      <x:c r="U1047" t="n">
        <x:v>5</x:v>
      </x:c>
      <x:c r="V1047" t="str"/>
    </x:row>
    <x:row r="1048">
      <x:c r="A1048" s="52" t="n">
        <x:v>46233</x:v>
      </x:c>
      <x:c r="B1048" t="str">
        <x:v>PED-101047</x:v>
      </x:c>
      <x:c r="C1048" t="str">
        <x:v>Cliente 051</x:v>
      </x:c>
      <x:c r="D1048" t="str">
        <x:v>MT</x:v>
      </x:c>
      <x:c r="E1048" t="str">
        <x:v>Centro-Oeste</x:v>
      </x:c>
      <x:c r="F1048" t="str">
        <x:v>E-commerce</x:v>
      </x:c>
      <x:c r="G1048" t="str">
        <x:v>Casa</x:v>
      </x:c>
      <x:c r="H1048" t="str">
        <x:v>Aspirador Robô</x:v>
      </x:c>
      <x:c r="I1048" t="str">
        <x:v>Bruno</x:v>
      </x:c>
      <x:c r="J1048" s="53" t="n">
        <x:v>6</x:v>
      </x:c>
      <x:c r="K1048" s="54" t="n">
        <x:v>1816.91</x:v>
      </x:c>
      <x:c r="L1048" s="54" t="n">
        <x:v>1219.77</x:v>
      </x:c>
      <x:c r="M1048" s="55" t="n">
        <x:v>0</x:v>
      </x:c>
      <x:c r="N1048" s="54" t="n">
        <x:f>ROUND(J1048*K1048,2)</x:f>
        <x:v>10901.46</x:v>
      </x:c>
      <x:c r="O1048" s="54" t="n">
        <x:f>ROUND(N1048*(1-M1048),2)</x:f>
        <x:v>10901.46</x:v>
      </x:c>
      <x:c r="P1048" s="54" t="n">
        <x:f>ROUND(J1048*L1048,2)</x:f>
        <x:v>7318.62</x:v>
      </x:c>
      <x:c r="Q1048" s="54" t="n">
        <x:f>ROUND(O1048-P1048,2)</x:f>
        <x:v>3582.84</x:v>
      </x:c>
      <x:c r="R1048" s="55" t="n">
        <x:f>IF(O1048=0,0,ROUND(Q1048/O1048,4))</x:f>
        <x:v>0.3287</x:v>
      </x:c>
      <x:c r="S1048" s="53" t="n">
        <x:v>10</x:v>
      </x:c>
      <x:c r="T1048" t="str">
        <x:v>Entregue</x:v>
      </x:c>
      <x:c r="U1048" t="n">
        <x:v>3</x:v>
      </x:c>
      <x:c r="V1048" t="str"/>
    </x:row>
    <x:row r="1049">
      <x:c r="A1049" s="52" t="n">
        <x:v>46132</x:v>
      </x:c>
      <x:c r="B1049" t="str">
        <x:v>PED-101048</x:v>
      </x:c>
      <x:c r="C1049" t="str">
        <x:v>Cliente 007</x:v>
      </x:c>
      <x:c r="D1049" t="str">
        <x:v>MA</x:v>
      </x:c>
      <x:c r="E1049" t="str">
        <x:v>Nordeste</x:v>
      </x:c>
      <x:c r="F1049" t="str">
        <x:v>E-commerce</x:v>
      </x:c>
      <x:c r="G1049" t="str">
        <x:v>Escritório</x:v>
      </x:c>
      <x:c r="H1049" t="str">
        <x:v>Mesa Ajustável</x:v>
      </x:c>
      <x:c r="I1049" t="str">
        <x:v>Bruno</x:v>
      </x:c>
      <x:c r="J1049" s="53" t="n">
        <x:v>3</x:v>
      </x:c>
      <x:c r="K1049" s="54" t="n">
        <x:v>2752.85</x:v>
      </x:c>
      <x:c r="L1049" s="54" t="n">
        <x:v>1940.17</x:v>
      </x:c>
      <x:c r="M1049" s="55" t="n">
        <x:v>0.0905</x:v>
      </x:c>
      <x:c r="N1049" s="54" t="n">
        <x:f>ROUND(J1049*K1049,2)</x:f>
        <x:v>8258.55</x:v>
      </x:c>
      <x:c r="O1049" s="54" t="n">
        <x:f>ROUND(N1049*(1-M1049),2)</x:f>
        <x:v>7511.15</x:v>
      </x:c>
      <x:c r="P1049" s="54" t="n">
        <x:f>ROUND(J1049*L1049,2)</x:f>
        <x:v>5820.51</x:v>
      </x:c>
      <x:c r="Q1049" s="54" t="n">
        <x:f>ROUND(O1049-P1049,2)</x:f>
        <x:v>1690.64</x:v>
      </x:c>
      <x:c r="R1049" s="55" t="n">
        <x:f>IF(O1049=0,0,ROUND(Q1049/O1049,4))</x:f>
        <x:v>0.2251</x:v>
      </x:c>
      <x:c r="S1049" s="53" t="n">
        <x:v>6</x:v>
      </x:c>
      <x:c r="T1049" t="str">
        <x:v>Entregue</x:v>
      </x:c>
      <x:c r="U1049" t="n">
        <x:v>5</x:v>
      </x:c>
      <x:c r="V1049" t="str"/>
    </x:row>
    <x:row r="1050">
      <x:c r="A1050" s="52" t="n">
        <x:v>46038</x:v>
      </x:c>
      <x:c r="B1050" t="str">
        <x:v>PED-101049</x:v>
      </x:c>
      <x:c r="C1050" t="str">
        <x:v>Cliente 013</x:v>
      </x:c>
      <x:c r="D1050" t="str">
        <x:v>PR</x:v>
      </x:c>
      <x:c r="E1050" t="str">
        <x:v>Sul</x:v>
      </x:c>
      <x:c r="F1050" t="str">
        <x:v>E-commerce</x:v>
      </x:c>
      <x:c r="G1050" t="str">
        <x:v>Casa</x:v>
      </x:c>
      <x:c r="H1050" t="str">
        <x:v>Aspirador Robô</x:v>
      </x:c>
      <x:c r="I1050" t="str">
        <x:v>Carla</x:v>
      </x:c>
      <x:c r="J1050" s="53" t="n">
        <x:v>3</x:v>
      </x:c>
      <x:c r="K1050" s="54" t="n">
        <x:v>1892.45</x:v>
      </x:c>
      <x:c r="L1050" s="54" t="n">
        <x:v>1181.53</x:v>
      </x:c>
      <x:c r="M1050" s="55" t="n">
        <x:v>0</x:v>
      </x:c>
      <x:c r="N1050" s="54" t="n">
        <x:f>ROUND(J1050*K1050,2)</x:f>
        <x:v>5677.35</x:v>
      </x:c>
      <x:c r="O1050" s="54" t="n">
        <x:f>ROUND(N1050*(1-M1050),2)</x:f>
        <x:v>5677.35</x:v>
      </x:c>
      <x:c r="P1050" s="54" t="n">
        <x:f>ROUND(J1050*L1050,2)</x:f>
        <x:v>3544.59</x:v>
      </x:c>
      <x:c r="Q1050" s="54" t="n">
        <x:f>ROUND(O1050-P1050,2)</x:f>
        <x:v>2132.76</x:v>
      </x:c>
      <x:c r="R1050" s="55" t="n">
        <x:f>IF(O1050=0,0,ROUND(Q1050/O1050,4))</x:f>
        <x:v>0.3757</x:v>
      </x:c>
      <x:c r="S1050" s="53" t="n">
        <x:v>14</x:v>
      </x:c>
      <x:c r="T1050" t="str">
        <x:v>Entregue com atraso</x:v>
      </x:c>
      <x:c r="U1050" t="n">
        <x:v>2</x:v>
      </x:c>
      <x:c r="V1050" t="str"/>
    </x:row>
    <x:row r="1051">
      <x:c r="A1051" s="52" t="n">
        <x:v>46095</x:v>
      </x:c>
      <x:c r="B1051" t="str">
        <x:v>PED-101050</x:v>
      </x:c>
      <x:c r="C1051" t="str">
        <x:v>Cliente 030</x:v>
      </x:c>
      <x:c r="D1051" t="str">
        <x:v>PE</x:v>
      </x:c>
      <x:c r="E1051" t="str">
        <x:v>Nordeste</x:v>
      </x:c>
      <x:c r="F1051" t="str">
        <x:v>Loja</x:v>
      </x:c>
      <x:c r="G1051" t="str">
        <x:v>Escritório</x:v>
      </x:c>
      <x:c r="H1051" t="str">
        <x:v>Cadeira Ergonômica</x:v>
      </x:c>
      <x:c r="I1051" t="str">
        <x:v>João</x:v>
      </x:c>
      <x:c r="J1051" s="53" t="n">
        <x:v>6</x:v>
      </x:c>
      <x:c r="K1051" s="54" t="n">
        <x:v>2073.31</x:v>
      </x:c>
      <x:c r="L1051" s="54" t="n">
        <x:v>1448.51</x:v>
      </x:c>
      <x:c r="M1051" s="55" t="n">
        <x:v>0.0672</x:v>
      </x:c>
      <x:c r="N1051" s="54" t="n">
        <x:f>ROUND(J1051*K1051,2)</x:f>
        <x:v>12439.86</x:v>
      </x:c>
      <x:c r="O1051" s="54" t="n">
        <x:f>ROUND(N1051*(1-M1051),2)</x:f>
        <x:v>11603.9</x:v>
      </x:c>
      <x:c r="P1051" s="54" t="n">
        <x:f>ROUND(J1051*L1051,2)</x:f>
        <x:v>8691.06</x:v>
      </x:c>
      <x:c r="Q1051" s="54" t="n">
        <x:f>ROUND(O1051-P1051,2)</x:f>
        <x:v>2912.84</x:v>
      </x:c>
      <x:c r="R1051" s="55" t="n">
        <x:f>IF(O1051=0,0,ROUND(Q1051/O1051,4))</x:f>
        <x:v>0.251</x:v>
      </x:c>
      <x:c r="S1051" s="53" t="n">
        <x:v>6</x:v>
      </x:c>
      <x:c r="T1051" t="str">
        <x:v>Entregue</x:v>
      </x:c>
      <x:c r="U1051" t="n">
        <x:v>2</x:v>
      </x:c>
      <x:c r="V1051" t="str"/>
    </x:row>
    <x:row r="1052">
      <x:c r="A1052" s="52" t="n">
        <x:v>46227</x:v>
      </x:c>
      <x:c r="B1052" t="str">
        <x:v>PED-101051</x:v>
      </x:c>
      <x:c r="C1052" t="str">
        <x:v>Cliente 109</x:v>
      </x:c>
      <x:c r="D1052" t="str">
        <x:v>RJ</x:v>
      </x:c>
      <x:c r="E1052" t="str">
        <x:v>Sudeste</x:v>
      </x:c>
      <x:c r="F1052" t="str">
        <x:v>Marketplace</x:v>
      </x:c>
      <x:c r="G1052" t="str">
        <x:v>Tecnologia</x:v>
      </x:c>
      <x:c r="H1052" t="str">
        <x:v>Headset Office</x:v>
      </x:c>
      <x:c r="I1052" t="str">
        <x:v>Ana</x:v>
      </x:c>
      <x:c r="J1052" s="53" t="n">
        <x:v>2</x:v>
      </x:c>
      <x:c r="K1052" s="54" t="n">
        <x:v>380.97</x:v>
      </x:c>
      <x:c r="L1052" s="54" t="n">
        <x:v>207.76</x:v>
      </x:c>
      <x:c r="M1052" s="55" t="n">
        <x:v>0.0601</x:v>
      </x:c>
      <x:c r="N1052" s="54" t="n">
        <x:f>ROUND(J1052*K1052,2)</x:f>
        <x:v>761.94</x:v>
      </x:c>
      <x:c r="O1052" s="54" t="n">
        <x:f>ROUND(N1052*(1-M1052),2)</x:f>
        <x:v>716.15</x:v>
      </x:c>
      <x:c r="P1052" s="54" t="n">
        <x:f>ROUND(J1052*L1052,2)</x:f>
        <x:v>415.52</x:v>
      </x:c>
      <x:c r="Q1052" s="54" t="n">
        <x:f>ROUND(O1052-P1052,2)</x:f>
        <x:v>300.63</x:v>
      </x:c>
      <x:c r="R1052" s="55" t="n">
        <x:f>IF(O1052=0,0,ROUND(Q1052/O1052,4))</x:f>
        <x:v>0.4198</x:v>
      </x:c>
      <x:c r="S1052" s="53" t="n">
        <x:v>11</x:v>
      </x:c>
      <x:c r="T1052" t="str">
        <x:v>Entregue com atraso</x:v>
      </x:c>
      <x:c r="U1052" t="n">
        <x:v>4</x:v>
      </x:c>
      <x:c r="V1052" t="str"/>
    </x:row>
    <x:row r="1053">
      <x:c r="A1053" s="52" t="n">
        <x:v>46214</x:v>
      </x:c>
      <x:c r="B1053" t="str">
        <x:v>PED-101052</x:v>
      </x:c>
      <x:c r="C1053" t="str">
        <x:v>Cliente 099</x:v>
      </x:c>
      <x:c r="D1053" t="str">
        <x:v>GO</x:v>
      </x:c>
      <x:c r="E1053" t="str">
        <x:v>Centro-Oeste</x:v>
      </x:c>
      <x:c r="F1053" t="str">
        <x:v>E-commerce</x:v>
      </x:c>
      <x:c r="G1053" t="str">
        <x:v>Acessórios</x:v>
      </x:c>
      <x:c r="H1053" t="str">
        <x:v>Mochila Executiva</x:v>
      </x:c>
      <x:c r="I1053" t="str">
        <x:v>Isabela</x:v>
      </x:c>
      <x:c r="J1053" s="53" t="n">
        <x:v>2</x:v>
      </x:c>
      <x:c r="K1053" s="54" t="n">
        <x:v>444.3</x:v>
      </x:c>
      <x:c r="L1053" s="54" t="n">
        <x:v>195.43</x:v>
      </x:c>
      <x:c r="M1053" s="55" t="n">
        <x:v>0.0352</x:v>
      </x:c>
      <x:c r="N1053" s="54" t="n">
        <x:f>ROUND(J1053*K1053,2)</x:f>
        <x:v>888.6</x:v>
      </x:c>
      <x:c r="O1053" s="54" t="n">
        <x:f>ROUND(N1053*(1-M1053),2)</x:f>
        <x:v>857.32</x:v>
      </x:c>
      <x:c r="P1053" s="54" t="n">
        <x:f>ROUND(J1053*L1053,2)</x:f>
        <x:v>390.86</x:v>
      </x:c>
      <x:c r="Q1053" s="54" t="n">
        <x:f>ROUND(O1053-P1053,2)</x:f>
        <x:v>466.46</x:v>
      </x:c>
      <x:c r="R1053" s="55" t="n">
        <x:f>IF(O1053=0,0,ROUND(Q1053/O1053,4))</x:f>
        <x:v>0.5441</x:v>
      </x:c>
      <x:c r="S1053" s="53" t="n">
        <x:v>12</x:v>
      </x:c>
      <x:c r="T1053" t="str">
        <x:v>Entregue com atraso</x:v>
      </x:c>
      <x:c r="U1053" t="n">
        <x:v>5</x:v>
      </x:c>
      <x:c r="V1053" t="str"/>
    </x:row>
    <x:row r="1054">
      <x:c r="A1054" s="52" t="n">
        <x:v>46221</x:v>
      </x:c>
      <x:c r="B1054" t="str">
        <x:v>PED-101053</x:v>
      </x:c>
      <x:c r="C1054" t="str">
        <x:v>Cliente 037</x:v>
      </x:c>
      <x:c r="D1054" t="str">
        <x:v>MG</x:v>
      </x:c>
      <x:c r="E1054" t="str">
        <x:v>Sudeste</x:v>
      </x:c>
      <x:c r="F1054" t="str">
        <x:v>E-commerce</x:v>
      </x:c>
      <x:c r="G1054" t="str">
        <x:v>Escritório</x:v>
      </x:c>
      <x:c r="H1054" t="str">
        <x:v>Luminária LED</x:v>
      </x:c>
      <x:c r="I1054" t="str">
        <x:v>Elaine</x:v>
      </x:c>
      <x:c r="J1054" s="53" t="n">
        <x:v>4</x:v>
      </x:c>
      <x:c r="K1054" s="54" t="n">
        <x:v>253.84</x:v>
      </x:c>
      <x:c r="L1054" s="54" t="n">
        <x:v>123.81</x:v>
      </x:c>
      <x:c r="M1054" s="55" t="n">
        <x:v>0</x:v>
      </x:c>
      <x:c r="N1054" s="54" t="n">
        <x:f>ROUND(J1054*K1054,2)</x:f>
        <x:v>1015.36</x:v>
      </x:c>
      <x:c r="O1054" s="54" t="n">
        <x:f>ROUND(N1054*(1-M1054),2)</x:f>
        <x:v>1015.36</x:v>
      </x:c>
      <x:c r="P1054" s="54" t="n">
        <x:f>ROUND(J1054*L1054,2)</x:f>
        <x:v>495.24</x:v>
      </x:c>
      <x:c r="Q1054" s="54" t="n">
        <x:f>ROUND(O1054-P1054,2)</x:f>
        <x:v>520.12</x:v>
      </x:c>
      <x:c r="R1054" s="55" t="n">
        <x:f>IF(O1054=0,0,ROUND(Q1054/O1054,4))</x:f>
        <x:v>0.5123</x:v>
      </x:c>
      <x:c r="S1054" s="53" t="n">
        <x:v>11</x:v>
      </x:c>
      <x:c r="T1054" t="str">
        <x:v>Entregue com atraso</x:v>
      </x:c>
      <x:c r="U1054" t="n">
        <x:v>5</x:v>
      </x:c>
      <x:c r="V1054" t="str"/>
    </x:row>
    <x:row r="1055">
      <x:c r="A1055" s="52" t="n">
        <x:v>46040</x:v>
      </x:c>
      <x:c r="B1055" t="str">
        <x:v>PED-101054</x:v>
      </x:c>
      <x:c r="C1055" t="str">
        <x:v>Cliente 014</x:v>
      </x:c>
      <x:c r="D1055" t="str">
        <x:v>BA</x:v>
      </x:c>
      <x:c r="E1055" t="str">
        <x:v>Nordeste</x:v>
      </x:c>
      <x:c r="F1055" t="str">
        <x:v>Televendas</x:v>
      </x:c>
      <x:c r="G1055" t="str">
        <x:v>Escritório</x:v>
      </x:c>
      <x:c r="H1055" t="str">
        <x:v>Mesa Ajustável</x:v>
      </x:c>
      <x:c r="I1055" t="str">
        <x:v>Elaine</x:v>
      </x:c>
      <x:c r="J1055" s="53" t="n">
        <x:v>7</x:v>
      </x:c>
      <x:c r="K1055" s="54" t="n">
        <x:v>2896.55</x:v>
      </x:c>
      <x:c r="L1055" s="54" t="n">
        <x:v>1864.9</x:v>
      </x:c>
      <x:c r="M1055" s="55" t="n">
        <x:v>0</x:v>
      </x:c>
      <x:c r="N1055" s="54" t="n">
        <x:f>ROUND(J1055*K1055,2)</x:f>
        <x:v>20275.85</x:v>
      </x:c>
      <x:c r="O1055" s="54" t="n">
        <x:f>ROUND(N1055*(1-M1055),2)</x:f>
        <x:v>20275.85</x:v>
      </x:c>
      <x:c r="P1055" s="54" t="n">
        <x:f>ROUND(J1055*L1055,2)</x:f>
        <x:v>13054.3</x:v>
      </x:c>
      <x:c r="Q1055" s="54" t="n">
        <x:f>ROUND(O1055-P1055,2)</x:f>
        <x:v>7221.55</x:v>
      </x:c>
      <x:c r="R1055" s="55" t="n">
        <x:f>IF(O1055=0,0,ROUND(Q1055/O1055,4))</x:f>
        <x:v>0.3562</x:v>
      </x:c>
      <x:c r="S1055" s="53" t="n">
        <x:v>11</x:v>
      </x:c>
      <x:c r="T1055" t="str">
        <x:v>Entregue com atraso</x:v>
      </x:c>
      <x:c r="U1055" t="n">
        <x:v>2</x:v>
      </x:c>
      <x:c r="V1055" t="str"/>
    </x:row>
    <x:row r="1056">
      <x:c r="A1056" s="52" t="n">
        <x:v>46065</x:v>
      </x:c>
      <x:c r="B1056" t="str">
        <x:v>PED-101055</x:v>
      </x:c>
      <x:c r="C1056" t="str">
        <x:v>Cliente 010</x:v>
      </x:c>
      <x:c r="D1056" t="str">
        <x:v>SC</x:v>
      </x:c>
      <x:c r="E1056" t="str">
        <x:v>Sul</x:v>
      </x:c>
      <x:c r="F1056" t="str">
        <x:v>Loja</x:v>
      </x:c>
      <x:c r="G1056" t="str">
        <x:v>Tecnologia</x:v>
      </x:c>
      <x:c r="H1056" t="str">
        <x:v>Notebook Pro</x:v>
      </x:c>
      <x:c r="I1056" t="str">
        <x:v>Henrique</x:v>
      </x:c>
      <x:c r="J1056" s="53" t="n">
        <x:v>8</x:v>
      </x:c>
      <x:c r="K1056" s="54" t="n">
        <x:v>5904.51</x:v>
      </x:c>
      <x:c r="L1056" s="54" t="n">
        <x:v>4290.49</x:v>
      </x:c>
      <x:c r="M1056" s="55" t="n">
        <x:v>0.0589</x:v>
      </x:c>
      <x:c r="N1056" s="54" t="n">
        <x:f>ROUND(J1056*K1056,2)</x:f>
        <x:v>47236.08</x:v>
      </x:c>
      <x:c r="O1056" s="54" t="n">
        <x:f>ROUND(N1056*(1-M1056),2)</x:f>
        <x:v>44453.87</x:v>
      </x:c>
      <x:c r="P1056" s="54" t="n">
        <x:f>ROUND(J1056*L1056,2)</x:f>
        <x:v>34323.92</x:v>
      </x:c>
      <x:c r="Q1056" s="54" t="n">
        <x:f>ROUND(O1056-P1056,2)</x:f>
        <x:v>10129.95</x:v>
      </x:c>
      <x:c r="R1056" s="55" t="n">
        <x:f>IF(O1056=0,0,ROUND(Q1056/O1056,4))</x:f>
        <x:v>0.2279</x:v>
      </x:c>
      <x:c r="S1056" s="53" t="n">
        <x:v>12</x:v>
      </x:c>
      <x:c r="T1056" t="str">
        <x:v>Entregue com atraso</x:v>
      </x:c>
      <x:c r="U1056" t="n">
        <x:v>3</x:v>
      </x:c>
      <x:c r="V1056" t="str"/>
    </x:row>
    <x:row r="1057">
      <x:c r="A1057" s="52" t="n">
        <x:v>46180</x:v>
      </x:c>
      <x:c r="B1057" t="str">
        <x:v>PED-101056</x:v>
      </x:c>
      <x:c r="C1057" t="str">
        <x:v>Cliente 081</x:v>
      </x:c>
      <x:c r="D1057" t="str">
        <x:v>BA</x:v>
      </x:c>
      <x:c r="E1057" t="str">
        <x:v>Nordeste</x:v>
      </x:c>
      <x:c r="F1057" t="str">
        <x:v>Marketplace</x:v>
      </x:c>
      <x:c r="G1057" t="str">
        <x:v>Tecnologia</x:v>
      </x:c>
      <x:c r="H1057" t="str">
        <x:v>Monitor 27</x:v>
      </x:c>
      <x:c r="I1057" t="str">
        <x:v>Carla</x:v>
      </x:c>
      <x:c r="J1057" s="53" t="n">
        <x:v>5</x:v>
      </x:c>
      <x:c r="K1057" s="54" t="n">
        <x:v>1595.65</x:v>
      </x:c>
      <x:c r="L1057" s="54" t="n">
        <x:v>1768.62</x:v>
      </x:c>
      <x:c r="M1057" s="55" t="n">
        <x:v>0.1036</x:v>
      </x:c>
      <x:c r="N1057" s="54" t="n">
        <x:f>ROUND(J1057*K1057,2)</x:f>
        <x:v>7978.25</x:v>
      </x:c>
      <x:c r="O1057" s="54" t="n">
        <x:f>ROUND(N1057*(1-M1057),2)</x:f>
        <x:v>7151.7</x:v>
      </x:c>
      <x:c r="P1057" s="54" t="n">
        <x:f>ROUND(J1057*L1057,2)</x:f>
        <x:v>8843.1</x:v>
      </x:c>
      <x:c r="Q1057" s="54" t="n">
        <x:f>ROUND(O1057-P1057,2)</x:f>
        <x:v>-1691.4</x:v>
      </x:c>
      <x:c r="R1057" s="55" t="n">
        <x:f>IF(O1057=0,0,ROUND(Q1057/O1057,4))</x:f>
        <x:v>-0.2365</x:v>
      </x:c>
      <x:c r="S1057" s="53" t="n">
        <x:v>6</x:v>
      </x:c>
      <x:c r="T1057" t="str">
        <x:v>Entregue</x:v>
      </x:c>
      <x:c r="U1057" t="n">
        <x:v>2</x:v>
      </x:c>
      <x:c r="V1057" t="str">
        <x:v>Custo revisado após fechamento</x:v>
      </x:c>
    </x:row>
    <x:row r="1058">
      <x:c r="A1058" s="52" t="n">
        <x:v>46028</x:v>
      </x:c>
      <x:c r="B1058" t="str">
        <x:v>PED-101057</x:v>
      </x:c>
      <x:c r="C1058" t="str">
        <x:v>Cliente 117</x:v>
      </x:c>
      <x:c r="D1058" t="str">
        <x:v>BA</x:v>
      </x:c>
      <x:c r="E1058" t="str">
        <x:v>Nordeste</x:v>
      </x:c>
      <x:c r="F1058" t="str">
        <x:v>Loja</x:v>
      </x:c>
      <x:c r="G1058" t="str">
        <x:v>Tecnologia</x:v>
      </x:c>
      <x:c r="H1058" t="str">
        <x:v>Headset Office</x:v>
      </x:c>
      <x:c r="I1058" t="str">
        <x:v>Carla</x:v>
      </x:c>
      <x:c r="J1058" s="53" t="n">
        <x:v>8</x:v>
      </x:c>
      <x:c r="K1058" s="54" t="n">
        <x:v>389.86</x:v>
      </x:c>
      <x:c r="L1058" s="54" t="n">
        <x:v>226.69</x:v>
      </x:c>
      <x:c r="M1058" s="55" t="n">
        <x:v>0</x:v>
      </x:c>
      <x:c r="N1058" s="54" t="n">
        <x:f>ROUND(J1058*K1058,2)</x:f>
        <x:v>3118.88</x:v>
      </x:c>
      <x:c r="O1058" s="54" t="n">
        <x:f>ROUND(N1058*(1-M1058),2)</x:f>
        <x:v>3118.88</x:v>
      </x:c>
      <x:c r="P1058" s="54" t="n">
        <x:f>ROUND(J1058*L1058,2)</x:f>
        <x:v>1813.52</x:v>
      </x:c>
      <x:c r="Q1058" s="54" t="n">
        <x:f>ROUND(O1058-P1058,2)</x:f>
        <x:v>1305.36</x:v>
      </x:c>
      <x:c r="R1058" s="55" t="n">
        <x:f>IF(O1058=0,0,ROUND(Q1058/O1058,4))</x:f>
        <x:v>0.4185</x:v>
      </x:c>
      <x:c r="S1058" s="53" t="n">
        <x:v>12</x:v>
      </x:c>
      <x:c r="T1058" t="str">
        <x:v>Entregue com atraso</x:v>
      </x:c>
      <x:c r="U1058" t="n">
        <x:v>3</x:v>
      </x:c>
      <x:c r="V1058" t="str"/>
    </x:row>
    <x:row r="1059">
      <x:c r="A1059" s="52" t="n">
        <x:v>46133</x:v>
      </x:c>
      <x:c r="B1059" t="str">
        <x:v>PED-101058</x:v>
      </x:c>
      <x:c r="C1059" t="str">
        <x:v>Cliente 048</x:v>
      </x:c>
      <x:c r="D1059" t="str">
        <x:v>RJ</x:v>
      </x:c>
      <x:c r="E1059" t="str">
        <x:v>Sudeste</x:v>
      </x:c>
      <x:c r="F1059" t="str">
        <x:v>Marketplace</x:v>
      </x:c>
      <x:c r="G1059" t="str">
        <x:v>Tecnologia</x:v>
      </x:c>
      <x:c r="H1059" t="str">
        <x:v>Headset Office</x:v>
      </x:c>
      <x:c r="I1059" t="str">
        <x:v>Isabela</x:v>
      </x:c>
      <x:c r="J1059" s="53" t="n">
        <x:v>6</x:v>
      </x:c>
      <x:c r="K1059" s="54" t="n">
        <x:v>372.51</x:v>
      </x:c>
      <x:c r="L1059" s="54" t="n">
        <x:v>207.25</x:v>
      </x:c>
      <x:c r="M1059" s="55" t="n">
        <x:v>0.102</x:v>
      </x:c>
      <x:c r="N1059" s="54" t="n">
        <x:f>ROUND(J1059*K1059,2)</x:f>
        <x:v>2235.06</x:v>
      </x:c>
      <x:c r="O1059" s="54" t="n">
        <x:f>ROUND(N1059*(1-M1059),2)</x:f>
        <x:v>2007.08</x:v>
      </x:c>
      <x:c r="P1059" s="54" t="n">
        <x:f>ROUND(J1059*L1059,2)</x:f>
        <x:v>1243.5</x:v>
      </x:c>
      <x:c r="Q1059" s="54" t="n">
        <x:f>ROUND(O1059-P1059,2)</x:f>
        <x:v>763.58</x:v>
      </x:c>
      <x:c r="R1059" s="55" t="n">
        <x:f>IF(O1059=0,0,ROUND(Q1059/O1059,4))</x:f>
        <x:v>0.3804</x:v>
      </x:c>
      <x:c r="S1059" s="53" t="n">
        <x:v>10</x:v>
      </x:c>
      <x:c r="T1059" t="str">
        <x:v>Entregue</x:v>
      </x:c>
      <x:c r="U1059" t="n">
        <x:v>5</x:v>
      </x:c>
      <x:c r="V1059" t="str"/>
    </x:row>
    <x:row r="1060">
      <x:c r="A1060" s="52" t="n">
        <x:v>46201</x:v>
      </x:c>
      <x:c r="B1060" t="str">
        <x:v>PED-101059</x:v>
      </x:c>
      <x:c r="C1060" t="str">
        <x:v>Cliente 079</x:v>
      </x:c>
      <x:c r="D1060" t="str">
        <x:v>RS</x:v>
      </x:c>
      <x:c r="E1060" t="str">
        <x:v>Sul</x:v>
      </x:c>
      <x:c r="F1060" t="str">
        <x:v>E-commerce</x:v>
      </x:c>
      <x:c r="G1060" t="str">
        <x:v>Casa</x:v>
      </x:c>
      <x:c r="H1060" t="str">
        <x:v>Purificador</x:v>
      </x:c>
      <x:c r="I1060" t="str">
        <x:v>Felipe</x:v>
      </x:c>
      <x:c r="J1060" s="53" t="n">
        <x:v>3</x:v>
      </x:c>
      <x:c r="K1060" s="54" t="n">
        <x:v>1335.07</x:v>
      </x:c>
      <x:c r="L1060" s="54" t="n">
        <x:v>775.22</x:v>
      </x:c>
      <x:c r="M1060" s="55" t="n">
        <x:v>0</x:v>
      </x:c>
      <x:c r="N1060" s="54" t="n">
        <x:f>ROUND(J1060*K1060,2)</x:f>
        <x:v>4005.21</x:v>
      </x:c>
      <x:c r="O1060" s="54" t="n">
        <x:f>ROUND(N1060*(1-M1060),2)</x:f>
        <x:v>4005.21</x:v>
      </x:c>
      <x:c r="P1060" s="54" t="n">
        <x:f>ROUND(J1060*L1060,2)</x:f>
        <x:v>2325.66</x:v>
      </x:c>
      <x:c r="Q1060" s="54" t="n">
        <x:f>ROUND(O1060-P1060,2)</x:f>
        <x:v>1679.55</x:v>
      </x:c>
      <x:c r="R1060" s="55" t="n">
        <x:f>IF(O1060=0,0,ROUND(Q1060/O1060,4))</x:f>
        <x:v>0.4193</x:v>
      </x:c>
      <x:c r="S1060" s="53" t="n">
        <x:v>12</x:v>
      </x:c>
      <x:c r="T1060" t="str">
        <x:v>Entregue com atraso</x:v>
      </x:c>
      <x:c r="U1060" t="n">
        <x:v>5</x:v>
      </x:c>
      <x:c r="V1060" t="str"/>
    </x:row>
    <x:row r="1061">
      <x:c r="A1061" s="52" t="n">
        <x:v>46089</x:v>
      </x:c>
      <x:c r="B1061" t="str">
        <x:v>PED-101060</x:v>
      </x:c>
      <x:c r="C1061" t="str">
        <x:v>Cliente 026</x:v>
      </x:c>
      <x:c r="D1061" t="str">
        <x:v>ES</x:v>
      </x:c>
      <x:c r="E1061" t="str">
        <x:v>Sudeste</x:v>
      </x:c>
      <x:c r="F1061" t="str">
        <x:v>Loja</x:v>
      </x:c>
      <x:c r="G1061" t="str">
        <x:v>Acessórios</x:v>
      </x:c>
      <x:c r="H1061" t="str">
        <x:v>Hub USB-C</x:v>
      </x:c>
      <x:c r="I1061" t="str">
        <x:v>Ana</x:v>
      </x:c>
      <x:c r="J1061" s="53" t="n">
        <x:v>2</x:v>
      </x:c>
      <x:c r="K1061" s="54" t="n">
        <x:v>330.45</x:v>
      </x:c>
      <x:c r="L1061" s="54" t="n">
        <x:v>138.07</x:v>
      </x:c>
      <x:c r="M1061" s="55" t="n">
        <x:v>0</x:v>
      </x:c>
      <x:c r="N1061" s="54" t="n">
        <x:f>ROUND(J1061*K1061,2)</x:f>
        <x:v>660.9</x:v>
      </x:c>
      <x:c r="O1061" s="54" t="n">
        <x:f>ROUND(N1061*(1-M1061),2)</x:f>
        <x:v>660.9</x:v>
      </x:c>
      <x:c r="P1061" s="54" t="n">
        <x:f>ROUND(J1061*L1061,2)</x:f>
        <x:v>276.14</x:v>
      </x:c>
      <x:c r="Q1061" s="54" t="n">
        <x:f>ROUND(O1061-P1061,2)</x:f>
        <x:v>384.76</x:v>
      </x:c>
      <x:c r="R1061" s="55" t="n">
        <x:f>IF(O1061=0,0,ROUND(Q1061/O1061,4))</x:f>
        <x:v>0.5822</x:v>
      </x:c>
      <x:c r="S1061" s="53" t="n">
        <x:v>6</x:v>
      </x:c>
      <x:c r="T1061" t="str">
        <x:v>Entregue</x:v>
      </x:c>
      <x:c r="U1061" t="n">
        <x:v>2</x:v>
      </x:c>
      <x:c r="V1061" t="str"/>
    </x:row>
    <x:row r="1062">
      <x:c r="A1062" s="52" t="n">
        <x:v>46161</x:v>
      </x:c>
      <x:c r="B1062" t="str">
        <x:v>PED-101061</x:v>
      </x:c>
      <x:c r="C1062" t="str">
        <x:v>Cliente 084</x:v>
      </x:c>
      <x:c r="D1062" t="str">
        <x:v>RJ</x:v>
      </x:c>
      <x:c r="E1062" t="str">
        <x:v>Sudeste</x:v>
      </x:c>
      <x:c r="F1062" t="str">
        <x:v>Televendas</x:v>
      </x:c>
      <x:c r="G1062" t="str">
        <x:v>Acessórios</x:v>
      </x:c>
      <x:c r="H1062" t="str">
        <x:v>Mochila Executiva</x:v>
      </x:c>
      <x:c r="I1062" t="str">
        <x:v>Gabriela</x:v>
      </x:c>
      <x:c r="J1062" s="53" t="n">
        <x:v>5</x:v>
      </x:c>
      <x:c r="K1062" s="54" t="n">
        <x:v>440.74</x:v>
      </x:c>
      <x:c r="L1062" s="54" t="n">
        <x:v>186.2</x:v>
      </x:c>
      <x:c r="M1062" s="55" t="n">
        <x:v>0.0549</x:v>
      </x:c>
      <x:c r="N1062" s="54" t="n">
        <x:f>ROUND(J1062*K1062,2)</x:f>
        <x:v>2203.7</x:v>
      </x:c>
      <x:c r="O1062" s="54" t="n">
        <x:f>ROUND(N1062*(1-M1062),2)</x:f>
        <x:v>2082.72</x:v>
      </x:c>
      <x:c r="P1062" s="54" t="n">
        <x:f>ROUND(J1062*L1062,2)</x:f>
        <x:v>931</x:v>
      </x:c>
      <x:c r="Q1062" s="54" t="n">
        <x:f>ROUND(O1062-P1062,2)</x:f>
        <x:v>1151.72</x:v>
      </x:c>
      <x:c r="R1062" s="55" t="n">
        <x:f>IF(O1062=0,0,ROUND(Q1062/O1062,4))</x:f>
        <x:v>0.553</x:v>
      </x:c>
      <x:c r="S1062" s="53" t="n">
        <x:v>9</x:v>
      </x:c>
      <x:c r="T1062" t="str">
        <x:v>Entregue</x:v>
      </x:c>
      <x:c r="U1062" t="n">
        <x:v>3</x:v>
      </x:c>
      <x:c r="V1062" t="str"/>
    </x:row>
    <x:row r="1063">
      <x:c r="A1063" s="52" t="n">
        <x:v>46066</x:v>
      </x:c>
      <x:c r="B1063" t="str">
        <x:v>PED-101062</x:v>
      </x:c>
      <x:c r="C1063" t="str">
        <x:v>Cliente 075</x:v>
      </x:c>
      <x:c r="D1063" t="str">
        <x:v>AM</x:v>
      </x:c>
      <x:c r="E1063" t="str">
        <x:v>Norte</x:v>
      </x:c>
      <x:c r="F1063" t="str">
        <x:v>Loja</x:v>
      </x:c>
      <x:c r="G1063" t="str">
        <x:v>Tecnologia</x:v>
      </x:c>
      <x:c r="H1063" t="str">
        <x:v>Headset Office</x:v>
      </x:c>
      <x:c r="I1063" t="str">
        <x:v>Henrique</x:v>
      </x:c>
      <x:c r="J1063" s="53" t="n">
        <x:v>8</x:v>
      </x:c>
      <x:c r="K1063" s="54" t="n">
        <x:v>406.64</x:v>
      </x:c>
      <x:c r="L1063" s="54" t="n">
        <x:v>209.31</x:v>
      </x:c>
      <x:c r="M1063" s="55" t="n">
        <x:v>0</x:v>
      </x:c>
      <x:c r="N1063" s="54" t="n">
        <x:f>ROUND(J1063*K1063,2)</x:f>
        <x:v>3253.12</x:v>
      </x:c>
      <x:c r="O1063" s="54" t="n">
        <x:f>ROUND(N1063*(1-M1063),2)</x:f>
        <x:v>3253.12</x:v>
      </x:c>
      <x:c r="P1063" s="54" t="n">
        <x:f>ROUND(J1063*L1063,2)</x:f>
        <x:v>1674.48</x:v>
      </x:c>
      <x:c r="Q1063" s="54" t="n">
        <x:f>ROUND(O1063-P1063,2)</x:f>
        <x:v>1578.64</x:v>
      </x:c>
      <x:c r="R1063" s="55" t="n">
        <x:f>IF(O1063=0,0,ROUND(Q1063/O1063,4))</x:f>
        <x:v>0.4853</x:v>
      </x:c>
      <x:c r="S1063" s="53" t="n">
        <x:v>14</x:v>
      </x:c>
      <x:c r="T1063" t="str">
        <x:v>Entregue com atraso</x:v>
      </x:c>
      <x:c r="U1063" t="n">
        <x:v>3</x:v>
      </x:c>
      <x:c r="V1063" t="str"/>
    </x:row>
    <x:row r="1064">
      <x:c r="A1064" s="52" t="n">
        <x:v>46073</x:v>
      </x:c>
      <x:c r="B1064" t="str">
        <x:v>PED-101063</x:v>
      </x:c>
      <x:c r="C1064" t="str">
        <x:v>Cliente 082</x:v>
      </x:c>
      <x:c r="D1064" t="str">
        <x:v>CE</x:v>
      </x:c>
      <x:c r="E1064" t="str">
        <x:v>Nordeste</x:v>
      </x:c>
      <x:c r="F1064" t="str">
        <x:v>Televendas</x:v>
      </x:c>
      <x:c r="G1064" t="str">
        <x:v>Acessórios</x:v>
      </x:c>
      <x:c r="H1064" t="str">
        <x:v>Webcam HD</x:v>
      </x:c>
      <x:c r="I1064" t="str">
        <x:v>Ana</x:v>
      </x:c>
      <x:c r="J1064" s="53" t="n">
        <x:v>8</x:v>
      </x:c>
      <x:c r="K1064" s="54" t="n">
        <x:v>523.53</x:v>
      </x:c>
      <x:c r="L1064" s="54" t="n">
        <x:v>241.48</x:v>
      </x:c>
      <x:c r="M1064" s="55" t="n">
        <x:v>0</x:v>
      </x:c>
      <x:c r="N1064" s="54" t="n">
        <x:f>ROUND(J1064*K1064,2)</x:f>
        <x:v>4188.24</x:v>
      </x:c>
      <x:c r="O1064" s="54" t="n">
        <x:f>ROUND(N1064*(1-M1064),2)</x:f>
        <x:v>4188.24</x:v>
      </x:c>
      <x:c r="P1064" s="54" t="n">
        <x:f>ROUND(J1064*L1064,2)</x:f>
        <x:v>1931.84</x:v>
      </x:c>
      <x:c r="Q1064" s="54" t="n">
        <x:f>ROUND(O1064-P1064,2)</x:f>
        <x:v>2256.4</x:v>
      </x:c>
      <x:c r="R1064" s="55" t="n">
        <x:f>IF(O1064=0,0,ROUND(Q1064/O1064,4))</x:f>
        <x:v>0.5387</x:v>
      </x:c>
      <x:c r="S1064" s="53" t="n">
        <x:v>6</x:v>
      </x:c>
      <x:c r="T1064" t="str">
        <x:v>Entregue</x:v>
      </x:c>
      <x:c r="U1064" t="n">
        <x:v>3</x:v>
      </x:c>
      <x:c r="V1064" t="str"/>
    </x:row>
    <x:row r="1065">
      <x:c r="A1065" s="52" t="n">
        <x:v>46034</x:v>
      </x:c>
      <x:c r="B1065" t="str">
        <x:v>PED-101064</x:v>
      </x:c>
      <x:c r="C1065" t="str">
        <x:v>Cliente 080</x:v>
      </x:c>
      <x:c r="D1065" t="str">
        <x:v>GO</x:v>
      </x:c>
      <x:c r="E1065" t="str">
        <x:v>Centro-Oeste</x:v>
      </x:c>
      <x:c r="F1065" t="str">
        <x:v>Televendas</x:v>
      </x:c>
      <x:c r="G1065" t="str">
        <x:v>Tecnologia</x:v>
      </x:c>
      <x:c r="H1065" t="str">
        <x:v>Notebook Pro</x:v>
      </x:c>
      <x:c r="I1065" t="str">
        <x:v>Carla</x:v>
      </x:c>
      <x:c r="J1065" s="53" t="n">
        <x:v>5</x:v>
      </x:c>
      <x:c r="K1065" s="54" t="n">
        <x:v>5763.48</x:v>
      </x:c>
      <x:c r="L1065" s="54" t="n">
        <x:v>4440.82</x:v>
      </x:c>
      <x:c r="M1065" s="55" t="n">
        <x:v>0.005</x:v>
      </x:c>
      <x:c r="N1065" s="54" t="n">
        <x:f>ROUND(J1065*K1065,2)</x:f>
        <x:v>28817.4</x:v>
      </x:c>
      <x:c r="O1065" s="54" t="n">
        <x:f>ROUND(N1065*(1-M1065),2)</x:f>
        <x:v>28673.31</x:v>
      </x:c>
      <x:c r="P1065" s="54" t="n">
        <x:f>ROUND(J1065*L1065,2)</x:f>
        <x:v>22204.1</x:v>
      </x:c>
      <x:c r="Q1065" s="54" t="n">
        <x:f>ROUND(O1065-P1065,2)</x:f>
        <x:v>6469.21</x:v>
      </x:c>
      <x:c r="R1065" s="55" t="n">
        <x:f>IF(O1065=0,0,ROUND(Q1065/O1065,4))</x:f>
        <x:v>0.2256</x:v>
      </x:c>
      <x:c r="S1065" s="53" t="n">
        <x:v>7</x:v>
      </x:c>
      <x:c r="T1065" t="str">
        <x:v>Entregue</x:v>
      </x:c>
      <x:c r="U1065" t="n">
        <x:v>2</x:v>
      </x:c>
      <x:c r="V1065" t="str"/>
    </x:row>
    <x:row r="1066">
      <x:c r="A1066" s="52" t="n">
        <x:v>46161</x:v>
      </x:c>
      <x:c r="B1066" t="str">
        <x:v>PED-101065</x:v>
      </x:c>
      <x:c r="C1066" t="str">
        <x:v>Cliente 109</x:v>
      </x:c>
      <x:c r="D1066" t="str">
        <x:v>MT</x:v>
      </x:c>
      <x:c r="E1066" t="str">
        <x:v>Centro-Oeste</x:v>
      </x:c>
      <x:c r="F1066" t="str">
        <x:v>Televendas</x:v>
      </x:c>
      <x:c r="G1066" t="str">
        <x:v>Acessórios</x:v>
      </x:c>
      <x:c r="H1066" t="str">
        <x:v>Webcam HD</x:v>
      </x:c>
      <x:c r="I1066" t="str">
        <x:v>Ana</x:v>
      </x:c>
      <x:c r="J1066" s="53" t="n">
        <x:v>6</x:v>
      </x:c>
      <x:c r="K1066" s="54" t="n">
        <x:v>512.17</x:v>
      </x:c>
      <x:c r="L1066" s="54" t="n">
        <x:v>248.18</x:v>
      </x:c>
      <x:c r="M1066" s="55" t="n">
        <x:v>0.0849</x:v>
      </x:c>
      <x:c r="N1066" s="54" t="n">
        <x:f>ROUND(J1066*K1066,2)</x:f>
        <x:v>3073.02</x:v>
      </x:c>
      <x:c r="O1066" s="54" t="n">
        <x:f>ROUND(N1066*(1-M1066),2)</x:f>
        <x:v>2812.12</x:v>
      </x:c>
      <x:c r="P1066" s="54" t="n">
        <x:f>ROUND(J1066*L1066,2)</x:f>
        <x:v>1489.08</x:v>
      </x:c>
      <x:c r="Q1066" s="54" t="n">
        <x:f>ROUND(O1066-P1066,2)</x:f>
        <x:v>1323.04</x:v>
      </x:c>
      <x:c r="R1066" s="55" t="n">
        <x:f>IF(O1066=0,0,ROUND(Q1066/O1066,4))</x:f>
        <x:v>0.4705</x:v>
      </x:c>
      <x:c r="S1066" s="53" t="n">
        <x:v>13</x:v>
      </x:c>
      <x:c r="T1066" t="str">
        <x:v>Entregue com atraso</x:v>
      </x:c>
      <x:c r="U1066" t="n">
        <x:v>4</x:v>
      </x:c>
      <x:c r="V1066" t="str"/>
    </x:row>
    <x:row r="1067">
      <x:c r="A1067" s="52" t="n">
        <x:v>46107</x:v>
      </x:c>
      <x:c r="B1067" t="str">
        <x:v>PED-101066</x:v>
      </x:c>
      <x:c r="C1067" t="str">
        <x:v>Cliente 004</x:v>
      </x:c>
      <x:c r="D1067" t="str">
        <x:v>PR</x:v>
      </x:c>
      <x:c r="E1067" t="str">
        <x:v>Sul</x:v>
      </x:c>
      <x:c r="F1067" t="str">
        <x:v>Televendas</x:v>
      </x:c>
      <x:c r="G1067" t="str">
        <x:v>Acessórios</x:v>
      </x:c>
      <x:c r="H1067" t="str">
        <x:v>Webcam HD</x:v>
      </x:c>
      <x:c r="I1067" t="str">
        <x:v>Henrique</x:v>
      </x:c>
      <x:c r="J1067" s="53" t="n">
        <x:v>5</x:v>
      </x:c>
      <x:c r="K1067" s="54" t="n">
        <x:v>503.36</x:v>
      </x:c>
      <x:c r="L1067" s="54" t="n">
        <x:v>247.3</x:v>
      </x:c>
      <x:c r="M1067" s="55" t="n">
        <x:v>0</x:v>
      </x:c>
      <x:c r="N1067" s="54" t="n">
        <x:f>ROUND(J1067*K1067,2)</x:f>
        <x:v>2516.8</x:v>
      </x:c>
      <x:c r="O1067" s="54" t="n">
        <x:f>ROUND(N1067*(1-M1067),2)</x:f>
        <x:v>2516.8</x:v>
      </x:c>
      <x:c r="P1067" s="54" t="n">
        <x:f>ROUND(J1067*L1067,2)</x:f>
        <x:v>1236.5</x:v>
      </x:c>
      <x:c r="Q1067" s="54" t="n">
        <x:f>ROUND(O1067-P1067,2)</x:f>
        <x:v>1280.3</x:v>
      </x:c>
      <x:c r="R1067" s="55" t="n">
        <x:f>IF(O1067=0,0,ROUND(Q1067/O1067,4))</x:f>
        <x:v>0.5087</x:v>
      </x:c>
      <x:c r="S1067" s="53" t="n">
        <x:v>11</x:v>
      </x:c>
      <x:c r="T1067" t="str">
        <x:v>Entregue com atraso</x:v>
      </x:c>
      <x:c r="U1067" t="n">
        <x:v>5</x:v>
      </x:c>
      <x:c r="V1067" t="str"/>
    </x:row>
    <x:row r="1068">
      <x:c r="A1068" s="52" t="n">
        <x:v>46113</x:v>
      </x:c>
      <x:c r="B1068" t="str">
        <x:v>PED-101067</x:v>
      </x:c>
      <x:c r="C1068" t="str">
        <x:v>Cliente 029</x:v>
      </x:c>
      <x:c r="D1068" t="str">
        <x:v>MT</x:v>
      </x:c>
      <x:c r="E1068" t="str">
        <x:v>Centro-Oeste</x:v>
      </x:c>
      <x:c r="F1068" t="str">
        <x:v>E-commerce</x:v>
      </x:c>
      <x:c r="G1068" t="str">
        <x:v>Acessórios</x:v>
      </x:c>
      <x:c r="H1068" t="str">
        <x:v>Mochila Executiva</x:v>
      </x:c>
      <x:c r="I1068" t="str">
        <x:v>João</x:v>
      </x:c>
      <x:c r="J1068" s="53" t="n">
        <x:v>5</x:v>
      </x:c>
      <x:c r="K1068" s="54" t="n">
        <x:v>409.06</x:v>
      </x:c>
      <x:c r="L1068" s="54" t="n">
        <x:v>192.47</x:v>
      </x:c>
      <x:c r="M1068" s="55" t="n">
        <x:v>0.129</x:v>
      </x:c>
      <x:c r="N1068" s="54" t="n">
        <x:f>ROUND(J1068*K1068,2)</x:f>
        <x:v>2045.3</x:v>
      </x:c>
      <x:c r="O1068" s="54" t="n">
        <x:f>ROUND(N1068*(1-M1068),2)</x:f>
        <x:v>1781.46</x:v>
      </x:c>
      <x:c r="P1068" s="54" t="n">
        <x:f>ROUND(J1068*L1068,2)</x:f>
        <x:v>962.35</x:v>
      </x:c>
      <x:c r="Q1068" s="54" t="n">
        <x:f>ROUND(O1068-P1068,2)</x:f>
        <x:v>819.11</x:v>
      </x:c>
      <x:c r="R1068" s="55" t="n">
        <x:f>IF(O1068=0,0,ROUND(Q1068/O1068,4))</x:f>
        <x:v>0.4598</x:v>
      </x:c>
      <x:c r="S1068" s="53" t="n">
        <x:v>3</x:v>
      </x:c>
      <x:c r="T1068" t="str">
        <x:v>Entregue</x:v>
      </x:c>
      <x:c r="U1068" t="n">
        <x:v>2</x:v>
      </x:c>
      <x:c r="V1068" t="str"/>
    </x:row>
    <x:row r="1069">
      <x:c r="A1069" s="52" t="n">
        <x:v>46177</x:v>
      </x:c>
      <x:c r="B1069" t="str">
        <x:v>PED-101068</x:v>
      </x:c>
      <x:c r="C1069" t="str">
        <x:v>Cliente 025</x:v>
      </x:c>
      <x:c r="D1069" t="str">
        <x:v>SC</x:v>
      </x:c>
      <x:c r="E1069" t="str">
        <x:v>Sul</x:v>
      </x:c>
      <x:c r="F1069" t="str">
        <x:v>Loja</x:v>
      </x:c>
      <x:c r="G1069" t="str">
        <x:v>Tecnologia</x:v>
      </x:c>
      <x:c r="H1069" t="str">
        <x:v>Headset Office</x:v>
      </x:c>
      <x:c r="I1069" t="str">
        <x:v>Diego</x:v>
      </x:c>
      <x:c r="J1069" s="53" t="n">
        <x:v>3</x:v>
      </x:c>
      <x:c r="K1069" s="54" t="n">
        <x:v>368.88</x:v>
      </x:c>
      <x:c r="L1069" s="54" t="n">
        <x:v>202.5</x:v>
      </x:c>
      <x:c r="M1069" s="55" t="n">
        <x:v>0</x:v>
      </x:c>
      <x:c r="N1069" s="54" t="n">
        <x:f>ROUND(J1069*K1069,2)</x:f>
        <x:v>1106.64</x:v>
      </x:c>
      <x:c r="O1069" s="54" t="n">
        <x:f>ROUND(N1069*(1-M1069),2)</x:f>
        <x:v>1106.64</x:v>
      </x:c>
      <x:c r="P1069" s="54" t="n">
        <x:f>ROUND(J1069*L1069,2)</x:f>
        <x:v>607.5</x:v>
      </x:c>
      <x:c r="Q1069" s="54" t="n">
        <x:f>ROUND(O1069-P1069,2)</x:f>
        <x:v>499.14</x:v>
      </x:c>
      <x:c r="R1069" s="55" t="n">
        <x:f>IF(O1069=0,0,ROUND(Q1069/O1069,4))</x:f>
        <x:v>0.451</x:v>
      </x:c>
      <x:c r="S1069" s="53" t="n">
        <x:v>2</x:v>
      </x:c>
      <x:c r="T1069" t="str">
        <x:v>Entregue</x:v>
      </x:c>
      <x:c r="U1069" t="n">
        <x:v>2</x:v>
      </x:c>
      <x:c r="V1069" t="str"/>
    </x:row>
    <x:row r="1070">
      <x:c r="A1070" s="52" t="n">
        <x:v>46152</x:v>
      </x:c>
      <x:c r="B1070" t="str">
        <x:v>PED-101069</x:v>
      </x:c>
      <x:c r="C1070" t="str">
        <x:v>Cliente 113</x:v>
      </x:c>
      <x:c r="D1070" t="str">
        <x:v>SP</x:v>
      </x:c>
      <x:c r="E1070" t="str">
        <x:v>Sudeste</x:v>
      </x:c>
      <x:c r="F1070" t="str">
        <x:v>Loja</x:v>
      </x:c>
      <x:c r="G1070" t="str">
        <x:v>Escritório</x:v>
      </x:c>
      <x:c r="H1070" t="str">
        <x:v>Luminária LED</x:v>
      </x:c>
      <x:c r="I1070" t="str">
        <x:v>Carla</x:v>
      </x:c>
      <x:c r="J1070" s="53" t="n">
        <x:v>4</x:v>
      </x:c>
      <x:c r="K1070" s="54" t="n">
        <x:v>266.52</x:v>
      </x:c>
      <x:c r="L1070" s="54" t="n">
        <x:v>119.39</x:v>
      </x:c>
      <x:c r="M1070" s="55" t="n">
        <x:v>0.1046</x:v>
      </x:c>
      <x:c r="N1070" s="54" t="n">
        <x:f>ROUND(J1070*K1070,2)</x:f>
        <x:v>1066.08</x:v>
      </x:c>
      <x:c r="O1070" s="54" t="n">
        <x:f>ROUND(N1070*(1-M1070),2)</x:f>
        <x:v>954.57</x:v>
      </x:c>
      <x:c r="P1070" s="54" t="n">
        <x:f>ROUND(J1070*L1070,2)</x:f>
        <x:v>477.56</x:v>
      </x:c>
      <x:c r="Q1070" s="54" t="n">
        <x:f>ROUND(O1070-P1070,2)</x:f>
        <x:v>477.01</x:v>
      </x:c>
      <x:c r="R1070" s="55" t="n">
        <x:f>IF(O1070=0,0,ROUND(Q1070/O1070,4))</x:f>
        <x:v>0.4997</x:v>
      </x:c>
      <x:c r="S1070" s="53" t="n">
        <x:v>2</x:v>
      </x:c>
      <x:c r="T1070" t="str">
        <x:v>Entregue</x:v>
      </x:c>
      <x:c r="U1070" t="n">
        <x:v>3</x:v>
      </x:c>
      <x:c r="V1070" t="str"/>
    </x:row>
    <x:row r="1071">
      <x:c r="A1071" s="52" t="n">
        <x:v>46201</x:v>
      </x:c>
      <x:c r="B1071" t="str">
        <x:v>PED-101070</x:v>
      </x:c>
      <x:c r="C1071" t="str">
        <x:v>Cliente 099</x:v>
      </x:c>
      <x:c r="D1071" t="str">
        <x:v>RS</x:v>
      </x:c>
      <x:c r="E1071" t="str">
        <x:v>Sul</x:v>
      </x:c>
      <x:c r="F1071" t="str">
        <x:v>E-commerce</x:v>
      </x:c>
      <x:c r="G1071" t="str">
        <x:v>Acessórios</x:v>
      </x:c>
      <x:c r="H1071" t="str">
        <x:v>Mochila Executiva</x:v>
      </x:c>
      <x:c r="I1071" t="str">
        <x:v>Henrique</x:v>
      </x:c>
      <x:c r="J1071" s="53" t="n">
        <x:v>1</x:v>
      </x:c>
      <x:c r="K1071" s="54" t="n">
        <x:v>451.94</x:v>
      </x:c>
      <x:c r="L1071" s="54" t="n">
        <x:v>194.25</x:v>
      </x:c>
      <x:c r="M1071" s="55" t="n">
        <x:v>0</x:v>
      </x:c>
      <x:c r="N1071" s="54" t="n">
        <x:f>ROUND(J1071*K1071,2)</x:f>
        <x:v>451.94</x:v>
      </x:c>
      <x:c r="O1071" s="54" t="n">
        <x:f>ROUND(N1071*(1-M1071),2)</x:f>
        <x:v>451.94</x:v>
      </x:c>
      <x:c r="P1071" s="54" t="n">
        <x:f>ROUND(J1071*L1071,2)</x:f>
        <x:v>194.25</x:v>
      </x:c>
      <x:c r="Q1071" s="54" t="n">
        <x:f>ROUND(O1071-P1071,2)</x:f>
        <x:v>257.69</x:v>
      </x:c>
      <x:c r="R1071" s="55" t="n">
        <x:f>IF(O1071=0,0,ROUND(Q1071/O1071,4))</x:f>
        <x:v>0.5702</x:v>
      </x:c>
      <x:c r="S1071" s="53" t="n">
        <x:v>11</x:v>
      </x:c>
      <x:c r="T1071" t="str">
        <x:v>Entregue com atraso</x:v>
      </x:c>
      <x:c r="U1071" t="n">
        <x:v>5</x:v>
      </x:c>
      <x:c r="V1071" t="str"/>
    </x:row>
    <x:row r="1072">
      <x:c r="A1072" s="52" t="n">
        <x:v>46181</x:v>
      </x:c>
      <x:c r="B1072" t="str">
        <x:v>PED-101071</x:v>
      </x:c>
      <x:c r="C1072" t="str">
        <x:v>Cliente 057</x:v>
      </x:c>
      <x:c r="D1072" t="str">
        <x:v>BA</x:v>
      </x:c>
      <x:c r="E1072" t="str">
        <x:v>Nordeste</x:v>
      </x:c>
      <x:c r="F1072" t="str">
        <x:v>E-commerce</x:v>
      </x:c>
      <x:c r="G1072" t="str">
        <x:v>Escritório</x:v>
      </x:c>
      <x:c r="H1072" t="str">
        <x:v>Luminária LED</x:v>
      </x:c>
      <x:c r="I1072" t="str">
        <x:v>Carla</x:v>
      </x:c>
      <x:c r="J1072" s="53" t="n">
        <x:v>6</x:v>
      </x:c>
      <x:c r="K1072" s="54" t="n">
        <x:v>248.55</x:v>
      </x:c>
      <x:c r="L1072" s="54" t="n">
        <x:v>122.84</x:v>
      </x:c>
      <x:c r="M1072" s="55" t="n">
        <x:v>0.0025</x:v>
      </x:c>
      <x:c r="N1072" s="54" t="n">
        <x:f>ROUND(J1072*K1072,2)</x:f>
        <x:v>1491.3</x:v>
      </x:c>
      <x:c r="O1072" s="54" t="n">
        <x:f>ROUND(N1072*(1-M1072),2)</x:f>
        <x:v>1487.57</x:v>
      </x:c>
      <x:c r="P1072" s="54" t="n">
        <x:f>ROUND(J1072*L1072,2)</x:f>
        <x:v>737.04</x:v>
      </x:c>
      <x:c r="Q1072" s="54" t="n">
        <x:f>ROUND(O1072-P1072,2)</x:f>
        <x:v>750.53</x:v>
      </x:c>
      <x:c r="R1072" s="55" t="n">
        <x:f>IF(O1072=0,0,ROUND(Q1072/O1072,4))</x:f>
        <x:v>0.5045</x:v>
      </x:c>
      <x:c r="S1072" s="53" t="n">
        <x:v>8</x:v>
      </x:c>
      <x:c r="T1072" t="str">
        <x:v>Entregue</x:v>
      </x:c>
      <x:c r="U1072" t="n">
        <x:v>3</x:v>
      </x:c>
      <x:c r="V1072" t="str"/>
    </x:row>
    <x:row r="1073">
      <x:c r="A1073" s="52" t="n">
        <x:v>46198</x:v>
      </x:c>
      <x:c r="B1073" t="str">
        <x:v>PED-101072</x:v>
      </x:c>
      <x:c r="C1073" t="str">
        <x:v>Cliente 037</x:v>
      </x:c>
      <x:c r="D1073" t="str">
        <x:v>MT</x:v>
      </x:c>
      <x:c r="E1073" t="str">
        <x:v>Centro-Oeste</x:v>
      </x:c>
      <x:c r="F1073" t="str">
        <x:v>Televendas</x:v>
      </x:c>
      <x:c r="G1073" t="str">
        <x:v>Tecnologia</x:v>
      </x:c>
      <x:c r="H1073" t="str">
        <x:v>Headset Office</x:v>
      </x:c>
      <x:c r="I1073" t="str">
        <x:v>Carla</x:v>
      </x:c>
      <x:c r="J1073" s="53" t="n">
        <x:v>2</x:v>
      </x:c>
      <x:c r="K1073" s="54" t="n">
        <x:v>367.39</x:v>
      </x:c>
      <x:c r="L1073" s="54" t="n">
        <x:v>219.27</x:v>
      </x:c>
      <x:c r="M1073" s="55" t="n">
        <x:v>0.0738</x:v>
      </x:c>
      <x:c r="N1073" s="54" t="n">
        <x:f>ROUND(J1073*K1073,2)</x:f>
        <x:v>734.78</x:v>
      </x:c>
      <x:c r="O1073" s="54" t="n">
        <x:f>ROUND(N1073*(1-M1073),2)</x:f>
        <x:v>680.55</x:v>
      </x:c>
      <x:c r="P1073" s="54" t="n">
        <x:f>ROUND(J1073*L1073,2)</x:f>
        <x:v>438.54</x:v>
      </x:c>
      <x:c r="Q1073" s="54" t="n">
        <x:f>ROUND(O1073-P1073,2)</x:f>
        <x:v>242.01</x:v>
      </x:c>
      <x:c r="R1073" s="55" t="n">
        <x:f>IF(O1073=0,0,ROUND(Q1073/O1073,4))</x:f>
        <x:v>0.3556</x:v>
      </x:c>
      <x:c r="S1073" s="53" t="n">
        <x:v>3</x:v>
      </x:c>
      <x:c r="T1073" t="str">
        <x:v>Entregue</x:v>
      </x:c>
      <x:c r="U1073" t="n">
        <x:v>3</x:v>
      </x:c>
      <x:c r="V1073" t="str"/>
    </x:row>
    <x:row r="1074">
      <x:c r="A1074" s="52" t="n">
        <x:v>46117</x:v>
      </x:c>
      <x:c r="B1074" t="str">
        <x:v>PED-101073</x:v>
      </x:c>
      <x:c r="C1074" t="str">
        <x:v>Cliente 094</x:v>
      </x:c>
      <x:c r="D1074" t="str">
        <x:v>RJ</x:v>
      </x:c>
      <x:c r="E1074" t="str">
        <x:v>Sudeste</x:v>
      </x:c>
      <x:c r="F1074" t="str">
        <x:v>Televendas</x:v>
      </x:c>
      <x:c r="G1074" t="str">
        <x:v>Tecnologia</x:v>
      </x:c>
      <x:c r="H1074" t="str">
        <x:v>Notebook Pro</x:v>
      </x:c>
      <x:c r="I1074" t="str">
        <x:v>Elaine</x:v>
      </x:c>
      <x:c r="J1074" s="53" t="n">
        <x:v>2</x:v>
      </x:c>
      <x:c r="K1074" s="54" t="n">
        <x:v>5688.11</x:v>
      </x:c>
      <x:c r="L1074" s="54" t="n">
        <x:v>4501.1</x:v>
      </x:c>
      <x:c r="M1074" s="55" t="n">
        <x:v>0</x:v>
      </x:c>
      <x:c r="N1074" s="54" t="n">
        <x:f>ROUND(J1074*K1074,2)</x:f>
        <x:v>11376.22</x:v>
      </x:c>
      <x:c r="O1074" s="54" t="n">
        <x:f>ROUND(N1074*(1-M1074),2)</x:f>
        <x:v>11376.22</x:v>
      </x:c>
      <x:c r="P1074" s="54" t="n">
        <x:f>ROUND(J1074*L1074,2)</x:f>
        <x:v>9002.2</x:v>
      </x:c>
      <x:c r="Q1074" s="54" t="n">
        <x:f>ROUND(O1074-P1074,2)</x:f>
        <x:v>2374.02</x:v>
      </x:c>
      <x:c r="R1074" s="55" t="n">
        <x:f>IF(O1074=0,0,ROUND(Q1074/O1074,4))</x:f>
        <x:v>0.2087</x:v>
      </x:c>
      <x:c r="S1074" s="53" t="n">
        <x:v>5</x:v>
      </x:c>
      <x:c r="T1074" t="str">
        <x:v>Entregue</x:v>
      </x:c>
      <x:c r="U1074" t="n">
        <x:v>4</x:v>
      </x:c>
      <x:c r="V1074" t="str"/>
    </x:row>
    <x:row r="1075">
      <x:c r="A1075" s="52" t="n">
        <x:v>46215</x:v>
      </x:c>
      <x:c r="B1075" t="str">
        <x:v>PED-101074</x:v>
      </x:c>
      <x:c r="C1075" t="str">
        <x:v>Cliente 070</x:v>
      </x:c>
      <x:c r="D1075" t="str">
        <x:v>DF</x:v>
      </x:c>
      <x:c r="E1075" t="str">
        <x:v>Centro-Oeste</x:v>
      </x:c>
      <x:c r="F1075" t="str">
        <x:v>Televendas</x:v>
      </x:c>
      <x:c r="G1075" t="str">
        <x:v>Casa</x:v>
      </x:c>
      <x:c r="H1075" t="str">
        <x:v>Cafeteira Smart</x:v>
      </x:c>
      <x:c r="I1075" t="str">
        <x:v>João</x:v>
      </x:c>
      <x:c r="J1075" s="53" t="n">
        <x:v>2</x:v>
      </x:c>
      <x:c r="K1075" s="54" t="n">
        <x:v>753.8</x:v>
      </x:c>
      <x:c r="L1075" s="54" t="n">
        <x:v>463.42</x:v>
      </x:c>
      <x:c r="M1075" s="55" t="n">
        <x:v>0.1111</x:v>
      </x:c>
      <x:c r="N1075" s="54" t="n">
        <x:f>ROUND(J1075*K1075,2)</x:f>
        <x:v>1507.6</x:v>
      </x:c>
      <x:c r="O1075" s="54" t="n">
        <x:f>ROUND(N1075*(1-M1075),2)</x:f>
        <x:v>1340.11</x:v>
      </x:c>
      <x:c r="P1075" s="54" t="n">
        <x:f>ROUND(J1075*L1075,2)</x:f>
        <x:v>926.84</x:v>
      </x:c>
      <x:c r="Q1075" s="54" t="n">
        <x:f>ROUND(O1075-P1075,2)</x:f>
        <x:v>413.27</x:v>
      </x:c>
      <x:c r="R1075" s="55" t="n">
        <x:f>IF(O1075=0,0,ROUND(Q1075/O1075,4))</x:f>
        <x:v>0.3084</x:v>
      </x:c>
      <x:c r="S1075" s="53" t="n">
        <x:v>14</x:v>
      </x:c>
      <x:c r="T1075" t="str">
        <x:v>Entregue com atraso</x:v>
      </x:c>
      <x:c r="U1075" t="n">
        <x:v>3</x:v>
      </x:c>
      <x:c r="V1075" t="str"/>
    </x:row>
    <x:row r="1076">
      <x:c r="A1076" s="52" t="n">
        <x:v>46074</x:v>
      </x:c>
      <x:c r="B1076" t="str">
        <x:v>PED-101075</x:v>
      </x:c>
      <x:c r="C1076" t="str">
        <x:v>Cliente 107</x:v>
      </x:c>
      <x:c r="D1076" t="str">
        <x:v>DF</x:v>
      </x:c>
      <x:c r="E1076" t="str">
        <x:v>Centro-Oeste</x:v>
      </x:c>
      <x:c r="F1076" t="str">
        <x:v>Marketplace</x:v>
      </x:c>
      <x:c r="G1076" t="str">
        <x:v>Escritório</x:v>
      </x:c>
      <x:c r="H1076" t="str">
        <x:v>Luminária LED</x:v>
      </x:c>
      <x:c r="I1076" t="str">
        <x:v>Henrique</x:v>
      </x:c>
      <x:c r="J1076" s="53" t="n">
        <x:v>4</x:v>
      </x:c>
      <x:c r="K1076" s="54" t="n">
        <x:v>251.32</x:v>
      </x:c>
      <x:c r="L1076" s="54" t="n">
        <x:v>116.41</x:v>
      </x:c>
      <x:c r="M1076" s="55" t="n">
        <x:v>0.07</x:v>
      </x:c>
      <x:c r="N1076" s="54" t="n">
        <x:f>ROUND(J1076*K1076,2)</x:f>
        <x:v>1005.28</x:v>
      </x:c>
      <x:c r="O1076" s="54" t="n">
        <x:f>ROUND(N1076*(1-M1076),2)</x:f>
        <x:v>934.91</x:v>
      </x:c>
      <x:c r="P1076" s="54" t="n">
        <x:f>ROUND(J1076*L1076,2)</x:f>
        <x:v>465.64</x:v>
      </x:c>
      <x:c r="Q1076" s="54" t="n">
        <x:f>ROUND(O1076-P1076,2)</x:f>
        <x:v>469.27</x:v>
      </x:c>
      <x:c r="R1076" s="55" t="n">
        <x:f>IF(O1076=0,0,ROUND(Q1076/O1076,4))</x:f>
        <x:v>0.5019</x:v>
      </x:c>
      <x:c r="S1076" s="53" t="n">
        <x:v>6</x:v>
      </x:c>
      <x:c r="T1076" t="str">
        <x:v>Entregue</x:v>
      </x:c>
      <x:c r="U1076" t="n">
        <x:v>3</x:v>
      </x:c>
      <x:c r="V1076" t="str"/>
    </x:row>
    <x:row r="1077">
      <x:c r="A1077" s="52" t="n">
        <x:v>46116</x:v>
      </x:c>
      <x:c r="B1077" t="str">
        <x:v>PED-101076</x:v>
      </x:c>
      <x:c r="C1077" t="str">
        <x:v>Cliente 020</x:v>
      </x:c>
      <x:c r="D1077" t="str">
        <x:v>SP</x:v>
      </x:c>
      <x:c r="E1077" t="str">
        <x:v>Sudeste</x:v>
      </x:c>
      <x:c r="F1077" t="str">
        <x:v>Loja</x:v>
      </x:c>
      <x:c r="G1077" t="str">
        <x:v>Acessórios</x:v>
      </x:c>
      <x:c r="H1077" t="str">
        <x:v>Mochila Executiva</x:v>
      </x:c>
      <x:c r="I1077" t="str">
        <x:v>Carla</x:v>
      </x:c>
      <x:c r="J1077" s="53" t="n">
        <x:v>3</x:v>
      </x:c>
      <x:c r="K1077" s="54" t="n">
        <x:v>447.95</x:v>
      </x:c>
      <x:c r="L1077" s="54" t="n">
        <x:v>188.69</x:v>
      </x:c>
      <x:c r="M1077" s="55" t="n">
        <x:v>0.0087</x:v>
      </x:c>
      <x:c r="N1077" s="54" t="n">
        <x:f>ROUND(J1077*K1077,2)</x:f>
        <x:v>1343.85</x:v>
      </x:c>
      <x:c r="O1077" s="54" t="n">
        <x:f>ROUND(N1077*(1-M1077),2)</x:f>
        <x:v>1332.16</x:v>
      </x:c>
      <x:c r="P1077" s="54" t="n">
        <x:f>ROUND(J1077*L1077,2)</x:f>
        <x:v>566.07</x:v>
      </x:c>
      <x:c r="Q1077" s="54" t="n">
        <x:f>ROUND(O1077-P1077,2)</x:f>
        <x:v>766.09</x:v>
      </x:c>
      <x:c r="R1077" s="55" t="n">
        <x:f>IF(O1077=0,0,ROUND(Q1077/O1077,4))</x:f>
        <x:v>0.5751</x:v>
      </x:c>
      <x:c r="S1077" s="53" t="n">
        <x:v>6</x:v>
      </x:c>
      <x:c r="T1077" t="str">
        <x:v>Cancelado</x:v>
      </x:c>
      <x:c r="U1077"/>
      <x:c r="V1077" t="str"/>
    </x:row>
    <x:row r="1078">
      <x:c r="A1078" s="52" t="n">
        <x:v>46194</x:v>
      </x:c>
      <x:c r="B1078" t="str">
        <x:v>PED-101077</x:v>
      </x:c>
      <x:c r="C1078" t="str">
        <x:v>Cliente 075</x:v>
      </x:c>
      <x:c r="D1078" t="str">
        <x:v>BA</x:v>
      </x:c>
      <x:c r="E1078" t="str">
        <x:v>Nordeste</x:v>
      </x:c>
      <x:c r="F1078" t="str">
        <x:v>Marketplace</x:v>
      </x:c>
      <x:c r="G1078" t="str">
        <x:v>Escritório</x:v>
      </x:c>
      <x:c r="H1078" t="str">
        <x:v>Luminária LED</x:v>
      </x:c>
      <x:c r="I1078" t="str">
        <x:v>Ana</x:v>
      </x:c>
      <x:c r="J1078" s="53" t="n">
        <x:v>5</x:v>
      </x:c>
      <x:c r="K1078" s="54" t="n">
        <x:v>258.73</x:v>
      </x:c>
      <x:c r="L1078" s="54" t="n">
        <x:v>119.12</x:v>
      </x:c>
      <x:c r="M1078" s="55" t="n">
        <x:v>0.0565</x:v>
      </x:c>
      <x:c r="N1078" s="54" t="n">
        <x:f>ROUND(J1078*K1078,2)</x:f>
        <x:v>1293.65</x:v>
      </x:c>
      <x:c r="O1078" s="54" t="n">
        <x:f>ROUND(N1078*(1-M1078),2)</x:f>
        <x:v>1220.56</x:v>
      </x:c>
      <x:c r="P1078" s="54" t="n">
        <x:f>ROUND(J1078*L1078,2)</x:f>
        <x:v>595.6</x:v>
      </x:c>
      <x:c r="Q1078" s="54" t="n">
        <x:f>ROUND(O1078-P1078,2)</x:f>
        <x:v>624.96</x:v>
      </x:c>
      <x:c r="R1078" s="55" t="n">
        <x:f>IF(O1078=0,0,ROUND(Q1078/O1078,4))</x:f>
        <x:v>0.512</x:v>
      </x:c>
      <x:c r="S1078" s="53" t="n">
        <x:v>12</x:v>
      </x:c>
      <x:c r="T1078" t="str">
        <x:v>Entregue com atraso</x:v>
      </x:c>
      <x:c r="U1078" t="n">
        <x:v>5</x:v>
      </x:c>
      <x:c r="V1078" t="str"/>
    </x:row>
    <x:row r="1079">
      <x:c r="A1079" s="52" t="n">
        <x:v>46168</x:v>
      </x:c>
      <x:c r="B1079" t="str">
        <x:v>PED-101078</x:v>
      </x:c>
      <x:c r="C1079" t="str">
        <x:v>Cliente 101</x:v>
      </x:c>
      <x:c r="D1079" t="str">
        <x:v>CE</x:v>
      </x:c>
      <x:c r="E1079" t="str">
        <x:v>Nordeste</x:v>
      </x:c>
      <x:c r="F1079" t="str">
        <x:v>Televendas</x:v>
      </x:c>
      <x:c r="G1079" t="str">
        <x:v>Casa</x:v>
      </x:c>
      <x:c r="H1079" t="str">
        <x:v>Purificador</x:v>
      </x:c>
      <x:c r="I1079" t="str">
        <x:v>Gabriela</x:v>
      </x:c>
      <x:c r="J1079" s="53" t="n">
        <x:v>3</x:v>
      </x:c>
      <x:c r="K1079" s="54" t="n">
        <x:v>1285.87</x:v>
      </x:c>
      <x:c r="L1079" s="54" t="n">
        <x:v>835.35</x:v>
      </x:c>
      <x:c r="M1079" s="55" t="n">
        <x:v>0</x:v>
      </x:c>
      <x:c r="N1079" s="54" t="n">
        <x:f>ROUND(J1079*K1079,2)</x:f>
        <x:v>3857.61</x:v>
      </x:c>
      <x:c r="O1079" s="54" t="n">
        <x:f>ROUND(N1079*(1-M1079),2)</x:f>
        <x:v>3857.61</x:v>
      </x:c>
      <x:c r="P1079" s="54" t="n">
        <x:f>ROUND(J1079*L1079,2)</x:f>
        <x:v>2506.05</x:v>
      </x:c>
      <x:c r="Q1079" s="54" t="n">
        <x:f>ROUND(O1079-P1079,2)</x:f>
        <x:v>1351.56</x:v>
      </x:c>
      <x:c r="R1079" s="55" t="n">
        <x:f>IF(O1079=0,0,ROUND(Q1079/O1079,4))</x:f>
        <x:v>0.3504</x:v>
      </x:c>
      <x:c r="S1079" s="53" t="n">
        <x:v>6</x:v>
      </x:c>
      <x:c r="T1079" t="str">
        <x:v>Entregue</x:v>
      </x:c>
      <x:c r="U1079" t="n">
        <x:v>4</x:v>
      </x:c>
      <x:c r="V1079" t="str"/>
    </x:row>
    <x:row r="1080">
      <x:c r="A1080" s="52" t="n">
        <x:v>46177</x:v>
      </x:c>
      <x:c r="B1080" t="str">
        <x:v>PED-101079</x:v>
      </x:c>
      <x:c r="C1080" t="str">
        <x:v>Cliente 070</x:v>
      </x:c>
      <x:c r="D1080" t="str">
        <x:v>ES</x:v>
      </x:c>
      <x:c r="E1080" t="str">
        <x:v>Sudeste</x:v>
      </x:c>
      <x:c r="F1080" t="str">
        <x:v>Marketplace</x:v>
      </x:c>
      <x:c r="G1080" t="str">
        <x:v>Acessórios</x:v>
      </x:c>
      <x:c r="H1080" t="str">
        <x:v>Hub USB-C</x:v>
      </x:c>
      <x:c r="I1080" t="str">
        <x:v>Felipe</x:v>
      </x:c>
      <x:c r="J1080" s="53" t="n">
        <x:v>6</x:v>
      </x:c>
      <x:c r="K1080" s="54" t="n">
        <x:v>325.45</x:v>
      </x:c>
      <x:c r="L1080" s="54" t="n">
        <x:v>131.84</x:v>
      </x:c>
      <x:c r="M1080" s="55" t="n">
        <x:v>0.035</x:v>
      </x:c>
      <x:c r="N1080" s="54" t="n">
        <x:f>ROUND(J1080*K1080,2)</x:f>
        <x:v>1952.7</x:v>
      </x:c>
      <x:c r="O1080" s="54" t="n">
        <x:f>ROUND(N1080*(1-M1080),2)</x:f>
        <x:v>1884.36</x:v>
      </x:c>
      <x:c r="P1080" s="54" t="n">
        <x:f>ROUND(J1080*L1080,2)</x:f>
        <x:v>791.04</x:v>
      </x:c>
      <x:c r="Q1080" s="54" t="n">
        <x:f>ROUND(O1080-P1080,2)</x:f>
        <x:v>1093.32</x:v>
      </x:c>
      <x:c r="R1080" s="55" t="n">
        <x:f>IF(O1080=0,0,ROUND(Q1080/O1080,4))</x:f>
        <x:v>0.5802</x:v>
      </x:c>
      <x:c r="S1080" s="53" t="n">
        <x:v>13</x:v>
      </x:c>
      <x:c r="T1080" t="str">
        <x:v>Entregue com atraso</x:v>
      </x:c>
      <x:c r="U1080" t="n">
        <x:v>3</x:v>
      </x:c>
      <x:c r="V1080" t="str"/>
    </x:row>
    <x:row r="1081">
      <x:c r="A1081" s="52" t="n">
        <x:v>46215</x:v>
      </x:c>
      <x:c r="B1081" t="str">
        <x:v>PED-101080</x:v>
      </x:c>
      <x:c r="C1081" t="str">
        <x:v>Cliente 087</x:v>
      </x:c>
      <x:c r="D1081" t="str">
        <x:v>MT</x:v>
      </x:c>
      <x:c r="E1081" t="str">
        <x:v>Centro-Oeste</x:v>
      </x:c>
      <x:c r="F1081" t="str">
        <x:v>Televendas</x:v>
      </x:c>
      <x:c r="G1081" t="str">
        <x:v>Tecnologia</x:v>
      </x:c>
      <x:c r="H1081" t="str">
        <x:v>Headset Office</x:v>
      </x:c>
      <x:c r="I1081" t="str">
        <x:v>Bruno</x:v>
      </x:c>
      <x:c r="J1081" s="53" t="n">
        <x:v>2</x:v>
      </x:c>
      <x:c r="K1081" s="54" t="n">
        <x:v>395.34</x:v>
      </x:c>
      <x:c r="L1081" s="54" t="n">
        <x:v>202.17</x:v>
      </x:c>
      <x:c r="M1081" s="55" t="n">
        <x:v>0</x:v>
      </x:c>
      <x:c r="N1081" s="54" t="n">
        <x:f>ROUND(J1081*K1081,2)</x:f>
        <x:v>790.68</x:v>
      </x:c>
      <x:c r="O1081" s="54" t="n">
        <x:f>ROUND(N1081*(1-M1081),2)</x:f>
        <x:v>790.68</x:v>
      </x:c>
      <x:c r="P1081" s="54" t="n">
        <x:f>ROUND(J1081*L1081,2)</x:f>
        <x:v>404.34</x:v>
      </x:c>
      <x:c r="Q1081" s="54" t="n">
        <x:f>ROUND(O1081-P1081,2)</x:f>
        <x:v>386.34</x:v>
      </x:c>
      <x:c r="R1081" s="55" t="n">
        <x:f>IF(O1081=0,0,ROUND(Q1081/O1081,4))</x:f>
        <x:v>0.4886</x:v>
      </x:c>
      <x:c r="S1081" s="53" t="n">
        <x:v>9</x:v>
      </x:c>
      <x:c r="T1081" t="str">
        <x:v>Entregue</x:v>
      </x:c>
      <x:c r="U1081" t="n">
        <x:v>4</x:v>
      </x:c>
      <x:c r="V1081" t="str"/>
    </x:row>
    <x:row r="1082">
      <x:c r="A1082" s="52" t="n">
        <x:v>46075</x:v>
      </x:c>
      <x:c r="B1082" t="str">
        <x:v>PED-101081</x:v>
      </x:c>
      <x:c r="C1082" t="str">
        <x:v>Cliente 003</x:v>
      </x:c>
      <x:c r="D1082" t="str">
        <x:v>SC</x:v>
      </x:c>
      <x:c r="E1082" t="str">
        <x:v>Sul</x:v>
      </x:c>
      <x:c r="F1082" t="str">
        <x:v>E-commerce</x:v>
      </x:c>
      <x:c r="G1082" t="str">
        <x:v>Tecnologia</x:v>
      </x:c>
      <x:c r="H1082" t="str">
        <x:v>Headset Office</x:v>
      </x:c>
      <x:c r="I1082" t="str">
        <x:v>Isabela</x:v>
      </x:c>
      <x:c r="J1082" s="53" t="n">
        <x:v>8</x:v>
      </x:c>
      <x:c r="K1082" s="54" t="n">
        <x:v>396.13</x:v>
      </x:c>
      <x:c r="L1082" s="54" t="n">
        <x:v>214.58</x:v>
      </x:c>
      <x:c r="M1082" s="55" t="n">
        <x:v>0</x:v>
      </x:c>
      <x:c r="N1082" s="54" t="n">
        <x:f>ROUND(J1082*K1082,2)</x:f>
        <x:v>3169.04</x:v>
      </x:c>
      <x:c r="O1082" s="54" t="n">
        <x:f>ROUND(N1082*(1-M1082),2)</x:f>
        <x:v>3169.04</x:v>
      </x:c>
      <x:c r="P1082" s="54" t="n">
        <x:f>ROUND(J1082*L1082,2)</x:f>
        <x:v>1716.64</x:v>
      </x:c>
      <x:c r="Q1082" s="54" t="n">
        <x:f>ROUND(O1082-P1082,2)</x:f>
        <x:v>1452.4</x:v>
      </x:c>
      <x:c r="R1082" s="55" t="n">
        <x:f>IF(O1082=0,0,ROUND(Q1082/O1082,4))</x:f>
        <x:v>0.4583</x:v>
      </x:c>
      <x:c r="S1082" s="53" t="n">
        <x:v>11</x:v>
      </x:c>
      <x:c r="T1082" t="str">
        <x:v>Entregue com atraso</x:v>
      </x:c>
      <x:c r="U1082" t="n">
        <x:v>2</x:v>
      </x:c>
      <x:c r="V1082" t="str"/>
    </x:row>
    <x:row r="1083">
      <x:c r="A1083" s="52" t="n">
        <x:v>46052</x:v>
      </x:c>
      <x:c r="B1083" t="str">
        <x:v>PED-101082</x:v>
      </x:c>
      <x:c r="C1083" t="str">
        <x:v>Cliente 102</x:v>
      </x:c>
      <x:c r="D1083" t="str">
        <x:v>MA</x:v>
      </x:c>
      <x:c r="E1083" t="str">
        <x:v>Nordeste</x:v>
      </x:c>
      <x:c r="F1083" t="str">
        <x:v>Loja</x:v>
      </x:c>
      <x:c r="G1083" t="str">
        <x:v>Casa</x:v>
      </x:c>
      <x:c r="H1083" t="str">
        <x:v>Purificador</x:v>
      </x:c>
      <x:c r="I1083" t="str">
        <x:v>Bruno</x:v>
      </x:c>
      <x:c r="J1083" s="53" t="n">
        <x:v>3</x:v>
      </x:c>
      <x:c r="K1083" s="54" t="n">
        <x:v>1296.42</x:v>
      </x:c>
      <x:c r="L1083" s="54" t="n">
        <x:v>777.61</x:v>
      </x:c>
      <x:c r="M1083" s="55" t="n">
        <x:v>0.0413</x:v>
      </x:c>
      <x:c r="N1083" s="54" t="n">
        <x:f>ROUND(J1083*K1083,2)</x:f>
        <x:v>3889.26</x:v>
      </x:c>
      <x:c r="O1083" s="54" t="n">
        <x:f>ROUND(N1083*(1-M1083),2)</x:f>
        <x:v>3728.63</x:v>
      </x:c>
      <x:c r="P1083" s="54" t="n">
        <x:f>ROUND(J1083*L1083,2)</x:f>
        <x:v>2332.83</x:v>
      </x:c>
      <x:c r="Q1083" s="54" t="n">
        <x:f>ROUND(O1083-P1083,2)</x:f>
        <x:v>1395.8</x:v>
      </x:c>
      <x:c r="R1083" s="55" t="n">
        <x:f>IF(O1083=0,0,ROUND(Q1083/O1083,4))</x:f>
        <x:v>0.3743</x:v>
      </x:c>
      <x:c r="S1083" s="53" t="n">
        <x:v>4</x:v>
      </x:c>
      <x:c r="T1083" t="str">
        <x:v>Entregue</x:v>
      </x:c>
      <x:c r="U1083" t="n">
        <x:v>2</x:v>
      </x:c>
      <x:c r="V1083" t="str"/>
    </x:row>
    <x:row r="1084">
      <x:c r="A1084" s="52" t="n">
        <x:v>46076</x:v>
      </x:c>
      <x:c r="B1084" t="str">
        <x:v>PED-101083</x:v>
      </x:c>
      <x:c r="C1084" t="str">
        <x:v>Cliente 034</x:v>
      </x:c>
      <x:c r="D1084" t="str">
        <x:v>MG</x:v>
      </x:c>
      <x:c r="E1084" t="str">
        <x:v>Sudeste</x:v>
      </x:c>
      <x:c r="F1084" t="str">
        <x:v>E-commerce</x:v>
      </x:c>
      <x:c r="G1084" t="str">
        <x:v>Casa</x:v>
      </x:c>
      <x:c r="H1084" t="str">
        <x:v>Cafeteira Smart</x:v>
      </x:c>
      <x:c r="I1084" t="str">
        <x:v>Elaine</x:v>
      </x:c>
      <x:c r="J1084" s="53" t="n">
        <x:v>1</x:v>
      </x:c>
      <x:c r="K1084" s="54" t="n">
        <x:v>828.31</x:v>
      </x:c>
      <x:c r="L1084" s="54" t="n">
        <x:v>452.8</x:v>
      </x:c>
      <x:c r="M1084" s="55" t="n">
        <x:v>0.0922</x:v>
      </x:c>
      <x:c r="N1084" s="54" t="n">
        <x:f>ROUND(J1084*K1084,2)</x:f>
        <x:v>828.31</x:v>
      </x:c>
      <x:c r="O1084" s="54" t="n">
        <x:f>ROUND(N1084*(1-M1084),2)</x:f>
        <x:v>751.94</x:v>
      </x:c>
      <x:c r="P1084" s="54" t="n">
        <x:f>ROUND(J1084*L1084,2)</x:f>
        <x:v>452.8</x:v>
      </x:c>
      <x:c r="Q1084" s="54" t="n">
        <x:f>ROUND(O1084-P1084,2)</x:f>
        <x:v>299.14</x:v>
      </x:c>
      <x:c r="R1084" s="55" t="n">
        <x:f>IF(O1084=0,0,ROUND(Q1084/O1084,4))</x:f>
        <x:v>0.3978</x:v>
      </x:c>
      <x:c r="S1084" s="53" t="n">
        <x:v>8</x:v>
      </x:c>
      <x:c r="T1084" t="str">
        <x:v>Entregue</x:v>
      </x:c>
      <x:c r="U1084" t="n">
        <x:v>4</x:v>
      </x:c>
      <x:c r="V1084" t="str"/>
    </x:row>
    <x:row r="1085">
      <x:c r="A1085" s="52" t="n">
        <x:v>46087</x:v>
      </x:c>
      <x:c r="B1085" t="str">
        <x:v>PED-101084</x:v>
      </x:c>
      <x:c r="C1085" t="str">
        <x:v>Cliente 075</x:v>
      </x:c>
      <x:c r="D1085" t="str">
        <x:v>DF</x:v>
      </x:c>
      <x:c r="E1085" t="str">
        <x:v>Centro-Oeste</x:v>
      </x:c>
      <x:c r="F1085" t="str">
        <x:v>Televendas</x:v>
      </x:c>
      <x:c r="G1085" t="str">
        <x:v>Acessórios</x:v>
      </x:c>
      <x:c r="H1085" t="str">
        <x:v>Hub USB-C</x:v>
      </x:c>
      <x:c r="I1085" t="str">
        <x:v>João</x:v>
      </x:c>
      <x:c r="J1085" s="53" t="n">
        <x:v>3</x:v>
      </x:c>
      <x:c r="K1085" s="54" t="n">
        <x:v>321.1</x:v>
      </x:c>
      <x:c r="L1085" s="54" t="n">
        <x:v>136.03</x:v>
      </x:c>
      <x:c r="M1085" s="55" t="n">
        <x:v>0</x:v>
      </x:c>
      <x:c r="N1085" s="54" t="n">
        <x:f>ROUND(J1085*K1085,2)</x:f>
        <x:v>963.3</x:v>
      </x:c>
      <x:c r="O1085" s="54" t="n">
        <x:f>ROUND(N1085*(1-M1085),2)</x:f>
        <x:v>963.3</x:v>
      </x:c>
      <x:c r="P1085" s="54" t="n">
        <x:f>ROUND(J1085*L1085,2)</x:f>
        <x:v>408.09</x:v>
      </x:c>
      <x:c r="Q1085" s="54" t="n">
        <x:f>ROUND(O1085-P1085,2)</x:f>
        <x:v>555.21</x:v>
      </x:c>
      <x:c r="R1085" s="55" t="n">
        <x:f>IF(O1085=0,0,ROUND(Q1085/O1085,4))</x:f>
        <x:v>0.5764</x:v>
      </x:c>
      <x:c r="S1085" s="53" t="n">
        <x:v>12</x:v>
      </x:c>
      <x:c r="T1085" t="str">
        <x:v>Entregue com atraso</x:v>
      </x:c>
      <x:c r="U1085" t="n">
        <x:v>3</x:v>
      </x:c>
      <x:c r="V1085" t="str"/>
    </x:row>
    <x:row r="1086">
      <x:c r="A1086" s="52" t="n">
        <x:v>46161</x:v>
      </x:c>
      <x:c r="B1086" t="str">
        <x:v>PED-101085</x:v>
      </x:c>
      <x:c r="C1086" t="str">
        <x:v>Cliente 028</x:v>
      </x:c>
      <x:c r="D1086" t="str">
        <x:v>RJ</x:v>
      </x:c>
      <x:c r="E1086" t="str">
        <x:v>Sudeste</x:v>
      </x:c>
      <x:c r="F1086" t="str">
        <x:v>Loja</x:v>
      </x:c>
      <x:c r="G1086" t="str">
        <x:v>Tecnologia</x:v>
      </x:c>
      <x:c r="H1086" t="str">
        <x:v>Headset Office</x:v>
      </x:c>
      <x:c r="I1086" t="str">
        <x:v>Elaine</x:v>
      </x:c>
      <x:c r="J1086" s="53" t="n">
        <x:v>4</x:v>
      </x:c>
      <x:c r="K1086" s="54" t="n">
        <x:v>410.58</x:v>
      </x:c>
      <x:c r="L1086" s="54" t="n">
        <x:v>214.45</x:v>
      </x:c>
      <x:c r="M1086" s="55" t="n">
        <x:v>0</x:v>
      </x:c>
      <x:c r="N1086" s="54" t="n">
        <x:f>ROUND(J1086*K1086,2)</x:f>
        <x:v>1642.32</x:v>
      </x:c>
      <x:c r="O1086" s="54" t="n">
        <x:f>ROUND(N1086*(1-M1086),2)</x:f>
        <x:v>1642.32</x:v>
      </x:c>
      <x:c r="P1086" s="54" t="n">
        <x:f>ROUND(J1086*L1086,2)</x:f>
        <x:v>857.8</x:v>
      </x:c>
      <x:c r="Q1086" s="54" t="n">
        <x:f>ROUND(O1086-P1086,2)</x:f>
        <x:v>784.52</x:v>
      </x:c>
      <x:c r="R1086" s="55" t="n">
        <x:f>IF(O1086=0,0,ROUND(Q1086/O1086,4))</x:f>
        <x:v>0.4777</x:v>
      </x:c>
      <x:c r="S1086" s="53" t="n">
        <x:v>4</x:v>
      </x:c>
      <x:c r="T1086" t="str">
        <x:v>Entregue</x:v>
      </x:c>
      <x:c r="U1086" t="n">
        <x:v>3</x:v>
      </x:c>
      <x:c r="V1086" t="str"/>
    </x:row>
    <x:row r="1087">
      <x:c r="A1087" s="52" t="n">
        <x:v>46200</x:v>
      </x:c>
      <x:c r="B1087" t="str">
        <x:v>PED-101086</x:v>
      </x:c>
      <x:c r="C1087" t="str">
        <x:v>Cliente 031</x:v>
      </x:c>
      <x:c r="D1087" t="str">
        <x:v>DF</x:v>
      </x:c>
      <x:c r="E1087" t="str">
        <x:v>Centro-Oeste</x:v>
      </x:c>
      <x:c r="F1087" t="str">
        <x:v>Televendas</x:v>
      </x:c>
      <x:c r="G1087" t="str">
        <x:v>Casa</x:v>
      </x:c>
      <x:c r="H1087" t="str">
        <x:v>Aspirador Robô</x:v>
      </x:c>
      <x:c r="I1087" t="str">
        <x:v>João</x:v>
      </x:c>
      <x:c r="J1087" s="53" t="n">
        <x:v>3</x:v>
      </x:c>
      <x:c r="K1087" s="54" t="n">
        <x:v>1826.65</x:v>
      </x:c>
      <x:c r="L1087" s="54" t="n">
        <x:v>1155.3</x:v>
      </x:c>
      <x:c r="M1087" s="55" t="n">
        <x:v>0</x:v>
      </x:c>
      <x:c r="N1087" s="54" t="n">
        <x:f>ROUND(J1087*K1087,2)</x:f>
        <x:v>5479.95</x:v>
      </x:c>
      <x:c r="O1087" s="54" t="n">
        <x:f>ROUND(N1087*(1-M1087),2)</x:f>
        <x:v>5479.95</x:v>
      </x:c>
      <x:c r="P1087" s="54" t="n">
        <x:f>ROUND(J1087*L1087,2)</x:f>
        <x:v>3465.9</x:v>
      </x:c>
      <x:c r="Q1087" s="54" t="n">
        <x:f>ROUND(O1087-P1087,2)</x:f>
        <x:v>2014.05</x:v>
      </x:c>
      <x:c r="R1087" s="55" t="n">
        <x:f>IF(O1087=0,0,ROUND(Q1087/O1087,4))</x:f>
        <x:v>0.3675</x:v>
      </x:c>
      <x:c r="S1087" s="53" t="n">
        <x:v>7</x:v>
      </x:c>
      <x:c r="T1087" t="str">
        <x:v>Entregue</x:v>
      </x:c>
      <x:c r="U1087" t="n">
        <x:v>5</x:v>
      </x:c>
      <x:c r="V1087" t="str"/>
    </x:row>
    <x:row r="1088">
      <x:c r="A1088" s="52" t="n">
        <x:v>46056</x:v>
      </x:c>
      <x:c r="B1088" t="str">
        <x:v>PED-101087</x:v>
      </x:c>
      <x:c r="C1088" t="str">
        <x:v>Cliente 040</x:v>
      </x:c>
      <x:c r="D1088" t="str">
        <x:v>PA</x:v>
      </x:c>
      <x:c r="E1088" t="str">
        <x:v>Norte</x:v>
      </x:c>
      <x:c r="F1088" t="str">
        <x:v>Televendas</x:v>
      </x:c>
      <x:c r="G1088" t="str">
        <x:v>Casa</x:v>
      </x:c>
      <x:c r="H1088" t="str">
        <x:v>Cafeteira Smart</x:v>
      </x:c>
      <x:c r="I1088" t="str">
        <x:v>Carla</x:v>
      </x:c>
      <x:c r="J1088" s="53" t="n">
        <x:v>5</x:v>
      </x:c>
      <x:c r="K1088" s="54" t="n">
        <x:v>817.13</x:v>
      </x:c>
      <x:c r="L1088" s="54" t="n">
        <x:v>485.73</x:v>
      </x:c>
      <x:c r="M1088" s="55" t="n">
        <x:v>0.0434</x:v>
      </x:c>
      <x:c r="N1088" s="54" t="n">
        <x:f>ROUND(J1088*K1088,2)</x:f>
        <x:v>4085.65</x:v>
      </x:c>
      <x:c r="O1088" s="54" t="n">
        <x:f>ROUND(N1088*(1-M1088),2)</x:f>
        <x:v>3908.33</x:v>
      </x:c>
      <x:c r="P1088" s="54" t="n">
        <x:f>ROUND(J1088*L1088,2)</x:f>
        <x:v>2428.65</x:v>
      </x:c>
      <x:c r="Q1088" s="54" t="n">
        <x:f>ROUND(O1088-P1088,2)</x:f>
        <x:v>1479.68</x:v>
      </x:c>
      <x:c r="R1088" s="55" t="n">
        <x:f>IF(O1088=0,0,ROUND(Q1088/O1088,4))</x:f>
        <x:v>0.3786</x:v>
      </x:c>
      <x:c r="S1088" s="53" t="n">
        <x:v>9</x:v>
      </x:c>
      <x:c r="T1088" t="str">
        <x:v>Entregue</x:v>
      </x:c>
      <x:c r="U1088" t="n">
        <x:v>5</x:v>
      </x:c>
      <x:c r="V1088" t="str"/>
    </x:row>
    <x:row r="1089">
      <x:c r="A1089" s="52" t="n">
        <x:v>46063</x:v>
      </x:c>
      <x:c r="B1089" t="str">
        <x:v>PED-101088</x:v>
      </x:c>
      <x:c r="C1089" t="str">
        <x:v>Cliente 110</x:v>
      </x:c>
      <x:c r="D1089" t="str">
        <x:v>PE</x:v>
      </x:c>
      <x:c r="E1089" t="str">
        <x:v>Nordeste</x:v>
      </x:c>
      <x:c r="F1089" t="str">
        <x:v>Loja</x:v>
      </x:c>
      <x:c r="G1089" t="str">
        <x:v>Acessórios</x:v>
      </x:c>
      <x:c r="H1089" t="str">
        <x:v>Hub USB-C</x:v>
      </x:c>
      <x:c r="I1089" t="str">
        <x:v>Diego</x:v>
      </x:c>
      <x:c r="J1089" s="53" t="n">
        <x:v>2</x:v>
      </x:c>
      <x:c r="K1089" s="54" t="n">
        <x:v>328.9</x:v>
      </x:c>
      <x:c r="L1089" s="54" t="n">
        <x:v>134.57</x:v>
      </x:c>
      <x:c r="M1089" s="55" t="n">
        <x:v>0</x:v>
      </x:c>
      <x:c r="N1089" s="54" t="n">
        <x:f>ROUND(J1089*K1089,2)</x:f>
        <x:v>657.8</x:v>
      </x:c>
      <x:c r="O1089" s="54" t="n">
        <x:f>ROUND(N1089*(1-M1089),2)</x:f>
        <x:v>657.8</x:v>
      </x:c>
      <x:c r="P1089" s="54" t="n">
        <x:f>ROUND(J1089*L1089,2)</x:f>
        <x:v>269.14</x:v>
      </x:c>
      <x:c r="Q1089" s="54" t="n">
        <x:f>ROUND(O1089-P1089,2)</x:f>
        <x:v>388.66</x:v>
      </x:c>
      <x:c r="R1089" s="55" t="n">
        <x:f>IF(O1089=0,0,ROUND(Q1089/O1089,4))</x:f>
        <x:v>0.5908</x:v>
      </x:c>
      <x:c r="S1089" s="53" t="n">
        <x:v>6</x:v>
      </x:c>
      <x:c r="T1089" t="str">
        <x:v>Entregue</x:v>
      </x:c>
      <x:c r="U1089" t="n">
        <x:v>4</x:v>
      </x:c>
      <x:c r="V1089" t="str"/>
    </x:row>
    <x:row r="1090">
      <x:c r="A1090" s="52" t="n">
        <x:v>46154</x:v>
      </x:c>
      <x:c r="B1090" t="str">
        <x:v>PED-101089</x:v>
      </x:c>
      <x:c r="C1090" t="str">
        <x:v>Cliente 010</x:v>
      </x:c>
      <x:c r="D1090" t="str">
        <x:v>ES</x:v>
      </x:c>
      <x:c r="E1090" t="str">
        <x:v>Sudeste</x:v>
      </x:c>
      <x:c r="F1090" t="str">
        <x:v>Televendas</x:v>
      </x:c>
      <x:c r="G1090" t="str">
        <x:v>Acessórios</x:v>
      </x:c>
      <x:c r="H1090" t="str">
        <x:v>Hub USB-C</x:v>
      </x:c>
      <x:c r="I1090" t="str">
        <x:v>João</x:v>
      </x:c>
      <x:c r="J1090" s="53" t="n">
        <x:v>7</x:v>
      </x:c>
      <x:c r="K1090" s="54" t="n">
        <x:v>325.98</x:v>
      </x:c>
      <x:c r="L1090" s="54" t="n">
        <x:v>136.42</x:v>
      </x:c>
      <x:c r="M1090" s="55" t="n">
        <x:v>0</x:v>
      </x:c>
      <x:c r="N1090" s="54" t="n">
        <x:f>ROUND(J1090*K1090,2)</x:f>
        <x:v>2281.86</x:v>
      </x:c>
      <x:c r="O1090" s="54" t="n">
        <x:f>ROUND(N1090*(1-M1090),2)</x:f>
        <x:v>2281.86</x:v>
      </x:c>
      <x:c r="P1090" s="54" t="n">
        <x:f>ROUND(J1090*L1090,2)</x:f>
        <x:v>954.94</x:v>
      </x:c>
      <x:c r="Q1090" s="54" t="n">
        <x:f>ROUND(O1090-P1090,2)</x:f>
        <x:v>1326.92</x:v>
      </x:c>
      <x:c r="R1090" s="55" t="n">
        <x:f>IF(O1090=0,0,ROUND(Q1090/O1090,4))</x:f>
        <x:v>0.5815</x:v>
      </x:c>
      <x:c r="S1090" s="53" t="n">
        <x:v>13</x:v>
      </x:c>
      <x:c r="T1090" t="str">
        <x:v>Entregue com atraso</x:v>
      </x:c>
      <x:c r="U1090" t="n">
        <x:v>4</x:v>
      </x:c>
      <x:c r="V1090" t="str"/>
    </x:row>
    <x:row r="1091">
      <x:c r="A1091" s="52" t="n">
        <x:v>46111</x:v>
      </x:c>
      <x:c r="B1091" t="str">
        <x:v>PED-101090</x:v>
      </x:c>
      <x:c r="C1091" t="str">
        <x:v>Cliente 051</x:v>
      </x:c>
      <x:c r="D1091" t="str">
        <x:v>ES</x:v>
      </x:c>
      <x:c r="E1091" t="str">
        <x:v>Sudeste</x:v>
      </x:c>
      <x:c r="F1091" t="str">
        <x:v>E-commerce</x:v>
      </x:c>
      <x:c r="G1091" t="str">
        <x:v>Casa</x:v>
      </x:c>
      <x:c r="H1091" t="str">
        <x:v>Purificador</x:v>
      </x:c>
      <x:c r="I1091" t="str">
        <x:v>Elaine</x:v>
      </x:c>
      <x:c r="J1091" s="53" t="n">
        <x:v>3</x:v>
      </x:c>
      <x:c r="K1091" s="54" t="n">
        <x:v>1215.3</x:v>
      </x:c>
      <x:c r="L1091" s="54" t="n">
        <x:v>782.85</x:v>
      </x:c>
      <x:c r="M1091" s="55" t="n">
        <x:v>0.0116</x:v>
      </x:c>
      <x:c r="N1091" s="54" t="n">
        <x:f>ROUND(J1091*K1091,2)</x:f>
        <x:v>3645.9</x:v>
      </x:c>
      <x:c r="O1091" s="54" t="n">
        <x:f>ROUND(N1091*(1-M1091),2)</x:f>
        <x:v>3603.61</x:v>
      </x:c>
      <x:c r="P1091" s="54" t="n">
        <x:f>ROUND(J1091*L1091,2)</x:f>
        <x:v>2348.55</x:v>
      </x:c>
      <x:c r="Q1091" s="54" t="n">
        <x:f>ROUND(O1091-P1091,2)</x:f>
        <x:v>1255.06</x:v>
      </x:c>
      <x:c r="R1091" s="55" t="n">
        <x:f>IF(O1091=0,0,ROUND(Q1091/O1091,4))</x:f>
        <x:v>0.3483</x:v>
      </x:c>
      <x:c r="S1091" s="53" t="n">
        <x:v>13</x:v>
      </x:c>
      <x:c r="T1091" t="str">
        <x:v>Entregue com atraso</x:v>
      </x:c>
      <x:c r="U1091" t="n">
        <x:v>4</x:v>
      </x:c>
      <x:c r="V1091" t="str"/>
    </x:row>
    <x:row r="1092">
      <x:c r="A1092" s="52" t="n">
        <x:v>46042</x:v>
      </x:c>
      <x:c r="B1092" t="str">
        <x:v>PED-101091</x:v>
      </x:c>
      <x:c r="C1092" t="str">
        <x:v>Cliente 087</x:v>
      </x:c>
      <x:c r="D1092" t="str">
        <x:v>SC</x:v>
      </x:c>
      <x:c r="E1092" t="str">
        <x:v>Sul</x:v>
      </x:c>
      <x:c r="F1092" t="str">
        <x:v>E-commerce</x:v>
      </x:c>
      <x:c r="G1092" t="str">
        <x:v>Escritório</x:v>
      </x:c>
      <x:c r="H1092" t="str">
        <x:v>Mesa Ajustável</x:v>
      </x:c>
      <x:c r="I1092" t="str">
        <x:v>Gabriela</x:v>
      </x:c>
      <x:c r="J1092" s="53" t="n">
        <x:v>6</x:v>
      </x:c>
      <x:c r="K1092" s="54" t="n">
        <x:v>2723.17</x:v>
      </x:c>
      <x:c r="L1092" s="54" t="n">
        <x:v>1798.54</x:v>
      </x:c>
      <x:c r="M1092" s="55" t="n">
        <x:v>0.1224</x:v>
      </x:c>
      <x:c r="N1092" s="54" t="n">
        <x:f>ROUND(J1092*K1092,2)</x:f>
        <x:v>16339.02</x:v>
      </x:c>
      <x:c r="O1092" s="54" t="n">
        <x:f>ROUND(N1092*(1-M1092),2)</x:f>
        <x:v>14339.12</x:v>
      </x:c>
      <x:c r="P1092" s="54" t="n">
        <x:f>ROUND(J1092*L1092,2)</x:f>
        <x:v>10791.24</x:v>
      </x:c>
      <x:c r="Q1092" s="54" t="n">
        <x:f>ROUND(O1092-P1092,2)</x:f>
        <x:v>3547.88</x:v>
      </x:c>
      <x:c r="R1092" s="55" t="n">
        <x:f>IF(O1092=0,0,ROUND(Q1092/O1092,4))</x:f>
        <x:v>0.2474</x:v>
      </x:c>
      <x:c r="S1092" s="53" t="n">
        <x:v>10</x:v>
      </x:c>
      <x:c r="T1092" t="str">
        <x:v>Entregue</x:v>
      </x:c>
      <x:c r="U1092" t="n">
        <x:v>5</x:v>
      </x:c>
      <x:c r="V1092" t="str"/>
    </x:row>
    <x:row r="1093">
      <x:c r="A1093" s="52" t="n">
        <x:v>46231</x:v>
      </x:c>
      <x:c r="B1093" t="str">
        <x:v>PED-101092</x:v>
      </x:c>
      <x:c r="C1093" t="str">
        <x:v>Cliente 103</x:v>
      </x:c>
      <x:c r="D1093" t="str">
        <x:v>RS</x:v>
      </x:c>
      <x:c r="E1093" t="str">
        <x:v>Sul</x:v>
      </x:c>
      <x:c r="F1093" t="str">
        <x:v>Marketplace</x:v>
      </x:c>
      <x:c r="G1093" t="str">
        <x:v>Acessórios</x:v>
      </x:c>
      <x:c r="H1093" t="str">
        <x:v>Webcam HD</x:v>
      </x:c>
      <x:c r="I1093" t="str">
        <x:v>Isabela</x:v>
      </x:c>
      <x:c r="J1093" s="53" t="n">
        <x:v>4</x:v>
      </x:c>
      <x:c r="K1093" s="54" t="n">
        <x:v>508.34</x:v>
      </x:c>
      <x:c r="L1093" s="54" t="n">
        <x:v>232.34</x:v>
      </x:c>
      <x:c r="M1093" s="55" t="n">
        <x:v>0.0402</x:v>
      </x:c>
      <x:c r="N1093" s="54" t="n">
        <x:f>ROUND(J1093*K1093,2)</x:f>
        <x:v>2033.36</x:v>
      </x:c>
      <x:c r="O1093" s="54" t="n">
        <x:f>ROUND(N1093*(1-M1093),2)</x:f>
        <x:v>1951.62</x:v>
      </x:c>
      <x:c r="P1093" s="54" t="n">
        <x:f>ROUND(J1093*L1093,2)</x:f>
        <x:v>929.36</x:v>
      </x:c>
      <x:c r="Q1093" s="54" t="n">
        <x:f>ROUND(O1093-P1093,2)</x:f>
        <x:v>1022.26</x:v>
      </x:c>
      <x:c r="R1093" s="55" t="n">
        <x:f>IF(O1093=0,0,ROUND(Q1093/O1093,4))</x:f>
        <x:v>0.5238</x:v>
      </x:c>
      <x:c r="S1093" s="53" t="n">
        <x:v>11</x:v>
      </x:c>
      <x:c r="T1093" t="str">
        <x:v>Cancelado</x:v>
      </x:c>
      <x:c r="U1093"/>
      <x:c r="V1093" t="str"/>
    </x:row>
    <x:row r="1094">
      <x:c r="A1094" s="52" t="n">
        <x:v>46032</x:v>
      </x:c>
      <x:c r="B1094" t="str">
        <x:v>PED-101093</x:v>
      </x:c>
      <x:c r="C1094" t="str">
        <x:v>Cliente 032</x:v>
      </x:c>
      <x:c r="D1094" t="str">
        <x:v>GO</x:v>
      </x:c>
      <x:c r="E1094" t="str">
        <x:v>Centro-Oeste</x:v>
      </x:c>
      <x:c r="F1094" t="str">
        <x:v>Marketplace</x:v>
      </x:c>
      <x:c r="G1094" t="str">
        <x:v>Casa</x:v>
      </x:c>
      <x:c r="H1094" t="str">
        <x:v>Cafeteira Smart</x:v>
      </x:c>
      <x:c r="I1094" t="str">
        <x:v>João</x:v>
      </x:c>
      <x:c r="J1094" s="53" t="n">
        <x:v>8</x:v>
      </x:c>
      <x:c r="K1094" s="54" t="n">
        <x:v>821.04</x:v>
      </x:c>
      <x:c r="L1094" s="54" t="n">
        <x:v>468.21</x:v>
      </x:c>
      <x:c r="M1094" s="55" t="n">
        <x:v>0.0534</x:v>
      </x:c>
      <x:c r="N1094" s="54" t="n">
        <x:f>ROUND(J1094*K1094,2)</x:f>
        <x:v>6568.32</x:v>
      </x:c>
      <x:c r="O1094" s="54" t="n">
        <x:f>ROUND(N1094*(1-M1094),2)</x:f>
        <x:v>6217.57</x:v>
      </x:c>
      <x:c r="P1094" s="54" t="n">
        <x:f>ROUND(J1094*L1094,2)</x:f>
        <x:v>3745.68</x:v>
      </x:c>
      <x:c r="Q1094" s="54" t="n">
        <x:f>ROUND(O1094-P1094,2)</x:f>
        <x:v>2471.89</x:v>
      </x:c>
      <x:c r="R1094" s="55" t="n">
        <x:f>IF(O1094=0,0,ROUND(Q1094/O1094,4))</x:f>
        <x:v>0.3976</x:v>
      </x:c>
      <x:c r="S1094" s="53" t="n">
        <x:v>6</x:v>
      </x:c>
      <x:c r="T1094" t="str">
        <x:v>Entregue</x:v>
      </x:c>
      <x:c r="U1094" t="n">
        <x:v>4</x:v>
      </x:c>
      <x:c r="V1094" t="str"/>
    </x:row>
    <x:row r="1095">
      <x:c r="A1095" s="52" t="n">
        <x:v>46078</x:v>
      </x:c>
      <x:c r="B1095" t="str">
        <x:v>PED-101094</x:v>
      </x:c>
      <x:c r="C1095" t="str">
        <x:v>Cliente 037</x:v>
      </x:c>
      <x:c r="D1095" t="str">
        <x:v>PE</x:v>
      </x:c>
      <x:c r="E1095" t="str">
        <x:v>Nordeste</x:v>
      </x:c>
      <x:c r="F1095" t="str">
        <x:v>E-commerce</x:v>
      </x:c>
      <x:c r="G1095" t="str">
        <x:v>Casa</x:v>
      </x:c>
      <x:c r="H1095" t="str">
        <x:v>Cafeteira Smart</x:v>
      </x:c>
      <x:c r="I1095" t="str">
        <x:v>João</x:v>
      </x:c>
      <x:c r="J1095" s="53" t="n">
        <x:v>8</x:v>
      </x:c>
      <x:c r="K1095" s="54" t="n">
        <x:v>824.76</x:v>
      </x:c>
      <x:c r="L1095" s="54" t="n">
        <x:v>476.81</x:v>
      </x:c>
      <x:c r="M1095" s="55" t="n">
        <x:v>0.0315</x:v>
      </x:c>
      <x:c r="N1095" s="54" t="n">
        <x:f>ROUND(J1095*K1095,2)</x:f>
        <x:v>6598.08</x:v>
      </x:c>
      <x:c r="O1095" s="54" t="n">
        <x:f>ROUND(N1095*(1-M1095),2)</x:f>
        <x:v>6390.24</x:v>
      </x:c>
      <x:c r="P1095" s="54" t="n">
        <x:f>ROUND(J1095*L1095,2)</x:f>
        <x:v>3814.48</x:v>
      </x:c>
      <x:c r="Q1095" s="54" t="n">
        <x:f>ROUND(O1095-P1095,2)</x:f>
        <x:v>2575.76</x:v>
      </x:c>
      <x:c r="R1095" s="55" t="n">
        <x:f>IF(O1095=0,0,ROUND(Q1095/O1095,4))</x:f>
        <x:v>0.4031</x:v>
      </x:c>
      <x:c r="S1095" s="53" t="n">
        <x:v>12</x:v>
      </x:c>
      <x:c r="T1095" t="str">
        <x:v>Entregue com atraso</x:v>
      </x:c>
      <x:c r="U1095" t="n">
        <x:v>3</x:v>
      </x:c>
      <x:c r="V1095" t="str"/>
    </x:row>
    <x:row r="1096">
      <x:c r="A1096" s="52" t="n">
        <x:v>46139</x:v>
      </x:c>
      <x:c r="B1096" t="str">
        <x:v>PED-101095</x:v>
      </x:c>
      <x:c r="C1096" t="str">
        <x:v>Cliente 055</x:v>
      </x:c>
      <x:c r="D1096" t="str">
        <x:v>SC</x:v>
      </x:c>
      <x:c r="E1096" t="str">
        <x:v>Sul</x:v>
      </x:c>
      <x:c r="F1096" t="str">
        <x:v>Loja</x:v>
      </x:c>
      <x:c r="G1096" t="str">
        <x:v>Tecnologia</x:v>
      </x:c>
      <x:c r="H1096" t="str">
        <x:v>Notebook Pro</x:v>
      </x:c>
      <x:c r="I1096" t="str">
        <x:v>Isabela</x:v>
      </x:c>
      <x:c r="J1096" s="53" t="n">
        <x:v>8</x:v>
      </x:c>
      <x:c r="K1096" s="54" t="n">
        <x:v>6109</x:v>
      </x:c>
      <x:c r="L1096" s="54" t="n">
        <x:v>4201.18</x:v>
      </x:c>
      <x:c r="M1096" s="55" t="n">
        <x:v>0</x:v>
      </x:c>
      <x:c r="N1096" s="54" t="n">
        <x:f>ROUND(J1096*K1096,2)</x:f>
        <x:v>48872</x:v>
      </x:c>
      <x:c r="O1096" s="54" t="n">
        <x:f>ROUND(N1096*(1-M1096),2)</x:f>
        <x:v>48872</x:v>
      </x:c>
      <x:c r="P1096" s="54" t="n">
        <x:f>ROUND(J1096*L1096,2)</x:f>
        <x:v>33609.44</x:v>
      </x:c>
      <x:c r="Q1096" s="54" t="n">
        <x:f>ROUND(O1096-P1096,2)</x:f>
        <x:v>15262.56</x:v>
      </x:c>
      <x:c r="R1096" s="55" t="n">
        <x:f>IF(O1096=0,0,ROUND(Q1096/O1096,4))</x:f>
        <x:v>0.3123</x:v>
      </x:c>
      <x:c r="S1096" s="53" t="n">
        <x:v>9</x:v>
      </x:c>
      <x:c r="T1096" t="str">
        <x:v>Entregue</x:v>
      </x:c>
      <x:c r="U1096" t="n">
        <x:v>2</x:v>
      </x:c>
      <x:c r="V1096" t="str"/>
    </x:row>
    <x:row r="1097">
      <x:c r="A1097" s="52" t="n">
        <x:v>46097</x:v>
      </x:c>
      <x:c r="B1097" t="str">
        <x:v>PED-101096</x:v>
      </x:c>
      <x:c r="C1097" t="str">
        <x:v>Cliente 085</x:v>
      </x:c>
      <x:c r="D1097" t="str">
        <x:v>ES</x:v>
      </x:c>
      <x:c r="E1097" t="str">
        <x:v>Sudeste</x:v>
      </x:c>
      <x:c r="F1097" t="str">
        <x:v>Marketplace</x:v>
      </x:c>
      <x:c r="G1097" t="str">
        <x:v>Tecnologia</x:v>
      </x:c>
      <x:c r="H1097" t="str">
        <x:v>Monitor 27</x:v>
      </x:c>
      <x:c r="I1097" t="str">
        <x:v>João</x:v>
      </x:c>
      <x:c r="J1097" s="53" t="n">
        <x:v>4</x:v>
      </x:c>
      <x:c r="K1097" s="54" t="n">
        <x:v>1788.13</x:v>
      </x:c>
      <x:c r="L1097" s="54" t="n">
        <x:v>1044.97</x:v>
      </x:c>
      <x:c r="M1097" s="55" t="n">
        <x:v>0.035</x:v>
      </x:c>
      <x:c r="N1097" s="54" t="n">
        <x:f>ROUND(J1097*K1097,2)</x:f>
        <x:v>7152.52</x:v>
      </x:c>
      <x:c r="O1097" s="54" t="n">
        <x:f>ROUND(N1097*(1-M1097),2)</x:f>
        <x:v>6902.18</x:v>
      </x:c>
      <x:c r="P1097" s="54" t="n">
        <x:f>ROUND(J1097*L1097,2)</x:f>
        <x:v>4179.88</x:v>
      </x:c>
      <x:c r="Q1097" s="54" t="n">
        <x:f>ROUND(O1097-P1097,2)</x:f>
        <x:v>2722.3</x:v>
      </x:c>
      <x:c r="R1097" s="55" t="n">
        <x:f>IF(O1097=0,0,ROUND(Q1097/O1097,4))</x:f>
        <x:v>0.3944</x:v>
      </x:c>
      <x:c r="S1097" s="53" t="n">
        <x:v>26</x:v>
      </x:c>
      <x:c r="T1097" t="str">
        <x:v>Entregue com atraso</x:v>
      </x:c>
      <x:c r="U1097" t="n">
        <x:v>1</x:v>
      </x:c>
      <x:c r="V1097" t="str">
        <x:v>Ocorrência logística</x:v>
      </x:c>
    </x:row>
    <x:row r="1098">
      <x:c r="A1098" s="52" t="n">
        <x:v>46147</x:v>
      </x:c>
      <x:c r="B1098" t="str">
        <x:v>PED-101097</x:v>
      </x:c>
      <x:c r="C1098" t="str">
        <x:v>Cliente 109</x:v>
      </x:c>
      <x:c r="D1098" t="str">
        <x:v>AM</x:v>
      </x:c>
      <x:c r="E1098" t="str">
        <x:v>Norte</x:v>
      </x:c>
      <x:c r="F1098" t="str">
        <x:v>E-commerce</x:v>
      </x:c>
      <x:c r="G1098" t="str">
        <x:v>Acessórios</x:v>
      </x:c>
      <x:c r="H1098" t="str">
        <x:v>Mochila Executiva</x:v>
      </x:c>
      <x:c r="I1098" t="str">
        <x:v>Henrique</x:v>
      </x:c>
      <x:c r="J1098" s="53" t="n">
        <x:v>7</x:v>
      </x:c>
      <x:c r="K1098" s="54" t="n">
        <x:v>421.51</x:v>
      </x:c>
      <x:c r="L1098" s="54" t="n">
        <x:v>190.61</x:v>
      </x:c>
      <x:c r="M1098" s="55" t="n">
        <x:v>0.0718</x:v>
      </x:c>
      <x:c r="N1098" s="54" t="n">
        <x:f>ROUND(J1098*K1098,2)</x:f>
        <x:v>2950.57</x:v>
      </x:c>
      <x:c r="O1098" s="54" t="n">
        <x:f>ROUND(N1098*(1-M1098),2)</x:f>
        <x:v>2738.72</x:v>
      </x:c>
      <x:c r="P1098" s="54" t="n">
        <x:f>ROUND(J1098*L1098,2)</x:f>
        <x:v>1334.27</x:v>
      </x:c>
      <x:c r="Q1098" s="54" t="n">
        <x:f>ROUND(O1098-P1098,2)</x:f>
        <x:v>1404.45</x:v>
      </x:c>
      <x:c r="R1098" s="55" t="n">
        <x:f>IF(O1098=0,0,ROUND(Q1098/O1098,4))</x:f>
        <x:v>0.5128</x:v>
      </x:c>
      <x:c r="S1098" s="53" t="n">
        <x:v>3</x:v>
      </x:c>
      <x:c r="T1098" t="str">
        <x:v>Entregue</x:v>
      </x:c>
      <x:c r="U1098" t="n">
        <x:v>2</x:v>
      </x:c>
      <x:c r="V1098" t="str"/>
    </x:row>
    <x:row r="1099">
      <x:c r="A1099" s="52" t="n">
        <x:v>46072</x:v>
      </x:c>
      <x:c r="B1099" t="str">
        <x:v>PED-101098</x:v>
      </x:c>
      <x:c r="C1099" t="str">
        <x:v>Cliente 101</x:v>
      </x:c>
      <x:c r="D1099" t="str">
        <x:v>RJ</x:v>
      </x:c>
      <x:c r="E1099" t="str">
        <x:v>Sudeste</x:v>
      </x:c>
      <x:c r="F1099" t="str">
        <x:v>Televendas</x:v>
      </x:c>
      <x:c r="G1099" t="str">
        <x:v>Escritório</x:v>
      </x:c>
      <x:c r="H1099" t="str">
        <x:v>Cadeira Ergonômica</x:v>
      </x:c>
      <x:c r="I1099" t="str">
        <x:v>Bruno</x:v>
      </x:c>
      <x:c r="J1099" s="53" t="n">
        <x:v>7</x:v>
      </x:c>
      <x:c r="K1099" s="54" t="n">
        <x:v>2132.15</x:v>
      </x:c>
      <x:c r="L1099" s="54" t="n">
        <x:v>1453.13</x:v>
      </x:c>
      <x:c r="M1099" s="55" t="n">
        <x:v>0</x:v>
      </x:c>
      <x:c r="N1099" s="54" t="n">
        <x:f>ROUND(J1099*K1099,2)</x:f>
        <x:v>14925.05</x:v>
      </x:c>
      <x:c r="O1099" s="54" t="n">
        <x:f>ROUND(N1099*(1-M1099),2)</x:f>
        <x:v>14925.05</x:v>
      </x:c>
      <x:c r="P1099" s="54" t="n">
        <x:f>ROUND(J1099*L1099,2)</x:f>
        <x:v>10171.91</x:v>
      </x:c>
      <x:c r="Q1099" s="54" t="n">
        <x:f>ROUND(O1099-P1099,2)</x:f>
        <x:v>4753.14</x:v>
      </x:c>
      <x:c r="R1099" s="55" t="n">
        <x:f>IF(O1099=0,0,ROUND(Q1099/O1099,4))</x:f>
        <x:v>0.3185</x:v>
      </x:c>
      <x:c r="S1099" s="53" t="n">
        <x:v>3</x:v>
      </x:c>
      <x:c r="T1099" t="str">
        <x:v>Entregue</x:v>
      </x:c>
      <x:c r="U1099" t="n">
        <x:v>2</x:v>
      </x:c>
      <x:c r="V1099" t="str"/>
    </x:row>
    <x:row r="1100">
      <x:c r="A1100" s="52" t="n">
        <x:v>46221</x:v>
      </x:c>
      <x:c r="B1100" t="str">
        <x:v>PED-101099</x:v>
      </x:c>
      <x:c r="C1100" t="str">
        <x:v>Cliente 116</x:v>
      </x:c>
      <x:c r="D1100" t="str">
        <x:v>CE</x:v>
      </x:c>
      <x:c r="E1100" t="str">
        <x:v>Nordeste</x:v>
      </x:c>
      <x:c r="F1100" t="str">
        <x:v>E-commerce</x:v>
      </x:c>
      <x:c r="G1100" t="str">
        <x:v>Acessórios</x:v>
      </x:c>
      <x:c r="H1100" t="str">
        <x:v>Hub USB-C</x:v>
      </x:c>
      <x:c r="I1100" t="str">
        <x:v>Elaine</x:v>
      </x:c>
      <x:c r="J1100" s="53" t="n">
        <x:v>8</x:v>
      </x:c>
      <x:c r="K1100" s="54" t="n">
        <x:v>305.92</x:v>
      </x:c>
      <x:c r="L1100" s="54" t="n">
        <x:v>137.68</x:v>
      </x:c>
      <x:c r="M1100" s="55" t="n">
        <x:v>0</x:v>
      </x:c>
      <x:c r="N1100" s="54" t="n">
        <x:f>ROUND(J1100*K1100,2)</x:f>
        <x:v>2447.36</x:v>
      </x:c>
      <x:c r="O1100" s="54" t="n">
        <x:f>ROUND(N1100*(1-M1100),2)</x:f>
        <x:v>2447.36</x:v>
      </x:c>
      <x:c r="P1100" s="54" t="n">
        <x:f>ROUND(J1100*L1100,2)</x:f>
        <x:v>1101.44</x:v>
      </x:c>
      <x:c r="Q1100" s="54" t="n">
        <x:f>ROUND(O1100-P1100,2)</x:f>
        <x:v>1345.92</x:v>
      </x:c>
      <x:c r="R1100" s="55" t="n">
        <x:f>IF(O1100=0,0,ROUND(Q1100/O1100,4))</x:f>
        <x:v>0.5499</x:v>
      </x:c>
      <x:c r="S1100" s="53" t="n">
        <x:v>4</x:v>
      </x:c>
      <x:c r="T1100" t="str">
        <x:v>Entregue</x:v>
      </x:c>
      <x:c r="U1100" t="n">
        <x:v>3</x:v>
      </x:c>
      <x:c r="V1100" t="str"/>
    </x:row>
    <x:row r="1101">
      <x:c r="A1101" s="52" t="n">
        <x:v>46116</x:v>
      </x:c>
      <x:c r="B1101" t="str">
        <x:v>PED-101100</x:v>
      </x:c>
      <x:c r="C1101" t="str">
        <x:v>Cliente 109</x:v>
      </x:c>
      <x:c r="D1101" t="str">
        <x:v>ES</x:v>
      </x:c>
      <x:c r="E1101" t="str">
        <x:v>Sudeste</x:v>
      </x:c>
      <x:c r="F1101" t="str">
        <x:v>E-commerce</x:v>
      </x:c>
      <x:c r="G1101" t="str">
        <x:v>Tecnologia</x:v>
      </x:c>
      <x:c r="H1101" t="str">
        <x:v>Headset Office</x:v>
      </x:c>
      <x:c r="I1101" t="str">
        <x:v>Felipe</x:v>
      </x:c>
      <x:c r="J1101" s="53" t="n">
        <x:v>1</x:v>
      </x:c>
      <x:c r="K1101" s="54" t="n">
        <x:v>410.87</x:v>
      </x:c>
      <x:c r="L1101" s="54" t="n">
        <x:v>211.21</x:v>
      </x:c>
      <x:c r="M1101" s="55" t="n">
        <x:v>0.0913</x:v>
      </x:c>
      <x:c r="N1101" s="54" t="n">
        <x:f>ROUND(J1101*K1101,2)</x:f>
        <x:v>410.87</x:v>
      </x:c>
      <x:c r="O1101" s="54" t="n">
        <x:f>ROUND(N1101*(1-M1101),2)</x:f>
        <x:v>373.36</x:v>
      </x:c>
      <x:c r="P1101" s="54" t="n">
        <x:f>ROUND(J1101*L1101,2)</x:f>
        <x:v>211.21</x:v>
      </x:c>
      <x:c r="Q1101" s="54" t="n">
        <x:f>ROUND(O1101-P1101,2)</x:f>
        <x:v>162.15</x:v>
      </x:c>
      <x:c r="R1101" s="55" t="n">
        <x:f>IF(O1101=0,0,ROUND(Q1101/O1101,4))</x:f>
        <x:v>0.4343</x:v>
      </x:c>
      <x:c r="S1101" s="53" t="n">
        <x:v>13</x:v>
      </x:c>
      <x:c r="T1101" t="str">
        <x:v>Entregue com atraso</x:v>
      </x:c>
      <x:c r="U1101" t="n">
        <x:v>5</x:v>
      </x:c>
      <x:c r="V1101" t="str"/>
    </x:row>
    <x:row r="1102">
      <x:c r="A1102" s="52" t="n">
        <x:v>46228</x:v>
      </x:c>
      <x:c r="B1102" t="str">
        <x:v>PED-101101</x:v>
      </x:c>
      <x:c r="C1102" t="str">
        <x:v>Cliente 113</x:v>
      </x:c>
      <x:c r="D1102" t="str">
        <x:v>BA</x:v>
      </x:c>
      <x:c r="E1102" t="str">
        <x:v>Nordeste</x:v>
      </x:c>
      <x:c r="F1102" t="str">
        <x:v>E-commerce</x:v>
      </x:c>
      <x:c r="G1102" t="str">
        <x:v>Escritório</x:v>
      </x:c>
      <x:c r="H1102" t="str">
        <x:v>Cadeira Ergonômica</x:v>
      </x:c>
      <x:c r="I1102" t="str">
        <x:v>Bruno</x:v>
      </x:c>
      <x:c r="J1102" s="53" t="n">
        <x:v>2</x:v>
      </x:c>
      <x:c r="K1102" s="54" t="n">
        <x:v>2312.37</x:v>
      </x:c>
      <x:c r="L1102" s="54" t="n">
        <x:v>1508.02</x:v>
      </x:c>
      <x:c r="M1102" s="55" t="n">
        <x:v>0</x:v>
      </x:c>
      <x:c r="N1102" s="54" t="n">
        <x:f>ROUND(J1102*K1102,2)</x:f>
        <x:v>4624.74</x:v>
      </x:c>
      <x:c r="O1102" s="54" t="n">
        <x:f>ROUND(N1102*(1-M1102),2)</x:f>
        <x:v>4624.74</x:v>
      </x:c>
      <x:c r="P1102" s="54" t="n">
        <x:f>ROUND(J1102*L1102,2)</x:f>
        <x:v>3016.04</x:v>
      </x:c>
      <x:c r="Q1102" s="54" t="n">
        <x:f>ROUND(O1102-P1102,2)</x:f>
        <x:v>1608.7</x:v>
      </x:c>
      <x:c r="R1102" s="55" t="n">
        <x:f>IF(O1102=0,0,ROUND(Q1102/O1102,4))</x:f>
        <x:v>0.3478</x:v>
      </x:c>
      <x:c r="S1102" s="53" t="n">
        <x:v>7</x:v>
      </x:c>
      <x:c r="T1102" t="str">
        <x:v>Entregue</x:v>
      </x:c>
      <x:c r="U1102" t="n">
        <x:v>4</x:v>
      </x:c>
      <x:c r="V1102" t="str"/>
    </x:row>
    <x:row r="1103">
      <x:c r="A1103" s="52" t="n">
        <x:v>46152</x:v>
      </x:c>
      <x:c r="B1103" t="str">
        <x:v>PED-101102</x:v>
      </x:c>
      <x:c r="C1103" t="str">
        <x:v>Cliente 120</x:v>
      </x:c>
      <x:c r="D1103" t="str">
        <x:v>SC</x:v>
      </x:c>
      <x:c r="E1103" t="str">
        <x:v>Sul</x:v>
      </x:c>
      <x:c r="F1103" t="str">
        <x:v>E-commerce</x:v>
      </x:c>
      <x:c r="G1103" t="str">
        <x:v>Escritório</x:v>
      </x:c>
      <x:c r="H1103" t="str">
        <x:v>Cadeira Ergonômica</x:v>
      </x:c>
      <x:c r="I1103" t="str">
        <x:v>Bruno</x:v>
      </x:c>
      <x:c r="J1103" s="53" t="n">
        <x:v>1</x:v>
      </x:c>
      <x:c r="K1103" s="54" t="n">
        <x:v>2235.78</x:v>
      </x:c>
      <x:c r="L1103" s="54" t="n">
        <x:v>1430.01</x:v>
      </x:c>
      <x:c r="M1103" s="55" t="n">
        <x:v>0.0698</x:v>
      </x:c>
      <x:c r="N1103" s="54" t="n">
        <x:f>ROUND(J1103*K1103,2)</x:f>
        <x:v>2235.78</x:v>
      </x:c>
      <x:c r="O1103" s="54" t="n">
        <x:f>ROUND(N1103*(1-M1103),2)</x:f>
        <x:v>2079.72</x:v>
      </x:c>
      <x:c r="P1103" s="54" t="n">
        <x:f>ROUND(J1103*L1103,2)</x:f>
        <x:v>1430.01</x:v>
      </x:c>
      <x:c r="Q1103" s="54" t="n">
        <x:f>ROUND(O1103-P1103,2)</x:f>
        <x:v>649.71</x:v>
      </x:c>
      <x:c r="R1103" s="55" t="n">
        <x:f>IF(O1103=0,0,ROUND(Q1103/O1103,4))</x:f>
        <x:v>0.3124</x:v>
      </x:c>
      <x:c r="S1103" s="53" t="n">
        <x:v>8</x:v>
      </x:c>
      <x:c r="T1103" t="str">
        <x:v>Entregue</x:v>
      </x:c>
      <x:c r="U1103" t="n">
        <x:v>3</x:v>
      </x:c>
      <x:c r="V1103" t="str"/>
    </x:row>
    <x:row r="1104">
      <x:c r="A1104" s="52" t="n">
        <x:v>46187</x:v>
      </x:c>
      <x:c r="B1104" t="str">
        <x:v>PED-101103</x:v>
      </x:c>
      <x:c r="C1104" t="str">
        <x:v>Cliente 050</x:v>
      </x:c>
      <x:c r="D1104" t="str">
        <x:v>BA</x:v>
      </x:c>
      <x:c r="E1104" t="str">
        <x:v>Nordeste</x:v>
      </x:c>
      <x:c r="F1104" t="str">
        <x:v>Marketplace</x:v>
      </x:c>
      <x:c r="G1104" t="str">
        <x:v>Acessórios</x:v>
      </x:c>
      <x:c r="H1104" t="str">
        <x:v>Hub USB-C</x:v>
      </x:c>
      <x:c r="I1104" t="str">
        <x:v>Ana</x:v>
      </x:c>
      <x:c r="J1104" s="53" t="n">
        <x:v>7</x:v>
      </x:c>
      <x:c r="K1104" s="54" t="n">
        <x:v>338</x:v>
      </x:c>
      <x:c r="L1104" s="54" t="n">
        <x:v>134.82</x:v>
      </x:c>
      <x:c r="M1104" s="55" t="n">
        <x:v>0.035</x:v>
      </x:c>
      <x:c r="N1104" s="54" t="n">
        <x:f>ROUND(J1104*K1104,2)</x:f>
        <x:v>2366</x:v>
      </x:c>
      <x:c r="O1104" s="54" t="n">
        <x:f>ROUND(N1104*(1-M1104),2)</x:f>
        <x:v>2283.19</x:v>
      </x:c>
      <x:c r="P1104" s="54" t="n">
        <x:f>ROUND(J1104*L1104,2)</x:f>
        <x:v>943.74</x:v>
      </x:c>
      <x:c r="Q1104" s="54" t="n">
        <x:f>ROUND(O1104-P1104,2)</x:f>
        <x:v>1339.45</x:v>
      </x:c>
      <x:c r="R1104" s="55" t="n">
        <x:f>IF(O1104=0,0,ROUND(Q1104/O1104,4))</x:f>
        <x:v>0.5867</x:v>
      </x:c>
      <x:c r="S1104" s="53" t="n">
        <x:v>8</x:v>
      </x:c>
      <x:c r="T1104" t="str">
        <x:v>Entregue</x:v>
      </x:c>
      <x:c r="U1104" t="n">
        <x:v>2</x:v>
      </x:c>
      <x:c r="V1104" t="str"/>
    </x:row>
    <x:row r="1105">
      <x:c r="A1105" s="52" t="n">
        <x:v>46080</x:v>
      </x:c>
      <x:c r="B1105" t="str">
        <x:v>PED-101104</x:v>
      </x:c>
      <x:c r="C1105" t="str">
        <x:v>Cliente 104</x:v>
      </x:c>
      <x:c r="D1105" t="str">
        <x:v>SP</x:v>
      </x:c>
      <x:c r="E1105" t="str">
        <x:v>Sudeste</x:v>
      </x:c>
      <x:c r="F1105" t="str">
        <x:v>E-commerce</x:v>
      </x:c>
      <x:c r="G1105" t="str">
        <x:v>Acessórios</x:v>
      </x:c>
      <x:c r="H1105" t="str">
        <x:v>Hub USB-C</x:v>
      </x:c>
      <x:c r="I1105" t="str">
        <x:v>Elaine</x:v>
      </x:c>
      <x:c r="J1105" s="53" t="n">
        <x:v>8</x:v>
      </x:c>
      <x:c r="K1105" s="54" t="n">
        <x:v>332.5</x:v>
      </x:c>
      <x:c r="L1105" s="54" t="n">
        <x:v>138.37</x:v>
      </x:c>
      <x:c r="M1105" s="55" t="n">
        <x:v>0.0237</x:v>
      </x:c>
      <x:c r="N1105" s="54" t="n">
        <x:f>ROUND(J1105*K1105,2)</x:f>
        <x:v>2660</x:v>
      </x:c>
      <x:c r="O1105" s="54" t="n">
        <x:f>ROUND(N1105*(1-M1105),2)</x:f>
        <x:v>2596.96</x:v>
      </x:c>
      <x:c r="P1105" s="54" t="n">
        <x:f>ROUND(J1105*L1105,2)</x:f>
        <x:v>1106.96</x:v>
      </x:c>
      <x:c r="Q1105" s="54" t="n">
        <x:f>ROUND(O1105-P1105,2)</x:f>
        <x:v>1490</x:v>
      </x:c>
      <x:c r="R1105" s="55" t="n">
        <x:f>IF(O1105=0,0,ROUND(Q1105/O1105,4))</x:f>
        <x:v>0.5737</x:v>
      </x:c>
      <x:c r="S1105" s="53" t="n">
        <x:v>5</x:v>
      </x:c>
      <x:c r="T1105" t="str">
        <x:v>Entregue</x:v>
      </x:c>
      <x:c r="U1105" t="n">
        <x:v>4</x:v>
      </x:c>
      <x:c r="V1105" t="str"/>
    </x:row>
    <x:row r="1106">
      <x:c r="A1106" s="52" t="n">
        <x:v>46172</x:v>
      </x:c>
      <x:c r="B1106" t="str">
        <x:v>PED-101105</x:v>
      </x:c>
      <x:c r="C1106" t="str">
        <x:v>Cliente 087</x:v>
      </x:c>
      <x:c r="D1106" t="str">
        <x:v>DF</x:v>
      </x:c>
      <x:c r="E1106" t="str">
        <x:v>Centro-Oeste</x:v>
      </x:c>
      <x:c r="F1106" t="str">
        <x:v>E-commerce</x:v>
      </x:c>
      <x:c r="G1106" t="str">
        <x:v>Escritório</x:v>
      </x:c>
      <x:c r="H1106" t="str">
        <x:v>Luminária LED</x:v>
      </x:c>
      <x:c r="I1106" t="str">
        <x:v>Ana</x:v>
      </x:c>
      <x:c r="J1106" s="53" t="n">
        <x:v>7</x:v>
      </x:c>
      <x:c r="K1106" s="54" t="n">
        <x:v>245.12</x:v>
      </x:c>
      <x:c r="L1106" s="54" t="n">
        <x:v>117.42</x:v>
      </x:c>
      <x:c r="M1106" s="55" t="n">
        <x:v>0.0698</x:v>
      </x:c>
      <x:c r="N1106" s="54" t="n">
        <x:f>ROUND(J1106*K1106,2)</x:f>
        <x:v>1715.84</x:v>
      </x:c>
      <x:c r="O1106" s="54" t="n">
        <x:f>ROUND(N1106*(1-M1106),2)</x:f>
        <x:v>1596.07</x:v>
      </x:c>
      <x:c r="P1106" s="54" t="n">
        <x:f>ROUND(J1106*L1106,2)</x:f>
        <x:v>821.94</x:v>
      </x:c>
      <x:c r="Q1106" s="54" t="n">
        <x:f>ROUND(O1106-P1106,2)</x:f>
        <x:v>774.13</x:v>
      </x:c>
      <x:c r="R1106" s="55" t="n">
        <x:f>IF(O1106=0,0,ROUND(Q1106/O1106,4))</x:f>
        <x:v>0.485</x:v>
      </x:c>
      <x:c r="S1106" s="53" t="n">
        <x:v>6</x:v>
      </x:c>
      <x:c r="T1106" t="str">
        <x:v>Entregue</x:v>
      </x:c>
      <x:c r="U1106" t="n">
        <x:v>3</x:v>
      </x:c>
      <x:c r="V1106" t="str"/>
    </x:row>
    <x:row r="1107">
      <x:c r="A1107" s="52" t="n">
        <x:v>46081</x:v>
      </x:c>
      <x:c r="B1107" t="str">
        <x:v>PED-101106</x:v>
      </x:c>
      <x:c r="C1107" t="str">
        <x:v>Cliente 055</x:v>
      </x:c>
      <x:c r="D1107" t="str">
        <x:v>RS</x:v>
      </x:c>
      <x:c r="E1107" t="str">
        <x:v>Sul</x:v>
      </x:c>
      <x:c r="F1107" t="str">
        <x:v>E-commerce</x:v>
      </x:c>
      <x:c r="G1107" t="str">
        <x:v>Acessórios</x:v>
      </x:c>
      <x:c r="H1107" t="str">
        <x:v>Webcam HD</x:v>
      </x:c>
      <x:c r="I1107" t="str">
        <x:v>Ana</x:v>
      </x:c>
      <x:c r="J1107" s="53" t="n">
        <x:v>1</x:v>
      </x:c>
      <x:c r="K1107" s="54" t="n">
        <x:v>500.37</x:v>
      </x:c>
      <x:c r="L1107" s="54" t="n">
        <x:v>249.94</x:v>
      </x:c>
      <x:c r="M1107" s="55" t="n">
        <x:v>0.0357</x:v>
      </x:c>
      <x:c r="N1107" s="54" t="n">
        <x:f>ROUND(J1107*K1107,2)</x:f>
        <x:v>500.37</x:v>
      </x:c>
      <x:c r="O1107" s="54" t="n">
        <x:f>ROUND(N1107*(1-M1107),2)</x:f>
        <x:v>482.51</x:v>
      </x:c>
      <x:c r="P1107" s="54" t="n">
        <x:f>ROUND(J1107*L1107,2)</x:f>
        <x:v>249.94</x:v>
      </x:c>
      <x:c r="Q1107" s="54" t="n">
        <x:f>ROUND(O1107-P1107,2)</x:f>
        <x:v>232.57</x:v>
      </x:c>
      <x:c r="R1107" s="55" t="n">
        <x:f>IF(O1107=0,0,ROUND(Q1107/O1107,4))</x:f>
        <x:v>0.482</x:v>
      </x:c>
      <x:c r="S1107" s="53" t="n">
        <x:v>11</x:v>
      </x:c>
      <x:c r="T1107" t="str">
        <x:v>Entregue com atraso</x:v>
      </x:c>
      <x:c r="U1107" t="n">
        <x:v>4</x:v>
      </x:c>
      <x:c r="V1107" t="str"/>
    </x:row>
    <x:row r="1108">
      <x:c r="A1108" s="52" t="n">
        <x:v>46042</x:v>
      </x:c>
      <x:c r="B1108" t="str">
        <x:v>PED-101107</x:v>
      </x:c>
      <x:c r="C1108" t="str">
        <x:v>Cliente 009</x:v>
      </x:c>
      <x:c r="D1108" t="str">
        <x:v>RJ</x:v>
      </x:c>
      <x:c r="E1108" t="str">
        <x:v>Sudeste</x:v>
      </x:c>
      <x:c r="F1108" t="str">
        <x:v>Marketplace</x:v>
      </x:c>
      <x:c r="G1108" t="str">
        <x:v>Tecnologia</x:v>
      </x:c>
      <x:c r="H1108" t="str">
        <x:v>Monitor 27</x:v>
      </x:c>
      <x:c r="I1108" t="str">
        <x:v>Isabela</x:v>
      </x:c>
      <x:c r="J1108" s="53" t="n">
        <x:v>8</x:v>
      </x:c>
      <x:c r="K1108" s="54" t="n">
        <x:v>1712.73</x:v>
      </x:c>
      <x:c r="L1108" s="54" t="n">
        <x:v>1084.48</x:v>
      </x:c>
      <x:c r="M1108" s="55" t="n">
        <x:v>0.057</x:v>
      </x:c>
      <x:c r="N1108" s="54" t="n">
        <x:f>ROUND(J1108*K1108,2)</x:f>
        <x:v>13701.84</x:v>
      </x:c>
      <x:c r="O1108" s="54" t="n">
        <x:f>ROUND(N1108*(1-M1108),2)</x:f>
        <x:v>12920.84</x:v>
      </x:c>
      <x:c r="P1108" s="54" t="n">
        <x:f>ROUND(J1108*L1108,2)</x:f>
        <x:v>8675.84</x:v>
      </x:c>
      <x:c r="Q1108" s="54" t="n">
        <x:f>ROUND(O1108-P1108,2)</x:f>
        <x:v>4245</x:v>
      </x:c>
      <x:c r="R1108" s="55" t="n">
        <x:f>IF(O1108=0,0,ROUND(Q1108/O1108,4))</x:f>
        <x:v>0.3285</x:v>
      </x:c>
      <x:c r="S1108" s="53" t="n">
        <x:v>10</x:v>
      </x:c>
      <x:c r="T1108" t="str">
        <x:v>Entregue</x:v>
      </x:c>
      <x:c r="U1108" t="n">
        <x:v>3</x:v>
      </x:c>
      <x:c r="V1108" t="str"/>
    </x:row>
    <x:row r="1109">
      <x:c r="A1109" s="52" t="n">
        <x:v>46174</x:v>
      </x:c>
      <x:c r="B1109" t="str">
        <x:v>PED-101108</x:v>
      </x:c>
      <x:c r="C1109" t="str">
        <x:v>Cliente 034</x:v>
      </x:c>
      <x:c r="D1109" t="str">
        <x:v>ES</x:v>
      </x:c>
      <x:c r="E1109" t="str">
        <x:v>Sudeste</x:v>
      </x:c>
      <x:c r="F1109" t="str">
        <x:v>Loja</x:v>
      </x:c>
      <x:c r="G1109" t="str">
        <x:v>Tecnologia</x:v>
      </x:c>
      <x:c r="H1109" t="str">
        <x:v>Headset Office</x:v>
      </x:c>
      <x:c r="I1109" t="str">
        <x:v>Diego</x:v>
      </x:c>
      <x:c r="J1109" s="53" t="n">
        <x:v>1</x:v>
      </x:c>
      <x:c r="K1109" s="54" t="n">
        <x:v>370.56</x:v>
      </x:c>
      <x:c r="L1109" s="54" t="n">
        <x:v>211.69</x:v>
      </x:c>
      <x:c r="M1109" s="55" t="n">
        <x:v>0.0078</x:v>
      </x:c>
      <x:c r="N1109" s="54" t="n">
        <x:f>ROUND(J1109*K1109,2)</x:f>
        <x:v>370.56</x:v>
      </x:c>
      <x:c r="O1109" s="54" t="n">
        <x:f>ROUND(N1109*(1-M1109),2)</x:f>
        <x:v>367.67</x:v>
      </x:c>
      <x:c r="P1109" s="54" t="n">
        <x:f>ROUND(J1109*L1109,2)</x:f>
        <x:v>211.69</x:v>
      </x:c>
      <x:c r="Q1109" s="54" t="n">
        <x:f>ROUND(O1109-P1109,2)</x:f>
        <x:v>155.98</x:v>
      </x:c>
      <x:c r="R1109" s="55" t="n">
        <x:f>IF(O1109=0,0,ROUND(Q1109/O1109,4))</x:f>
        <x:v>0.4242</x:v>
      </x:c>
      <x:c r="S1109" s="53" t="n">
        <x:v>8</x:v>
      </x:c>
      <x:c r="T1109" t="str">
        <x:v>Entregue</x:v>
      </x:c>
      <x:c r="U1109" t="n">
        <x:v>3</x:v>
      </x:c>
      <x:c r="V1109" t="str"/>
    </x:row>
    <x:row r="1110">
      <x:c r="A1110" s="52" t="n">
        <x:v>46050</x:v>
      </x:c>
      <x:c r="B1110" t="str">
        <x:v>PED-101109</x:v>
      </x:c>
      <x:c r="C1110" t="str">
        <x:v>Cliente 089</x:v>
      </x:c>
      <x:c r="D1110" t="str">
        <x:v>PR</x:v>
      </x:c>
      <x:c r="E1110" t="str">
        <x:v>Sul</x:v>
      </x:c>
      <x:c r="F1110" t="str">
        <x:v>Televendas</x:v>
      </x:c>
      <x:c r="G1110" t="str">
        <x:v>Tecnologia</x:v>
      </x:c>
      <x:c r="H1110" t="str">
        <x:v>Headset Office</x:v>
      </x:c>
      <x:c r="I1110" t="str">
        <x:v>Isabela</x:v>
      </x:c>
      <x:c r="J1110" s="53" t="n">
        <x:v>8</x:v>
      </x:c>
      <x:c r="K1110" s="54" t="n">
        <x:v>407</x:v>
      </x:c>
      <x:c r="L1110" s="54" t="n">
        <x:v>216.07</x:v>
      </x:c>
      <x:c r="M1110" s="55" t="n">
        <x:v>0.041</x:v>
      </x:c>
      <x:c r="N1110" s="54" t="n">
        <x:f>ROUND(J1110*K1110,2)</x:f>
        <x:v>3256</x:v>
      </x:c>
      <x:c r="O1110" s="54" t="n">
        <x:f>ROUND(N1110*(1-M1110),2)</x:f>
        <x:v>3122.5</x:v>
      </x:c>
      <x:c r="P1110" s="54" t="n">
        <x:f>ROUND(J1110*L1110,2)</x:f>
        <x:v>1728.56</x:v>
      </x:c>
      <x:c r="Q1110" s="54" t="n">
        <x:f>ROUND(O1110-P1110,2)</x:f>
        <x:v>1393.94</x:v>
      </x:c>
      <x:c r="R1110" s="55" t="n">
        <x:f>IF(O1110=0,0,ROUND(Q1110/O1110,4))</x:f>
        <x:v>0.4464</x:v>
      </x:c>
      <x:c r="S1110" s="53" t="n">
        <x:v>8</x:v>
      </x:c>
      <x:c r="T1110" t="str">
        <x:v>Entregue</x:v>
      </x:c>
      <x:c r="U1110" t="n">
        <x:v>2</x:v>
      </x:c>
      <x:c r="V1110" t="str"/>
    </x:row>
    <x:row r="1111">
      <x:c r="A1111" s="52" t="n">
        <x:v>46209</x:v>
      </x:c>
      <x:c r="B1111" t="str">
        <x:v>PED-101110</x:v>
      </x:c>
      <x:c r="C1111" t="str">
        <x:v>Cliente 086</x:v>
      </x:c>
      <x:c r="D1111" t="str">
        <x:v>MA</x:v>
      </x:c>
      <x:c r="E1111" t="str">
        <x:v>Nordeste</x:v>
      </x:c>
      <x:c r="F1111" t="str">
        <x:v>Loja</x:v>
      </x:c>
      <x:c r="G1111" t="str">
        <x:v>Escritório</x:v>
      </x:c>
      <x:c r="H1111" t="str">
        <x:v>Luminária LED</x:v>
      </x:c>
      <x:c r="I1111" t="str">
        <x:v>Henrique</x:v>
      </x:c>
      <x:c r="J1111" s="53" t="n">
        <x:v>3</x:v>
      </x:c>
      <x:c r="K1111" s="54" t="n">
        <x:v>258.49</x:v>
      </x:c>
      <x:c r="L1111" s="54" t="n">
        <x:v>117.75</x:v>
      </x:c>
      <x:c r="M1111" s="55" t="n">
        <x:v>0</x:v>
      </x:c>
      <x:c r="N1111" s="54" t="n">
        <x:f>ROUND(J1111*K1111,2)</x:f>
        <x:v>775.47</x:v>
      </x:c>
      <x:c r="O1111" s="54" t="n">
        <x:f>ROUND(N1111*(1-M1111),2)</x:f>
        <x:v>775.47</x:v>
      </x:c>
      <x:c r="P1111" s="54" t="n">
        <x:f>ROUND(J1111*L1111,2)</x:f>
        <x:v>353.25</x:v>
      </x:c>
      <x:c r="Q1111" s="54" t="n">
        <x:f>ROUND(O1111-P1111,2)</x:f>
        <x:v>422.22</x:v>
      </x:c>
      <x:c r="R1111" s="55" t="n">
        <x:f>IF(O1111=0,0,ROUND(Q1111/O1111,4))</x:f>
        <x:v>0.5445</x:v>
      </x:c>
      <x:c r="S1111" s="53" t="n">
        <x:v>14</x:v>
      </x:c>
      <x:c r="T1111" t="str">
        <x:v>Entregue com atraso</x:v>
      </x:c>
      <x:c r="U1111" t="n">
        <x:v>5</x:v>
      </x:c>
      <x:c r="V1111" t="str"/>
    </x:row>
    <x:row r="1112">
      <x:c r="A1112" s="52" t="n">
        <x:v>46062</x:v>
      </x:c>
      <x:c r="B1112" t="str">
        <x:v>PED-101111</x:v>
      </x:c>
      <x:c r="C1112" t="str">
        <x:v>Cliente 021</x:v>
      </x:c>
      <x:c r="D1112" t="str">
        <x:v>PA</x:v>
      </x:c>
      <x:c r="E1112" t="str">
        <x:v>Norte</x:v>
      </x:c>
      <x:c r="F1112" t="str">
        <x:v>Loja</x:v>
      </x:c>
      <x:c r="G1112" t="str">
        <x:v>Casa</x:v>
      </x:c>
      <x:c r="H1112" t="str">
        <x:v>Cafeteira Smart</x:v>
      </x:c>
      <x:c r="I1112" t="str">
        <x:v>Henrique</x:v>
      </x:c>
      <x:c r="J1112" s="53" t="n">
        <x:v>3</x:v>
      </x:c>
      <x:c r="K1112" s="54" t="n">
        <x:v>754.29</x:v>
      </x:c>
      <x:c r="L1112" s="54" t="n">
        <x:v>488.93</x:v>
      </x:c>
      <x:c r="M1112" s="55" t="n">
        <x:v>0</x:v>
      </x:c>
      <x:c r="N1112" s="54" t="n">
        <x:f>ROUND(J1112*K1112,2)</x:f>
        <x:v>2262.87</x:v>
      </x:c>
      <x:c r="O1112" s="54" t="n">
        <x:f>ROUND(N1112*(1-M1112),2)</x:f>
        <x:v>2262.87</x:v>
      </x:c>
      <x:c r="P1112" s="54" t="n">
        <x:f>ROUND(J1112*L1112,2)</x:f>
        <x:v>1466.79</x:v>
      </x:c>
      <x:c r="Q1112" s="54" t="n">
        <x:f>ROUND(O1112-P1112,2)</x:f>
        <x:v>796.08</x:v>
      </x:c>
      <x:c r="R1112" s="55" t="n">
        <x:f>IF(O1112=0,0,ROUND(Q1112/O1112,4))</x:f>
        <x:v>0.3518</x:v>
      </x:c>
      <x:c r="S1112" s="53" t="n">
        <x:v>8</x:v>
      </x:c>
      <x:c r="T1112" t="str">
        <x:v>Entregue</x:v>
      </x:c>
      <x:c r="U1112" t="n">
        <x:v>2</x:v>
      </x:c>
      <x:c r="V1112" t="str"/>
    </x:row>
    <x:row r="1113">
      <x:c r="A1113" s="52" t="n">
        <x:v>46223</x:v>
      </x:c>
      <x:c r="B1113" t="str">
        <x:v>PED-101112</x:v>
      </x:c>
      <x:c r="C1113" t="str">
        <x:v>Cliente 074</x:v>
      </x:c>
      <x:c r="D1113" t="str">
        <x:v>MG</x:v>
      </x:c>
      <x:c r="E1113" t="str">
        <x:v>Sudeste</x:v>
      </x:c>
      <x:c r="F1113" t="str">
        <x:v>Televendas</x:v>
      </x:c>
      <x:c r="G1113" t="str">
        <x:v>Tecnologia</x:v>
      </x:c>
      <x:c r="H1113" t="str">
        <x:v>Headset Office</x:v>
      </x:c>
      <x:c r="I1113" t="str">
        <x:v>Ana</x:v>
      </x:c>
      <x:c r="J1113" s="53" t="n">
        <x:v>6</x:v>
      </x:c>
      <x:c r="K1113" s="54" t="n">
        <x:v>377.86</x:v>
      </x:c>
      <x:c r="L1113" s="54" t="n">
        <x:v>204.78</x:v>
      </x:c>
      <x:c r="M1113" s="55" t="n">
        <x:v>0.0761</x:v>
      </x:c>
      <x:c r="N1113" s="54" t="n">
        <x:f>ROUND(J1113*K1113,2)</x:f>
        <x:v>2267.16</x:v>
      </x:c>
      <x:c r="O1113" s="54" t="n">
        <x:f>ROUND(N1113*(1-M1113),2)</x:f>
        <x:v>2094.63</x:v>
      </x:c>
      <x:c r="P1113" s="54" t="n">
        <x:f>ROUND(J1113*L1113,2)</x:f>
        <x:v>1228.68</x:v>
      </x:c>
      <x:c r="Q1113" s="54" t="n">
        <x:f>ROUND(O1113-P1113,2)</x:f>
        <x:v>865.95</x:v>
      </x:c>
      <x:c r="R1113" s="55" t="n">
        <x:f>IF(O1113=0,0,ROUND(Q1113/O1113,4))</x:f>
        <x:v>0.4134</x:v>
      </x:c>
      <x:c r="S1113" s="53" t="n">
        <x:v>3</x:v>
      </x:c>
      <x:c r="T1113" t="str">
        <x:v>Cancelado</x:v>
      </x:c>
      <x:c r="U1113"/>
      <x:c r="V1113" t="str"/>
    </x:row>
    <x:row r="1114">
      <x:c r="A1114" s="52" t="n">
        <x:v>46103</x:v>
      </x:c>
      <x:c r="B1114" t="str">
        <x:v>PED-101113</x:v>
      </x:c>
      <x:c r="C1114" t="str">
        <x:v>Cliente 059</x:v>
      </x:c>
      <x:c r="D1114" t="str">
        <x:v>PA</x:v>
      </x:c>
      <x:c r="E1114" t="str">
        <x:v>Norte</x:v>
      </x:c>
      <x:c r="F1114" t="str">
        <x:v>E-commerce</x:v>
      </x:c>
      <x:c r="G1114" t="str">
        <x:v>Casa</x:v>
      </x:c>
      <x:c r="H1114" t="str">
        <x:v>Aspirador Robô</x:v>
      </x:c>
      <x:c r="I1114" t="str">
        <x:v>Henrique</x:v>
      </x:c>
      <x:c r="J1114" s="53" t="n">
        <x:v>6</x:v>
      </x:c>
      <x:c r="K1114" s="54" t="n">
        <x:v>1928.94</x:v>
      </x:c>
      <x:c r="L1114" s="54" t="n">
        <x:v>1265.71</x:v>
      </x:c>
      <x:c r="M1114" s="55" t="n">
        <x:v>0</x:v>
      </x:c>
      <x:c r="N1114" s="54" t="n">
        <x:f>ROUND(J1114*K1114,2)</x:f>
        <x:v>11573.64</x:v>
      </x:c>
      <x:c r="O1114" s="54" t="n">
        <x:f>ROUND(N1114*(1-M1114),2)</x:f>
        <x:v>11573.64</x:v>
      </x:c>
      <x:c r="P1114" s="54" t="n">
        <x:f>ROUND(J1114*L1114,2)</x:f>
        <x:v>7594.26</x:v>
      </x:c>
      <x:c r="Q1114" s="54" t="n">
        <x:f>ROUND(O1114-P1114,2)</x:f>
        <x:v>3979.38</x:v>
      </x:c>
      <x:c r="R1114" s="55" t="n">
        <x:f>IF(O1114=0,0,ROUND(Q1114/O1114,4))</x:f>
        <x:v>0.3438</x:v>
      </x:c>
      <x:c r="S1114" s="53" t="n">
        <x:v>14</x:v>
      </x:c>
      <x:c r="T1114" t="str">
        <x:v>Entregue com atraso</x:v>
      </x:c>
      <x:c r="U1114" t="n">
        <x:v>3</x:v>
      </x:c>
      <x:c r="V1114" t="str"/>
    </x:row>
    <x:row r="1115">
      <x:c r="A1115" s="52" t="n">
        <x:v>46172</x:v>
      </x:c>
      <x:c r="B1115" t="str">
        <x:v>PED-101114</x:v>
      </x:c>
      <x:c r="C1115" t="str">
        <x:v>Cliente 010</x:v>
      </x:c>
      <x:c r="D1115" t="str">
        <x:v>BA</x:v>
      </x:c>
      <x:c r="E1115" t="str">
        <x:v>Nordeste</x:v>
      </x:c>
      <x:c r="F1115" t="str">
        <x:v>Loja</x:v>
      </x:c>
      <x:c r="G1115" t="str">
        <x:v>Escritório</x:v>
      </x:c>
      <x:c r="H1115" t="str">
        <x:v>Luminária LED</x:v>
      </x:c>
      <x:c r="I1115" t="str">
        <x:v>Henrique</x:v>
      </x:c>
      <x:c r="J1115" s="53" t="n">
        <x:v>3</x:v>
      </x:c>
      <x:c r="K1115" s="54" t="n">
        <x:v>253.02</x:v>
      </x:c>
      <x:c r="L1115" s="54" t="n">
        <x:v>121.02</x:v>
      </x:c>
      <x:c r="M1115" s="55" t="n">
        <x:v>0</x:v>
      </x:c>
      <x:c r="N1115" s="54" t="n">
        <x:f>ROUND(J1115*K1115,2)</x:f>
        <x:v>759.06</x:v>
      </x:c>
      <x:c r="O1115" s="54" t="n">
        <x:f>ROUND(N1115*(1-M1115),2)</x:f>
        <x:v>759.06</x:v>
      </x:c>
      <x:c r="P1115" s="54" t="n">
        <x:f>ROUND(J1115*L1115,2)</x:f>
        <x:v>363.06</x:v>
      </x:c>
      <x:c r="Q1115" s="54" t="n">
        <x:f>ROUND(O1115-P1115,2)</x:f>
        <x:v>396</x:v>
      </x:c>
      <x:c r="R1115" s="55" t="n">
        <x:f>IF(O1115=0,0,ROUND(Q1115/O1115,4))</x:f>
        <x:v>0.5217</x:v>
      </x:c>
      <x:c r="S1115" s="53" t="n">
        <x:v>7</x:v>
      </x:c>
      <x:c r="T1115" t="str">
        <x:v>Entregue</x:v>
      </x:c>
      <x:c r="U1115" t="n">
        <x:v>4</x:v>
      </x:c>
      <x:c r="V1115" t="str"/>
    </x:row>
    <x:row r="1116">
      <x:c r="A1116" s="52" t="n">
        <x:v>46156</x:v>
      </x:c>
      <x:c r="B1116" t="str">
        <x:v>PED-101115</x:v>
      </x:c>
      <x:c r="C1116" t="str">
        <x:v>Cliente 115</x:v>
      </x:c>
      <x:c r="D1116" t="str">
        <x:v>CE</x:v>
      </x:c>
      <x:c r="E1116" t="str">
        <x:v>Nordeste</x:v>
      </x:c>
      <x:c r="F1116" t="str">
        <x:v>Loja</x:v>
      </x:c>
      <x:c r="G1116" t="str">
        <x:v>Escritório</x:v>
      </x:c>
      <x:c r="H1116" t="str">
        <x:v>Luminária LED</x:v>
      </x:c>
      <x:c r="I1116" t="str">
        <x:v>Gabriela</x:v>
      </x:c>
      <x:c r="J1116" s="53" t="n">
        <x:v>7</x:v>
      </x:c>
      <x:c r="K1116" s="54" t="n">
        <x:v>251.22</x:v>
      </x:c>
      <x:c r="L1116" s="54" t="n">
        <x:v>117.32</x:v>
      </x:c>
      <x:c r="M1116" s="55" t="n">
        <x:v>0.0629</x:v>
      </x:c>
      <x:c r="N1116" s="54" t="n">
        <x:f>ROUND(J1116*K1116,2)</x:f>
        <x:v>1758.54</x:v>
      </x:c>
      <x:c r="O1116" s="54" t="n">
        <x:f>ROUND(N1116*(1-M1116),2)</x:f>
        <x:v>1647.93</x:v>
      </x:c>
      <x:c r="P1116" s="54" t="n">
        <x:f>ROUND(J1116*L1116,2)</x:f>
        <x:v>821.24</x:v>
      </x:c>
      <x:c r="Q1116" s="54" t="n">
        <x:f>ROUND(O1116-P1116,2)</x:f>
        <x:v>826.69</x:v>
      </x:c>
      <x:c r="R1116" s="55" t="n">
        <x:f>IF(O1116=0,0,ROUND(Q1116/O1116,4))</x:f>
        <x:v>0.5017</x:v>
      </x:c>
      <x:c r="S1116" s="53" t="n">
        <x:v>9</x:v>
      </x:c>
      <x:c r="T1116" t="str">
        <x:v>Entregue</x:v>
      </x:c>
      <x:c r="U1116" t="n">
        <x:v>5</x:v>
      </x:c>
      <x:c r="V1116" t="str"/>
    </x:row>
    <x:row r="1117">
      <x:c r="A1117" s="52" t="n">
        <x:v>46147</x:v>
      </x:c>
      <x:c r="B1117" t="str">
        <x:v>PED-101116</x:v>
      </x:c>
      <x:c r="C1117" t="str">
        <x:v>Cliente 031</x:v>
      </x:c>
      <x:c r="D1117" t="str">
        <x:v>SP</x:v>
      </x:c>
      <x:c r="E1117" t="str">
        <x:v>Sudeste</x:v>
      </x:c>
      <x:c r="F1117" t="str">
        <x:v>Loja</x:v>
      </x:c>
      <x:c r="G1117" t="str">
        <x:v>Tecnologia</x:v>
      </x:c>
      <x:c r="H1117" t="str">
        <x:v>Monitor 27</x:v>
      </x:c>
      <x:c r="I1117" t="str">
        <x:v>Henrique</x:v>
      </x:c>
      <x:c r="J1117" s="53" t="n">
        <x:v>7</x:v>
      </x:c>
      <x:c r="K1117" s="54" t="n">
        <x:v>1661.81</x:v>
      </x:c>
      <x:c r="L1117" s="54" t="n">
        <x:v>1114.8</x:v>
      </x:c>
      <x:c r="M1117" s="55" t="n">
        <x:v>0.067</x:v>
      </x:c>
      <x:c r="N1117" s="54" t="n">
        <x:f>ROUND(J1117*K1117,2)</x:f>
        <x:v>11632.67</x:v>
      </x:c>
      <x:c r="O1117" s="54" t="n">
        <x:f>ROUND(N1117*(1-M1117),2)</x:f>
        <x:v>10853.28</x:v>
      </x:c>
      <x:c r="P1117" s="54" t="n">
        <x:f>ROUND(J1117*L1117,2)</x:f>
        <x:v>7803.6</x:v>
      </x:c>
      <x:c r="Q1117" s="54" t="n">
        <x:f>ROUND(O1117-P1117,2)</x:f>
        <x:v>3049.68</x:v>
      </x:c>
      <x:c r="R1117" s="55" t="n">
        <x:f>IF(O1117=0,0,ROUND(Q1117/O1117,4))</x:f>
        <x:v>0.281</x:v>
      </x:c>
      <x:c r="S1117" s="53" t="n">
        <x:v>8</x:v>
      </x:c>
      <x:c r="T1117" t="str">
        <x:v>Entregue</x:v>
      </x:c>
      <x:c r="U1117" t="n">
        <x:v>4</x:v>
      </x:c>
      <x:c r="V1117" t="str"/>
    </x:row>
    <x:row r="1118">
      <x:c r="A1118" s="52" t="n">
        <x:v>46067</x:v>
      </x:c>
      <x:c r="B1118" t="str">
        <x:v>PED-101117</x:v>
      </x:c>
      <x:c r="C1118" t="str">
        <x:v>Cliente 101</x:v>
      </x:c>
      <x:c r="D1118" t="str">
        <x:v>MT</x:v>
      </x:c>
      <x:c r="E1118" t="str">
        <x:v>Centro-Oeste</x:v>
      </x:c>
      <x:c r="F1118" t="str">
        <x:v>Loja</x:v>
      </x:c>
      <x:c r="G1118" t="str">
        <x:v>Escritório</x:v>
      </x:c>
      <x:c r="H1118" t="str">
        <x:v>Luminária LED</x:v>
      </x:c>
      <x:c r="I1118" t="str">
        <x:v>Isabela</x:v>
      </x:c>
      <x:c r="J1118" s="53" t="n">
        <x:v>6</x:v>
      </x:c>
      <x:c r="K1118" s="54" t="n">
        <x:v>262.41</x:v>
      </x:c>
      <x:c r="L1118" s="54" t="n">
        <x:v>119.85</x:v>
      </x:c>
      <x:c r="M1118" s="55" t="n">
        <x:v>0</x:v>
      </x:c>
      <x:c r="N1118" s="54" t="n">
        <x:f>ROUND(J1118*K1118,2)</x:f>
        <x:v>1574.46</x:v>
      </x:c>
      <x:c r="O1118" s="54" t="n">
        <x:f>ROUND(N1118*(1-M1118),2)</x:f>
        <x:v>1574.46</x:v>
      </x:c>
      <x:c r="P1118" s="54" t="n">
        <x:f>ROUND(J1118*L1118,2)</x:f>
        <x:v>719.1</x:v>
      </x:c>
      <x:c r="Q1118" s="54" t="n">
        <x:f>ROUND(O1118-P1118,2)</x:f>
        <x:v>855.36</x:v>
      </x:c>
      <x:c r="R1118" s="55" t="n">
        <x:f>IF(O1118=0,0,ROUND(Q1118/O1118,4))</x:f>
        <x:v>0.5433</x:v>
      </x:c>
      <x:c r="S1118" s="53" t="n">
        <x:v>3</x:v>
      </x:c>
      <x:c r="T1118" t="str">
        <x:v>Entregue</x:v>
      </x:c>
      <x:c r="U1118" t="n">
        <x:v>3</x:v>
      </x:c>
      <x:c r="V1118" t="str"/>
    </x:row>
    <x:row r="1119">
      <x:c r="A1119" s="52" t="n">
        <x:v>46046</x:v>
      </x:c>
      <x:c r="B1119" t="str">
        <x:v>PED-101118</x:v>
      </x:c>
      <x:c r="C1119" t="str">
        <x:v>Cliente 008</x:v>
      </x:c>
      <x:c r="D1119" t="str">
        <x:v>MT</x:v>
      </x:c>
      <x:c r="E1119" t="str">
        <x:v>Centro-Oeste</x:v>
      </x:c>
      <x:c r="F1119" t="str">
        <x:v>E-commerce</x:v>
      </x:c>
      <x:c r="G1119" t="str">
        <x:v>Casa</x:v>
      </x:c>
      <x:c r="H1119" t="str">
        <x:v>Cafeteira Smart</x:v>
      </x:c>
      <x:c r="I1119" t="str">
        <x:v>Carla</x:v>
      </x:c>
      <x:c r="J1119" s="53" t="n">
        <x:v>6</x:v>
      </x:c>
      <x:c r="K1119" s="54" t="n">
        <x:v>746.36</x:v>
      </x:c>
      <x:c r="L1119" s="54" t="n">
        <x:v>458.25</x:v>
      </x:c>
      <x:c r="M1119" s="55" t="n">
        <x:v>0</x:v>
      </x:c>
      <x:c r="N1119" s="54" t="n">
        <x:f>ROUND(J1119*K1119,2)</x:f>
        <x:v>4478.16</x:v>
      </x:c>
      <x:c r="O1119" s="54" t="n">
        <x:f>ROUND(N1119*(1-M1119),2)</x:f>
        <x:v>4478.16</x:v>
      </x:c>
      <x:c r="P1119" s="54" t="n">
        <x:f>ROUND(J1119*L1119,2)</x:f>
        <x:v>2749.5</x:v>
      </x:c>
      <x:c r="Q1119" s="54" t="n">
        <x:f>ROUND(O1119-P1119,2)</x:f>
        <x:v>1728.66</x:v>
      </x:c>
      <x:c r="R1119" s="55" t="n">
        <x:f>IF(O1119=0,0,ROUND(Q1119/O1119,4))</x:f>
        <x:v>0.386</x:v>
      </x:c>
      <x:c r="S1119" s="53" t="n">
        <x:v>14</x:v>
      </x:c>
      <x:c r="T1119" t="str">
        <x:v>Entregue com atraso</x:v>
      </x:c>
      <x:c r="U1119" t="n">
        <x:v>3</x:v>
      </x:c>
      <x:c r="V1119" t="str"/>
    </x:row>
    <x:row r="1120">
      <x:c r="A1120" s="52" t="n">
        <x:v>46090</x:v>
      </x:c>
      <x:c r="B1120" t="str">
        <x:v>PED-101119</x:v>
      </x:c>
      <x:c r="C1120" t="str">
        <x:v>Cliente 014</x:v>
      </x:c>
      <x:c r="D1120" t="str">
        <x:v>SP</x:v>
      </x:c>
      <x:c r="E1120" t="str">
        <x:v>Sudeste</x:v>
      </x:c>
      <x:c r="F1120" t="str">
        <x:v>E-commerce</x:v>
      </x:c>
      <x:c r="G1120" t="str">
        <x:v>Acessórios</x:v>
      </x:c>
      <x:c r="H1120" t="str">
        <x:v>Hub USB-C</x:v>
      </x:c>
      <x:c r="I1120" t="str">
        <x:v>Gabriela</x:v>
      </x:c>
      <x:c r="J1120" s="53" t="n">
        <x:v>6</x:v>
      </x:c>
      <x:c r="K1120" s="54" t="n">
        <x:v>306.19</x:v>
      </x:c>
      <x:c r="L1120" s="54" t="n">
        <x:v>135.83</x:v>
      </x:c>
      <x:c r="M1120" s="55" t="n">
        <x:v>0</x:v>
      </x:c>
      <x:c r="N1120" s="54" t="n">
        <x:f>ROUND(J1120*K1120,2)</x:f>
        <x:v>1837.14</x:v>
      </x:c>
      <x:c r="O1120" s="54" t="n">
        <x:f>ROUND(N1120*(1-M1120),2)</x:f>
        <x:v>1837.14</x:v>
      </x:c>
      <x:c r="P1120" s="54" t="n">
        <x:f>ROUND(J1120*L1120,2)</x:f>
        <x:v>814.98</x:v>
      </x:c>
      <x:c r="Q1120" s="54" t="n">
        <x:f>ROUND(O1120-P1120,2)</x:f>
        <x:v>1022.16</x:v>
      </x:c>
      <x:c r="R1120" s="55" t="n">
        <x:f>IF(O1120=0,0,ROUND(Q1120/O1120,4))</x:f>
        <x:v>0.5564</x:v>
      </x:c>
      <x:c r="S1120" s="53" t="n">
        <x:v>4</x:v>
      </x:c>
      <x:c r="T1120" t="str">
        <x:v>Entregue</x:v>
      </x:c>
      <x:c r="U1120" t="n">
        <x:v>4</x:v>
      </x:c>
      <x:c r="V1120" t="str"/>
    </x:row>
    <x:row r="1121">
      <x:c r="A1121" s="52" t="n">
        <x:v>46216</x:v>
      </x:c>
      <x:c r="B1121" t="str">
        <x:v>PED-101120</x:v>
      </x:c>
      <x:c r="C1121" t="str">
        <x:v>Cliente 105</x:v>
      </x:c>
      <x:c r="D1121" t="str">
        <x:v>RJ</x:v>
      </x:c>
      <x:c r="E1121" t="str">
        <x:v>Sudeste</x:v>
      </x:c>
      <x:c r="F1121" t="str">
        <x:v>Marketplace</x:v>
      </x:c>
      <x:c r="G1121" t="str">
        <x:v>Escritório</x:v>
      </x:c>
      <x:c r="H1121" t="str">
        <x:v>Mesa Ajustável</x:v>
      </x:c>
      <x:c r="I1121" t="str">
        <x:v>Elaine</x:v>
      </x:c>
      <x:c r="J1121" s="53" t="n">
        <x:v>4</x:v>
      </x:c>
      <x:c r="K1121" s="54" t="n">
        <x:v>2949.51</x:v>
      </x:c>
      <x:c r="L1121" s="54" t="n">
        <x:v>1800.24</x:v>
      </x:c>
      <x:c r="M1121" s="55" t="n">
        <x:v>0.0827</x:v>
      </x:c>
      <x:c r="N1121" s="54" t="n">
        <x:f>ROUND(J1121*K1121,2)</x:f>
        <x:v>11798.04</x:v>
      </x:c>
      <x:c r="O1121" s="54" t="n">
        <x:f>ROUND(N1121*(1-M1121),2)</x:f>
        <x:v>10822.34</x:v>
      </x:c>
      <x:c r="P1121" s="54" t="n">
        <x:f>ROUND(J1121*L1121,2)</x:f>
        <x:v>7200.96</x:v>
      </x:c>
      <x:c r="Q1121" s="54" t="n">
        <x:f>ROUND(O1121-P1121,2)</x:f>
        <x:v>3621.38</x:v>
      </x:c>
      <x:c r="R1121" s="55" t="n">
        <x:f>IF(O1121=0,0,ROUND(Q1121/O1121,4))</x:f>
        <x:v>0.3346</x:v>
      </x:c>
      <x:c r="S1121" s="53" t="n">
        <x:v>6</x:v>
      </x:c>
      <x:c r="T1121" t="str">
        <x:v>Entregue</x:v>
      </x:c>
      <x:c r="U1121" t="n">
        <x:v>4</x:v>
      </x:c>
      <x:c r="V1121" t="str"/>
    </x:row>
    <x:row r="1122">
      <x:c r="A1122" s="52" t="n">
        <x:v>46032</x:v>
      </x:c>
      <x:c r="B1122" t="str">
        <x:v>PED-101121</x:v>
      </x:c>
      <x:c r="C1122" t="str">
        <x:v>Cliente 114</x:v>
      </x:c>
      <x:c r="D1122" t="str">
        <x:v>PA</x:v>
      </x:c>
      <x:c r="E1122" t="str">
        <x:v>Norte</x:v>
      </x:c>
      <x:c r="F1122" t="str">
        <x:v>Marketplace</x:v>
      </x:c>
      <x:c r="G1122" t="str">
        <x:v>Acessórios</x:v>
      </x:c>
      <x:c r="H1122" t="str">
        <x:v>Webcam HD</x:v>
      </x:c>
      <x:c r="I1122" t="str">
        <x:v>Carla</x:v>
      </x:c>
      <x:c r="J1122" s="53" t="n">
        <x:v>8</x:v>
      </x:c>
      <x:c r="K1122" s="54" t="n">
        <x:v>532.85</x:v>
      </x:c>
      <x:c r="L1122" s="54" t="n">
        <x:v>253.43</x:v>
      </x:c>
      <x:c r="M1122" s="55" t="n">
        <x:v>0.0362</x:v>
      </x:c>
      <x:c r="N1122" s="54" t="n">
        <x:f>ROUND(J1122*K1122,2)</x:f>
        <x:v>4262.8</x:v>
      </x:c>
      <x:c r="O1122" s="54" t="n">
        <x:f>ROUND(N1122*(1-M1122),2)</x:f>
        <x:v>4108.49</x:v>
      </x:c>
      <x:c r="P1122" s="54" t="n">
        <x:f>ROUND(J1122*L1122,2)</x:f>
        <x:v>2027.44</x:v>
      </x:c>
      <x:c r="Q1122" s="54" t="n">
        <x:f>ROUND(O1122-P1122,2)</x:f>
        <x:v>2081.05</x:v>
      </x:c>
      <x:c r="R1122" s="55" t="n">
        <x:f>IF(O1122=0,0,ROUND(Q1122/O1122,4))</x:f>
        <x:v>0.5065</x:v>
      </x:c>
      <x:c r="S1122" s="53" t="n">
        <x:v>8</x:v>
      </x:c>
      <x:c r="T1122" t="str">
        <x:v>Entregue</x:v>
      </x:c>
      <x:c r="U1122" t="n">
        <x:v>5</x:v>
      </x:c>
      <x:c r="V1122" t="str"/>
    </x:row>
    <x:row r="1123">
      <x:c r="A1123" s="52" t="n">
        <x:v>46064</x:v>
      </x:c>
      <x:c r="B1123" t="str">
        <x:v>PED-101122</x:v>
      </x:c>
      <x:c r="C1123" t="str">
        <x:v>Cliente 007</x:v>
      </x:c>
      <x:c r="D1123" t="str">
        <x:v>AM</x:v>
      </x:c>
      <x:c r="E1123" t="str">
        <x:v>Norte</x:v>
      </x:c>
      <x:c r="F1123" t="str">
        <x:v>Marketplace</x:v>
      </x:c>
      <x:c r="G1123" t="str">
        <x:v>Escritório</x:v>
      </x:c>
      <x:c r="H1123" t="str">
        <x:v>Mesa Ajustável</x:v>
      </x:c>
      <x:c r="I1123" t="str">
        <x:v>Bruno</x:v>
      </x:c>
      <x:c r="J1123" s="53" t="n">
        <x:v>8</x:v>
      </x:c>
      <x:c r="K1123" s="54" t="n">
        <x:v>2929.34</x:v>
      </x:c>
      <x:c r="L1123" s="54" t="n">
        <x:v>1952.55</x:v>
      </x:c>
      <x:c r="M1123" s="55" t="n">
        <x:v>0.0936</x:v>
      </x:c>
      <x:c r="N1123" s="54" t="n">
        <x:f>ROUND(J1123*K1123,2)</x:f>
        <x:v>23434.72</x:v>
      </x:c>
      <x:c r="O1123" s="54" t="n">
        <x:f>ROUND(N1123*(1-M1123),2)</x:f>
        <x:v>21241.23</x:v>
      </x:c>
      <x:c r="P1123" s="54" t="n">
        <x:f>ROUND(J1123*L1123,2)</x:f>
        <x:v>15620.4</x:v>
      </x:c>
      <x:c r="Q1123" s="54" t="n">
        <x:f>ROUND(O1123-P1123,2)</x:f>
        <x:v>5620.83</x:v>
      </x:c>
      <x:c r="R1123" s="55" t="n">
        <x:f>IF(O1123=0,0,ROUND(Q1123/O1123,4))</x:f>
        <x:v>0.2646</x:v>
      </x:c>
      <x:c r="S1123" s="53" t="n">
        <x:v>12</x:v>
      </x:c>
      <x:c r="T1123" t="str">
        <x:v>Entregue com atraso</x:v>
      </x:c>
      <x:c r="U1123" t="n">
        <x:v>4</x:v>
      </x:c>
      <x:c r="V1123" t="str"/>
    </x:row>
    <x:row r="1124">
      <x:c r="A1124" s="52" t="n">
        <x:v>46185</x:v>
      </x:c>
      <x:c r="B1124" t="str">
        <x:v>PED-101123</x:v>
      </x:c>
      <x:c r="C1124" t="str">
        <x:v>Cliente 028</x:v>
      </x:c>
      <x:c r="D1124" t="str">
        <x:v>PE</x:v>
      </x:c>
      <x:c r="E1124" t="str">
        <x:v>Nordeste</x:v>
      </x:c>
      <x:c r="F1124" t="str">
        <x:v>Loja</x:v>
      </x:c>
      <x:c r="G1124" t="str">
        <x:v>Escritório</x:v>
      </x:c>
      <x:c r="H1124" t="str">
        <x:v>Mesa Ajustável</x:v>
      </x:c>
      <x:c r="I1124" t="str">
        <x:v>Ana</x:v>
      </x:c>
      <x:c r="J1124" s="53" t="n">
        <x:v>6</x:v>
      </x:c>
      <x:c r="K1124" s="54" t="n">
        <x:v>2793.4</x:v>
      </x:c>
      <x:c r="L1124" s="54" t="n">
        <x:v>1913.34</x:v>
      </x:c>
      <x:c r="M1124" s="55" t="n">
        <x:v>0</x:v>
      </x:c>
      <x:c r="N1124" s="54" t="n">
        <x:f>ROUND(J1124*K1124,2)</x:f>
        <x:v>16760.4</x:v>
      </x:c>
      <x:c r="O1124" s="54" t="n">
        <x:f>ROUND(N1124*(1-M1124),2)</x:f>
        <x:v>16760.4</x:v>
      </x:c>
      <x:c r="P1124" s="54" t="n">
        <x:f>ROUND(J1124*L1124,2)</x:f>
        <x:v>11480.04</x:v>
      </x:c>
      <x:c r="Q1124" s="54" t="n">
        <x:f>ROUND(O1124-P1124,2)</x:f>
        <x:v>5280.36</x:v>
      </x:c>
      <x:c r="R1124" s="55" t="n">
        <x:f>IF(O1124=0,0,ROUND(Q1124/O1124,4))</x:f>
        <x:v>0.315</x:v>
      </x:c>
      <x:c r="S1124" s="53" t="n">
        <x:v>10</x:v>
      </x:c>
      <x:c r="T1124" t="str">
        <x:v>Entregue</x:v>
      </x:c>
      <x:c r="U1124" t="n">
        <x:v>5</x:v>
      </x:c>
      <x:c r="V1124" t="str"/>
    </x:row>
    <x:row r="1125">
      <x:c r="A1125" s="52" t="n">
        <x:v>46110</x:v>
      </x:c>
      <x:c r="B1125" t="str">
        <x:v>PED-101124</x:v>
      </x:c>
      <x:c r="C1125" t="str">
        <x:v>Cliente 110</x:v>
      </x:c>
      <x:c r="D1125" t="str">
        <x:v>RJ</x:v>
      </x:c>
      <x:c r="E1125" t="str">
        <x:v>Sudeste</x:v>
      </x:c>
      <x:c r="F1125" t="str">
        <x:v>Televendas</x:v>
      </x:c>
      <x:c r="G1125" t="str">
        <x:v>Escritório</x:v>
      </x:c>
      <x:c r="H1125" t="str">
        <x:v>Luminária LED</x:v>
      </x:c>
      <x:c r="I1125" t="str">
        <x:v>João</x:v>
      </x:c>
      <x:c r="J1125" s="53" t="n">
        <x:v>1</x:v>
      </x:c>
      <x:c r="K1125" s="54" t="n">
        <x:v>260.96</x:v>
      </x:c>
      <x:c r="L1125" s="54" t="n">
        <x:v>113.89</x:v>
      </x:c>
      <x:c r="M1125" s="55" t="n">
        <x:v>0</x:v>
      </x:c>
      <x:c r="N1125" s="54" t="n">
        <x:f>ROUND(J1125*K1125,2)</x:f>
        <x:v>260.96</x:v>
      </x:c>
      <x:c r="O1125" s="54" t="n">
        <x:f>ROUND(N1125*(1-M1125),2)</x:f>
        <x:v>260.96</x:v>
      </x:c>
      <x:c r="P1125" s="54" t="n">
        <x:f>ROUND(J1125*L1125,2)</x:f>
        <x:v>113.89</x:v>
      </x:c>
      <x:c r="Q1125" s="54" t="n">
        <x:f>ROUND(O1125-P1125,2)</x:f>
        <x:v>147.07</x:v>
      </x:c>
      <x:c r="R1125" s="55" t="n">
        <x:f>IF(O1125=0,0,ROUND(Q1125/O1125,4))</x:f>
        <x:v>0.5636</x:v>
      </x:c>
      <x:c r="S1125" s="53" t="n">
        <x:v>13</x:v>
      </x:c>
      <x:c r="T1125" t="str">
        <x:v>Entregue com atraso</x:v>
      </x:c>
      <x:c r="U1125" t="n">
        <x:v>5</x:v>
      </x:c>
      <x:c r="V1125" t="str"/>
    </x:row>
    <x:row r="1126">
      <x:c r="A1126" s="52" t="n">
        <x:v>46031</x:v>
      </x:c>
      <x:c r="B1126" t="str">
        <x:v>PED-101125</x:v>
      </x:c>
      <x:c r="C1126" t="str">
        <x:v>Cliente 060</x:v>
      </x:c>
      <x:c r="D1126" t="str">
        <x:v>MA</x:v>
      </x:c>
      <x:c r="E1126" t="str">
        <x:v>Nordeste</x:v>
      </x:c>
      <x:c r="F1126" t="str">
        <x:v>Marketplace</x:v>
      </x:c>
      <x:c r="G1126" t="str">
        <x:v>Casa</x:v>
      </x:c>
      <x:c r="H1126" t="str">
        <x:v>Aspirador Robô</x:v>
      </x:c>
      <x:c r="I1126" t="str">
        <x:v>João</x:v>
      </x:c>
      <x:c r="J1126" s="53" t="n">
        <x:v>3</x:v>
      </x:c>
      <x:c r="K1126" s="54" t="n">
        <x:v>1996.77</x:v>
      </x:c>
      <x:c r="L1126" s="54" t="n">
        <x:v>1243.72</x:v>
      </x:c>
      <x:c r="M1126" s="55" t="n">
        <x:v>0.035</x:v>
      </x:c>
      <x:c r="N1126" s="54" t="n">
        <x:f>ROUND(J1126*K1126,2)</x:f>
        <x:v>5990.31</x:v>
      </x:c>
      <x:c r="O1126" s="54" t="n">
        <x:f>ROUND(N1126*(1-M1126),2)</x:f>
        <x:v>5780.65</x:v>
      </x:c>
      <x:c r="P1126" s="54" t="n">
        <x:f>ROUND(J1126*L1126,2)</x:f>
        <x:v>3731.16</x:v>
      </x:c>
      <x:c r="Q1126" s="54" t="n">
        <x:f>ROUND(O1126-P1126,2)</x:f>
        <x:v>2049.49</x:v>
      </x:c>
      <x:c r="R1126" s="55" t="n">
        <x:f>IF(O1126=0,0,ROUND(Q1126/O1126,4))</x:f>
        <x:v>0.3545</x:v>
      </x:c>
      <x:c r="S1126" s="53" t="n">
        <x:v>3</x:v>
      </x:c>
      <x:c r="T1126" t="str">
        <x:v>Entregue</x:v>
      </x:c>
      <x:c r="U1126" t="n">
        <x:v>3</x:v>
      </x:c>
      <x:c r="V1126" t="str"/>
    </x:row>
    <x:row r="1127">
      <x:c r="A1127" s="52" t="n">
        <x:v>46223</x:v>
      </x:c>
      <x:c r="B1127" t="str">
        <x:v>PED-101126</x:v>
      </x:c>
      <x:c r="C1127" t="str">
        <x:v>Cliente 009</x:v>
      </x:c>
      <x:c r="D1127" t="str">
        <x:v>MT</x:v>
      </x:c>
      <x:c r="E1127" t="str">
        <x:v>Centro-Oeste</x:v>
      </x:c>
      <x:c r="F1127" t="str">
        <x:v>Loja</x:v>
      </x:c>
      <x:c r="G1127" t="str">
        <x:v>Escritório</x:v>
      </x:c>
      <x:c r="H1127" t="str">
        <x:v>Cadeira Ergonômica</x:v>
      </x:c>
      <x:c r="I1127" t="str">
        <x:v>Bruno</x:v>
      </x:c>
      <x:c r="J1127" s="53" t="n">
        <x:v>5</x:v>
      </x:c>
      <x:c r="K1127" s="54" t="n">
        <x:v>2124.59</x:v>
      </x:c>
      <x:c r="L1127" s="54" t="n">
        <x:v>1404.18</x:v>
      </x:c>
      <x:c r="M1127" s="55" t="n">
        <x:v>0.0147</x:v>
      </x:c>
      <x:c r="N1127" s="54" t="n">
        <x:f>ROUND(J1127*K1127,2)</x:f>
        <x:v>10622.95</x:v>
      </x:c>
      <x:c r="O1127" s="54" t="n">
        <x:f>ROUND(N1127*(1-M1127),2)</x:f>
        <x:v>10466.79</x:v>
      </x:c>
      <x:c r="P1127" s="54" t="n">
        <x:f>ROUND(J1127*L1127,2)</x:f>
        <x:v>7020.9</x:v>
      </x:c>
      <x:c r="Q1127" s="54" t="n">
        <x:f>ROUND(O1127-P1127,2)</x:f>
        <x:v>3445.89</x:v>
      </x:c>
      <x:c r="R1127" s="55" t="n">
        <x:f>IF(O1127=0,0,ROUND(Q1127/O1127,4))</x:f>
        <x:v>0.3292</x:v>
      </x:c>
      <x:c r="S1127" s="53" t="n">
        <x:v>6</x:v>
      </x:c>
      <x:c r="T1127" t="str">
        <x:v>Entregue</x:v>
      </x:c>
      <x:c r="U1127" t="n">
        <x:v>5</x:v>
      </x:c>
      <x:c r="V1127" t="str"/>
    </x:row>
    <x:row r="1128">
      <x:c r="A1128" s="52" t="n">
        <x:v>46130</x:v>
      </x:c>
      <x:c r="B1128" t="str">
        <x:v>PED-101127</x:v>
      </x:c>
      <x:c r="C1128" t="str">
        <x:v>Cliente 008</x:v>
      </x:c>
      <x:c r="D1128" t="str">
        <x:v>SP</x:v>
      </x:c>
      <x:c r="E1128" t="str">
        <x:v>Sudeste</x:v>
      </x:c>
      <x:c r="F1128" t="str">
        <x:v>E-commerce</x:v>
      </x:c>
      <x:c r="G1128" t="str">
        <x:v>Acessórios</x:v>
      </x:c>
      <x:c r="H1128" t="str">
        <x:v>Webcam HD</x:v>
      </x:c>
      <x:c r="I1128" t="str">
        <x:v>João</x:v>
      </x:c>
      <x:c r="J1128" s="53" t="n">
        <x:v>3</x:v>
      </x:c>
      <x:c r="K1128" s="54" t="n">
        <x:v>510.34</x:v>
      </x:c>
      <x:c r="L1128" s="54" t="n">
        <x:v>236.18</x:v>
      </x:c>
      <x:c r="M1128" s="55" t="n">
        <x:v>0.0608</x:v>
      </x:c>
      <x:c r="N1128" s="54" t="n">
        <x:f>ROUND(J1128*K1128,2)</x:f>
        <x:v>1531.02</x:v>
      </x:c>
      <x:c r="O1128" s="54" t="n">
        <x:f>ROUND(N1128*(1-M1128),2)</x:f>
        <x:v>1437.93</x:v>
      </x:c>
      <x:c r="P1128" s="54" t="n">
        <x:f>ROUND(J1128*L1128,2)</x:f>
        <x:v>708.54</x:v>
      </x:c>
      <x:c r="Q1128" s="54" t="n">
        <x:f>ROUND(O1128-P1128,2)</x:f>
        <x:v>729.39</x:v>
      </x:c>
      <x:c r="R1128" s="55" t="n">
        <x:f>IF(O1128=0,0,ROUND(Q1128/O1128,4))</x:f>
        <x:v>0.5073</x:v>
      </x:c>
      <x:c r="S1128" s="53" t="n">
        <x:v>9</x:v>
      </x:c>
      <x:c r="T1128" t="str">
        <x:v>Entregue</x:v>
      </x:c>
      <x:c r="U1128" t="n">
        <x:v>4</x:v>
      </x:c>
      <x:c r="V1128" t="str"/>
    </x:row>
    <x:row r="1129">
      <x:c r="A1129" s="52" t="n">
        <x:v>46134</x:v>
      </x:c>
      <x:c r="B1129" t="str">
        <x:v>PED-101128</x:v>
      </x:c>
      <x:c r="C1129" t="str">
        <x:v>Cliente 054</x:v>
      </x:c>
      <x:c r="D1129" t="str">
        <x:v>PR</x:v>
      </x:c>
      <x:c r="E1129" t="str">
        <x:v>Sul</x:v>
      </x:c>
      <x:c r="F1129" t="str">
        <x:v>Marketplace</x:v>
      </x:c>
      <x:c r="G1129" t="str">
        <x:v>Acessórios</x:v>
      </x:c>
      <x:c r="H1129" t="str">
        <x:v>Webcam HD</x:v>
      </x:c>
      <x:c r="I1129" t="str">
        <x:v>Henrique</x:v>
      </x:c>
      <x:c r="J1129" s="53" t="n">
        <x:v>4</x:v>
      </x:c>
      <x:c r="K1129" s="54" t="n">
        <x:v>507.61</x:v>
      </x:c>
      <x:c r="L1129" s="54" t="n">
        <x:v>249.43</x:v>
      </x:c>
      <x:c r="M1129" s="55" t="n">
        <x:v>0.0583</x:v>
      </x:c>
      <x:c r="N1129" s="54" t="n">
        <x:f>ROUND(J1129*K1129,2)</x:f>
        <x:v>2030.44</x:v>
      </x:c>
      <x:c r="O1129" s="54" t="n">
        <x:f>ROUND(N1129*(1-M1129),2)</x:f>
        <x:v>1912.07</x:v>
      </x:c>
      <x:c r="P1129" s="54" t="n">
        <x:f>ROUND(J1129*L1129,2)</x:f>
        <x:v>997.72</x:v>
      </x:c>
      <x:c r="Q1129" s="54" t="n">
        <x:f>ROUND(O1129-P1129,2)</x:f>
        <x:v>914.35</x:v>
      </x:c>
      <x:c r="R1129" s="55" t="n">
        <x:f>IF(O1129=0,0,ROUND(Q1129/O1129,4))</x:f>
        <x:v>0.4782</x:v>
      </x:c>
      <x:c r="S1129" s="53" t="n">
        <x:v>13</x:v>
      </x:c>
      <x:c r="T1129" t="str">
        <x:v>Entregue com atraso</x:v>
      </x:c>
      <x:c r="U1129" t="n">
        <x:v>3</x:v>
      </x:c>
      <x:c r="V1129" t="str"/>
    </x:row>
    <x:row r="1130">
      <x:c r="A1130" s="52" t="n">
        <x:v>46144</x:v>
      </x:c>
      <x:c r="B1130" t="str">
        <x:v>PED-101129</x:v>
      </x:c>
      <x:c r="C1130" t="str">
        <x:v>Cliente 028</x:v>
      </x:c>
      <x:c r="D1130" t="str">
        <x:v>SP</x:v>
      </x:c>
      <x:c r="E1130" t="str">
        <x:v>Sudeste</x:v>
      </x:c>
      <x:c r="F1130" t="str">
        <x:v>E-commerce</x:v>
      </x:c>
      <x:c r="G1130" t="str">
        <x:v>Escritório</x:v>
      </x:c>
      <x:c r="H1130" t="str">
        <x:v>Luminária LED</x:v>
      </x:c>
      <x:c r="I1130" t="str">
        <x:v>Ana</x:v>
      </x:c>
      <x:c r="J1130" s="53" t="n">
        <x:v>6</x:v>
      </x:c>
      <x:c r="K1130" s="54" t="n">
        <x:v>245.97</x:v>
      </x:c>
      <x:c r="L1130" s="54" t="n">
        <x:v>123.76</x:v>
      </x:c>
      <x:c r="M1130" s="55" t="n">
        <x:v>0.0533</x:v>
      </x:c>
      <x:c r="N1130" s="54" t="n">
        <x:f>ROUND(J1130*K1130,2)</x:f>
        <x:v>1475.82</x:v>
      </x:c>
      <x:c r="O1130" s="54" t="n">
        <x:f>ROUND(N1130*(1-M1130),2)</x:f>
        <x:v>1397.16</x:v>
      </x:c>
      <x:c r="P1130" s="54" t="n">
        <x:f>ROUND(J1130*L1130,2)</x:f>
        <x:v>742.56</x:v>
      </x:c>
      <x:c r="Q1130" s="54" t="n">
        <x:f>ROUND(O1130-P1130,2)</x:f>
        <x:v>654.6</x:v>
      </x:c>
      <x:c r="R1130" s="55" t="n">
        <x:f>IF(O1130=0,0,ROUND(Q1130/O1130,4))</x:f>
        <x:v>0.4685</x:v>
      </x:c>
      <x:c r="S1130" s="53" t="n">
        <x:v>5</x:v>
      </x:c>
      <x:c r="T1130" t="str">
        <x:v>Entregue</x:v>
      </x:c>
      <x:c r="U1130" t="n">
        <x:v>5</x:v>
      </x:c>
      <x:c r="V1130" t="str"/>
    </x:row>
    <x:row r="1131">
      <x:c r="A1131" s="52" t="n">
        <x:v>46179</x:v>
      </x:c>
      <x:c r="B1131" t="str">
        <x:v>PED-101130</x:v>
      </x:c>
      <x:c r="C1131" t="str">
        <x:v>Cliente 045</x:v>
      </x:c>
      <x:c r="D1131" t="str">
        <x:v>AM</x:v>
      </x:c>
      <x:c r="E1131" t="str">
        <x:v>Norte</x:v>
      </x:c>
      <x:c r="F1131" t="str">
        <x:v>Loja</x:v>
      </x:c>
      <x:c r="G1131" t="str">
        <x:v>Casa</x:v>
      </x:c>
      <x:c r="H1131" t="str">
        <x:v>Cafeteira Smart</x:v>
      </x:c>
      <x:c r="I1131" t="str">
        <x:v>Gabriela</x:v>
      </x:c>
      <x:c r="J1131" s="53" t="n">
        <x:v>7</x:v>
      </x:c>
      <x:c r="K1131" s="54" t="n">
        <x:v>786.8</x:v>
      </x:c>
      <x:c r="L1131" s="54" t="n">
        <x:v>493.19</x:v>
      </x:c>
      <x:c r="M1131" s="55" t="n">
        <x:v>0.0783</x:v>
      </x:c>
      <x:c r="N1131" s="54" t="n">
        <x:f>ROUND(J1131*K1131,2)</x:f>
        <x:v>5507.6</x:v>
      </x:c>
      <x:c r="O1131" s="54" t="n">
        <x:f>ROUND(N1131*(1-M1131),2)</x:f>
        <x:v>5076.35</x:v>
      </x:c>
      <x:c r="P1131" s="54" t="n">
        <x:f>ROUND(J1131*L1131,2)</x:f>
        <x:v>3452.33</x:v>
      </x:c>
      <x:c r="Q1131" s="54" t="n">
        <x:f>ROUND(O1131-P1131,2)</x:f>
        <x:v>1624.02</x:v>
      </x:c>
      <x:c r="R1131" s="55" t="n">
        <x:f>IF(O1131=0,0,ROUND(Q1131/O1131,4))</x:f>
        <x:v>0.3199</x:v>
      </x:c>
      <x:c r="S1131" s="53" t="n">
        <x:v>2</x:v>
      </x:c>
      <x:c r="T1131" t="str">
        <x:v>Entregue</x:v>
      </x:c>
      <x:c r="U1131" t="n">
        <x:v>3</x:v>
      </x:c>
      <x:c r="V1131" t="str"/>
    </x:row>
    <x:row r="1132">
      <x:c r="A1132" s="52" t="n">
        <x:v>46081</x:v>
      </x:c>
      <x:c r="B1132" t="str">
        <x:v>PED-101131</x:v>
      </x:c>
      <x:c r="C1132" t="str">
        <x:v>Cliente 053</x:v>
      </x:c>
      <x:c r="D1132" t="str">
        <x:v>BA</x:v>
      </x:c>
      <x:c r="E1132" t="str">
        <x:v>Nordeste</x:v>
      </x:c>
      <x:c r="F1132" t="str">
        <x:v>Loja</x:v>
      </x:c>
      <x:c r="G1132" t="str">
        <x:v>Escritório</x:v>
      </x:c>
      <x:c r="H1132" t="str">
        <x:v>Cadeira Ergonômica</x:v>
      </x:c>
      <x:c r="I1132" t="str">
        <x:v>Felipe</x:v>
      </x:c>
      <x:c r="J1132" s="53" t="n">
        <x:v>7</x:v>
      </x:c>
      <x:c r="K1132" s="54" t="n">
        <x:v>2283.98</x:v>
      </x:c>
      <x:c r="L1132" s="54" t="n">
        <x:v>1448.24</x:v>
      </x:c>
      <x:c r="M1132" s="55" t="n">
        <x:v>0.0298</x:v>
      </x:c>
      <x:c r="N1132" s="54" t="n">
        <x:f>ROUND(J1132*K1132,2)</x:f>
        <x:v>15987.86</x:v>
      </x:c>
      <x:c r="O1132" s="54" t="n">
        <x:f>ROUND(N1132*(1-M1132),2)</x:f>
        <x:v>15511.42</x:v>
      </x:c>
      <x:c r="P1132" s="54" t="n">
        <x:f>ROUND(J1132*L1132,2)</x:f>
        <x:v>10137.68</x:v>
      </x:c>
      <x:c r="Q1132" s="54" t="n">
        <x:f>ROUND(O1132-P1132,2)</x:f>
        <x:v>5373.74</x:v>
      </x:c>
      <x:c r="R1132" s="55" t="n">
        <x:f>IF(O1132=0,0,ROUND(Q1132/O1132,4))</x:f>
        <x:v>0.3464</x:v>
      </x:c>
      <x:c r="S1132" s="53" t="n">
        <x:v>8</x:v>
      </x:c>
      <x:c r="T1132" t="str">
        <x:v>Entregue</x:v>
      </x:c>
      <x:c r="U1132" t="n">
        <x:v>4</x:v>
      </x:c>
      <x:c r="V1132" t="str"/>
    </x:row>
    <x:row r="1133">
      <x:c r="A1133" s="52" t="n">
        <x:v>46132</x:v>
      </x:c>
      <x:c r="B1133" t="str">
        <x:v>PED-101132</x:v>
      </x:c>
      <x:c r="C1133" t="str">
        <x:v>Cliente 058</x:v>
      </x:c>
      <x:c r="D1133" t="str">
        <x:v>DF</x:v>
      </x:c>
      <x:c r="E1133" t="str">
        <x:v>Centro-Oeste</x:v>
      </x:c>
      <x:c r="F1133" t="str">
        <x:v>E-commerce</x:v>
      </x:c>
      <x:c r="G1133" t="str">
        <x:v>Escritório</x:v>
      </x:c>
      <x:c r="H1133" t="str">
        <x:v>Mesa Ajustável</x:v>
      </x:c>
      <x:c r="I1133" t="str">
        <x:v>Ana</x:v>
      </x:c>
      <x:c r="J1133" s="53" t="n">
        <x:v>4</x:v>
      </x:c>
      <x:c r="K1133" s="54" t="n">
        <x:v>2678.31</x:v>
      </x:c>
      <x:c r="L1133" s="54" t="n">
        <x:v>1857.91</x:v>
      </x:c>
      <x:c r="M1133" s="55" t="n">
        <x:v>0</x:v>
      </x:c>
      <x:c r="N1133" s="54" t="n">
        <x:f>ROUND(J1133*K1133,2)</x:f>
        <x:v>10713.24</x:v>
      </x:c>
      <x:c r="O1133" s="54" t="n">
        <x:f>ROUND(N1133*(1-M1133),2)</x:f>
        <x:v>10713.24</x:v>
      </x:c>
      <x:c r="P1133" s="54" t="n">
        <x:f>ROUND(J1133*L1133,2)</x:f>
        <x:v>7431.64</x:v>
      </x:c>
      <x:c r="Q1133" s="54" t="n">
        <x:f>ROUND(O1133-P1133,2)</x:f>
        <x:v>3281.6</x:v>
      </x:c>
      <x:c r="R1133" s="55" t="n">
        <x:f>IF(O1133=0,0,ROUND(Q1133/O1133,4))</x:f>
        <x:v>0.3063</x:v>
      </x:c>
      <x:c r="S1133" s="53" t="n">
        <x:v>14</x:v>
      </x:c>
      <x:c r="T1133" t="str">
        <x:v>Entregue com atraso</x:v>
      </x:c>
      <x:c r="U1133" t="n">
        <x:v>4</x:v>
      </x:c>
      <x:c r="V1133" t="str"/>
    </x:row>
    <x:row r="1134">
      <x:c r="A1134" s="52" t="n">
        <x:v>46162</x:v>
      </x:c>
      <x:c r="B1134" t="str">
        <x:v>PED-101133</x:v>
      </x:c>
      <x:c r="C1134" t="str">
        <x:v>Cliente 011</x:v>
      </x:c>
      <x:c r="D1134" t="str">
        <x:v>PE</x:v>
      </x:c>
      <x:c r="E1134" t="str">
        <x:v>Nordeste</x:v>
      </x:c>
      <x:c r="F1134" t="str">
        <x:v>E-commerce</x:v>
      </x:c>
      <x:c r="G1134" t="str">
        <x:v>Casa</x:v>
      </x:c>
      <x:c r="H1134" t="str">
        <x:v>Cafeteira Smart</x:v>
      </x:c>
      <x:c r="I1134" t="str">
        <x:v>Bruno</x:v>
      </x:c>
      <x:c r="J1134" s="53" t="n">
        <x:v>8</x:v>
      </x:c>
      <x:c r="K1134" s="54" t="n">
        <x:v>790.79</x:v>
      </x:c>
      <x:c r="L1134" s="54" t="n">
        <x:v>459.89</x:v>
      </x:c>
      <x:c r="M1134" s="55" t="n">
        <x:v>0.0395</x:v>
      </x:c>
      <x:c r="N1134" s="54" t="n">
        <x:f>ROUND(J1134*K1134,2)</x:f>
        <x:v>6326.32</x:v>
      </x:c>
      <x:c r="O1134" s="54" t="n">
        <x:f>ROUND(N1134*(1-M1134),2)</x:f>
        <x:v>6076.43</x:v>
      </x:c>
      <x:c r="P1134" s="54" t="n">
        <x:f>ROUND(J1134*L1134,2)</x:f>
        <x:v>3679.12</x:v>
      </x:c>
      <x:c r="Q1134" s="54" t="n">
        <x:f>ROUND(O1134-P1134,2)</x:f>
        <x:v>2397.31</x:v>
      </x:c>
      <x:c r="R1134" s="55" t="n">
        <x:f>IF(O1134=0,0,ROUND(Q1134/O1134,4))</x:f>
        <x:v>0.3945</x:v>
      </x:c>
      <x:c r="S1134" s="53" t="n">
        <x:v>5</x:v>
      </x:c>
      <x:c r="T1134" t="str">
        <x:v>Entregue</x:v>
      </x:c>
      <x:c r="U1134" t="n">
        <x:v>3</x:v>
      </x:c>
      <x:c r="V1134" t="str"/>
    </x:row>
    <x:row r="1135">
      <x:c r="A1135" s="52" t="n">
        <x:v>46163</x:v>
      </x:c>
      <x:c r="B1135" t="str">
        <x:v>PED-101134</x:v>
      </x:c>
      <x:c r="C1135" t="str">
        <x:v>Cliente 047</x:v>
      </x:c>
      <x:c r="D1135" t="str">
        <x:v>MA</x:v>
      </x:c>
      <x:c r="E1135" t="str">
        <x:v>Nordeste</x:v>
      </x:c>
      <x:c r="F1135" t="str">
        <x:v>E-commerce</x:v>
      </x:c>
      <x:c r="G1135" t="str">
        <x:v>Escritório</x:v>
      </x:c>
      <x:c r="H1135" t="str">
        <x:v>Cadeira Ergonômica</x:v>
      </x:c>
      <x:c r="I1135" t="str">
        <x:v>Ana</x:v>
      </x:c>
      <x:c r="J1135" s="53" t="n">
        <x:v>6</x:v>
      </x:c>
      <x:c r="K1135" s="54" t="n">
        <x:v>2068.51</x:v>
      </x:c>
      <x:c r="L1135" s="54" t="n">
        <x:v>1444.62</x:v>
      </x:c>
      <x:c r="M1135" s="55" t="n">
        <x:v>0.0965</x:v>
      </x:c>
      <x:c r="N1135" s="54" t="n">
        <x:f>ROUND(J1135*K1135,2)</x:f>
        <x:v>12411.06</x:v>
      </x:c>
      <x:c r="O1135" s="54" t="n">
        <x:f>ROUND(N1135*(1-M1135),2)</x:f>
        <x:v>11213.39</x:v>
      </x:c>
      <x:c r="P1135" s="54" t="n">
        <x:f>ROUND(J1135*L1135,2)</x:f>
        <x:v>8667.72</x:v>
      </x:c>
      <x:c r="Q1135" s="54" t="n">
        <x:f>ROUND(O1135-P1135,2)</x:f>
        <x:v>2545.67</x:v>
      </x:c>
      <x:c r="R1135" s="55" t="n">
        <x:f>IF(O1135=0,0,ROUND(Q1135/O1135,4))</x:f>
        <x:v>0.227</x:v>
      </x:c>
      <x:c r="S1135" s="53" t="n">
        <x:v>11</x:v>
      </x:c>
      <x:c r="T1135" t="str">
        <x:v>Entregue com atraso</x:v>
      </x:c>
      <x:c r="U1135" t="n">
        <x:v>4</x:v>
      </x:c>
      <x:c r="V1135" t="str"/>
    </x:row>
    <x:row r="1136">
      <x:c r="A1136" s="52" t="n">
        <x:v>46224</x:v>
      </x:c>
      <x:c r="B1136" t="str">
        <x:v>PED-101135</x:v>
      </x:c>
      <x:c r="C1136" t="str">
        <x:v>Cliente 058</x:v>
      </x:c>
      <x:c r="D1136" t="str">
        <x:v>CE</x:v>
      </x:c>
      <x:c r="E1136" t="str">
        <x:v>Nordeste</x:v>
      </x:c>
      <x:c r="F1136" t="str">
        <x:v>Televendas</x:v>
      </x:c>
      <x:c r="G1136" t="str">
        <x:v>Casa</x:v>
      </x:c>
      <x:c r="H1136" t="str">
        <x:v>Aspirador Robô</x:v>
      </x:c>
      <x:c r="I1136" t="str">
        <x:v>Ana</x:v>
      </x:c>
      <x:c r="J1136" s="53" t="n">
        <x:v>2</x:v>
      </x:c>
      <x:c r="K1136" s="54" t="n">
        <x:v>1986.61</x:v>
      </x:c>
      <x:c r="L1136" s="54" t="n">
        <x:v>1272.57</x:v>
      </x:c>
      <x:c r="M1136" s="55" t="n">
        <x:v>0.0872</x:v>
      </x:c>
      <x:c r="N1136" s="54" t="n">
        <x:f>ROUND(J1136*K1136,2)</x:f>
        <x:v>3973.22</x:v>
      </x:c>
      <x:c r="O1136" s="54" t="n">
        <x:f>ROUND(N1136*(1-M1136),2)</x:f>
        <x:v>3626.76</x:v>
      </x:c>
      <x:c r="P1136" s="54" t="n">
        <x:f>ROUND(J1136*L1136,2)</x:f>
        <x:v>2545.14</x:v>
      </x:c>
      <x:c r="Q1136" s="54" t="n">
        <x:f>ROUND(O1136-P1136,2)</x:f>
        <x:v>1081.62</x:v>
      </x:c>
      <x:c r="R1136" s="55" t="n">
        <x:f>IF(O1136=0,0,ROUND(Q1136/O1136,4))</x:f>
        <x:v>0.2982</x:v>
      </x:c>
      <x:c r="S1136" s="53" t="n">
        <x:v>4</x:v>
      </x:c>
      <x:c r="T1136" t="str">
        <x:v>Entregue</x:v>
      </x:c>
      <x:c r="U1136" t="n">
        <x:v>5</x:v>
      </x:c>
      <x:c r="V1136" t="str"/>
    </x:row>
    <x:row r="1137">
      <x:c r="A1137" s="52" t="n">
        <x:v>46129</x:v>
      </x:c>
      <x:c r="B1137" t="str">
        <x:v>PED-101136</x:v>
      </x:c>
      <x:c r="C1137" t="str">
        <x:v>Cliente 094</x:v>
      </x:c>
      <x:c r="D1137" t="str">
        <x:v>MG</x:v>
      </x:c>
      <x:c r="E1137" t="str">
        <x:v>Sudeste</x:v>
      </x:c>
      <x:c r="F1137" t="str">
        <x:v>Loja</x:v>
      </x:c>
      <x:c r="G1137" t="str">
        <x:v>Escritório</x:v>
      </x:c>
      <x:c r="H1137" t="str">
        <x:v>Luminária LED</x:v>
      </x:c>
      <x:c r="I1137" t="str">
        <x:v>Carla</x:v>
      </x:c>
      <x:c r="J1137" s="53" t="n">
        <x:v>6</x:v>
      </x:c>
      <x:c r="K1137" s="54" t="n">
        <x:v>266.58</x:v>
      </x:c>
      <x:c r="L1137" s="54" t="n">
        <x:v>122.49</x:v>
      </x:c>
      <x:c r="M1137" s="55" t="n">
        <x:v>0</x:v>
      </x:c>
      <x:c r="N1137" s="54" t="n">
        <x:f>ROUND(J1137*K1137,2)</x:f>
        <x:v>1599.48</x:v>
      </x:c>
      <x:c r="O1137" s="54" t="n">
        <x:f>ROUND(N1137*(1-M1137),2)</x:f>
        <x:v>1599.48</x:v>
      </x:c>
      <x:c r="P1137" s="54" t="n">
        <x:f>ROUND(J1137*L1137,2)</x:f>
        <x:v>734.94</x:v>
      </x:c>
      <x:c r="Q1137" s="54" t="n">
        <x:f>ROUND(O1137-P1137,2)</x:f>
        <x:v>864.54</x:v>
      </x:c>
      <x:c r="R1137" s="55" t="n">
        <x:f>IF(O1137=0,0,ROUND(Q1137/O1137,4))</x:f>
        <x:v>0.5405</x:v>
      </x:c>
      <x:c r="S1137" s="53" t="n">
        <x:v>13</x:v>
      </x:c>
      <x:c r="T1137" t="str">
        <x:v>Entregue com atraso</x:v>
      </x:c>
      <x:c r="U1137" t="n">
        <x:v>5</x:v>
      </x:c>
      <x:c r="V1137" t="str"/>
    </x:row>
    <x:row r="1138">
      <x:c r="A1138" s="52" t="n">
        <x:v>46023</x:v>
      </x:c>
      <x:c r="B1138" t="str">
        <x:v>PED-101137</x:v>
      </x:c>
      <x:c r="C1138" t="str">
        <x:v>Cliente 010</x:v>
      </x:c>
      <x:c r="D1138" t="str">
        <x:v>PE</x:v>
      </x:c>
      <x:c r="E1138" t="str">
        <x:v>Nordeste</x:v>
      </x:c>
      <x:c r="F1138" t="str">
        <x:v>Televendas</x:v>
      </x:c>
      <x:c r="G1138" t="str">
        <x:v>Casa</x:v>
      </x:c>
      <x:c r="H1138" t="str">
        <x:v>Cafeteira Smart</x:v>
      </x:c>
      <x:c r="I1138" t="str">
        <x:v>Isabela</x:v>
      </x:c>
      <x:c r="J1138" s="53" t="n">
        <x:v>2</x:v>
      </x:c>
      <x:c r="K1138" s="54" t="n">
        <x:v>760.71</x:v>
      </x:c>
      <x:c r="L1138" s="54" t="n">
        <x:v>461.81</x:v>
      </x:c>
      <x:c r="M1138" s="55" t="n">
        <x:v>0.1278</x:v>
      </x:c>
      <x:c r="N1138" s="54" t="n">
        <x:f>ROUND(J1138*K1138,2)</x:f>
        <x:v>1521.42</x:v>
      </x:c>
      <x:c r="O1138" s="54" t="n">
        <x:f>ROUND(N1138*(1-M1138),2)</x:f>
        <x:v>1326.98</x:v>
      </x:c>
      <x:c r="P1138" s="54" t="n">
        <x:f>ROUND(J1138*L1138,2)</x:f>
        <x:v>923.62</x:v>
      </x:c>
      <x:c r="Q1138" s="54" t="n">
        <x:f>ROUND(O1138-P1138,2)</x:f>
        <x:v>403.36</x:v>
      </x:c>
      <x:c r="R1138" s="55" t="n">
        <x:f>IF(O1138=0,0,ROUND(Q1138/O1138,4))</x:f>
        <x:v>0.304</x:v>
      </x:c>
      <x:c r="S1138" s="53" t="n">
        <x:v>10</x:v>
      </x:c>
      <x:c r="T1138" t="str">
        <x:v>Entregue</x:v>
      </x:c>
      <x:c r="U1138" t="n">
        <x:v>4</x:v>
      </x:c>
      <x:c r="V1138" t="str"/>
    </x:row>
    <x:row r="1139">
      <x:c r="A1139" s="52" t="n">
        <x:v>46057</x:v>
      </x:c>
      <x:c r="B1139" t="str">
        <x:v>PED-101138</x:v>
      </x:c>
      <x:c r="C1139" t="str">
        <x:v>Cliente 025</x:v>
      </x:c>
      <x:c r="D1139" t="str">
        <x:v>SC</x:v>
      </x:c>
      <x:c r="E1139" t="str">
        <x:v>Sul</x:v>
      </x:c>
      <x:c r="F1139" t="str">
        <x:v>E-commerce</x:v>
      </x:c>
      <x:c r="G1139" t="str">
        <x:v>Escritório</x:v>
      </x:c>
      <x:c r="H1139" t="str">
        <x:v>Cadeira Ergonômica</x:v>
      </x:c>
      <x:c r="I1139" t="str">
        <x:v>Henrique</x:v>
      </x:c>
      <x:c r="J1139" s="53" t="n">
        <x:v>2</x:v>
      </x:c>
      <x:c r="K1139" s="54" t="n">
        <x:v>2297.08</x:v>
      </x:c>
      <x:c r="L1139" s="54" t="n">
        <x:v>1422.34</x:v>
      </x:c>
      <x:c r="M1139" s="55" t="n">
        <x:v>0</x:v>
      </x:c>
      <x:c r="N1139" s="54" t="n">
        <x:f>ROUND(J1139*K1139,2)</x:f>
        <x:v>4594.16</x:v>
      </x:c>
      <x:c r="O1139" s="54" t="n">
        <x:f>ROUND(N1139*(1-M1139),2)</x:f>
        <x:v>4594.16</x:v>
      </x:c>
      <x:c r="P1139" s="54" t="n">
        <x:f>ROUND(J1139*L1139,2)</x:f>
        <x:v>2844.68</x:v>
      </x:c>
      <x:c r="Q1139" s="54" t="n">
        <x:f>ROUND(O1139-P1139,2)</x:f>
        <x:v>1749.48</x:v>
      </x:c>
      <x:c r="R1139" s="55" t="n">
        <x:f>IF(O1139=0,0,ROUND(Q1139/O1139,4))</x:f>
        <x:v>0.3808</x:v>
      </x:c>
      <x:c r="S1139" s="53" t="n">
        <x:v>14</x:v>
      </x:c>
      <x:c r="T1139" t="str">
        <x:v>Entregue com atraso</x:v>
      </x:c>
      <x:c r="U1139" t="n">
        <x:v>3</x:v>
      </x:c>
      <x:c r="V1139" t="str"/>
    </x:row>
    <x:row r="1140">
      <x:c r="A1140" s="52" t="n">
        <x:v>46146</x:v>
      </x:c>
      <x:c r="B1140" t="str">
        <x:v>PED-101139</x:v>
      </x:c>
      <x:c r="C1140" t="str">
        <x:v>Cliente 056</x:v>
      </x:c>
      <x:c r="D1140" t="str">
        <x:v>MA</x:v>
      </x:c>
      <x:c r="E1140" t="str">
        <x:v>Nordeste</x:v>
      </x:c>
      <x:c r="F1140" t="str">
        <x:v>Loja</x:v>
      </x:c>
      <x:c r="G1140" t="str">
        <x:v>Casa</x:v>
      </x:c>
      <x:c r="H1140" t="str">
        <x:v>Cafeteira Smart</x:v>
      </x:c>
      <x:c r="I1140" t="str">
        <x:v>Elaine</x:v>
      </x:c>
      <x:c r="J1140" s="53" t="n">
        <x:v>7</x:v>
      </x:c>
      <x:c r="K1140" s="54" t="n">
        <x:v>796.6</x:v>
      </x:c>
      <x:c r="L1140" s="54" t="n">
        <x:v>489.24</x:v>
      </x:c>
      <x:c r="M1140" s="55" t="n">
        <x:v>0</x:v>
      </x:c>
      <x:c r="N1140" s="54" t="n">
        <x:f>ROUND(J1140*K1140,2)</x:f>
        <x:v>5576.2</x:v>
      </x:c>
      <x:c r="O1140" s="54" t="n">
        <x:f>ROUND(N1140*(1-M1140),2)</x:f>
        <x:v>5576.2</x:v>
      </x:c>
      <x:c r="P1140" s="54" t="n">
        <x:f>ROUND(J1140*L1140,2)</x:f>
        <x:v>3424.68</x:v>
      </x:c>
      <x:c r="Q1140" s="54" t="n">
        <x:f>ROUND(O1140-P1140,2)</x:f>
        <x:v>2151.52</x:v>
      </x:c>
      <x:c r="R1140" s="55" t="n">
        <x:f>IF(O1140=0,0,ROUND(Q1140/O1140,4))</x:f>
        <x:v>0.3858</x:v>
      </x:c>
      <x:c r="S1140" s="53" t="n">
        <x:v>12</x:v>
      </x:c>
      <x:c r="T1140" t="str">
        <x:v>Entregue com atraso</x:v>
      </x:c>
      <x:c r="U1140" t="n">
        <x:v>2</x:v>
      </x:c>
      <x:c r="V1140" t="str"/>
    </x:row>
    <x:row r="1141">
      <x:c r="A1141" s="52" t="n">
        <x:v>46050</x:v>
      </x:c>
      <x:c r="B1141" t="str">
        <x:v>PED-101140</x:v>
      </x:c>
      <x:c r="C1141" t="str">
        <x:v>Cliente 108</x:v>
      </x:c>
      <x:c r="D1141" t="str">
        <x:v>RS</x:v>
      </x:c>
      <x:c r="E1141" t="str">
        <x:v>Sul</x:v>
      </x:c>
      <x:c r="F1141" t="str">
        <x:v>Loja</x:v>
      </x:c>
      <x:c r="G1141" t="str">
        <x:v>Escritório</x:v>
      </x:c>
      <x:c r="H1141" t="str">
        <x:v>Luminária LED</x:v>
      </x:c>
      <x:c r="I1141" t="str">
        <x:v>Elaine</x:v>
      </x:c>
      <x:c r="J1141" s="53" t="n">
        <x:v>1</x:v>
      </x:c>
      <x:c r="K1141" s="54" t="n">
        <x:v>256.03</x:v>
      </x:c>
      <x:c r="L1141" s="54" t="n">
        <x:v>122.99</x:v>
      </x:c>
      <x:c r="M1141" s="55" t="n">
        <x:v>0.104</x:v>
      </x:c>
      <x:c r="N1141" s="54" t="n">
        <x:f>ROUND(J1141*K1141,2)</x:f>
        <x:v>256.03</x:v>
      </x:c>
      <x:c r="O1141" s="54" t="n">
        <x:f>ROUND(N1141*(1-M1141),2)</x:f>
        <x:v>229.4</x:v>
      </x:c>
      <x:c r="P1141" s="54" t="n">
        <x:f>ROUND(J1141*L1141,2)</x:f>
        <x:v>122.99</x:v>
      </x:c>
      <x:c r="Q1141" s="54" t="n">
        <x:f>ROUND(O1141-P1141,2)</x:f>
        <x:v>106.41</x:v>
      </x:c>
      <x:c r="R1141" s="55" t="n">
        <x:f>IF(O1141=0,0,ROUND(Q1141/O1141,4))</x:f>
        <x:v>0.4639</x:v>
      </x:c>
      <x:c r="S1141" s="53" t="n">
        <x:v>14</x:v>
      </x:c>
      <x:c r="T1141" t="str">
        <x:v>Entregue com atraso</x:v>
      </x:c>
      <x:c r="U1141" t="n">
        <x:v>5</x:v>
      </x:c>
      <x:c r="V1141" t="str"/>
    </x:row>
    <x:row r="1142">
      <x:c r="A1142" s="52" t="n">
        <x:v>46035</x:v>
      </x:c>
      <x:c r="B1142" t="str">
        <x:v>PED-101141</x:v>
      </x:c>
      <x:c r="C1142" t="str">
        <x:v>Cliente 112</x:v>
      </x:c>
      <x:c r="D1142" t="str">
        <x:v>RS</x:v>
      </x:c>
      <x:c r="E1142" t="str">
        <x:v>Sul</x:v>
      </x:c>
      <x:c r="F1142" t="str">
        <x:v>E-commerce</x:v>
      </x:c>
      <x:c r="G1142" t="str">
        <x:v>Escritório</x:v>
      </x:c>
      <x:c r="H1142" t="str">
        <x:v>Cadeira Ergonômica</x:v>
      </x:c>
      <x:c r="I1142" t="str">
        <x:v>Carla</x:v>
      </x:c>
      <x:c r="J1142" s="53" t="n">
        <x:v>5</x:v>
      </x:c>
      <x:c r="K1142" s="54" t="n">
        <x:v>2317.24</x:v>
      </x:c>
      <x:c r="L1142" s="54" t="n">
        <x:v>1365.73</x:v>
      </x:c>
      <x:c r="M1142" s="55" t="n">
        <x:v>0</x:v>
      </x:c>
      <x:c r="N1142" s="54" t="n">
        <x:f>ROUND(J1142*K1142,2)</x:f>
        <x:v>11586.2</x:v>
      </x:c>
      <x:c r="O1142" s="54" t="n">
        <x:f>ROUND(N1142*(1-M1142),2)</x:f>
        <x:v>11586.2</x:v>
      </x:c>
      <x:c r="P1142" s="54" t="n">
        <x:f>ROUND(J1142*L1142,2)</x:f>
        <x:v>6828.65</x:v>
      </x:c>
      <x:c r="Q1142" s="54" t="n">
        <x:f>ROUND(O1142-P1142,2)</x:f>
        <x:v>4757.55</x:v>
      </x:c>
      <x:c r="R1142" s="55" t="n">
        <x:f>IF(O1142=0,0,ROUND(Q1142/O1142,4))</x:f>
        <x:v>0.4106</x:v>
      </x:c>
      <x:c r="S1142" s="53" t="n">
        <x:v>12</x:v>
      </x:c>
      <x:c r="T1142" t="str">
        <x:v>Entregue com atraso</x:v>
      </x:c>
      <x:c r="U1142" t="n">
        <x:v>2</x:v>
      </x:c>
      <x:c r="V1142" t="str"/>
    </x:row>
    <x:row r="1143">
      <x:c r="A1143" s="52" t="n">
        <x:v>46046</x:v>
      </x:c>
      <x:c r="B1143" t="str">
        <x:v>PED-101142</x:v>
      </x:c>
      <x:c r="C1143" t="str">
        <x:v>Cliente 110</x:v>
      </x:c>
      <x:c r="D1143" t="str">
        <x:v>GO</x:v>
      </x:c>
      <x:c r="E1143" t="str">
        <x:v>Centro-Oeste</x:v>
      </x:c>
      <x:c r="F1143" t="str">
        <x:v>Marketplace</x:v>
      </x:c>
      <x:c r="G1143" t="str">
        <x:v>Escritório</x:v>
      </x:c>
      <x:c r="H1143" t="str">
        <x:v>Mesa Ajustável</x:v>
      </x:c>
      <x:c r="I1143" t="str">
        <x:v>Elaine</x:v>
      </x:c>
      <x:c r="J1143" s="53" t="n">
        <x:v>8</x:v>
      </x:c>
      <x:c r="K1143" s="54" t="n">
        <x:v>2893.47</x:v>
      </x:c>
      <x:c r="L1143" s="54" t="n">
        <x:v>1795.11</x:v>
      </x:c>
      <x:c r="M1143" s="55" t="n">
        <x:v>0.0387</x:v>
      </x:c>
      <x:c r="N1143" s="54" t="n">
        <x:f>ROUND(J1143*K1143,2)</x:f>
        <x:v>23147.76</x:v>
      </x:c>
      <x:c r="O1143" s="54" t="n">
        <x:f>ROUND(N1143*(1-M1143),2)</x:f>
        <x:v>22251.94</x:v>
      </x:c>
      <x:c r="P1143" s="54" t="n">
        <x:f>ROUND(J1143*L1143,2)</x:f>
        <x:v>14360.88</x:v>
      </x:c>
      <x:c r="Q1143" s="54" t="n">
        <x:f>ROUND(O1143-P1143,2)</x:f>
        <x:v>7891.06</x:v>
      </x:c>
      <x:c r="R1143" s="55" t="n">
        <x:f>IF(O1143=0,0,ROUND(Q1143/O1143,4))</x:f>
        <x:v>0.3546</x:v>
      </x:c>
      <x:c r="S1143" s="53" t="n">
        <x:v>9</x:v>
      </x:c>
      <x:c r="T1143" t="str">
        <x:v>Entregue</x:v>
      </x:c>
      <x:c r="U1143" t="n">
        <x:v>5</x:v>
      </x:c>
      <x:c r="V1143" t="str"/>
    </x:row>
    <x:row r="1144">
      <x:c r="A1144" s="52" t="n">
        <x:v>46025</x:v>
      </x:c>
      <x:c r="B1144" t="str">
        <x:v>PED-101143</x:v>
      </x:c>
      <x:c r="C1144" t="str">
        <x:v>Cliente 010</x:v>
      </x:c>
      <x:c r="D1144" t="str">
        <x:v>CE</x:v>
      </x:c>
      <x:c r="E1144" t="str">
        <x:v>Nordeste</x:v>
      </x:c>
      <x:c r="F1144" t="str">
        <x:v>E-commerce</x:v>
      </x:c>
      <x:c r="G1144" t="str">
        <x:v>Casa</x:v>
      </x:c>
      <x:c r="H1144" t="str">
        <x:v>Aspirador Robô</x:v>
      </x:c>
      <x:c r="I1144" t="str">
        <x:v>João</x:v>
      </x:c>
      <x:c r="J1144" s="53" t="n">
        <x:v>1</x:v>
      </x:c>
      <x:c r="K1144" s="54" t="n">
        <x:v>1951.64</x:v>
      </x:c>
      <x:c r="L1144" s="54" t="n">
        <x:v>1194.07</x:v>
      </x:c>
      <x:c r="M1144" s="55" t="n">
        <x:v>0.017</x:v>
      </x:c>
      <x:c r="N1144" s="54" t="n">
        <x:f>ROUND(J1144*K1144,2)</x:f>
        <x:v>1951.64</x:v>
      </x:c>
      <x:c r="O1144" s="54" t="n">
        <x:f>ROUND(N1144*(1-M1144),2)</x:f>
        <x:v>1918.46</x:v>
      </x:c>
      <x:c r="P1144" s="54" t="n">
        <x:f>ROUND(J1144*L1144,2)</x:f>
        <x:v>1194.07</x:v>
      </x:c>
      <x:c r="Q1144" s="54" t="n">
        <x:f>ROUND(O1144-P1144,2)</x:f>
        <x:v>724.39</x:v>
      </x:c>
      <x:c r="R1144" s="55" t="n">
        <x:f>IF(O1144=0,0,ROUND(Q1144/O1144,4))</x:f>
        <x:v>0.3776</x:v>
      </x:c>
      <x:c r="S1144" s="53" t="n">
        <x:v>9</x:v>
      </x:c>
      <x:c r="T1144" t="str">
        <x:v>Entregue</x:v>
      </x:c>
      <x:c r="U1144" t="n">
        <x:v>5</x:v>
      </x:c>
      <x:c r="V1144" t="str"/>
    </x:row>
    <x:row r="1145">
      <x:c r="A1145" s="52" t="n">
        <x:v>46192</x:v>
      </x:c>
      <x:c r="B1145" t="str">
        <x:v>PED-101144</x:v>
      </x:c>
      <x:c r="C1145" t="str">
        <x:v>Cliente 011</x:v>
      </x:c>
      <x:c r="D1145" t="str">
        <x:v>MG</x:v>
      </x:c>
      <x:c r="E1145" t="str">
        <x:v>Sudeste</x:v>
      </x:c>
      <x:c r="F1145" t="str">
        <x:v>Televendas</x:v>
      </x:c>
      <x:c r="G1145" t="str">
        <x:v>Escritório</x:v>
      </x:c>
      <x:c r="H1145" t="str">
        <x:v>Mesa Ajustável</x:v>
      </x:c>
      <x:c r="I1145" t="str">
        <x:v>Ana</x:v>
      </x:c>
      <x:c r="J1145" s="53" t="n">
        <x:v>5</x:v>
      </x:c>
      <x:c r="K1145" s="54" t="n">
        <x:v>2859.52</x:v>
      </x:c>
      <x:c r="L1145" s="54" t="n">
        <x:v>1883.43</x:v>
      </x:c>
      <x:c r="M1145" s="55" t="n">
        <x:v>0</x:v>
      </x:c>
      <x:c r="N1145" s="54" t="n">
        <x:f>ROUND(J1145*K1145,2)</x:f>
        <x:v>14297.6</x:v>
      </x:c>
      <x:c r="O1145" s="54" t="n">
        <x:f>ROUND(N1145*(1-M1145),2)</x:f>
        <x:v>14297.6</x:v>
      </x:c>
      <x:c r="P1145" s="54" t="n">
        <x:f>ROUND(J1145*L1145,2)</x:f>
        <x:v>9417.15</x:v>
      </x:c>
      <x:c r="Q1145" s="54" t="n">
        <x:f>ROUND(O1145-P1145,2)</x:f>
        <x:v>4880.45</x:v>
      </x:c>
      <x:c r="R1145" s="55" t="n">
        <x:f>IF(O1145=0,0,ROUND(Q1145/O1145,4))</x:f>
        <x:v>0.3413</x:v>
      </x:c>
      <x:c r="S1145" s="53" t="n">
        <x:v>12</x:v>
      </x:c>
      <x:c r="T1145" t="str">
        <x:v>Entregue com atraso</x:v>
      </x:c>
      <x:c r="U1145" t="n">
        <x:v>2</x:v>
      </x:c>
      <x:c r="V1145" t="str"/>
    </x:row>
    <x:row r="1146">
      <x:c r="A1146" s="52" t="n">
        <x:v>46206</x:v>
      </x:c>
      <x:c r="B1146" t="str">
        <x:v>PED-101145</x:v>
      </x:c>
      <x:c r="C1146" t="str">
        <x:v>Cliente 065</x:v>
      </x:c>
      <x:c r="D1146" t="str">
        <x:v>PR</x:v>
      </x:c>
      <x:c r="E1146" t="str">
        <x:v>Sul</x:v>
      </x:c>
      <x:c r="F1146" t="str">
        <x:v>Loja</x:v>
      </x:c>
      <x:c r="G1146" t="str">
        <x:v>Tecnologia</x:v>
      </x:c>
      <x:c r="H1146" t="str">
        <x:v>Headset Office</x:v>
      </x:c>
      <x:c r="I1146" t="str">
        <x:v>Ana</x:v>
      </x:c>
      <x:c r="J1146" s="53" t="n">
        <x:v>3</x:v>
      </x:c>
      <x:c r="K1146" s="54" t="n">
        <x:v>389</x:v>
      </x:c>
      <x:c r="L1146" s="54" t="n">
        <x:v>214.59</x:v>
      </x:c>
      <x:c r="M1146" s="55" t="n">
        <x:v>0.0402</x:v>
      </x:c>
      <x:c r="N1146" s="54" t="n">
        <x:f>ROUND(J1146*K1146,2)</x:f>
        <x:v>1167</x:v>
      </x:c>
      <x:c r="O1146" s="54" t="n">
        <x:f>ROUND(N1146*(1-M1146),2)</x:f>
        <x:v>1120.09</x:v>
      </x:c>
      <x:c r="P1146" s="54" t="n">
        <x:f>ROUND(J1146*L1146,2)</x:f>
        <x:v>643.77</x:v>
      </x:c>
      <x:c r="Q1146" s="54" t="n">
        <x:f>ROUND(O1146-P1146,2)</x:f>
        <x:v>476.32</x:v>
      </x:c>
      <x:c r="R1146" s="55" t="n">
        <x:f>IF(O1146=0,0,ROUND(Q1146/O1146,4))</x:f>
        <x:v>0.4253</x:v>
      </x:c>
      <x:c r="S1146" s="53" t="n">
        <x:v>13</x:v>
      </x:c>
      <x:c r="T1146" t="str">
        <x:v>Entregue com atraso</x:v>
      </x:c>
      <x:c r="U1146" t="n">
        <x:v>5</x:v>
      </x:c>
      <x:c r="V1146" t="str"/>
    </x:row>
    <x:row r="1147">
      <x:c r="A1147" s="52" t="n">
        <x:v>46224</x:v>
      </x:c>
      <x:c r="B1147" t="str">
        <x:v>PED-101146</x:v>
      </x:c>
      <x:c r="C1147" t="str">
        <x:v>Cliente 042</x:v>
      </x:c>
      <x:c r="D1147" t="str">
        <x:v>CE</x:v>
      </x:c>
      <x:c r="E1147" t="str">
        <x:v>Nordeste</x:v>
      </x:c>
      <x:c r="F1147" t="str">
        <x:v>Televendas</x:v>
      </x:c>
      <x:c r="G1147" t="str">
        <x:v>Tecnologia</x:v>
      </x:c>
      <x:c r="H1147" t="str">
        <x:v>Notebook Pro</x:v>
      </x:c>
      <x:c r="I1147" t="str">
        <x:v>Felipe</x:v>
      </x:c>
      <x:c r="J1147" s="53" t="n">
        <x:v>4</x:v>
      </x:c>
      <x:c r="K1147" s="54" t="n">
        <x:v>5975.6</x:v>
      </x:c>
      <x:c r="L1147" s="54" t="n">
        <x:v>4481.58</x:v>
      </x:c>
      <x:c r="M1147" s="55" t="n">
        <x:v>0.0204</x:v>
      </x:c>
      <x:c r="N1147" s="54" t="n">
        <x:f>ROUND(J1147*K1147,2)</x:f>
        <x:v>23902.4</x:v>
      </x:c>
      <x:c r="O1147" s="54" t="n">
        <x:f>ROUND(N1147*(1-M1147),2)</x:f>
        <x:v>23414.79</x:v>
      </x:c>
      <x:c r="P1147" s="54" t="n">
        <x:f>ROUND(J1147*L1147,2)</x:f>
        <x:v>17926.32</x:v>
      </x:c>
      <x:c r="Q1147" s="54" t="n">
        <x:f>ROUND(O1147-P1147,2)</x:f>
        <x:v>5488.47</x:v>
      </x:c>
      <x:c r="R1147" s="55" t="n">
        <x:f>IF(O1147=0,0,ROUND(Q1147/O1147,4))</x:f>
        <x:v>0.2344</x:v>
      </x:c>
      <x:c r="S1147" s="53" t="n">
        <x:v>5</x:v>
      </x:c>
      <x:c r="T1147" t="str">
        <x:v>Entregue</x:v>
      </x:c>
      <x:c r="U1147" t="n">
        <x:v>3</x:v>
      </x:c>
      <x:c r="V1147" t="str"/>
    </x:row>
    <x:row r="1148">
      <x:c r="A1148" s="52" t="n">
        <x:v>46066</x:v>
      </x:c>
      <x:c r="B1148" t="str">
        <x:v>PED-101147</x:v>
      </x:c>
      <x:c r="C1148" t="str">
        <x:v>Cliente 003</x:v>
      </x:c>
      <x:c r="D1148" t="str">
        <x:v>SC</x:v>
      </x:c>
      <x:c r="E1148" t="str">
        <x:v>Sul</x:v>
      </x:c>
      <x:c r="F1148" t="str">
        <x:v>Televendas</x:v>
      </x:c>
      <x:c r="G1148" t="str">
        <x:v>Casa</x:v>
      </x:c>
      <x:c r="H1148" t="str">
        <x:v>Purificador</x:v>
      </x:c>
      <x:c r="I1148" t="str">
        <x:v>Ana</x:v>
      </x:c>
      <x:c r="J1148" s="53" t="n">
        <x:v>3</x:v>
      </x:c>
      <x:c r="K1148" s="54" t="n">
        <x:v>1359.83</x:v>
      </x:c>
      <x:c r="L1148" s="54" t="n">
        <x:v>777.69</x:v>
      </x:c>
      <x:c r="M1148" s="55" t="n">
        <x:v>0.0221</x:v>
      </x:c>
      <x:c r="N1148" s="54" t="n">
        <x:f>ROUND(J1148*K1148,2)</x:f>
        <x:v>4079.49</x:v>
      </x:c>
      <x:c r="O1148" s="54" t="n">
        <x:f>ROUND(N1148*(1-M1148),2)</x:f>
        <x:v>3989.33</x:v>
      </x:c>
      <x:c r="P1148" s="54" t="n">
        <x:f>ROUND(J1148*L1148,2)</x:f>
        <x:v>2333.07</x:v>
      </x:c>
      <x:c r="Q1148" s="54" t="n">
        <x:f>ROUND(O1148-P1148,2)</x:f>
        <x:v>1656.26</x:v>
      </x:c>
      <x:c r="R1148" s="55" t="n">
        <x:f>IF(O1148=0,0,ROUND(Q1148/O1148,4))</x:f>
        <x:v>0.4152</x:v>
      </x:c>
      <x:c r="S1148" s="53" t="n">
        <x:v>14</x:v>
      </x:c>
      <x:c r="T1148" t="str">
        <x:v>Entregue com atraso</x:v>
      </x:c>
      <x:c r="U1148" t="n">
        <x:v>5</x:v>
      </x:c>
      <x:c r="V1148" t="str"/>
    </x:row>
    <x:row r="1149">
      <x:c r="A1149" s="52" t="n">
        <x:v>46108</x:v>
      </x:c>
      <x:c r="B1149" t="str">
        <x:v>PED-101148</x:v>
      </x:c>
      <x:c r="C1149" t="str">
        <x:v>Cliente 105</x:v>
      </x:c>
      <x:c r="D1149" t="str">
        <x:v>ES</x:v>
      </x:c>
      <x:c r="E1149" t="str">
        <x:v>Sudeste</x:v>
      </x:c>
      <x:c r="F1149" t="str">
        <x:v>Marketplace</x:v>
      </x:c>
      <x:c r="G1149" t="str">
        <x:v>Casa</x:v>
      </x:c>
      <x:c r="H1149" t="str">
        <x:v>Purificador</x:v>
      </x:c>
      <x:c r="I1149" t="str">
        <x:v>Isabela</x:v>
      </x:c>
      <x:c r="J1149" s="53" t="n">
        <x:v>4</x:v>
      </x:c>
      <x:c r="K1149" s="54" t="n">
        <x:v>1265.44</x:v>
      </x:c>
      <x:c r="L1149" s="54" t="n">
        <x:v>807.19</x:v>
      </x:c>
      <x:c r="M1149" s="55" t="n">
        <x:v>0.0929</x:v>
      </x:c>
      <x:c r="N1149" s="54" t="n">
        <x:f>ROUND(J1149*K1149,2)</x:f>
        <x:v>5061.76</x:v>
      </x:c>
      <x:c r="O1149" s="54" t="n">
        <x:f>ROUND(N1149*(1-M1149),2)</x:f>
        <x:v>4591.52</x:v>
      </x:c>
      <x:c r="P1149" s="54" t="n">
        <x:f>ROUND(J1149*L1149,2)</x:f>
        <x:v>3228.76</x:v>
      </x:c>
      <x:c r="Q1149" s="54" t="n">
        <x:f>ROUND(O1149-P1149,2)</x:f>
        <x:v>1362.76</x:v>
      </x:c>
      <x:c r="R1149" s="55" t="n">
        <x:f>IF(O1149=0,0,ROUND(Q1149/O1149,4))</x:f>
        <x:v>0.2968</x:v>
      </x:c>
      <x:c r="S1149" s="53" t="n">
        <x:v>7</x:v>
      </x:c>
      <x:c r="T1149" t="str">
        <x:v>Entregue</x:v>
      </x:c>
      <x:c r="U1149" t="n">
        <x:v>5</x:v>
      </x:c>
      <x:c r="V1149" t="str"/>
    </x:row>
    <x:row r="1150">
      <x:c r="A1150" s="52" t="n">
        <x:v>46175</x:v>
      </x:c>
      <x:c r="B1150" t="str">
        <x:v>PED-101149</x:v>
      </x:c>
      <x:c r="C1150" t="str">
        <x:v>Cliente 065</x:v>
      </x:c>
      <x:c r="D1150" t="str">
        <x:v>PE</x:v>
      </x:c>
      <x:c r="E1150" t="str">
        <x:v>Nordeste</x:v>
      </x:c>
      <x:c r="F1150" t="str">
        <x:v>E-commerce</x:v>
      </x:c>
      <x:c r="G1150" t="str">
        <x:v>Tecnologia</x:v>
      </x:c>
      <x:c r="H1150" t="str">
        <x:v>Monitor 27</x:v>
      </x:c>
      <x:c r="I1150" t="str">
        <x:v>Isabela</x:v>
      </x:c>
      <x:c r="J1150" s="53" t="n">
        <x:v>6</x:v>
      </x:c>
      <x:c r="K1150" s="54" t="n">
        <x:v>1751.8</x:v>
      </x:c>
      <x:c r="L1150" s="54" t="n">
        <x:v>1136</x:v>
      </x:c>
      <x:c r="M1150" s="55" t="n">
        <x:v>0</x:v>
      </x:c>
      <x:c r="N1150" s="54" t="n">
        <x:f>ROUND(J1150*K1150,2)</x:f>
        <x:v>10510.8</x:v>
      </x:c>
      <x:c r="O1150" s="54" t="n">
        <x:f>ROUND(N1150*(1-M1150),2)</x:f>
        <x:v>10510.8</x:v>
      </x:c>
      <x:c r="P1150" s="54" t="n">
        <x:f>ROUND(J1150*L1150,2)</x:f>
        <x:v>6816</x:v>
      </x:c>
      <x:c r="Q1150" s="54" t="n">
        <x:f>ROUND(O1150-P1150,2)</x:f>
        <x:v>3694.8</x:v>
      </x:c>
      <x:c r="R1150" s="55" t="n">
        <x:f>IF(O1150=0,0,ROUND(Q1150/O1150,4))</x:f>
        <x:v>0.3515</x:v>
      </x:c>
      <x:c r="S1150" s="53" t="n">
        <x:v>13</x:v>
      </x:c>
      <x:c r="T1150" t="str">
        <x:v>Entregue com atraso</x:v>
      </x:c>
      <x:c r="U1150" t="n">
        <x:v>5</x:v>
      </x:c>
      <x:c r="V1150" t="str"/>
    </x:row>
    <x:row r="1151">
      <x:c r="A1151" s="52" t="n">
        <x:v>46169</x:v>
      </x:c>
      <x:c r="B1151" t="str">
        <x:v>PED-101150</x:v>
      </x:c>
      <x:c r="C1151" t="str">
        <x:v>Cliente 100</x:v>
      </x:c>
      <x:c r="D1151" t="str">
        <x:v>MT</x:v>
      </x:c>
      <x:c r="E1151" t="str">
        <x:v>Centro-Oeste</x:v>
      </x:c>
      <x:c r="F1151" t="str">
        <x:v>Loja</x:v>
      </x:c>
      <x:c r="G1151" t="str">
        <x:v>Casa</x:v>
      </x:c>
      <x:c r="H1151" t="str">
        <x:v>Purificador</x:v>
      </x:c>
      <x:c r="I1151" t="str">
        <x:v>Elaine</x:v>
      </x:c>
      <x:c r="J1151" s="53" t="n">
        <x:v>7</x:v>
      </x:c>
      <x:c r="K1151" s="54" t="n">
        <x:v>1254.22</x:v>
      </x:c>
      <x:c r="L1151" s="54" t="n">
        <x:v>746.81</x:v>
      </x:c>
      <x:c r="M1151" s="55" t="n">
        <x:v>0</x:v>
      </x:c>
      <x:c r="N1151" s="54" t="n">
        <x:f>ROUND(J1151*K1151,2)</x:f>
        <x:v>8779.54</x:v>
      </x:c>
      <x:c r="O1151" s="54" t="n">
        <x:f>ROUND(N1151*(1-M1151),2)</x:f>
        <x:v>8779.54</x:v>
      </x:c>
      <x:c r="P1151" s="54" t="n">
        <x:f>ROUND(J1151*L1151,2)</x:f>
        <x:v>5227.67</x:v>
      </x:c>
      <x:c r="Q1151" s="54" t="n">
        <x:f>ROUND(O1151-P1151,2)</x:f>
        <x:v>3551.87</x:v>
      </x:c>
      <x:c r="R1151" s="55" t="n">
        <x:f>IF(O1151=0,0,ROUND(Q1151/O1151,4))</x:f>
        <x:v>0.4046</x:v>
      </x:c>
      <x:c r="S1151" s="53" t="n">
        <x:v>12</x:v>
      </x:c>
      <x:c r="T1151" t="str">
        <x:v>Entregue com atraso</x:v>
      </x:c>
      <x:c r="U1151" t="n">
        <x:v>5</x:v>
      </x:c>
      <x:c r="V1151" t="str"/>
    </x:row>
    <x:row r="1152">
      <x:c r="A1152" s="52" t="n">
        <x:v>46178</x:v>
      </x:c>
      <x:c r="B1152" t="str">
        <x:v>PED-101151</x:v>
      </x:c>
      <x:c r="C1152" t="str">
        <x:v>Cliente 036</x:v>
      </x:c>
      <x:c r="D1152" t="str">
        <x:v>GO</x:v>
      </x:c>
      <x:c r="E1152" t="str">
        <x:v>Centro-Oeste</x:v>
      </x:c>
      <x:c r="F1152" t="str">
        <x:v>Televendas</x:v>
      </x:c>
      <x:c r="G1152" t="str">
        <x:v>Casa</x:v>
      </x:c>
      <x:c r="H1152" t="str">
        <x:v>Aspirador Robô</x:v>
      </x:c>
      <x:c r="I1152" t="str">
        <x:v>Henrique</x:v>
      </x:c>
      <x:c r="J1152" s="53" t="n">
        <x:v>7</x:v>
      </x:c>
      <x:c r="K1152" s="54" t="n">
        <x:v>1842.85</x:v>
      </x:c>
      <x:c r="L1152" s="54" t="n">
        <x:v>1159.39</x:v>
      </x:c>
      <x:c r="M1152" s="55" t="n">
        <x:v>0.0676</x:v>
      </x:c>
      <x:c r="N1152" s="54" t="n">
        <x:f>ROUND(J1152*K1152,2)</x:f>
        <x:v>12899.95</x:v>
      </x:c>
      <x:c r="O1152" s="54" t="n">
        <x:f>ROUND(N1152*(1-M1152),2)</x:f>
        <x:v>12027.91</x:v>
      </x:c>
      <x:c r="P1152" s="54" t="n">
        <x:f>ROUND(J1152*L1152,2)</x:f>
        <x:v>8115.73</x:v>
      </x:c>
      <x:c r="Q1152" s="54" t="n">
        <x:f>ROUND(O1152-P1152,2)</x:f>
        <x:v>3912.18</x:v>
      </x:c>
      <x:c r="R1152" s="55" t="n">
        <x:f>IF(O1152=0,0,ROUND(Q1152/O1152,4))</x:f>
        <x:v>0.3253</x:v>
      </x:c>
      <x:c r="S1152" s="53" t="n">
        <x:v>4</x:v>
      </x:c>
      <x:c r="T1152" t="str">
        <x:v>Entregue</x:v>
      </x:c>
      <x:c r="U1152" t="n">
        <x:v>3</x:v>
      </x:c>
      <x:c r="V1152" t="str"/>
    </x:row>
    <x:row r="1153">
      <x:c r="A1153" s="52" t="n">
        <x:v>46062</x:v>
      </x:c>
      <x:c r="B1153" t="str">
        <x:v>PED-101152</x:v>
      </x:c>
      <x:c r="C1153" t="str">
        <x:v>Cliente 074</x:v>
      </x:c>
      <x:c r="D1153" t="str">
        <x:v>MT</x:v>
      </x:c>
      <x:c r="E1153" t="str">
        <x:v>Centro-Oeste</x:v>
      </x:c>
      <x:c r="F1153" t="str">
        <x:v>E-commerce</x:v>
      </x:c>
      <x:c r="G1153" t="str">
        <x:v>Casa</x:v>
      </x:c>
      <x:c r="H1153" t="str">
        <x:v>Aspirador Robô</x:v>
      </x:c>
      <x:c r="I1153" t="str">
        <x:v>Gabriela</x:v>
      </x:c>
      <x:c r="J1153" s="53" t="n">
        <x:v>4</x:v>
      </x:c>
      <x:c r="K1153" s="54" t="n">
        <x:v>1781.68</x:v>
      </x:c>
      <x:c r="L1153" s="54" t="n">
        <x:v>1205.44</x:v>
      </x:c>
      <x:c r="M1153" s="55" t="n">
        <x:v>0</x:v>
      </x:c>
      <x:c r="N1153" s="54" t="n">
        <x:f>ROUND(J1153*K1153,2)</x:f>
        <x:v>7126.72</x:v>
      </x:c>
      <x:c r="O1153" s="54" t="n">
        <x:f>ROUND(N1153*(1-M1153),2)</x:f>
        <x:v>7126.72</x:v>
      </x:c>
      <x:c r="P1153" s="54" t="n">
        <x:f>ROUND(J1153*L1153,2)</x:f>
        <x:v>4821.76</x:v>
      </x:c>
      <x:c r="Q1153" s="54" t="n">
        <x:f>ROUND(O1153-P1153,2)</x:f>
        <x:v>2304.96</x:v>
      </x:c>
      <x:c r="R1153" s="55" t="n">
        <x:f>IF(O1153=0,0,ROUND(Q1153/O1153,4))</x:f>
        <x:v>0.3234</x:v>
      </x:c>
      <x:c r="S1153" s="53" t="n">
        <x:v>3</x:v>
      </x:c>
      <x:c r="T1153" t="str">
        <x:v>Entregue</x:v>
      </x:c>
      <x:c r="U1153" t="n">
        <x:v>5</x:v>
      </x:c>
      <x:c r="V1153" t="str"/>
    </x:row>
    <x:row r="1154">
      <x:c r="A1154" s="52" t="n">
        <x:v>46047</x:v>
      </x:c>
      <x:c r="B1154" t="str">
        <x:v>PED-101153</x:v>
      </x:c>
      <x:c r="C1154" t="str">
        <x:v>Cliente 083</x:v>
      </x:c>
      <x:c r="D1154" t="str">
        <x:v>MG</x:v>
      </x:c>
      <x:c r="E1154" t="str">
        <x:v>Sudeste</x:v>
      </x:c>
      <x:c r="F1154" t="str">
        <x:v>E-commerce</x:v>
      </x:c>
      <x:c r="G1154" t="str">
        <x:v>Acessórios</x:v>
      </x:c>
      <x:c r="H1154" t="str">
        <x:v>Webcam HD</x:v>
      </x:c>
      <x:c r="I1154" t="str">
        <x:v>Bruno</x:v>
      </x:c>
      <x:c r="J1154" s="53" t="n">
        <x:v>2</x:v>
      </x:c>
      <x:c r="K1154" s="54" t="n">
        <x:v>524.78</x:v>
      </x:c>
      <x:c r="L1154" s="54" t="n">
        <x:v>250.67</x:v>
      </x:c>
      <x:c r="M1154" s="55" t="n">
        <x:v>0.1041</x:v>
      </x:c>
      <x:c r="N1154" s="54" t="n">
        <x:f>ROUND(J1154*K1154,2)</x:f>
        <x:v>1049.56</x:v>
      </x:c>
      <x:c r="O1154" s="54" t="n">
        <x:f>ROUND(N1154*(1-M1154),2)</x:f>
        <x:v>940.3</x:v>
      </x:c>
      <x:c r="P1154" s="54" t="n">
        <x:f>ROUND(J1154*L1154,2)</x:f>
        <x:v>501.34</x:v>
      </x:c>
      <x:c r="Q1154" s="54" t="n">
        <x:f>ROUND(O1154-P1154,2)</x:f>
        <x:v>438.96</x:v>
      </x:c>
      <x:c r="R1154" s="55" t="n">
        <x:f>IF(O1154=0,0,ROUND(Q1154/O1154,4))</x:f>
        <x:v>0.4668</x:v>
      </x:c>
      <x:c r="S1154" s="53" t="n">
        <x:v>10</x:v>
      </x:c>
      <x:c r="T1154" t="str">
        <x:v>Entregue</x:v>
      </x:c>
      <x:c r="U1154" t="n">
        <x:v>2</x:v>
      </x:c>
      <x:c r="V1154" t="str"/>
    </x:row>
    <x:row r="1155">
      <x:c r="A1155" s="52" t="n">
        <x:v>46139</x:v>
      </x:c>
      <x:c r="B1155" t="str">
        <x:v>PED-101154</x:v>
      </x:c>
      <x:c r="C1155" t="str">
        <x:v>Cliente 034</x:v>
      </x:c>
      <x:c r="D1155" t="str">
        <x:v>SP</x:v>
      </x:c>
      <x:c r="E1155" t="str">
        <x:v>Sudeste</x:v>
      </x:c>
      <x:c r="F1155" t="str">
        <x:v>Loja</x:v>
      </x:c>
      <x:c r="G1155" t="str">
        <x:v>Casa</x:v>
      </x:c>
      <x:c r="H1155" t="str">
        <x:v>Cafeteira Smart</x:v>
      </x:c>
      <x:c r="I1155" t="str">
        <x:v>Carla</x:v>
      </x:c>
      <x:c r="J1155" s="53" t="n">
        <x:v>2</x:v>
      </x:c>
      <x:c r="K1155" s="54" t="n">
        <x:v>759.95</x:v>
      </x:c>
      <x:c r="L1155" s="54" t="n">
        <x:v>456.47</x:v>
      </x:c>
      <x:c r="M1155" s="55" t="n">
        <x:v>0.0085</x:v>
      </x:c>
      <x:c r="N1155" s="54" t="n">
        <x:f>ROUND(J1155*K1155,2)</x:f>
        <x:v>1519.9</x:v>
      </x:c>
      <x:c r="O1155" s="54" t="n">
        <x:f>ROUND(N1155*(1-M1155),2)</x:f>
        <x:v>1506.98</x:v>
      </x:c>
      <x:c r="P1155" s="54" t="n">
        <x:f>ROUND(J1155*L1155,2)</x:f>
        <x:v>912.94</x:v>
      </x:c>
      <x:c r="Q1155" s="54" t="n">
        <x:f>ROUND(O1155-P1155,2)</x:f>
        <x:v>594.04</x:v>
      </x:c>
      <x:c r="R1155" s="55" t="n">
        <x:f>IF(O1155=0,0,ROUND(Q1155/O1155,4))</x:f>
        <x:v>0.3942</x:v>
      </x:c>
      <x:c r="S1155" s="53" t="n">
        <x:v>11</x:v>
      </x:c>
      <x:c r="T1155" t="str">
        <x:v>Entregue com atraso</x:v>
      </x:c>
      <x:c r="U1155" t="n">
        <x:v>5</x:v>
      </x:c>
      <x:c r="V1155" t="str"/>
    </x:row>
    <x:row r="1156">
      <x:c r="A1156" s="52" t="n">
        <x:v>46196</x:v>
      </x:c>
      <x:c r="B1156" t="str">
        <x:v>PED-101155</x:v>
      </x:c>
      <x:c r="C1156" t="str">
        <x:v>Cliente 062</x:v>
      </x:c>
      <x:c r="D1156" t="str">
        <x:v>MA</x:v>
      </x:c>
      <x:c r="E1156" t="str">
        <x:v>Nordeste</x:v>
      </x:c>
      <x:c r="F1156" t="str">
        <x:v>Marketplace</x:v>
      </x:c>
      <x:c r="G1156" t="str">
        <x:v>Acessórios</x:v>
      </x:c>
      <x:c r="H1156" t="str">
        <x:v>Webcam HD</x:v>
      </x:c>
      <x:c r="I1156" t="str">
        <x:v>Diego</x:v>
      </x:c>
      <x:c r="J1156" s="53" t="n">
        <x:v>8</x:v>
      </x:c>
      <x:c r="K1156" s="54" t="n">
        <x:v>513.27</x:v>
      </x:c>
      <x:c r="L1156" s="54" t="n">
        <x:v>247.78</x:v>
      </x:c>
      <x:c r="M1156" s="55" t="n">
        <x:v>0.035</x:v>
      </x:c>
      <x:c r="N1156" s="54" t="n">
        <x:f>ROUND(J1156*K1156,2)</x:f>
        <x:v>4106.16</x:v>
      </x:c>
      <x:c r="O1156" s="54" t="n">
        <x:f>ROUND(N1156*(1-M1156),2)</x:f>
        <x:v>3962.44</x:v>
      </x:c>
      <x:c r="P1156" s="54" t="n">
        <x:f>ROUND(J1156*L1156,2)</x:f>
        <x:v>1982.24</x:v>
      </x:c>
      <x:c r="Q1156" s="54" t="n">
        <x:f>ROUND(O1156-P1156,2)</x:f>
        <x:v>1980.2</x:v>
      </x:c>
      <x:c r="R1156" s="55" t="n">
        <x:f>IF(O1156=0,0,ROUND(Q1156/O1156,4))</x:f>
        <x:v>0.4997</x:v>
      </x:c>
      <x:c r="S1156" s="53" t="n">
        <x:v>5</x:v>
      </x:c>
      <x:c r="T1156" t="str">
        <x:v>Entregue</x:v>
      </x:c>
      <x:c r="U1156" t="n">
        <x:v>2</x:v>
      </x:c>
      <x:c r="V1156" t="str"/>
    </x:row>
    <x:row r="1157">
      <x:c r="A1157" s="52" t="n">
        <x:v>46099</x:v>
      </x:c>
      <x:c r="B1157" t="str">
        <x:v>PED-101156</x:v>
      </x:c>
      <x:c r="C1157" t="str">
        <x:v>Cliente 062</x:v>
      </x:c>
      <x:c r="D1157" t="str">
        <x:v>RS</x:v>
      </x:c>
      <x:c r="E1157" t="str">
        <x:v>Sul</x:v>
      </x:c>
      <x:c r="F1157" t="str">
        <x:v>E-commerce</x:v>
      </x:c>
      <x:c r="G1157" t="str">
        <x:v>Tecnologia</x:v>
      </x:c>
      <x:c r="H1157" t="str">
        <x:v>Monitor 27</x:v>
      </x:c>
      <x:c r="I1157" t="str">
        <x:v>Henrique</x:v>
      </x:c>
      <x:c r="J1157" s="53" t="n">
        <x:v>4</x:v>
      </x:c>
      <x:c r="K1157" s="54" t="n">
        <x:v>1685.29</x:v>
      </x:c>
      <x:c r="L1157" s="54" t="n">
        <x:v>1125.78</x:v>
      </x:c>
      <x:c r="M1157" s="55" t="n">
        <x:v>0.0213</x:v>
      </x:c>
      <x:c r="N1157" s="54" t="n">
        <x:f>ROUND(J1157*K1157,2)</x:f>
        <x:v>6741.16</x:v>
      </x:c>
      <x:c r="O1157" s="54" t="n">
        <x:f>ROUND(N1157*(1-M1157),2)</x:f>
        <x:v>6597.57</x:v>
      </x:c>
      <x:c r="P1157" s="54" t="n">
        <x:f>ROUND(J1157*L1157,2)</x:f>
        <x:v>4503.12</x:v>
      </x:c>
      <x:c r="Q1157" s="54" t="n">
        <x:f>ROUND(O1157-P1157,2)</x:f>
        <x:v>2094.45</x:v>
      </x:c>
      <x:c r="R1157" s="55" t="n">
        <x:f>IF(O1157=0,0,ROUND(Q1157/O1157,4))</x:f>
        <x:v>0.3175</x:v>
      </x:c>
      <x:c r="S1157" s="53" t="n">
        <x:v>13</x:v>
      </x:c>
      <x:c r="T1157" t="str">
        <x:v>Entregue com atraso</x:v>
      </x:c>
      <x:c r="U1157" t="n">
        <x:v>2</x:v>
      </x:c>
      <x:c r="V1157" t="str"/>
    </x:row>
    <x:row r="1158">
      <x:c r="A1158" s="52" t="n">
        <x:v>46182</x:v>
      </x:c>
      <x:c r="B1158" t="str">
        <x:v>PED-101157</x:v>
      </x:c>
      <x:c r="C1158" t="str">
        <x:v>Cliente 050</x:v>
      </x:c>
      <x:c r="D1158" t="str">
        <x:v>PA</x:v>
      </x:c>
      <x:c r="E1158" t="str">
        <x:v>Norte</x:v>
      </x:c>
      <x:c r="F1158" t="str">
        <x:v>Marketplace</x:v>
      </x:c>
      <x:c r="G1158" t="str">
        <x:v>Tecnologia</x:v>
      </x:c>
      <x:c r="H1158" t="str">
        <x:v>Headset Office</x:v>
      </x:c>
      <x:c r="I1158" t="str">
        <x:v>Isabela</x:v>
      </x:c>
      <x:c r="J1158" s="53" t="n">
        <x:v>3</x:v>
      </x:c>
      <x:c r="K1158" s="54" t="n">
        <x:v>411.28</x:v>
      </x:c>
      <x:c r="L1158" s="54" t="n">
        <x:v>222.79</x:v>
      </x:c>
      <x:c r="M1158" s="55" t="n">
        <x:v>0.082</x:v>
      </x:c>
      <x:c r="N1158" s="54" t="n">
        <x:f>ROUND(J1158*K1158,2)</x:f>
        <x:v>1233.84</x:v>
      </x:c>
      <x:c r="O1158" s="54" t="n">
        <x:f>ROUND(N1158*(1-M1158),2)</x:f>
        <x:v>1132.67</x:v>
      </x:c>
      <x:c r="P1158" s="54" t="n">
        <x:f>ROUND(J1158*L1158,2)</x:f>
        <x:v>668.37</x:v>
      </x:c>
      <x:c r="Q1158" s="54" t="n">
        <x:f>ROUND(O1158-P1158,2)</x:f>
        <x:v>464.3</x:v>
      </x:c>
      <x:c r="R1158" s="55" t="n">
        <x:f>IF(O1158=0,0,ROUND(Q1158/O1158,4))</x:f>
        <x:v>0.4099</x:v>
      </x:c>
      <x:c r="S1158" s="53" t="n">
        <x:v>11</x:v>
      </x:c>
      <x:c r="T1158" t="str">
        <x:v>Entregue com atraso</x:v>
      </x:c>
      <x:c r="U1158" t="n">
        <x:v>4</x:v>
      </x:c>
      <x:c r="V1158" t="str"/>
    </x:row>
    <x:row r="1159">
      <x:c r="A1159" s="52" t="n">
        <x:v>46147</x:v>
      </x:c>
      <x:c r="B1159" t="str">
        <x:v>PED-101158</x:v>
      </x:c>
      <x:c r="C1159" t="str">
        <x:v>Cliente 055</x:v>
      </x:c>
      <x:c r="D1159" t="str">
        <x:v>MG</x:v>
      </x:c>
      <x:c r="E1159" t="str">
        <x:v>Sudeste</x:v>
      </x:c>
      <x:c r="F1159" t="str">
        <x:v>Loja</x:v>
      </x:c>
      <x:c r="G1159" t="str">
        <x:v>Acessórios</x:v>
      </x:c>
      <x:c r="H1159" t="str">
        <x:v>Mochila Executiva</x:v>
      </x:c>
      <x:c r="I1159" t="str">
        <x:v>Isabela</x:v>
      </x:c>
      <x:c r="J1159" s="53" t="n">
        <x:v>7</x:v>
      </x:c>
      <x:c r="K1159" s="54" t="n">
        <x:v>444.9</x:v>
      </x:c>
      <x:c r="L1159" s="54" t="n">
        <x:v>186.08</x:v>
      </x:c>
      <x:c r="M1159" s="55" t="n">
        <x:v>0</x:v>
      </x:c>
      <x:c r="N1159" s="54" t="n">
        <x:f>ROUND(J1159*K1159,2)</x:f>
        <x:v>3114.3</x:v>
      </x:c>
      <x:c r="O1159" s="54" t="n">
        <x:f>ROUND(N1159*(1-M1159),2)</x:f>
        <x:v>3114.3</x:v>
      </x:c>
      <x:c r="P1159" s="54" t="n">
        <x:f>ROUND(J1159*L1159,2)</x:f>
        <x:v>1302.56</x:v>
      </x:c>
      <x:c r="Q1159" s="54" t="n">
        <x:f>ROUND(O1159-P1159,2)</x:f>
        <x:v>1811.74</x:v>
      </x:c>
      <x:c r="R1159" s="55" t="n">
        <x:f>IF(O1159=0,0,ROUND(Q1159/O1159,4))</x:f>
        <x:v>0.5817</x:v>
      </x:c>
      <x:c r="S1159" s="53" t="n">
        <x:v>5</x:v>
      </x:c>
      <x:c r="T1159" t="str">
        <x:v>Entregue</x:v>
      </x:c>
      <x:c r="U1159" t="n">
        <x:v>5</x:v>
      </x:c>
      <x:c r="V1159" t="str"/>
    </x:row>
    <x:row r="1160">
      <x:c r="A1160" s="52" t="n">
        <x:v>46226</x:v>
      </x:c>
      <x:c r="B1160" t="str">
        <x:v>PED-101159</x:v>
      </x:c>
      <x:c r="C1160" t="str">
        <x:v>Cliente 091</x:v>
      </x:c>
      <x:c r="D1160" t="str">
        <x:v>MG</x:v>
      </x:c>
      <x:c r="E1160" t="str">
        <x:v>Sudeste</x:v>
      </x:c>
      <x:c r="F1160" t="str">
        <x:v>Televendas</x:v>
      </x:c>
      <x:c r="G1160" t="str">
        <x:v>Acessórios</x:v>
      </x:c>
      <x:c r="H1160" t="str">
        <x:v>Mochila Executiva</x:v>
      </x:c>
      <x:c r="I1160" t="str">
        <x:v>Henrique</x:v>
      </x:c>
      <x:c r="J1160" s="53" t="n">
        <x:v>5</x:v>
      </x:c>
      <x:c r="K1160" s="54" t="n">
        <x:v>425.68</x:v>
      </x:c>
      <x:c r="L1160" s="54" t="n">
        <x:v>187.07</x:v>
      </x:c>
      <x:c r="M1160" s="55" t="n">
        <x:v>0.102</x:v>
      </x:c>
      <x:c r="N1160" s="54" t="n">
        <x:f>ROUND(J1160*K1160,2)</x:f>
        <x:v>2128.4</x:v>
      </x:c>
      <x:c r="O1160" s="54" t="n">
        <x:f>ROUND(N1160*(1-M1160),2)</x:f>
        <x:v>1911.3</x:v>
      </x:c>
      <x:c r="P1160" s="54" t="n">
        <x:f>ROUND(J1160*L1160,2)</x:f>
        <x:v>935.35</x:v>
      </x:c>
      <x:c r="Q1160" s="54" t="n">
        <x:f>ROUND(O1160-P1160,2)</x:f>
        <x:v>975.95</x:v>
      </x:c>
      <x:c r="R1160" s="55" t="n">
        <x:f>IF(O1160=0,0,ROUND(Q1160/O1160,4))</x:f>
        <x:v>0.5106</x:v>
      </x:c>
      <x:c r="S1160" s="53" t="n">
        <x:v>3</x:v>
      </x:c>
      <x:c r="T1160" t="str">
        <x:v>Entregue</x:v>
      </x:c>
      <x:c r="U1160" t="n">
        <x:v>2</x:v>
      </x:c>
      <x:c r="V1160" t="str"/>
    </x:row>
    <x:row r="1161">
      <x:c r="A1161" s="52" t="n">
        <x:v>46067</x:v>
      </x:c>
      <x:c r="B1161" t="str">
        <x:v>PED-101160</x:v>
      </x:c>
      <x:c r="C1161" t="str">
        <x:v>Cliente 078</x:v>
      </x:c>
      <x:c r="D1161" t="str">
        <x:v>RJ</x:v>
      </x:c>
      <x:c r="E1161" t="str">
        <x:v>Sudeste</x:v>
      </x:c>
      <x:c r="F1161" t="str">
        <x:v>Televendas</x:v>
      </x:c>
      <x:c r="G1161" t="str">
        <x:v>Casa</x:v>
      </x:c>
      <x:c r="H1161" t="str">
        <x:v>Purificador</x:v>
      </x:c>
      <x:c r="I1161" t="str">
        <x:v>Henrique</x:v>
      </x:c>
      <x:c r="J1161" s="53" t="n">
        <x:v>2</x:v>
      </x:c>
      <x:c r="K1161" s="54" t="n">
        <x:v>1229.87</x:v>
      </x:c>
      <x:c r="L1161" s="54" t="n">
        <x:v>752.39</x:v>
      </x:c>
      <x:c r="M1161" s="55" t="n">
        <x:v>0</x:v>
      </x:c>
      <x:c r="N1161" s="54" t="n">
        <x:f>ROUND(J1161*K1161,2)</x:f>
        <x:v>2459.74</x:v>
      </x:c>
      <x:c r="O1161" s="54" t="n">
        <x:f>ROUND(N1161*(1-M1161),2)</x:f>
        <x:v>2459.74</x:v>
      </x:c>
      <x:c r="P1161" s="54" t="n">
        <x:f>ROUND(J1161*L1161,2)</x:f>
        <x:v>1504.78</x:v>
      </x:c>
      <x:c r="Q1161" s="54" t="n">
        <x:f>ROUND(O1161-P1161,2)</x:f>
        <x:v>954.96</x:v>
      </x:c>
      <x:c r="R1161" s="55" t="n">
        <x:f>IF(O1161=0,0,ROUND(Q1161/O1161,4))</x:f>
        <x:v>0.3882</x:v>
      </x:c>
      <x:c r="S1161" s="53" t="n">
        <x:v>9</x:v>
      </x:c>
      <x:c r="T1161" t="str">
        <x:v>Entregue</x:v>
      </x:c>
      <x:c r="U1161" t="n">
        <x:v>5</x:v>
      </x:c>
      <x:c r="V1161" t="str"/>
    </x:row>
    <x:row r="1162">
      <x:c r="A1162" s="52" t="n">
        <x:v>46218</x:v>
      </x:c>
      <x:c r="B1162" t="str">
        <x:v>PED-101161</x:v>
      </x:c>
      <x:c r="C1162" t="str">
        <x:v>Cliente 043</x:v>
      </x:c>
      <x:c r="D1162" t="str">
        <x:v>GO</x:v>
      </x:c>
      <x:c r="E1162" t="str">
        <x:v>Centro-Oeste</x:v>
      </x:c>
      <x:c r="F1162" t="str">
        <x:v>Televendas</x:v>
      </x:c>
      <x:c r="G1162" t="str">
        <x:v>Escritório</x:v>
      </x:c>
      <x:c r="H1162" t="str">
        <x:v>Mesa Ajustável</x:v>
      </x:c>
      <x:c r="I1162" t="str">
        <x:v>Gabriela</x:v>
      </x:c>
      <x:c r="J1162" s="53" t="n">
        <x:v>1</x:v>
      </x:c>
      <x:c r="K1162" s="54" t="n">
        <x:v>2651.78</x:v>
      </x:c>
      <x:c r="L1162" s="54" t="n">
        <x:v>1741.28</x:v>
      </x:c>
      <x:c r="M1162" s="55" t="n">
        <x:v>0</x:v>
      </x:c>
      <x:c r="N1162" s="54" t="n">
        <x:f>ROUND(J1162*K1162,2)</x:f>
        <x:v>2651.78</x:v>
      </x:c>
      <x:c r="O1162" s="54" t="n">
        <x:f>ROUND(N1162*(1-M1162),2)</x:f>
        <x:v>2651.78</x:v>
      </x:c>
      <x:c r="P1162" s="54" t="n">
        <x:f>ROUND(J1162*L1162,2)</x:f>
        <x:v>1741.28</x:v>
      </x:c>
      <x:c r="Q1162" s="54" t="n">
        <x:f>ROUND(O1162-P1162,2)</x:f>
        <x:v>910.5</x:v>
      </x:c>
      <x:c r="R1162" s="55" t="n">
        <x:f>IF(O1162=0,0,ROUND(Q1162/O1162,4))</x:f>
        <x:v>0.3434</x:v>
      </x:c>
      <x:c r="S1162" s="53" t="n">
        <x:v>8</x:v>
      </x:c>
      <x:c r="T1162" t="str">
        <x:v>Entregue</x:v>
      </x:c>
      <x:c r="U1162" t="n">
        <x:v>2</x:v>
      </x:c>
      <x:c r="V1162" t="str"/>
    </x:row>
    <x:row r="1163">
      <x:c r="A1163" s="52" t="n">
        <x:v>46027</x:v>
      </x:c>
      <x:c r="B1163" t="str">
        <x:v>PED-101162</x:v>
      </x:c>
      <x:c r="C1163" t="str">
        <x:v>Cliente 082</x:v>
      </x:c>
      <x:c r="D1163" t="str">
        <x:v>AM</x:v>
      </x:c>
      <x:c r="E1163" t="str">
        <x:v>Norte</x:v>
      </x:c>
      <x:c r="F1163" t="str">
        <x:v>E-commerce</x:v>
      </x:c>
      <x:c r="G1163" t="str">
        <x:v>Tecnologia</x:v>
      </x:c>
      <x:c r="H1163" t="str">
        <x:v>Headset Office</x:v>
      </x:c>
      <x:c r="I1163" t="str">
        <x:v>Diego</x:v>
      </x:c>
      <x:c r="J1163" s="53" t="n">
        <x:v>6</x:v>
      </x:c>
      <x:c r="K1163" s="54" t="n">
        <x:v>384.1</x:v>
      </x:c>
      <x:c r="L1163" s="54" t="n">
        <x:v>221.11</x:v>
      </x:c>
      <x:c r="M1163" s="55" t="n">
        <x:v>0.1034</x:v>
      </x:c>
      <x:c r="N1163" s="54" t="n">
        <x:f>ROUND(J1163*K1163,2)</x:f>
        <x:v>2304.6</x:v>
      </x:c>
      <x:c r="O1163" s="54" t="n">
        <x:f>ROUND(N1163*(1-M1163),2)</x:f>
        <x:v>2066.3</x:v>
      </x:c>
      <x:c r="P1163" s="54" t="n">
        <x:f>ROUND(J1163*L1163,2)</x:f>
        <x:v>1326.66</x:v>
      </x:c>
      <x:c r="Q1163" s="54" t="n">
        <x:f>ROUND(O1163-P1163,2)</x:f>
        <x:v>739.64</x:v>
      </x:c>
      <x:c r="R1163" s="55" t="n">
        <x:f>IF(O1163=0,0,ROUND(Q1163/O1163,4))</x:f>
        <x:v>0.358</x:v>
      </x:c>
      <x:c r="S1163" s="53" t="n">
        <x:v>14</x:v>
      </x:c>
      <x:c r="T1163" t="str">
        <x:v>Entregue com atraso</x:v>
      </x:c>
      <x:c r="U1163" t="n">
        <x:v>5</x:v>
      </x:c>
      <x:c r="V1163" t="str"/>
    </x:row>
    <x:row r="1164">
      <x:c r="A1164" s="52" t="n">
        <x:v>46034</x:v>
      </x:c>
      <x:c r="B1164" t="str">
        <x:v>PED-101163</x:v>
      </x:c>
      <x:c r="C1164" t="str">
        <x:v>Cliente 118</x:v>
      </x:c>
      <x:c r="D1164" t="str">
        <x:v>MG</x:v>
      </x:c>
      <x:c r="E1164" t="str">
        <x:v>Sudeste</x:v>
      </x:c>
      <x:c r="F1164" t="str">
        <x:v>Loja</x:v>
      </x:c>
      <x:c r="G1164" t="str">
        <x:v>Tecnologia</x:v>
      </x:c>
      <x:c r="H1164" t="str">
        <x:v>Monitor 27</x:v>
      </x:c>
      <x:c r="I1164" t="str">
        <x:v>Bruno</x:v>
      </x:c>
      <x:c r="J1164" s="53" t="n">
        <x:v>3</x:v>
      </x:c>
      <x:c r="K1164" s="54" t="n">
        <x:v>1773.8</x:v>
      </x:c>
      <x:c r="L1164" s="54" t="n">
        <x:v>1054.11</x:v>
      </x:c>
      <x:c r="M1164" s="55" t="n">
        <x:v>0.0525</x:v>
      </x:c>
      <x:c r="N1164" s="54" t="n">
        <x:f>ROUND(J1164*K1164,2)</x:f>
        <x:v>5321.4</x:v>
      </x:c>
      <x:c r="O1164" s="54" t="n">
        <x:f>ROUND(N1164*(1-M1164),2)</x:f>
        <x:v>5042.03</x:v>
      </x:c>
      <x:c r="P1164" s="54" t="n">
        <x:f>ROUND(J1164*L1164,2)</x:f>
        <x:v>3162.33</x:v>
      </x:c>
      <x:c r="Q1164" s="54" t="n">
        <x:f>ROUND(O1164-P1164,2)</x:f>
        <x:v>1879.7</x:v>
      </x:c>
      <x:c r="R1164" s="55" t="n">
        <x:f>IF(O1164=0,0,ROUND(Q1164/O1164,4))</x:f>
        <x:v>0.3728</x:v>
      </x:c>
      <x:c r="S1164" s="53" t="n">
        <x:v>12</x:v>
      </x:c>
      <x:c r="T1164" t="str">
        <x:v>Entregue com atraso</x:v>
      </x:c>
      <x:c r="U1164" t="n">
        <x:v>3</x:v>
      </x:c>
      <x:c r="V1164" t="str"/>
    </x:row>
    <x:row r="1165">
      <x:c r="A1165" s="52" t="n">
        <x:v>46064</x:v>
      </x:c>
      <x:c r="B1165" t="str">
        <x:v>PED-101164</x:v>
      </x:c>
      <x:c r="C1165" t="str">
        <x:v>Cliente 047</x:v>
      </x:c>
      <x:c r="D1165" t="str">
        <x:v>AM</x:v>
      </x:c>
      <x:c r="E1165" t="str">
        <x:v>Norte</x:v>
      </x:c>
      <x:c r="F1165" t="str">
        <x:v>Loja</x:v>
      </x:c>
      <x:c r="G1165" t="str">
        <x:v>Tecnologia</x:v>
      </x:c>
      <x:c r="H1165" t="str">
        <x:v>Headset Office</x:v>
      </x:c>
      <x:c r="I1165" t="str">
        <x:v>Elaine</x:v>
      </x:c>
      <x:c r="J1165" s="53" t="n">
        <x:v>8</x:v>
      </x:c>
      <x:c r="K1165" s="54" t="n">
        <x:v>385.11</x:v>
      </x:c>
      <x:c r="L1165" s="54" t="n">
        <x:v>216.62</x:v>
      </x:c>
      <x:c r="M1165" s="55" t="n">
        <x:v>0.0913</x:v>
      </x:c>
      <x:c r="N1165" s="54" t="n">
        <x:f>ROUND(J1165*K1165,2)</x:f>
        <x:v>3080.88</x:v>
      </x:c>
      <x:c r="O1165" s="54" t="n">
        <x:f>ROUND(N1165*(1-M1165),2)</x:f>
        <x:v>2799.6</x:v>
      </x:c>
      <x:c r="P1165" s="54" t="n">
        <x:f>ROUND(J1165*L1165,2)</x:f>
        <x:v>1732.96</x:v>
      </x:c>
      <x:c r="Q1165" s="54" t="n">
        <x:f>ROUND(O1165-P1165,2)</x:f>
        <x:v>1066.64</x:v>
      </x:c>
      <x:c r="R1165" s="55" t="n">
        <x:f>IF(O1165=0,0,ROUND(Q1165/O1165,4))</x:f>
        <x:v>0.381</x:v>
      </x:c>
      <x:c r="S1165" s="53" t="n">
        <x:v>4</x:v>
      </x:c>
      <x:c r="T1165" t="str">
        <x:v>Entregue</x:v>
      </x:c>
      <x:c r="U1165" t="n">
        <x:v>5</x:v>
      </x:c>
      <x:c r="V1165" t="str"/>
    </x:row>
    <x:row r="1166">
      <x:c r="A1166" s="52" t="n">
        <x:v>46135</x:v>
      </x:c>
      <x:c r="B1166" t="str">
        <x:v>PED-101165</x:v>
      </x:c>
      <x:c r="C1166" t="str">
        <x:v>Cliente 074</x:v>
      </x:c>
      <x:c r="D1166" t="str">
        <x:v>SP</x:v>
      </x:c>
      <x:c r="E1166" t="str">
        <x:v>Sudeste</x:v>
      </x:c>
      <x:c r="F1166" t="str">
        <x:v>E-commerce</x:v>
      </x:c>
      <x:c r="G1166" t="str">
        <x:v>Tecnologia</x:v>
      </x:c>
      <x:c r="H1166" t="str">
        <x:v>Notebook Pro</x:v>
      </x:c>
      <x:c r="I1166" t="str">
        <x:v>Carla</x:v>
      </x:c>
      <x:c r="J1166" s="53" t="n">
        <x:v>1</x:v>
      </x:c>
      <x:c r="K1166" s="54" t="n">
        <x:v>5617.52</x:v>
      </x:c>
      <x:c r="L1166" s="54" t="n">
        <x:v>4462.27</x:v>
      </x:c>
      <x:c r="M1166" s="55" t="n">
        <x:v>0</x:v>
      </x:c>
      <x:c r="N1166" s="54" t="n">
        <x:f>ROUND(J1166*K1166,2)</x:f>
        <x:v>5617.52</x:v>
      </x:c>
      <x:c r="O1166" s="54" t="n">
        <x:f>ROUND(N1166*(1-M1166),2)</x:f>
        <x:v>5617.52</x:v>
      </x:c>
      <x:c r="P1166" s="54" t="n">
        <x:f>ROUND(J1166*L1166,2)</x:f>
        <x:v>4462.27</x:v>
      </x:c>
      <x:c r="Q1166" s="54" t="n">
        <x:f>ROUND(O1166-P1166,2)</x:f>
        <x:v>1155.25</x:v>
      </x:c>
      <x:c r="R1166" s="55" t="n">
        <x:f>IF(O1166=0,0,ROUND(Q1166/O1166,4))</x:f>
        <x:v>0.2057</x:v>
      </x:c>
      <x:c r="S1166" s="53" t="n">
        <x:v>8</x:v>
      </x:c>
      <x:c r="T1166" t="str">
        <x:v>Entregue</x:v>
      </x:c>
      <x:c r="U1166" t="n">
        <x:v>2</x:v>
      </x:c>
      <x:c r="V1166" t="str"/>
    </x:row>
    <x:row r="1167">
      <x:c r="A1167" s="52" t="n">
        <x:v>46229</x:v>
      </x:c>
      <x:c r="B1167" t="str">
        <x:v>PED-101166</x:v>
      </x:c>
      <x:c r="C1167" t="str">
        <x:v>Cliente 093</x:v>
      </x:c>
      <x:c r="D1167" t="str">
        <x:v>AM</x:v>
      </x:c>
      <x:c r="E1167" t="str">
        <x:v>Norte</x:v>
      </x:c>
      <x:c r="F1167" t="str">
        <x:v>Marketplace</x:v>
      </x:c>
      <x:c r="G1167" t="str">
        <x:v>Casa</x:v>
      </x:c>
      <x:c r="H1167" t="str">
        <x:v>Cafeteira Smart</x:v>
      </x:c>
      <x:c r="I1167" t="str">
        <x:v>Elaine</x:v>
      </x:c>
      <x:c r="J1167" s="53" t="n">
        <x:v>4</x:v>
      </x:c>
      <x:c r="K1167" s="54" t="n">
        <x:v>822.38</x:v>
      </x:c>
      <x:c r="L1167" s="54" t="n">
        <x:v>471</x:v>
      </x:c>
      <x:c r="M1167" s="55" t="n">
        <x:v>0.1329</x:v>
      </x:c>
      <x:c r="N1167" s="54" t="n">
        <x:f>ROUND(J1167*K1167,2)</x:f>
        <x:v>3289.52</x:v>
      </x:c>
      <x:c r="O1167" s="54" t="n">
        <x:f>ROUND(N1167*(1-M1167),2)</x:f>
        <x:v>2852.34</x:v>
      </x:c>
      <x:c r="P1167" s="54" t="n">
        <x:f>ROUND(J1167*L1167,2)</x:f>
        <x:v>1884</x:v>
      </x:c>
      <x:c r="Q1167" s="54" t="n">
        <x:f>ROUND(O1167-P1167,2)</x:f>
        <x:v>968.34</x:v>
      </x:c>
      <x:c r="R1167" s="55" t="n">
        <x:f>IF(O1167=0,0,ROUND(Q1167/O1167,4))</x:f>
        <x:v>0.3395</x:v>
      </x:c>
      <x:c r="S1167" s="53" t="n">
        <x:v>14</x:v>
      </x:c>
      <x:c r="T1167" t="str">
        <x:v>Entregue com atraso</x:v>
      </x:c>
      <x:c r="U1167" t="n">
        <x:v>2</x:v>
      </x:c>
      <x:c r="V1167" t="str"/>
    </x:row>
    <x:row r="1168">
      <x:c r="A1168" s="52" t="n">
        <x:v>46160</x:v>
      </x:c>
      <x:c r="B1168" t="str">
        <x:v>PED-101167</x:v>
      </x:c>
      <x:c r="C1168" t="str">
        <x:v>Cliente 069</x:v>
      </x:c>
      <x:c r="D1168" t="str">
        <x:v>RJ</x:v>
      </x:c>
      <x:c r="E1168" t="str">
        <x:v>Sudeste</x:v>
      </x:c>
      <x:c r="F1168" t="str">
        <x:v>E-commerce</x:v>
      </x:c>
      <x:c r="G1168" t="str">
        <x:v>Escritório</x:v>
      </x:c>
      <x:c r="H1168" t="str">
        <x:v>Cadeira Ergonômica</x:v>
      </x:c>
      <x:c r="I1168" t="str">
        <x:v>Carla</x:v>
      </x:c>
      <x:c r="J1168" s="53" t="n">
        <x:v>3</x:v>
      </x:c>
      <x:c r="K1168" s="54" t="n">
        <x:v>2183.47</x:v>
      </x:c>
      <x:c r="L1168" s="54" t="n">
        <x:v>1370.75</x:v>
      </x:c>
      <x:c r="M1168" s="55" t="n">
        <x:v>0</x:v>
      </x:c>
      <x:c r="N1168" s="54" t="n">
        <x:f>ROUND(J1168*K1168,2)</x:f>
        <x:v>6550.41</x:v>
      </x:c>
      <x:c r="O1168" s="54" t="n">
        <x:f>ROUND(N1168*(1-M1168),2)</x:f>
        <x:v>6550.41</x:v>
      </x:c>
      <x:c r="P1168" s="54" t="n">
        <x:f>ROUND(J1168*L1168,2)</x:f>
        <x:v>4112.25</x:v>
      </x:c>
      <x:c r="Q1168" s="54" t="n">
        <x:f>ROUND(O1168-P1168,2)</x:f>
        <x:v>2438.16</x:v>
      </x:c>
      <x:c r="R1168" s="55" t="n">
        <x:f>IF(O1168=0,0,ROUND(Q1168/O1168,4))</x:f>
        <x:v>0.3722</x:v>
      </x:c>
      <x:c r="S1168" s="53" t="n">
        <x:v>9</x:v>
      </x:c>
      <x:c r="T1168" t="str">
        <x:v>Entregue</x:v>
      </x:c>
      <x:c r="U1168" t="n">
        <x:v>4</x:v>
      </x:c>
      <x:c r="V1168" t="str"/>
    </x:row>
    <x:row r="1169">
      <x:c r="A1169" s="52" t="n">
        <x:v>46025</x:v>
      </x:c>
      <x:c r="B1169" t="str">
        <x:v>PED-101168</x:v>
      </x:c>
      <x:c r="C1169" t="str">
        <x:v>Cliente 036</x:v>
      </x:c>
      <x:c r="D1169" t="str">
        <x:v>DF</x:v>
      </x:c>
      <x:c r="E1169" t="str">
        <x:v>Centro-Oeste</x:v>
      </x:c>
      <x:c r="F1169" t="str">
        <x:v>Marketplace</x:v>
      </x:c>
      <x:c r="G1169" t="str">
        <x:v>Escritório</x:v>
      </x:c>
      <x:c r="H1169" t="str">
        <x:v>Mesa Ajustável</x:v>
      </x:c>
      <x:c r="I1169" t="str">
        <x:v>João</x:v>
      </x:c>
      <x:c r="J1169" s="53" t="n">
        <x:v>2</x:v>
      </x:c>
      <x:c r="K1169" s="54" t="n">
        <x:v>2817.81</x:v>
      </x:c>
      <x:c r="L1169" s="54" t="n">
        <x:v>1843.59</x:v>
      </x:c>
      <x:c r="M1169" s="55" t="n">
        <x:v>0.1222</x:v>
      </x:c>
      <x:c r="N1169" s="54" t="n">
        <x:f>ROUND(J1169*K1169,2)</x:f>
        <x:v>5635.62</x:v>
      </x:c>
      <x:c r="O1169" s="54" t="n">
        <x:f>ROUND(N1169*(1-M1169),2)</x:f>
        <x:v>4946.95</x:v>
      </x:c>
      <x:c r="P1169" s="54" t="n">
        <x:f>ROUND(J1169*L1169,2)</x:f>
        <x:v>3687.18</x:v>
      </x:c>
      <x:c r="Q1169" s="54" t="n">
        <x:f>ROUND(O1169-P1169,2)</x:f>
        <x:v>1259.77</x:v>
      </x:c>
      <x:c r="R1169" s="55" t="n">
        <x:f>IF(O1169=0,0,ROUND(Q1169/O1169,4))</x:f>
        <x:v>0.2547</x:v>
      </x:c>
      <x:c r="S1169" s="53" t="n">
        <x:v>7</x:v>
      </x:c>
      <x:c r="T1169" t="str">
        <x:v>Entregue</x:v>
      </x:c>
      <x:c r="U1169" t="n">
        <x:v>2</x:v>
      </x:c>
      <x:c r="V1169" t="str"/>
    </x:row>
    <x:row r="1170">
      <x:c r="A1170" s="52" t="n">
        <x:v>46060</x:v>
      </x:c>
      <x:c r="B1170" t="str">
        <x:v>PED-101169</x:v>
      </x:c>
      <x:c r="C1170" t="str">
        <x:v>Cliente 053</x:v>
      </x:c>
      <x:c r="D1170" t="str">
        <x:v>MA</x:v>
      </x:c>
      <x:c r="E1170" t="str">
        <x:v>Nordeste</x:v>
      </x:c>
      <x:c r="F1170" t="str">
        <x:v>E-commerce</x:v>
      </x:c>
      <x:c r="G1170" t="str">
        <x:v>Casa</x:v>
      </x:c>
      <x:c r="H1170" t="str">
        <x:v>Aspirador Robô</x:v>
      </x:c>
      <x:c r="I1170" t="str">
        <x:v>Carla</x:v>
      </x:c>
      <x:c r="J1170" s="53" t="n">
        <x:v>8</x:v>
      </x:c>
      <x:c r="K1170" s="54" t="n">
        <x:v>1879.16</x:v>
      </x:c>
      <x:c r="L1170" s="54" t="n">
        <x:v>1244.15</x:v>
      </x:c>
      <x:c r="M1170" s="55" t="n">
        <x:v>0</x:v>
      </x:c>
      <x:c r="N1170" s="54" t="n">
        <x:f>ROUND(J1170*K1170,2)</x:f>
        <x:v>15033.28</x:v>
      </x:c>
      <x:c r="O1170" s="54" t="n">
        <x:f>ROUND(N1170*(1-M1170),2)</x:f>
        <x:v>15033.28</x:v>
      </x:c>
      <x:c r="P1170" s="54" t="n">
        <x:f>ROUND(J1170*L1170,2)</x:f>
        <x:v>9953.2</x:v>
      </x:c>
      <x:c r="Q1170" s="54" t="n">
        <x:f>ROUND(O1170-P1170,2)</x:f>
        <x:v>5080.08</x:v>
      </x:c>
      <x:c r="R1170" s="55" t="n">
        <x:f>IF(O1170=0,0,ROUND(Q1170/O1170,4))</x:f>
        <x:v>0.3379</x:v>
      </x:c>
      <x:c r="S1170" s="53" t="n">
        <x:v>24</x:v>
      </x:c>
      <x:c r="T1170" t="str">
        <x:v>Entregue com atraso</x:v>
      </x:c>
      <x:c r="U1170" t="n">
        <x:v>1</x:v>
      </x:c>
      <x:c r="V1170" t="str">
        <x:v>Ocorrência logística</x:v>
      </x:c>
    </x:row>
    <x:row r="1171">
      <x:c r="A1171" s="52" t="n">
        <x:v>46061</x:v>
      </x:c>
      <x:c r="B1171" t="str">
        <x:v>PED-101170</x:v>
      </x:c>
      <x:c r="C1171" t="str">
        <x:v>Cliente 052</x:v>
      </x:c>
      <x:c r="D1171" t="str">
        <x:v>RS</x:v>
      </x:c>
      <x:c r="E1171" t="str">
        <x:v>Sul</x:v>
      </x:c>
      <x:c r="F1171" t="str">
        <x:v>E-commerce</x:v>
      </x:c>
      <x:c r="G1171" t="str">
        <x:v>Tecnologia</x:v>
      </x:c>
      <x:c r="H1171" t="str">
        <x:v>Monitor 27</x:v>
      </x:c>
      <x:c r="I1171" t="str">
        <x:v>Diego</x:v>
      </x:c>
      <x:c r="J1171" s="53" t="n">
        <x:v>2</x:v>
      </x:c>
      <x:c r="K1171" s="54" t="n">
        <x:v>1649.63</x:v>
      </x:c>
      <x:c r="L1171" s="54" t="n">
        <x:v>1050.08</x:v>
      </x:c>
      <x:c r="M1171" s="55" t="n">
        <x:v>0.1053</x:v>
      </x:c>
      <x:c r="N1171" s="54" t="n">
        <x:f>ROUND(J1171*K1171,2)</x:f>
        <x:v>3299.26</x:v>
      </x:c>
      <x:c r="O1171" s="54" t="n">
        <x:f>ROUND(N1171*(1-M1171),2)</x:f>
        <x:v>2951.85</x:v>
      </x:c>
      <x:c r="P1171" s="54" t="n">
        <x:f>ROUND(J1171*L1171,2)</x:f>
        <x:v>2100.16</x:v>
      </x:c>
      <x:c r="Q1171" s="54" t="n">
        <x:f>ROUND(O1171-P1171,2)</x:f>
        <x:v>851.69</x:v>
      </x:c>
      <x:c r="R1171" s="55" t="n">
        <x:f>IF(O1171=0,0,ROUND(Q1171/O1171,4))</x:f>
        <x:v>0.2885</x:v>
      </x:c>
      <x:c r="S1171" s="53" t="n">
        <x:v>2</x:v>
      </x:c>
      <x:c r="T1171" t="str">
        <x:v>Entregue</x:v>
      </x:c>
      <x:c r="U1171" t="n">
        <x:v>3</x:v>
      </x:c>
      <x:c r="V1171" t="str"/>
    </x:row>
    <x:row r="1172">
      <x:c r="A1172" s="52" t="n">
        <x:v>46232</x:v>
      </x:c>
      <x:c r="B1172" t="str">
        <x:v>PED-101171</x:v>
      </x:c>
      <x:c r="C1172" t="str">
        <x:v>Cliente 027</x:v>
      </x:c>
      <x:c r="D1172" t="str">
        <x:v>PE</x:v>
      </x:c>
      <x:c r="E1172" t="str">
        <x:v>Nordeste</x:v>
      </x:c>
      <x:c r="F1172" t="str">
        <x:v>Loja</x:v>
      </x:c>
      <x:c r="G1172" t="str">
        <x:v>Escritório</x:v>
      </x:c>
      <x:c r="H1172" t="str">
        <x:v>Cadeira Ergonômica</x:v>
      </x:c>
      <x:c r="I1172" t="str">
        <x:v>João</x:v>
      </x:c>
      <x:c r="J1172" s="53" t="n">
        <x:v>5</x:v>
      </x:c>
      <x:c r="K1172" s="54" t="n">
        <x:v>2082.11</x:v>
      </x:c>
      <x:c r="L1172" s="54" t="n">
        <x:v>1483.55</x:v>
      </x:c>
      <x:c r="M1172" s="55" t="n">
        <x:v>0.1078</x:v>
      </x:c>
      <x:c r="N1172" s="54" t="n">
        <x:f>ROUND(J1172*K1172,2)</x:f>
        <x:v>10410.55</x:v>
      </x:c>
      <x:c r="O1172" s="54" t="n">
        <x:f>ROUND(N1172*(1-M1172),2)</x:f>
        <x:v>9288.29</x:v>
      </x:c>
      <x:c r="P1172" s="54" t="n">
        <x:f>ROUND(J1172*L1172,2)</x:f>
        <x:v>7417.75</x:v>
      </x:c>
      <x:c r="Q1172" s="54" t="n">
        <x:f>ROUND(O1172-P1172,2)</x:f>
        <x:v>1870.54</x:v>
      </x:c>
      <x:c r="R1172" s="55" t="n">
        <x:f>IF(O1172=0,0,ROUND(Q1172/O1172,4))</x:f>
        <x:v>0.2014</x:v>
      </x:c>
      <x:c r="S1172" s="53" t="n">
        <x:v>12</x:v>
      </x:c>
      <x:c r="T1172" t="str">
        <x:v>Entregue com atraso</x:v>
      </x:c>
      <x:c r="U1172" t="n">
        <x:v>2</x:v>
      </x:c>
      <x:c r="V1172" t="str"/>
    </x:row>
    <x:row r="1173">
      <x:c r="A1173" s="52" t="n">
        <x:v>46048</x:v>
      </x:c>
      <x:c r="B1173" t="str">
        <x:v>PED-101172</x:v>
      </x:c>
      <x:c r="C1173" t="str">
        <x:v>Cliente 095</x:v>
      </x:c>
      <x:c r="D1173" t="str">
        <x:v>BA</x:v>
      </x:c>
      <x:c r="E1173" t="str">
        <x:v>Nordeste</x:v>
      </x:c>
      <x:c r="F1173" t="str">
        <x:v>Marketplace</x:v>
      </x:c>
      <x:c r="G1173" t="str">
        <x:v>Tecnologia</x:v>
      </x:c>
      <x:c r="H1173" t="str">
        <x:v>Headset Office</x:v>
      </x:c>
      <x:c r="I1173" t="str">
        <x:v>João</x:v>
      </x:c>
      <x:c r="J1173" s="53" t="n">
        <x:v>7</x:v>
      </x:c>
      <x:c r="K1173" s="54" t="n">
        <x:v>411.42</x:v>
      </x:c>
      <x:c r="L1173" s="54" t="n">
        <x:v>210.84</x:v>
      </x:c>
      <x:c r="M1173" s="55" t="n">
        <x:v>0.0391</x:v>
      </x:c>
      <x:c r="N1173" s="54" t="n">
        <x:f>ROUND(J1173*K1173,2)</x:f>
        <x:v>2879.94</x:v>
      </x:c>
      <x:c r="O1173" s="54" t="n">
        <x:f>ROUND(N1173*(1-M1173),2)</x:f>
        <x:v>2767.33</x:v>
      </x:c>
      <x:c r="P1173" s="54" t="n">
        <x:f>ROUND(J1173*L1173,2)</x:f>
        <x:v>1475.88</x:v>
      </x:c>
      <x:c r="Q1173" s="54" t="n">
        <x:f>ROUND(O1173-P1173,2)</x:f>
        <x:v>1291.45</x:v>
      </x:c>
      <x:c r="R1173" s="55" t="n">
        <x:f>IF(O1173=0,0,ROUND(Q1173/O1173,4))</x:f>
        <x:v>0.4667</x:v>
      </x:c>
      <x:c r="S1173" s="53" t="n">
        <x:v>3</x:v>
      </x:c>
      <x:c r="T1173" t="str">
        <x:v>Entregue</x:v>
      </x:c>
      <x:c r="U1173" t="n">
        <x:v>5</x:v>
      </x:c>
      <x:c r="V1173" t="str"/>
    </x:row>
    <x:row r="1174">
      <x:c r="A1174" s="52" t="n">
        <x:v>46174</x:v>
      </x:c>
      <x:c r="B1174" t="str">
        <x:v>PED-101173</x:v>
      </x:c>
      <x:c r="C1174" t="str">
        <x:v>Cliente 015</x:v>
      </x:c>
      <x:c r="D1174" t="str">
        <x:v>SC</x:v>
      </x:c>
      <x:c r="E1174" t="str">
        <x:v>Sul</x:v>
      </x:c>
      <x:c r="F1174" t="str">
        <x:v>Televendas</x:v>
      </x:c>
      <x:c r="G1174" t="str">
        <x:v>Escritório</x:v>
      </x:c>
      <x:c r="H1174" t="str">
        <x:v>Luminária LED</x:v>
      </x:c>
      <x:c r="I1174" t="str">
        <x:v>Diego</x:v>
      </x:c>
      <x:c r="J1174" s="53" t="n">
        <x:v>7</x:v>
      </x:c>
      <x:c r="K1174" s="54" t="n">
        <x:v>245.48</x:v>
      </x:c>
      <x:c r="L1174" s="54" t="n">
        <x:v>118.02</x:v>
      </x:c>
      <x:c r="M1174" s="55" t="n">
        <x:v>0.0103</x:v>
      </x:c>
      <x:c r="N1174" s="54" t="n">
        <x:f>ROUND(J1174*K1174,2)</x:f>
        <x:v>1718.36</x:v>
      </x:c>
      <x:c r="O1174" s="54" t="n">
        <x:f>ROUND(N1174*(1-M1174),2)</x:f>
        <x:v>1700.66</x:v>
      </x:c>
      <x:c r="P1174" s="54" t="n">
        <x:f>ROUND(J1174*L1174,2)</x:f>
        <x:v>826.14</x:v>
      </x:c>
      <x:c r="Q1174" s="54" t="n">
        <x:f>ROUND(O1174-P1174,2)</x:f>
        <x:v>874.52</x:v>
      </x:c>
      <x:c r="R1174" s="55" t="n">
        <x:f>IF(O1174=0,0,ROUND(Q1174/O1174,4))</x:f>
        <x:v>0.5142</x:v>
      </x:c>
      <x:c r="S1174" s="53" t="n">
        <x:v>8</x:v>
      </x:c>
      <x:c r="T1174" t="str">
        <x:v>Entregue</x:v>
      </x:c>
      <x:c r="U1174" t="n">
        <x:v>4</x:v>
      </x:c>
      <x:c r="V1174" t="str"/>
    </x:row>
    <x:row r="1175">
      <x:c r="A1175" s="52" t="n">
        <x:v>46075</x:v>
      </x:c>
      <x:c r="B1175" t="str">
        <x:v>PED-101174</x:v>
      </x:c>
      <x:c r="C1175" t="str">
        <x:v>Cliente 021</x:v>
      </x:c>
      <x:c r="D1175" t="str">
        <x:v>MA</x:v>
      </x:c>
      <x:c r="E1175" t="str">
        <x:v>Nordeste</x:v>
      </x:c>
      <x:c r="F1175" t="str">
        <x:v>Televendas</x:v>
      </x:c>
      <x:c r="G1175" t="str">
        <x:v>Escritório</x:v>
      </x:c>
      <x:c r="H1175" t="str">
        <x:v>Mesa Ajustável</x:v>
      </x:c>
      <x:c r="I1175" t="str">
        <x:v>Felipe</x:v>
      </x:c>
      <x:c r="J1175" s="53" t="n">
        <x:v>3</x:v>
      </x:c>
      <x:c r="K1175" s="54" t="n">
        <x:v>2643.07</x:v>
      </x:c>
      <x:c r="L1175" s="54" t="n">
        <x:v>1928.3</x:v>
      </x:c>
      <x:c r="M1175" s="55" t="n">
        <x:v>0</x:v>
      </x:c>
      <x:c r="N1175" s="54" t="n">
        <x:f>ROUND(J1175*K1175,2)</x:f>
        <x:v>7929.21</x:v>
      </x:c>
      <x:c r="O1175" s="54" t="n">
        <x:f>ROUND(N1175*(1-M1175),2)</x:f>
        <x:v>7929.21</x:v>
      </x:c>
      <x:c r="P1175" s="54" t="n">
        <x:f>ROUND(J1175*L1175,2)</x:f>
        <x:v>5784.9</x:v>
      </x:c>
      <x:c r="Q1175" s="54" t="n">
        <x:f>ROUND(O1175-P1175,2)</x:f>
        <x:v>2144.31</x:v>
      </x:c>
      <x:c r="R1175" s="55" t="n">
        <x:f>IF(O1175=0,0,ROUND(Q1175/O1175,4))</x:f>
        <x:v>0.2704</x:v>
      </x:c>
      <x:c r="S1175" s="53" t="n">
        <x:v>10</x:v>
      </x:c>
      <x:c r="T1175" t="str">
        <x:v>Entregue</x:v>
      </x:c>
      <x:c r="U1175" t="n">
        <x:v>5</x:v>
      </x:c>
      <x:c r="V1175" t="str"/>
    </x:row>
    <x:row r="1176">
      <x:c r="A1176" s="52" t="n">
        <x:v>46225</x:v>
      </x:c>
      <x:c r="B1176" t="str">
        <x:v>PED-101175</x:v>
      </x:c>
      <x:c r="C1176" t="str">
        <x:v>Cliente 071</x:v>
      </x:c>
      <x:c r="D1176" t="str">
        <x:v>PE</x:v>
      </x:c>
      <x:c r="E1176" t="str">
        <x:v>Nordeste</x:v>
      </x:c>
      <x:c r="F1176" t="str">
        <x:v>Televendas</x:v>
      </x:c>
      <x:c r="G1176" t="str">
        <x:v>Escritório</x:v>
      </x:c>
      <x:c r="H1176" t="str">
        <x:v>Mesa Ajustável</x:v>
      </x:c>
      <x:c r="I1176" t="str">
        <x:v>Bruno</x:v>
      </x:c>
      <x:c r="J1176" s="53" t="n">
        <x:v>2</x:v>
      </x:c>
      <x:c r="K1176" s="54" t="n">
        <x:v>2793.94</x:v>
      </x:c>
      <x:c r="L1176" s="54" t="n">
        <x:v>1805.17</x:v>
      </x:c>
      <x:c r="M1176" s="55" t="n">
        <x:v>0</x:v>
      </x:c>
      <x:c r="N1176" s="54" t="n">
        <x:f>ROUND(J1176*K1176,2)</x:f>
        <x:v>5587.88</x:v>
      </x:c>
      <x:c r="O1176" s="54" t="n">
        <x:f>ROUND(N1176*(1-M1176),2)</x:f>
        <x:v>5587.88</x:v>
      </x:c>
      <x:c r="P1176" s="54" t="n">
        <x:f>ROUND(J1176*L1176,2)</x:f>
        <x:v>3610.34</x:v>
      </x:c>
      <x:c r="Q1176" s="54" t="n">
        <x:f>ROUND(O1176-P1176,2)</x:f>
        <x:v>1977.54</x:v>
      </x:c>
      <x:c r="R1176" s="55" t="n">
        <x:f>IF(O1176=0,0,ROUND(Q1176/O1176,4))</x:f>
        <x:v>0.3539</x:v>
      </x:c>
      <x:c r="S1176" s="53" t="n">
        <x:v>6</x:v>
      </x:c>
      <x:c r="T1176" t="str">
        <x:v>Entregue</x:v>
      </x:c>
      <x:c r="U1176" t="n">
        <x:v>5</x:v>
      </x:c>
      <x:c r="V1176" t="str"/>
    </x:row>
    <x:row r="1177">
      <x:c r="A1177" s="52" t="n">
        <x:v>46168</x:v>
      </x:c>
      <x:c r="B1177" t="str">
        <x:v>PED-101176</x:v>
      </x:c>
      <x:c r="C1177" t="str">
        <x:v>Cliente 051</x:v>
      </x:c>
      <x:c r="D1177" t="str">
        <x:v>AM</x:v>
      </x:c>
      <x:c r="E1177" t="str">
        <x:v>Norte</x:v>
      </x:c>
      <x:c r="F1177" t="str">
        <x:v>Loja</x:v>
      </x:c>
      <x:c r="G1177" t="str">
        <x:v>Casa</x:v>
      </x:c>
      <x:c r="H1177" t="str">
        <x:v>Aspirador Robô</x:v>
      </x:c>
      <x:c r="I1177" t="str">
        <x:v>Felipe</x:v>
      </x:c>
      <x:c r="J1177" s="53" t="n">
        <x:v>6</x:v>
      </x:c>
      <x:c r="K1177" s="54" t="n">
        <x:v>1995.97</x:v>
      </x:c>
      <x:c r="L1177" s="54" t="n">
        <x:v>1190.38</x:v>
      </x:c>
      <x:c r="M1177" s="55" t="n">
        <x:v>0.0876</x:v>
      </x:c>
      <x:c r="N1177" s="54" t="n">
        <x:f>ROUND(J1177*K1177,2)</x:f>
        <x:v>11975.82</x:v>
      </x:c>
      <x:c r="O1177" s="54" t="n">
        <x:f>ROUND(N1177*(1-M1177),2)</x:f>
        <x:v>10926.74</x:v>
      </x:c>
      <x:c r="P1177" s="54" t="n">
        <x:f>ROUND(J1177*L1177,2)</x:f>
        <x:v>7142.28</x:v>
      </x:c>
      <x:c r="Q1177" s="54" t="n">
        <x:f>ROUND(O1177-P1177,2)</x:f>
        <x:v>3784.46</x:v>
      </x:c>
      <x:c r="R1177" s="55" t="n">
        <x:f>IF(O1177=0,0,ROUND(Q1177/O1177,4))</x:f>
        <x:v>0.3463</x:v>
      </x:c>
      <x:c r="S1177" s="53" t="n">
        <x:v>13</x:v>
      </x:c>
      <x:c r="T1177" t="str">
        <x:v>Entregue com atraso</x:v>
      </x:c>
      <x:c r="U1177" t="n">
        <x:v>5</x:v>
      </x:c>
      <x:c r="V1177" t="str"/>
    </x:row>
    <x:row r="1178">
      <x:c r="A1178" s="52" t="n">
        <x:v>46160</x:v>
      </x:c>
      <x:c r="B1178" t="str">
        <x:v>PED-101177</x:v>
      </x:c>
      <x:c r="C1178" t="str">
        <x:v>Cliente 020</x:v>
      </x:c>
      <x:c r="D1178" t="str">
        <x:v>ES</x:v>
      </x:c>
      <x:c r="E1178" t="str">
        <x:v>Sudeste</x:v>
      </x:c>
      <x:c r="F1178" t="str">
        <x:v>E-commerce</x:v>
      </x:c>
      <x:c r="G1178" t="str">
        <x:v>Escritório</x:v>
      </x:c>
      <x:c r="H1178" t="str">
        <x:v>Luminária LED</x:v>
      </x:c>
      <x:c r="I1178" t="str">
        <x:v>Elaine</x:v>
      </x:c>
      <x:c r="J1178" s="53" t="n">
        <x:v>8</x:v>
      </x:c>
      <x:c r="K1178" s="54" t="n">
        <x:v>260.48</x:v>
      </x:c>
      <x:c r="L1178" s="54" t="n">
        <x:v>118.25</x:v>
      </x:c>
      <x:c r="M1178" s="55" t="n">
        <x:v>0</x:v>
      </x:c>
      <x:c r="N1178" s="54" t="n">
        <x:f>ROUND(J1178*K1178,2)</x:f>
        <x:v>2083.84</x:v>
      </x:c>
      <x:c r="O1178" s="54" t="n">
        <x:f>ROUND(N1178*(1-M1178),2)</x:f>
        <x:v>2083.84</x:v>
      </x:c>
      <x:c r="P1178" s="54" t="n">
        <x:f>ROUND(J1178*L1178,2)</x:f>
        <x:v>946</x:v>
      </x:c>
      <x:c r="Q1178" s="54" t="n">
        <x:f>ROUND(O1178-P1178,2)</x:f>
        <x:v>1137.84</x:v>
      </x:c>
      <x:c r="R1178" s="55" t="n">
        <x:f>IF(O1178=0,0,ROUND(Q1178/O1178,4))</x:f>
        <x:v>0.546</x:v>
      </x:c>
      <x:c r="S1178" s="53" t="n">
        <x:v>13</x:v>
      </x:c>
      <x:c r="T1178" t="str">
        <x:v>Entregue com atraso</x:v>
      </x:c>
      <x:c r="U1178" t="n">
        <x:v>2</x:v>
      </x:c>
      <x:c r="V1178" t="str"/>
    </x:row>
    <x:row r="1179">
      <x:c r="A1179" s="52" t="n">
        <x:v>46167</x:v>
      </x:c>
      <x:c r="B1179" t="str">
        <x:v>PED-101178</x:v>
      </x:c>
      <x:c r="C1179" t="str">
        <x:v>Cliente 084</x:v>
      </x:c>
      <x:c r="D1179" t="str">
        <x:v>PR</x:v>
      </x:c>
      <x:c r="E1179" t="str">
        <x:v>Sul</x:v>
      </x:c>
      <x:c r="F1179" t="str">
        <x:v>Marketplace</x:v>
      </x:c>
      <x:c r="G1179" t="str">
        <x:v>Tecnologia</x:v>
      </x:c>
      <x:c r="H1179" t="str">
        <x:v>Notebook Pro</x:v>
      </x:c>
      <x:c r="I1179" t="str">
        <x:v>Felipe</x:v>
      </x:c>
      <x:c r="J1179" s="53" t="n">
        <x:v>5</x:v>
      </x:c>
      <x:c r="K1179" s="54" t="n">
        <x:v>6022.28</x:v>
      </x:c>
      <x:c r="L1179" s="54" t="n">
        <x:v>4204.85</x:v>
      </x:c>
      <x:c r="M1179" s="55" t="n">
        <x:v>0.1601</x:v>
      </x:c>
      <x:c r="N1179" s="54" t="n">
        <x:f>ROUND(J1179*K1179,2)</x:f>
        <x:v>30111.4</x:v>
      </x:c>
      <x:c r="O1179" s="54" t="n">
        <x:f>ROUND(N1179*(1-M1179),2)</x:f>
        <x:v>25290.56</x:v>
      </x:c>
      <x:c r="P1179" s="54" t="n">
        <x:f>ROUND(J1179*L1179,2)</x:f>
        <x:v>21024.25</x:v>
      </x:c>
      <x:c r="Q1179" s="54" t="n">
        <x:f>ROUND(O1179-P1179,2)</x:f>
        <x:v>4266.31</x:v>
      </x:c>
      <x:c r="R1179" s="55" t="n">
        <x:f>IF(O1179=0,0,ROUND(Q1179/O1179,4))</x:f>
        <x:v>0.1687</x:v>
      </x:c>
      <x:c r="S1179" s="53" t="n">
        <x:v>12</x:v>
      </x:c>
      <x:c r="T1179" t="str">
        <x:v>Entregue com atraso</x:v>
      </x:c>
      <x:c r="U1179" t="n">
        <x:v>3</x:v>
      </x:c>
      <x:c r="V1179" t="str"/>
    </x:row>
    <x:row r="1180">
      <x:c r="A1180" s="52" t="n">
        <x:v>46221</x:v>
      </x:c>
      <x:c r="B1180" t="str">
        <x:v>PED-101179</x:v>
      </x:c>
      <x:c r="C1180" t="str">
        <x:v>Cliente 026</x:v>
      </x:c>
      <x:c r="D1180" t="str">
        <x:v>AM</x:v>
      </x:c>
      <x:c r="E1180" t="str">
        <x:v>Norte</x:v>
      </x:c>
      <x:c r="F1180" t="str">
        <x:v>Televendas</x:v>
      </x:c>
      <x:c r="G1180" t="str">
        <x:v>Casa</x:v>
      </x:c>
      <x:c r="H1180" t="str">
        <x:v>Aspirador Robô</x:v>
      </x:c>
      <x:c r="I1180" t="str">
        <x:v>Felipe</x:v>
      </x:c>
      <x:c r="J1180" s="53" t="n">
        <x:v>6</x:v>
      </x:c>
      <x:c r="K1180" s="54" t="n">
        <x:v>1860.35</x:v>
      </x:c>
      <x:c r="L1180" s="54" t="n">
        <x:v>1196.57</x:v>
      </x:c>
      <x:c r="M1180" s="55" t="n">
        <x:v>0.0958</x:v>
      </x:c>
      <x:c r="N1180" s="54" t="n">
        <x:f>ROUND(J1180*K1180,2)</x:f>
        <x:v>11162.1</x:v>
      </x:c>
      <x:c r="O1180" s="54" t="n">
        <x:f>ROUND(N1180*(1-M1180),2)</x:f>
        <x:v>10092.77</x:v>
      </x:c>
      <x:c r="P1180" s="54" t="n">
        <x:f>ROUND(J1180*L1180,2)</x:f>
        <x:v>7179.42</x:v>
      </x:c>
      <x:c r="Q1180" s="54" t="n">
        <x:f>ROUND(O1180-P1180,2)</x:f>
        <x:v>2913.35</x:v>
      </x:c>
      <x:c r="R1180" s="55" t="n">
        <x:f>IF(O1180=0,0,ROUND(Q1180/O1180,4))</x:f>
        <x:v>0.2887</x:v>
      </x:c>
      <x:c r="S1180" s="53" t="n">
        <x:v>6</x:v>
      </x:c>
      <x:c r="T1180" t="str">
        <x:v>Entregue</x:v>
      </x:c>
      <x:c r="U1180" t="n">
        <x:v>5</x:v>
      </x:c>
      <x:c r="V1180" t="str"/>
    </x:row>
    <x:row r="1181">
      <x:c r="A1181" s="52" t="n">
        <x:v>46099</x:v>
      </x:c>
      <x:c r="B1181" t="str">
        <x:v>PED-101180</x:v>
      </x:c>
      <x:c r="C1181" t="str">
        <x:v>Cliente 034</x:v>
      </x:c>
      <x:c r="D1181" t="str">
        <x:v>RJ</x:v>
      </x:c>
      <x:c r="E1181" t="str">
        <x:v>Sudeste</x:v>
      </x:c>
      <x:c r="F1181" t="str">
        <x:v>Televendas</x:v>
      </x:c>
      <x:c r="G1181" t="str">
        <x:v>Casa</x:v>
      </x:c>
      <x:c r="H1181" t="str">
        <x:v>Aspirador Robô</x:v>
      </x:c>
      <x:c r="I1181" t="str">
        <x:v>João</x:v>
      </x:c>
      <x:c r="J1181" s="53" t="n">
        <x:v>4</x:v>
      </x:c>
      <x:c r="K1181" s="54" t="n">
        <x:v>1813.49</x:v>
      </x:c>
      <x:c r="L1181" s="54" t="n">
        <x:v>1236.84</x:v>
      </x:c>
      <x:c r="M1181" s="55" t="n">
        <x:v>0.1164</x:v>
      </x:c>
      <x:c r="N1181" s="54" t="n">
        <x:f>ROUND(J1181*K1181,2)</x:f>
        <x:v>7253.96</x:v>
      </x:c>
      <x:c r="O1181" s="54" t="n">
        <x:f>ROUND(N1181*(1-M1181),2)</x:f>
        <x:v>6409.6</x:v>
      </x:c>
      <x:c r="P1181" s="54" t="n">
        <x:f>ROUND(J1181*L1181,2)</x:f>
        <x:v>4947.36</x:v>
      </x:c>
      <x:c r="Q1181" s="54" t="n">
        <x:f>ROUND(O1181-P1181,2)</x:f>
        <x:v>1462.24</x:v>
      </x:c>
      <x:c r="R1181" s="55" t="n">
        <x:f>IF(O1181=0,0,ROUND(Q1181/O1181,4))</x:f>
        <x:v>0.2281</x:v>
      </x:c>
      <x:c r="S1181" s="53" t="n">
        <x:v>2</x:v>
      </x:c>
      <x:c r="T1181" t="str">
        <x:v>Entregue</x:v>
      </x:c>
      <x:c r="U1181" t="n">
        <x:v>4</x:v>
      </x:c>
      <x:c r="V1181" t="str"/>
    </x:row>
    <x:row r="1182">
      <x:c r="A1182" s="52" t="n">
        <x:v>46154</x:v>
      </x:c>
      <x:c r="B1182" t="str">
        <x:v>PED-101181</x:v>
      </x:c>
      <x:c r="C1182" t="str">
        <x:v>Cliente 089</x:v>
      </x:c>
      <x:c r="D1182" t="str">
        <x:v>MG</x:v>
      </x:c>
      <x:c r="E1182" t="str">
        <x:v>Sudeste</x:v>
      </x:c>
      <x:c r="F1182" t="str">
        <x:v>E-commerce</x:v>
      </x:c>
      <x:c r="G1182" t="str">
        <x:v>Acessórios</x:v>
      </x:c>
      <x:c r="H1182" t="str">
        <x:v>Hub USB-C</x:v>
      </x:c>
      <x:c r="I1182" t="str">
        <x:v>Bruno</x:v>
      </x:c>
      <x:c r="J1182" s="53" t="n">
        <x:v>4</x:v>
      </x:c>
      <x:c r="K1182" s="54" t="n">
        <x:v>315.89</x:v>
      </x:c>
      <x:c r="L1182" s="54" t="n">
        <x:v>139.7</x:v>
      </x:c>
      <x:c r="M1182" s="55" t="n">
        <x:v>0.1259</x:v>
      </x:c>
      <x:c r="N1182" s="54" t="n">
        <x:f>ROUND(J1182*K1182,2)</x:f>
        <x:v>1263.56</x:v>
      </x:c>
      <x:c r="O1182" s="54" t="n">
        <x:f>ROUND(N1182*(1-M1182),2)</x:f>
        <x:v>1104.48</x:v>
      </x:c>
      <x:c r="P1182" s="54" t="n">
        <x:f>ROUND(J1182*L1182,2)</x:f>
        <x:v>558.8</x:v>
      </x:c>
      <x:c r="Q1182" s="54" t="n">
        <x:f>ROUND(O1182-P1182,2)</x:f>
        <x:v>545.68</x:v>
      </x:c>
      <x:c r="R1182" s="55" t="n">
        <x:f>IF(O1182=0,0,ROUND(Q1182/O1182,4))</x:f>
        <x:v>0.4941</x:v>
      </x:c>
      <x:c r="S1182" s="53" t="n">
        <x:v>6</x:v>
      </x:c>
      <x:c r="T1182" t="str">
        <x:v>Entregue</x:v>
      </x:c>
      <x:c r="U1182" t="n">
        <x:v>2</x:v>
      </x:c>
      <x:c r="V1182" t="str"/>
    </x:row>
    <x:row r="1183">
      <x:c r="A1183" s="52" t="n">
        <x:v>46202</x:v>
      </x:c>
      <x:c r="B1183" t="str">
        <x:v>PED-101182</x:v>
      </x:c>
      <x:c r="C1183" t="str">
        <x:v>Cliente 092</x:v>
      </x:c>
      <x:c r="D1183" t="str">
        <x:v>MT</x:v>
      </x:c>
      <x:c r="E1183" t="str">
        <x:v>Centro-Oeste</x:v>
      </x:c>
      <x:c r="F1183" t="str">
        <x:v>E-commerce</x:v>
      </x:c>
      <x:c r="G1183" t="str">
        <x:v>Tecnologia</x:v>
      </x:c>
      <x:c r="H1183" t="str">
        <x:v>Headset Office</x:v>
      </x:c>
      <x:c r="I1183" t="str">
        <x:v>Isabela</x:v>
      </x:c>
      <x:c r="J1183" s="53" t="n">
        <x:v>7</x:v>
      </x:c>
      <x:c r="K1183" s="54" t="n">
        <x:v>402.85</x:v>
      </x:c>
      <x:c r="L1183" s="54" t="n">
        <x:v>206.59</x:v>
      </x:c>
      <x:c r="M1183" s="55" t="n">
        <x:v>0</x:v>
      </x:c>
      <x:c r="N1183" s="54" t="n">
        <x:f>ROUND(J1183*K1183,2)</x:f>
        <x:v>2819.95</x:v>
      </x:c>
      <x:c r="O1183" s="54" t="n">
        <x:f>ROUND(N1183*(1-M1183),2)</x:f>
        <x:v>2819.95</x:v>
      </x:c>
      <x:c r="P1183" s="54" t="n">
        <x:f>ROUND(J1183*L1183,2)</x:f>
        <x:v>1446.13</x:v>
      </x:c>
      <x:c r="Q1183" s="54" t="n">
        <x:f>ROUND(O1183-P1183,2)</x:f>
        <x:v>1373.82</x:v>
      </x:c>
      <x:c r="R1183" s="55" t="n">
        <x:f>IF(O1183=0,0,ROUND(Q1183/O1183,4))</x:f>
        <x:v>0.4872</x:v>
      </x:c>
      <x:c r="S1183" s="53" t="n">
        <x:v>10</x:v>
      </x:c>
      <x:c r="T1183" t="str">
        <x:v>Entregue</x:v>
      </x:c>
      <x:c r="U1183" t="n">
        <x:v>5</x:v>
      </x:c>
      <x:c r="V1183" t="str"/>
    </x:row>
    <x:row r="1184">
      <x:c r="A1184" s="52" t="n">
        <x:v>46028</x:v>
      </x:c>
      <x:c r="B1184" t="str">
        <x:v>PED-101183</x:v>
      </x:c>
      <x:c r="C1184" t="str">
        <x:v>Cliente 037</x:v>
      </x:c>
      <x:c r="D1184" t="str">
        <x:v>RS</x:v>
      </x:c>
      <x:c r="E1184" t="str">
        <x:v>Sul</x:v>
      </x:c>
      <x:c r="F1184" t="str">
        <x:v>E-commerce</x:v>
      </x:c>
      <x:c r="G1184" t="str">
        <x:v>Escritório</x:v>
      </x:c>
      <x:c r="H1184" t="str">
        <x:v>Luminária LED</x:v>
      </x:c>
      <x:c r="I1184" t="str">
        <x:v>Felipe</x:v>
      </x:c>
      <x:c r="J1184" s="53" t="n">
        <x:v>2</x:v>
      </x:c>
      <x:c r="K1184" s="54" t="n">
        <x:v>248.48</x:v>
      </x:c>
      <x:c r="L1184" s="54" t="n">
        <x:v>119.34</x:v>
      </x:c>
      <x:c r="M1184" s="55" t="n">
        <x:v>0.4828</x:v>
      </x:c>
      <x:c r="N1184" s="54" t="n">
        <x:f>ROUND(J1184*K1184,2)</x:f>
        <x:v>496.96</x:v>
      </x:c>
      <x:c r="O1184" s="54" t="n">
        <x:f>ROUND(N1184*(1-M1184),2)</x:f>
        <x:v>257.03</x:v>
      </x:c>
      <x:c r="P1184" s="54" t="n">
        <x:f>ROUND(J1184*L1184,2)</x:f>
        <x:v>238.68</x:v>
      </x:c>
      <x:c r="Q1184" s="54" t="n">
        <x:f>ROUND(O1184-P1184,2)</x:f>
        <x:v>18.35</x:v>
      </x:c>
      <x:c r="R1184" s="55" t="n">
        <x:f>IF(O1184=0,0,ROUND(Q1184/O1184,4))</x:f>
        <x:v>0.0714</x:v>
      </x:c>
      <x:c r="S1184" s="53" t="n">
        <x:v>9</x:v>
      </x:c>
      <x:c r="T1184" t="str">
        <x:v>Entregue</x:v>
      </x:c>
      <x:c r="U1184" t="n">
        <x:v>4</x:v>
      </x:c>
      <x:c r="V1184" t="str">
        <x:v>Desconto autorizado fora da campanha</x:v>
      </x:c>
    </x:row>
    <x:row r="1185">
      <x:c r="A1185" s="52" t="n">
        <x:v>46205</x:v>
      </x:c>
      <x:c r="B1185" t="str">
        <x:v>PED-101184</x:v>
      </x:c>
      <x:c r="C1185" t="str">
        <x:v>Cliente 009</x:v>
      </x:c>
      <x:c r="D1185" t="str">
        <x:v>DF</x:v>
      </x:c>
      <x:c r="E1185" t="str">
        <x:v>Centro-Oeste</x:v>
      </x:c>
      <x:c r="F1185" t="str">
        <x:v>E-commerce</x:v>
      </x:c>
      <x:c r="G1185" t="str">
        <x:v>Acessórios</x:v>
      </x:c>
      <x:c r="H1185" t="str">
        <x:v>Hub USB-C</x:v>
      </x:c>
      <x:c r="I1185" t="str">
        <x:v>Diego</x:v>
      </x:c>
      <x:c r="J1185" s="53" t="n">
        <x:v>7</x:v>
      </x:c>
      <x:c r="K1185" s="54" t="n">
        <x:v>320.52</x:v>
      </x:c>
      <x:c r="L1185" s="54" t="n">
        <x:v>135.03</x:v>
      </x:c>
      <x:c r="M1185" s="55" t="n">
        <x:v>0.0028</x:v>
      </x:c>
      <x:c r="N1185" s="54" t="n">
        <x:f>ROUND(J1185*K1185,2)</x:f>
        <x:v>2243.64</x:v>
      </x:c>
      <x:c r="O1185" s="54" t="n">
        <x:f>ROUND(N1185*(1-M1185),2)</x:f>
        <x:v>2237.36</x:v>
      </x:c>
      <x:c r="P1185" s="54" t="n">
        <x:f>ROUND(J1185*L1185,2)</x:f>
        <x:v>945.21</x:v>
      </x:c>
      <x:c r="Q1185" s="54" t="n">
        <x:f>ROUND(O1185-P1185,2)</x:f>
        <x:v>1292.15</x:v>
      </x:c>
      <x:c r="R1185" s="55" t="n">
        <x:f>IF(O1185=0,0,ROUND(Q1185/O1185,4))</x:f>
        <x:v>0.5775</x:v>
      </x:c>
      <x:c r="S1185" s="53" t="n">
        <x:v>5</x:v>
      </x:c>
      <x:c r="T1185" t="str">
        <x:v>Entregue</x:v>
      </x:c>
      <x:c r="U1185" t="n">
        <x:v>2</x:v>
      </x:c>
      <x:c r="V1185" t="str"/>
    </x:row>
    <x:row r="1186">
      <x:c r="A1186" s="52" t="n">
        <x:v>46054</x:v>
      </x:c>
      <x:c r="B1186" t="str">
        <x:v>PED-101185</x:v>
      </x:c>
      <x:c r="C1186" t="str">
        <x:v>Cliente 096</x:v>
      </x:c>
      <x:c r="D1186" t="str">
        <x:v>SP</x:v>
      </x:c>
      <x:c r="E1186" t="str">
        <x:v>Sudeste</x:v>
      </x:c>
      <x:c r="F1186" t="str">
        <x:v>E-commerce</x:v>
      </x:c>
      <x:c r="G1186" t="str">
        <x:v>Acessórios</x:v>
      </x:c>
      <x:c r="H1186" t="str">
        <x:v>Hub USB-C</x:v>
      </x:c>
      <x:c r="I1186" t="str">
        <x:v>Henrique</x:v>
      </x:c>
      <x:c r="J1186" s="53" t="n">
        <x:v>6</x:v>
      </x:c>
      <x:c r="K1186" s="54" t="n">
        <x:v>308.96</x:v>
      </x:c>
      <x:c r="L1186" s="54" t="n">
        <x:v>136.16</x:v>
      </x:c>
      <x:c r="M1186" s="55" t="n">
        <x:v>0</x:v>
      </x:c>
      <x:c r="N1186" s="54" t="n">
        <x:f>ROUND(J1186*K1186,2)</x:f>
        <x:v>1853.76</x:v>
      </x:c>
      <x:c r="O1186" s="54" t="n">
        <x:f>ROUND(N1186*(1-M1186),2)</x:f>
        <x:v>1853.76</x:v>
      </x:c>
      <x:c r="P1186" s="54" t="n">
        <x:f>ROUND(J1186*L1186,2)</x:f>
        <x:v>816.96</x:v>
      </x:c>
      <x:c r="Q1186" s="54" t="n">
        <x:f>ROUND(O1186-P1186,2)</x:f>
        <x:v>1036.8</x:v>
      </x:c>
      <x:c r="R1186" s="55" t="n">
        <x:f>IF(O1186=0,0,ROUND(Q1186/O1186,4))</x:f>
        <x:v>0.5593</x:v>
      </x:c>
      <x:c r="S1186" s="53" t="n">
        <x:v>5</x:v>
      </x:c>
      <x:c r="T1186" t="str">
        <x:v>Entregue</x:v>
      </x:c>
      <x:c r="U1186" t="n">
        <x:v>2</x:v>
      </x:c>
      <x:c r="V1186" t="str"/>
    </x:row>
    <x:row r="1187">
      <x:c r="A1187" s="52" t="n">
        <x:v>46210</x:v>
      </x:c>
      <x:c r="B1187" t="str">
        <x:v>PED-101186</x:v>
      </x:c>
      <x:c r="C1187" t="str">
        <x:v>Cliente 107</x:v>
      </x:c>
      <x:c r="D1187" t="str">
        <x:v>PR</x:v>
      </x:c>
      <x:c r="E1187" t="str">
        <x:v>Sul</x:v>
      </x:c>
      <x:c r="F1187" t="str">
        <x:v>Marketplace</x:v>
      </x:c>
      <x:c r="G1187" t="str">
        <x:v>Casa</x:v>
      </x:c>
      <x:c r="H1187" t="str">
        <x:v>Purificador</x:v>
      </x:c>
      <x:c r="I1187" t="str">
        <x:v>Carla</x:v>
      </x:c>
      <x:c r="J1187" s="53" t="n">
        <x:v>4</x:v>
      </x:c>
      <x:c r="K1187" s="54" t="n">
        <x:v>1219.16</x:v>
      </x:c>
      <x:c r="L1187" s="54" t="n">
        <x:v>797.62</x:v>
      </x:c>
      <x:c r="M1187" s="55" t="n">
        <x:v>0.0531</x:v>
      </x:c>
      <x:c r="N1187" s="54" t="n">
        <x:f>ROUND(J1187*K1187,2)</x:f>
        <x:v>4876.64</x:v>
      </x:c>
      <x:c r="O1187" s="54" t="n">
        <x:f>ROUND(N1187*(1-M1187),2)</x:f>
        <x:v>4617.69</x:v>
      </x:c>
      <x:c r="P1187" s="54" t="n">
        <x:f>ROUND(J1187*L1187,2)</x:f>
        <x:v>3190.48</x:v>
      </x:c>
      <x:c r="Q1187" s="54" t="n">
        <x:f>ROUND(O1187-P1187,2)</x:f>
        <x:v>1427.21</x:v>
      </x:c>
      <x:c r="R1187" s="55" t="n">
        <x:f>IF(O1187=0,0,ROUND(Q1187/O1187,4))</x:f>
        <x:v>0.3091</x:v>
      </x:c>
      <x:c r="S1187" s="53" t="n">
        <x:v>2</x:v>
      </x:c>
      <x:c r="T1187" t="str">
        <x:v>Entregue</x:v>
      </x:c>
      <x:c r="U1187" t="n">
        <x:v>5</x:v>
      </x:c>
      <x:c r="V1187" t="str"/>
    </x:row>
    <x:row r="1188">
      <x:c r="A1188" s="52" t="n">
        <x:v>46189</x:v>
      </x:c>
      <x:c r="B1188" t="str">
        <x:v>PED-101187</x:v>
      </x:c>
      <x:c r="C1188" t="str">
        <x:v>Cliente 054</x:v>
      </x:c>
      <x:c r="D1188" t="str">
        <x:v>PE</x:v>
      </x:c>
      <x:c r="E1188" t="str">
        <x:v>Nordeste</x:v>
      </x:c>
      <x:c r="F1188" t="str">
        <x:v>Loja</x:v>
      </x:c>
      <x:c r="G1188" t="str">
        <x:v>Acessórios</x:v>
      </x:c>
      <x:c r="H1188" t="str">
        <x:v>Hub USB-C</x:v>
      </x:c>
      <x:c r="I1188" t="str">
        <x:v>João</x:v>
      </x:c>
      <x:c r="J1188" s="53" t="n">
        <x:v>7</x:v>
      </x:c>
      <x:c r="K1188" s="54" t="n">
        <x:v>323.19</x:v>
      </x:c>
      <x:c r="L1188" s="54" t="n">
        <x:v>136.53</x:v>
      </x:c>
      <x:c r="M1188" s="55" t="n">
        <x:v>0</x:v>
      </x:c>
      <x:c r="N1188" s="54" t="n">
        <x:f>ROUND(J1188*K1188,2)</x:f>
        <x:v>2262.33</x:v>
      </x:c>
      <x:c r="O1188" s="54" t="n">
        <x:f>ROUND(N1188*(1-M1188),2)</x:f>
        <x:v>2262.33</x:v>
      </x:c>
      <x:c r="P1188" s="54" t="n">
        <x:f>ROUND(J1188*L1188,2)</x:f>
        <x:v>955.71</x:v>
      </x:c>
      <x:c r="Q1188" s="54" t="n">
        <x:f>ROUND(O1188-P1188,2)</x:f>
        <x:v>1306.62</x:v>
      </x:c>
      <x:c r="R1188" s="55" t="n">
        <x:f>IF(O1188=0,0,ROUND(Q1188/O1188,4))</x:f>
        <x:v>0.5776</x:v>
      </x:c>
      <x:c r="S1188" s="53" t="n">
        <x:v>14</x:v>
      </x:c>
      <x:c r="T1188" t="str">
        <x:v>Entregue com atraso</x:v>
      </x:c>
      <x:c r="U1188" t="n">
        <x:v>4</x:v>
      </x:c>
      <x:c r="V1188" t="str"/>
    </x:row>
    <x:row r="1189">
      <x:c r="A1189" s="52" t="n">
        <x:v>46226</x:v>
      </x:c>
      <x:c r="B1189" t="str">
        <x:v>PED-101188</x:v>
      </x:c>
      <x:c r="C1189" t="str">
        <x:v>Cliente 024</x:v>
      </x:c>
      <x:c r="D1189" t="str">
        <x:v>PA</x:v>
      </x:c>
      <x:c r="E1189" t="str">
        <x:v>Norte</x:v>
      </x:c>
      <x:c r="F1189" t="str">
        <x:v>E-commerce</x:v>
      </x:c>
      <x:c r="G1189" t="str">
        <x:v>Acessórios</x:v>
      </x:c>
      <x:c r="H1189" t="str">
        <x:v>Webcam HD</x:v>
      </x:c>
      <x:c r="I1189" t="str">
        <x:v>Gabriela</x:v>
      </x:c>
      <x:c r="J1189" s="53" t="n">
        <x:v>4</x:v>
      </x:c>
      <x:c r="K1189" s="54" t="n">
        <x:v>517.01</x:v>
      </x:c>
      <x:c r="L1189" s="54" t="n">
        <x:v>248.38</x:v>
      </x:c>
      <x:c r="M1189" s="55" t="n">
        <x:v>0.0865</x:v>
      </x:c>
      <x:c r="N1189" s="54" t="n">
        <x:f>ROUND(J1189*K1189,2)</x:f>
        <x:v>2068.04</x:v>
      </x:c>
      <x:c r="O1189" s="54" t="n">
        <x:f>ROUND(N1189*(1-M1189),2)</x:f>
        <x:v>1889.15</x:v>
      </x:c>
      <x:c r="P1189" s="54" t="n">
        <x:f>ROUND(J1189*L1189,2)</x:f>
        <x:v>993.52</x:v>
      </x:c>
      <x:c r="Q1189" s="54" t="n">
        <x:f>ROUND(O1189-P1189,2)</x:f>
        <x:v>895.63</x:v>
      </x:c>
      <x:c r="R1189" s="55" t="n">
        <x:f>IF(O1189=0,0,ROUND(Q1189/O1189,4))</x:f>
        <x:v>0.4741</x:v>
      </x:c>
      <x:c r="S1189" s="53" t="n">
        <x:v>7</x:v>
      </x:c>
      <x:c r="T1189" t="str">
        <x:v>Entregue</x:v>
      </x:c>
      <x:c r="U1189" t="n">
        <x:v>4</x:v>
      </x:c>
      <x:c r="V1189" t="str"/>
    </x:row>
    <x:row r="1190">
      <x:c r="A1190" s="52" t="n">
        <x:v>46232</x:v>
      </x:c>
      <x:c r="B1190" t="str">
        <x:v>PED-101189</x:v>
      </x:c>
      <x:c r="C1190" t="str">
        <x:v>Cliente 105</x:v>
      </x:c>
      <x:c r="D1190" t="str">
        <x:v>PA</x:v>
      </x:c>
      <x:c r="E1190" t="str">
        <x:v>Norte</x:v>
      </x:c>
      <x:c r="F1190" t="str">
        <x:v>Loja</x:v>
      </x:c>
      <x:c r="G1190" t="str">
        <x:v>Acessórios</x:v>
      </x:c>
      <x:c r="H1190" t="str">
        <x:v>Hub USB-C</x:v>
      </x:c>
      <x:c r="I1190" t="str">
        <x:v>Bruno</x:v>
      </x:c>
      <x:c r="J1190" s="53" t="n">
        <x:v>6</x:v>
      </x:c>
      <x:c r="K1190" s="54" t="n">
        <x:v>319.09</x:v>
      </x:c>
      <x:c r="L1190" s="54" t="n">
        <x:v>140.38</x:v>
      </x:c>
      <x:c r="M1190" s="55" t="n">
        <x:v>0.0156</x:v>
      </x:c>
      <x:c r="N1190" s="54" t="n">
        <x:f>ROUND(J1190*K1190,2)</x:f>
        <x:v>1914.54</x:v>
      </x:c>
      <x:c r="O1190" s="54" t="n">
        <x:f>ROUND(N1190*(1-M1190),2)</x:f>
        <x:v>1884.67</x:v>
      </x:c>
      <x:c r="P1190" s="54" t="n">
        <x:f>ROUND(J1190*L1190,2)</x:f>
        <x:v>842.28</x:v>
      </x:c>
      <x:c r="Q1190" s="54" t="n">
        <x:f>ROUND(O1190-P1190,2)</x:f>
        <x:v>1042.39</x:v>
      </x:c>
      <x:c r="R1190" s="55" t="n">
        <x:f>IF(O1190=0,0,ROUND(Q1190/O1190,4))</x:f>
        <x:v>0.5531</x:v>
      </x:c>
      <x:c r="S1190" s="53" t="n">
        <x:v>7</x:v>
      </x:c>
      <x:c r="T1190" t="str">
        <x:v>Entregue</x:v>
      </x:c>
      <x:c r="U1190" t="n">
        <x:v>2</x:v>
      </x:c>
      <x:c r="V1190" t="str"/>
    </x:row>
    <x:row r="1191">
      <x:c r="A1191" s="52" t="n">
        <x:v>46189</x:v>
      </x:c>
      <x:c r="B1191" t="str">
        <x:v>PED-101190</x:v>
      </x:c>
      <x:c r="C1191" t="str">
        <x:v>Cliente 025</x:v>
      </x:c>
      <x:c r="D1191" t="str">
        <x:v>ES</x:v>
      </x:c>
      <x:c r="E1191" t="str">
        <x:v>Sudeste</x:v>
      </x:c>
      <x:c r="F1191" t="str">
        <x:v>Loja</x:v>
      </x:c>
      <x:c r="G1191" t="str">
        <x:v>Tecnologia</x:v>
      </x:c>
      <x:c r="H1191" t="str">
        <x:v>Notebook Pro</x:v>
      </x:c>
      <x:c r="I1191" t="str">
        <x:v>Carla</x:v>
      </x:c>
      <x:c r="J1191" s="53" t="n">
        <x:v>3</x:v>
      </x:c>
      <x:c r="K1191" s="54" t="n">
        <x:v>5674.61</x:v>
      </x:c>
      <x:c r="L1191" s="54" t="n">
        <x:v>4476.49</x:v>
      </x:c>
      <x:c r="M1191" s="55" t="n">
        <x:v>0.0803</x:v>
      </x:c>
      <x:c r="N1191" s="54" t="n">
        <x:f>ROUND(J1191*K1191,2)</x:f>
        <x:v>17023.83</x:v>
      </x:c>
      <x:c r="O1191" s="54" t="n">
        <x:f>ROUND(N1191*(1-M1191),2)</x:f>
        <x:v>15656.82</x:v>
      </x:c>
      <x:c r="P1191" s="54" t="n">
        <x:f>ROUND(J1191*L1191,2)</x:f>
        <x:v>13429.47</x:v>
      </x:c>
      <x:c r="Q1191" s="54" t="n">
        <x:f>ROUND(O1191-P1191,2)</x:f>
        <x:v>2227.35</x:v>
      </x:c>
      <x:c r="R1191" s="55" t="n">
        <x:f>IF(O1191=0,0,ROUND(Q1191/O1191,4))</x:f>
        <x:v>0.1423</x:v>
      </x:c>
      <x:c r="S1191" s="53" t="n">
        <x:v>9</x:v>
      </x:c>
      <x:c r="T1191" t="str">
        <x:v>Entregue</x:v>
      </x:c>
      <x:c r="U1191" t="n">
        <x:v>5</x:v>
      </x:c>
      <x:c r="V1191" t="str"/>
    </x:row>
    <x:row r="1192">
      <x:c r="A1192" s="52" t="n">
        <x:v>46138</x:v>
      </x:c>
      <x:c r="B1192" t="str">
        <x:v>PED-100513</x:v>
      </x:c>
      <x:c r="C1192" t="str">
        <x:v>Cliente 038</x:v>
      </x:c>
      <x:c r="D1192" t="str">
        <x:v>SC</x:v>
      </x:c>
      <x:c r="E1192" t="str">
        <x:v>Sul</x:v>
      </x:c>
      <x:c r="F1192" t="str">
        <x:v>E-commerce</x:v>
      </x:c>
      <x:c r="G1192" t="str">
        <x:v>Casa</x:v>
      </x:c>
      <x:c r="H1192" t="str">
        <x:v>Aspirador Robô</x:v>
      </x:c>
      <x:c r="I1192" t="str">
        <x:v>Carla</x:v>
      </x:c>
      <x:c r="J1192" s="53" t="n">
        <x:v>1</x:v>
      </x:c>
      <x:c r="K1192" s="54" t="n">
        <x:v>1794.91</x:v>
      </x:c>
      <x:c r="L1192" s="54" t="n">
        <x:v>1244.59</x:v>
      </x:c>
      <x:c r="M1192" s="55" t="n">
        <x:v>0.0928</x:v>
      </x:c>
      <x:c r="N1192" s="54" t="n">
        <x:f>ROUND(J1192*K1192,2)</x:f>
        <x:v>1794.91</x:v>
      </x:c>
      <x:c r="O1192" s="54" t="n">
        <x:f>ROUND(N1192*(1-M1192),2)</x:f>
        <x:v>1628.34</x:v>
      </x:c>
      <x:c r="P1192" s="54" t="n">
        <x:f>ROUND(J1192*L1192,2)</x:f>
        <x:v>1244.59</x:v>
      </x:c>
      <x:c r="Q1192" s="54" t="n">
        <x:f>ROUND(O1192-P1192,2)</x:f>
        <x:v>383.75</x:v>
      </x:c>
      <x:c r="R1192" s="55" t="n">
        <x:f>IF(O1192=0,0,ROUND(Q1192/O1192,4))</x:f>
        <x:v>0.2357</x:v>
      </x:c>
      <x:c r="S1192" s="53" t="n">
        <x:v>2</x:v>
      </x:c>
      <x:c r="T1192" t="str">
        <x:v>Entregue</x:v>
      </x:c>
      <x:c r="U1192" t="n">
        <x:v>2</x:v>
      </x:c>
      <x:c r="V1192" t="str"/>
    </x:row>
    <x:row r="1193">
      <x:c r="A1193" s="52" t="n">
        <x:v>46175</x:v>
      </x:c>
      <x:c r="B1193" t="str">
        <x:v>PED-101192</x:v>
      </x:c>
      <x:c r="C1193" t="str">
        <x:v>Cliente 031</x:v>
      </x:c>
      <x:c r="D1193" t="str">
        <x:v>RS</x:v>
      </x:c>
      <x:c r="E1193" t="str">
        <x:v>Sul</x:v>
      </x:c>
      <x:c r="F1193" t="str">
        <x:v>Marketplace</x:v>
      </x:c>
      <x:c r="G1193" t="str">
        <x:v>Tecnologia</x:v>
      </x:c>
      <x:c r="H1193" t="str">
        <x:v>Notebook Pro</x:v>
      </x:c>
      <x:c r="I1193" t="str">
        <x:v>Isabela</x:v>
      </x:c>
      <x:c r="J1193" s="53" t="n">
        <x:v>6</x:v>
      </x:c>
      <x:c r="K1193" s="54" t="n">
        <x:v>5925.75</x:v>
      </x:c>
      <x:c r="L1193" s="54" t="n">
        <x:v>4363.55</x:v>
      </x:c>
      <x:c r="M1193" s="55" t="n">
        <x:v>0.0982</x:v>
      </x:c>
      <x:c r="N1193" s="54" t="n">
        <x:f>ROUND(J1193*K1193,2)</x:f>
        <x:v>35554.5</x:v>
      </x:c>
      <x:c r="O1193" s="54" t="n">
        <x:f>ROUND(N1193*(1-M1193),2)</x:f>
        <x:v>32063.05</x:v>
      </x:c>
      <x:c r="P1193" s="54" t="n">
        <x:f>ROUND(J1193*L1193,2)</x:f>
        <x:v>26181.3</x:v>
      </x:c>
      <x:c r="Q1193" s="54" t="n">
        <x:f>ROUND(O1193-P1193,2)</x:f>
        <x:v>5881.75</x:v>
      </x:c>
      <x:c r="R1193" s="55" t="n">
        <x:f>IF(O1193=0,0,ROUND(Q1193/O1193,4))</x:f>
        <x:v>0.1834</x:v>
      </x:c>
      <x:c r="S1193" s="53" t="n">
        <x:v>12</x:v>
      </x:c>
      <x:c r="T1193" t="str">
        <x:v>Entregue com atraso</x:v>
      </x:c>
      <x:c r="U1193" t="n">
        <x:v>4</x:v>
      </x:c>
      <x:c r="V1193" t="str"/>
    </x:row>
    <x:row r="1194">
      <x:c r="A1194" s="52" t="n">
        <x:v>46087</x:v>
      </x:c>
      <x:c r="B1194" t="str">
        <x:v>PED-101193</x:v>
      </x:c>
      <x:c r="C1194" t="str">
        <x:v>Cliente 078</x:v>
      </x:c>
      <x:c r="D1194" t="str">
        <x:v>GO</x:v>
      </x:c>
      <x:c r="E1194" t="str">
        <x:v>Centro-Oeste</x:v>
      </x:c>
      <x:c r="F1194" t="str">
        <x:v>Loja</x:v>
      </x:c>
      <x:c r="G1194" t="str">
        <x:v>Tecnologia</x:v>
      </x:c>
      <x:c r="H1194" t="str">
        <x:v>Notebook Pro</x:v>
      </x:c>
      <x:c r="I1194" t="str">
        <x:v>Bruno</x:v>
      </x:c>
      <x:c r="J1194" s="53" t="n">
        <x:v>2</x:v>
      </x:c>
      <x:c r="K1194" s="54" t="n">
        <x:v>5983.09</x:v>
      </x:c>
      <x:c r="L1194" s="54" t="n">
        <x:v>4358.12</x:v>
      </x:c>
      <x:c r="M1194" s="55" t="n">
        <x:v>0.0949</x:v>
      </x:c>
      <x:c r="N1194" s="54" t="n">
        <x:f>ROUND(J1194*K1194,2)</x:f>
        <x:v>11966.18</x:v>
      </x:c>
      <x:c r="O1194" s="54" t="n">
        <x:f>ROUND(N1194*(1-M1194),2)</x:f>
        <x:v>10830.59</x:v>
      </x:c>
      <x:c r="P1194" s="54" t="n">
        <x:f>ROUND(J1194*L1194,2)</x:f>
        <x:v>8716.24</x:v>
      </x:c>
      <x:c r="Q1194" s="54" t="n">
        <x:f>ROUND(O1194-P1194,2)</x:f>
        <x:v>2114.35</x:v>
      </x:c>
      <x:c r="R1194" s="55" t="n">
        <x:f>IF(O1194=0,0,ROUND(Q1194/O1194,4))</x:f>
        <x:v>0.1952</x:v>
      </x:c>
      <x:c r="S1194" s="53" t="n">
        <x:v>7</x:v>
      </x:c>
      <x:c r="T1194" t="str">
        <x:v>Entregue</x:v>
      </x:c>
      <x:c r="U1194" t="n">
        <x:v>4</x:v>
      </x:c>
      <x:c r="V1194" t="str"/>
    </x:row>
    <x:row r="1195">
      <x:c r="A1195" s="52" t="n">
        <x:v>46086</x:v>
      </x:c>
      <x:c r="B1195" t="str">
        <x:v>PED-101194</x:v>
      </x:c>
      <x:c r="C1195" t="str">
        <x:v>Cliente 023</x:v>
      </x:c>
      <x:c r="D1195" t="str">
        <x:v>PR</x:v>
      </x:c>
      <x:c r="E1195" t="str">
        <x:v>Sul</x:v>
      </x:c>
      <x:c r="F1195" t="str">
        <x:v>E-commerce</x:v>
      </x:c>
      <x:c r="G1195" t="str">
        <x:v>Casa</x:v>
      </x:c>
      <x:c r="H1195" t="str">
        <x:v>Cafeteira Smart</x:v>
      </x:c>
      <x:c r="I1195" t="str">
        <x:v>Felipe</x:v>
      </x:c>
      <x:c r="J1195" s="53" t="n">
        <x:v>2</x:v>
      </x:c>
      <x:c r="K1195" s="54" t="n">
        <x:v>744.04</x:v>
      </x:c>
      <x:c r="L1195" s="54" t="n">
        <x:v>438.15</x:v>
      </x:c>
      <x:c r="M1195" s="55" t="n">
        <x:v>0</x:v>
      </x:c>
      <x:c r="N1195" s="54" t="n">
        <x:f>ROUND(J1195*K1195,2)</x:f>
        <x:v>1488.08</x:v>
      </x:c>
      <x:c r="O1195" s="54" t="n">
        <x:f>ROUND(N1195*(1-M1195),2)</x:f>
        <x:v>1488.08</x:v>
      </x:c>
      <x:c r="P1195" s="54" t="n">
        <x:f>ROUND(J1195*L1195,2)</x:f>
        <x:v>876.3</x:v>
      </x:c>
      <x:c r="Q1195" s="54" t="n">
        <x:f>ROUND(O1195-P1195,2)</x:f>
        <x:v>611.78</x:v>
      </x:c>
      <x:c r="R1195" s="55" t="n">
        <x:f>IF(O1195=0,0,ROUND(Q1195/O1195,4))</x:f>
        <x:v>0.4111</x:v>
      </x:c>
      <x:c r="S1195" s="53" t="n">
        <x:v>14</x:v>
      </x:c>
      <x:c r="T1195" t="str">
        <x:v>Entregue com atraso</x:v>
      </x:c>
      <x:c r="U1195" t="n">
        <x:v>4</x:v>
      </x:c>
      <x:c r="V1195" t="str"/>
    </x:row>
    <x:row r="1196">
      <x:c r="A1196" s="52" t="n">
        <x:v>46115</x:v>
      </x:c>
      <x:c r="B1196" t="str">
        <x:v>PED-101195</x:v>
      </x:c>
      <x:c r="C1196" t="str">
        <x:v>Cliente 109</x:v>
      </x:c>
      <x:c r="D1196" t="str">
        <x:v>GO</x:v>
      </x:c>
      <x:c r="E1196" t="str">
        <x:v>Centro-Oeste</x:v>
      </x:c>
      <x:c r="F1196" t="str">
        <x:v>Televendas</x:v>
      </x:c>
      <x:c r="G1196" t="str">
        <x:v>Escritório</x:v>
      </x:c>
      <x:c r="H1196" t="str">
        <x:v>Cadeira Ergonômica</x:v>
      </x:c>
      <x:c r="I1196" t="str">
        <x:v>Isabela</x:v>
      </x:c>
      <x:c r="J1196" s="53" t="n">
        <x:v>6</x:v>
      </x:c>
      <x:c r="K1196" s="54" t="n">
        <x:v>2250.82</x:v>
      </x:c>
      <x:c r="L1196" s="54" t="n">
        <x:v>1354.89</x:v>
      </x:c>
      <x:c r="M1196" s="55" t="n">
        <x:v>0</x:v>
      </x:c>
      <x:c r="N1196" s="54" t="n">
        <x:f>ROUND(J1196*K1196,2)</x:f>
        <x:v>13504.92</x:v>
      </x:c>
      <x:c r="O1196" s="54" t="n">
        <x:f>ROUND(N1196*(1-M1196),2)</x:f>
        <x:v>13504.92</x:v>
      </x:c>
      <x:c r="P1196" s="54" t="n">
        <x:f>ROUND(J1196*L1196,2)</x:f>
        <x:v>8129.34</x:v>
      </x:c>
      <x:c r="Q1196" s="54" t="n">
        <x:f>ROUND(O1196-P1196,2)</x:f>
        <x:v>5375.58</x:v>
      </x:c>
      <x:c r="R1196" s="55" t="n">
        <x:f>IF(O1196=0,0,ROUND(Q1196/O1196,4))</x:f>
        <x:v>0.398</x:v>
      </x:c>
      <x:c r="S1196" s="53" t="n">
        <x:v>13</x:v>
      </x:c>
      <x:c r="T1196" t="str">
        <x:v>Entregue com atraso</x:v>
      </x:c>
      <x:c r="U1196" t="n">
        <x:v>5</x:v>
      </x:c>
      <x:c r="V1196" t="str"/>
    </x:row>
    <x:row r="1197">
      <x:c r="A1197" s="52" t="n">
        <x:v>46055</x:v>
      </x:c>
      <x:c r="B1197" t="str">
        <x:v>PED-101196</x:v>
      </x:c>
      <x:c r="C1197" t="str">
        <x:v>Cliente 015</x:v>
      </x:c>
      <x:c r="D1197" t="str">
        <x:v>RJ</x:v>
      </x:c>
      <x:c r="E1197" t="str">
        <x:v>Sudeste</x:v>
      </x:c>
      <x:c r="F1197" t="str">
        <x:v>Televendas</x:v>
      </x:c>
      <x:c r="G1197" t="str">
        <x:v>Tecnologia</x:v>
      </x:c>
      <x:c r="H1197" t="str">
        <x:v>Monitor 27</x:v>
      </x:c>
      <x:c r="I1197" t="str">
        <x:v>Gabriela</x:v>
      </x:c>
      <x:c r="J1197" s="53" t="n">
        <x:v>4</x:v>
      </x:c>
      <x:c r="K1197" s="54" t="n">
        <x:v>1688.21</x:v>
      </x:c>
      <x:c r="L1197" s="54" t="n">
        <x:v>1071.16</x:v>
      </x:c>
      <x:c r="M1197" s="55" t="n">
        <x:v>0.0118</x:v>
      </x:c>
      <x:c r="N1197" s="54" t="n">
        <x:f>ROUND(J1197*K1197,2)</x:f>
        <x:v>6752.84</x:v>
      </x:c>
      <x:c r="O1197" s="54" t="n">
        <x:f>ROUND(N1197*(1-M1197),2)</x:f>
        <x:v>6673.16</x:v>
      </x:c>
      <x:c r="P1197" s="54" t="n">
        <x:f>ROUND(J1197*L1197,2)</x:f>
        <x:v>4284.64</x:v>
      </x:c>
      <x:c r="Q1197" s="54" t="n">
        <x:f>ROUND(O1197-P1197,2)</x:f>
        <x:v>2388.52</x:v>
      </x:c>
      <x:c r="R1197" s="55" t="n">
        <x:f>IF(O1197=0,0,ROUND(Q1197/O1197,4))</x:f>
        <x:v>0.3579</x:v>
      </x:c>
      <x:c r="S1197" s="53" t="n">
        <x:v>5</x:v>
      </x:c>
      <x:c r="T1197" t="str">
        <x:v>Entregue</x:v>
      </x:c>
      <x:c r="U1197" t="n">
        <x:v>3</x:v>
      </x:c>
      <x:c r="V1197" t="str"/>
    </x:row>
    <x:row r="1198">
      <x:c r="A1198" s="52" t="n">
        <x:v>46181</x:v>
      </x:c>
      <x:c r="B1198" t="str">
        <x:v>PED-101197</x:v>
      </x:c>
      <x:c r="C1198" t="str">
        <x:v>Cliente 118</x:v>
      </x:c>
      <x:c r="D1198" t="str">
        <x:v>PR</x:v>
      </x:c>
      <x:c r="E1198" t="str">
        <x:v>Sul</x:v>
      </x:c>
      <x:c r="F1198" t="str">
        <x:v>Marketplace</x:v>
      </x:c>
      <x:c r="G1198" t="str">
        <x:v>Acessórios</x:v>
      </x:c>
      <x:c r="H1198" t="str">
        <x:v>Webcam HD</x:v>
      </x:c>
      <x:c r="I1198" t="str">
        <x:v>Ana</x:v>
      </x:c>
      <x:c r="J1198" s="53" t="n">
        <x:v>4</x:v>
      </x:c>
      <x:c r="K1198" s="54" t="n">
        <x:v>494.5</x:v>
      </x:c>
      <x:c r="L1198" s="54" t="n">
        <x:v>237.61</x:v>
      </x:c>
      <x:c r="M1198" s="55" t="n">
        <x:v>0.035</x:v>
      </x:c>
      <x:c r="N1198" s="54" t="n">
        <x:f>ROUND(J1198*K1198,2)</x:f>
        <x:v>1978</x:v>
      </x:c>
      <x:c r="O1198" s="54" t="n">
        <x:f>ROUND(N1198*(1-M1198),2)</x:f>
        <x:v>1908.77</x:v>
      </x:c>
      <x:c r="P1198" s="54" t="n">
        <x:f>ROUND(J1198*L1198,2)</x:f>
        <x:v>950.44</x:v>
      </x:c>
      <x:c r="Q1198" s="54" t="n">
        <x:f>ROUND(O1198-P1198,2)</x:f>
        <x:v>958.33</x:v>
      </x:c>
      <x:c r="R1198" s="55" t="n">
        <x:f>IF(O1198=0,0,ROUND(Q1198/O1198,4))</x:f>
        <x:v>0.5021</x:v>
      </x:c>
      <x:c r="S1198" s="53" t="n">
        <x:v>13</x:v>
      </x:c>
      <x:c r="T1198" t="str">
        <x:v>Entregue com atraso</x:v>
      </x:c>
      <x:c r="U1198" t="n">
        <x:v>5</x:v>
      </x:c>
      <x:c r="V1198" t="str"/>
    </x:row>
    <x:row r="1199">
      <x:c r="A1199" s="52" t="n">
        <x:v>46146</x:v>
      </x:c>
      <x:c r="B1199" t="str">
        <x:v>PED-101198</x:v>
      </x:c>
      <x:c r="C1199" t="str">
        <x:v>Cliente 097</x:v>
      </x:c>
      <x:c r="D1199" t="str">
        <x:v>PE</x:v>
      </x:c>
      <x:c r="E1199" t="str">
        <x:v>Nordeste</x:v>
      </x:c>
      <x:c r="F1199" t="str">
        <x:v>E-commerce</x:v>
      </x:c>
      <x:c r="G1199" t="str">
        <x:v>Escritório</x:v>
      </x:c>
      <x:c r="H1199" t="str">
        <x:v>Luminária LED</x:v>
      </x:c>
      <x:c r="I1199" t="str">
        <x:v>Elaine</x:v>
      </x:c>
      <x:c r="J1199" s="53" t="n">
        <x:v>3</x:v>
      </x:c>
      <x:c r="K1199" s="54" t="n">
        <x:v>249.68</x:v>
      </x:c>
      <x:c r="L1199" s="54" t="n">
        <x:v>125.81</x:v>
      </x:c>
      <x:c r="M1199" s="55" t="n">
        <x:v>0.0229</x:v>
      </x:c>
      <x:c r="N1199" s="54" t="n">
        <x:f>ROUND(J1199*K1199,2)</x:f>
        <x:v>749.04</x:v>
      </x:c>
      <x:c r="O1199" s="54" t="n">
        <x:f>ROUND(N1199*(1-M1199),2)</x:f>
        <x:v>731.89</x:v>
      </x:c>
      <x:c r="P1199" s="54" t="n">
        <x:f>ROUND(J1199*L1199,2)</x:f>
        <x:v>377.43</x:v>
      </x:c>
      <x:c r="Q1199" s="54" t="n">
        <x:f>ROUND(O1199-P1199,2)</x:f>
        <x:v>354.46</x:v>
      </x:c>
      <x:c r="R1199" s="55" t="n">
        <x:f>IF(O1199=0,0,ROUND(Q1199/O1199,4))</x:f>
        <x:v>0.4843</x:v>
      </x:c>
      <x:c r="S1199" s="53" t="n">
        <x:v>10</x:v>
      </x:c>
      <x:c r="T1199" t="str">
        <x:v>Entregue</x:v>
      </x:c>
      <x:c r="U1199" t="n">
        <x:v>3</x:v>
      </x:c>
      <x:c r="V1199" t="str"/>
    </x:row>
    <x:row r="1200">
      <x:c r="A1200" s="52" t="n">
        <x:v>46045</x:v>
      </x:c>
      <x:c r="B1200" t="str">
        <x:v>PED-101199</x:v>
      </x:c>
      <x:c r="C1200" t="str">
        <x:v>Cliente 029</x:v>
      </x:c>
      <x:c r="D1200" t="str">
        <x:v>RS</x:v>
      </x:c>
      <x:c r="E1200" t="str">
        <x:v>Sul</x:v>
      </x:c>
      <x:c r="F1200" t="str">
        <x:v>Televendas</x:v>
      </x:c>
      <x:c r="G1200" t="str">
        <x:v>Acessórios</x:v>
      </x:c>
      <x:c r="H1200" t="str">
        <x:v>Hub USB-C</x:v>
      </x:c>
      <x:c r="I1200" t="str">
        <x:v>Bruno</x:v>
      </x:c>
      <x:c r="J1200" s="53" t="n">
        <x:v>1</x:v>
      </x:c>
      <x:c r="K1200" s="54" t="n">
        <x:v>332.08</x:v>
      </x:c>
      <x:c r="L1200" s="54" t="n">
        <x:v>138.71</x:v>
      </x:c>
      <x:c r="M1200" s="55" t="n">
        <x:v>0.0702</x:v>
      </x:c>
      <x:c r="N1200" s="54" t="n">
        <x:f>ROUND(J1200*K1200,2)</x:f>
        <x:v>332.08</x:v>
      </x:c>
      <x:c r="O1200" s="54" t="n">
        <x:f>ROUND(N1200*(1-M1200),2)</x:f>
        <x:v>308.77</x:v>
      </x:c>
      <x:c r="P1200" s="54" t="n">
        <x:f>ROUND(J1200*L1200,2)</x:f>
        <x:v>138.71</x:v>
      </x:c>
      <x:c r="Q1200" s="54" t="n">
        <x:f>ROUND(O1200-P1200,2)</x:f>
        <x:v>170.06</x:v>
      </x:c>
      <x:c r="R1200" s="55" t="n">
        <x:f>IF(O1200=0,0,ROUND(Q1200/O1200,4))</x:f>
        <x:v>0.5508</x:v>
      </x:c>
      <x:c r="S1200" s="53" t="n">
        <x:v>10</x:v>
      </x:c>
      <x:c r="T1200" t="str">
        <x:v>Entregue</x:v>
      </x:c>
      <x:c r="U1200" t="n">
        <x:v>4</x:v>
      </x:c>
      <x:c r="V1200" t="str"/>
    </x:row>
    <x:row r="1201">
      <x:c r="A1201" s="52" t="n">
        <x:v>46058</x:v>
      </x:c>
      <x:c r="B1201" t="str">
        <x:v>PED-101200</x:v>
      </x:c>
      <x:c r="C1201" t="str">
        <x:v>Cliente 022</x:v>
      </x:c>
      <x:c r="D1201" t="str">
        <x:v>PE</x:v>
      </x:c>
      <x:c r="E1201" t="str">
        <x:v>Nordeste</x:v>
      </x:c>
      <x:c r="F1201" t="str">
        <x:v>E-commerce</x:v>
      </x:c>
      <x:c r="G1201" t="str">
        <x:v>Casa</x:v>
      </x:c>
      <x:c r="H1201" t="str">
        <x:v>Aspirador Robô</x:v>
      </x:c>
      <x:c r="I1201" t="str">
        <x:v>Diego</x:v>
      </x:c>
      <x:c r="J1201" s="53" t="n">
        <x:v>1</x:v>
      </x:c>
      <x:c r="K1201" s="54" t="n">
        <x:v>1969.44</x:v>
      </x:c>
      <x:c r="L1201" s="54" t="n">
        <x:v>1230.89</x:v>
      </x:c>
      <x:c r="M1201" s="55" t="n">
        <x:v>0</x:v>
      </x:c>
      <x:c r="N1201" s="54" t="n">
        <x:f>ROUND(J1201*K1201,2)</x:f>
        <x:v>1969.44</x:v>
      </x:c>
      <x:c r="O1201" s="54" t="n">
        <x:f>ROUND(N1201*(1-M1201),2)</x:f>
        <x:v>1969.44</x:v>
      </x:c>
      <x:c r="P1201" s="54" t="n">
        <x:f>ROUND(J1201*L1201,2)</x:f>
        <x:v>1230.89</x:v>
      </x:c>
      <x:c r="Q1201" s="54" t="n">
        <x:f>ROUND(O1201-P1201,2)</x:f>
        <x:v>738.55</x:v>
      </x:c>
      <x:c r="R1201" s="55" t="n">
        <x:f>IF(O1201=0,0,ROUND(Q1201/O1201,4))</x:f>
        <x:v>0.375</x:v>
      </x:c>
      <x:c r="S1201" s="53" t="n">
        <x:v>5</x:v>
      </x:c>
      <x:c r="T1201" t="str">
        <x:v>Entregue</x:v>
      </x:c>
      <x:c r="U1201" t="n">
        <x:v>3</x:v>
      </x:c>
      <x:c r="V1201" t="str"/>
    </x:row>
    <x:row r="1202">
      <x:c r="A1202" s="52" t="n">
        <x:v>46084</x:v>
      </x:c>
      <x:c r="B1202" t="str">
        <x:v>PED-101201</x:v>
      </x:c>
      <x:c r="C1202" t="str">
        <x:v>Cliente 040</x:v>
      </x:c>
      <x:c r="D1202" t="str">
        <x:v>SC</x:v>
      </x:c>
      <x:c r="E1202" t="str">
        <x:v>Sul</x:v>
      </x:c>
      <x:c r="F1202" t="str">
        <x:v>E-commerce</x:v>
      </x:c>
      <x:c r="G1202" t="str">
        <x:v>Tecnologia</x:v>
      </x:c>
      <x:c r="H1202" t="str">
        <x:v>Monitor 27</x:v>
      </x:c>
      <x:c r="I1202" t="str">
        <x:v>Felipe</x:v>
      </x:c>
      <x:c r="J1202" s="53" t="n">
        <x:v>4</x:v>
      </x:c>
      <x:c r="K1202" s="54" t="n">
        <x:v>1733.86</x:v>
      </x:c>
      <x:c r="L1202" s="54" t="n">
        <x:v>1067.99</x:v>
      </x:c>
      <x:c r="M1202" s="55" t="n">
        <x:v>0.0858</x:v>
      </x:c>
      <x:c r="N1202" s="54" t="n">
        <x:f>ROUND(J1202*K1202,2)</x:f>
        <x:v>6935.44</x:v>
      </x:c>
      <x:c r="O1202" s="54" t="n">
        <x:f>ROUND(N1202*(1-M1202),2)</x:f>
        <x:v>6340.38</x:v>
      </x:c>
      <x:c r="P1202" s="54" t="n">
        <x:f>ROUND(J1202*L1202,2)</x:f>
        <x:v>4271.96</x:v>
      </x:c>
      <x:c r="Q1202" s="54" t="n">
        <x:f>ROUND(O1202-P1202,2)</x:f>
        <x:v>2068.42</x:v>
      </x:c>
      <x:c r="R1202" s="55" t="n">
        <x:f>IF(O1202=0,0,ROUND(Q1202/O1202,4))</x:f>
        <x:v>0.3262</x:v>
      </x:c>
      <x:c r="S1202" s="53" t="n">
        <x:v>14</x:v>
      </x:c>
      <x:c r="T1202" t="str">
        <x:v>Entregue com atraso</x:v>
      </x:c>
      <x:c r="U1202" t="n">
        <x:v>3</x:v>
      </x:c>
      <x:c r="V1202" t="str"/>
    </x:row>
    <x:row r="1203">
      <x:c r="A1203" s="52" t="n">
        <x:v>46156</x:v>
      </x:c>
      <x:c r="B1203" t="str">
        <x:v>PED-101202</x:v>
      </x:c>
      <x:c r="C1203" t="str">
        <x:v>Cliente 033</x:v>
      </x:c>
      <x:c r="D1203" t="str">
        <x:v>PA</x:v>
      </x:c>
      <x:c r="E1203" t="str">
        <x:v>Norte</x:v>
      </x:c>
      <x:c r="F1203" t="str">
        <x:v>E-commerce</x:v>
      </x:c>
      <x:c r="G1203" t="str">
        <x:v>Casa</x:v>
      </x:c>
      <x:c r="H1203" t="str">
        <x:v>Purificador</x:v>
      </x:c>
      <x:c r="I1203" t="str">
        <x:v>Henrique</x:v>
      </x:c>
      <x:c r="J1203" s="53" t="n">
        <x:v>1</x:v>
      </x:c>
      <x:c r="K1203" s="54" t="n">
        <x:v>1363.5</x:v>
      </x:c>
      <x:c r="L1203" s="54" t="n">
        <x:v>820.5</x:v>
      </x:c>
      <x:c r="M1203" s="55" t="n">
        <x:v>0.0682</x:v>
      </x:c>
      <x:c r="N1203" s="54" t="n">
        <x:f>ROUND(J1203*K1203,2)</x:f>
        <x:v>1363.5</x:v>
      </x:c>
      <x:c r="O1203" s="54" t="n">
        <x:f>ROUND(N1203*(1-M1203),2)</x:f>
        <x:v>1270.51</x:v>
      </x:c>
      <x:c r="P1203" s="54" t="n">
        <x:f>ROUND(J1203*L1203,2)</x:f>
        <x:v>820.5</x:v>
      </x:c>
      <x:c r="Q1203" s="54" t="n">
        <x:f>ROUND(O1203-P1203,2)</x:f>
        <x:v>450.01</x:v>
      </x:c>
      <x:c r="R1203" s="55" t="n">
        <x:f>IF(O1203=0,0,ROUND(Q1203/O1203,4))</x:f>
        <x:v>0.3542</x:v>
      </x:c>
      <x:c r="S1203" s="53" t="n">
        <x:v>2</x:v>
      </x:c>
      <x:c r="T1203" t="str">
        <x:v>Entregue</x:v>
      </x:c>
      <x:c r="U1203" t="n">
        <x:v>4</x:v>
      </x:c>
      <x:c r="V1203" t="str"/>
    </x:row>
    <x:row r="1204">
      <x:c r="A1204" s="52" t="n">
        <x:v>46154</x:v>
      </x:c>
      <x:c r="B1204" t="str">
        <x:v>PED-101203</x:v>
      </x:c>
      <x:c r="C1204" t="str">
        <x:v>Cliente 079</x:v>
      </x:c>
      <x:c r="D1204" t="str">
        <x:v>PA</x:v>
      </x:c>
      <x:c r="E1204" t="str">
        <x:v>Norte</x:v>
      </x:c>
      <x:c r="F1204" t="str">
        <x:v>E-commerce</x:v>
      </x:c>
      <x:c r="G1204" t="str">
        <x:v>Tecnologia</x:v>
      </x:c>
      <x:c r="H1204" t="str">
        <x:v>Headset Office</x:v>
      </x:c>
      <x:c r="I1204" t="str">
        <x:v>Felipe</x:v>
      </x:c>
      <x:c r="J1204" s="53" t="n">
        <x:v>2</x:v>
      </x:c>
      <x:c r="K1204" s="54" t="n">
        <x:v>386.35</x:v>
      </x:c>
      <x:c r="L1204" s="54" t="n">
        <x:v>210.96</x:v>
      </x:c>
      <x:c r="M1204" s="55" t="n">
        <x:v>0.0608</x:v>
      </x:c>
      <x:c r="N1204" s="54" t="n">
        <x:f>ROUND(J1204*K1204,2)</x:f>
        <x:v>772.7</x:v>
      </x:c>
      <x:c r="O1204" s="54" t="n">
        <x:f>ROUND(N1204*(1-M1204),2)</x:f>
        <x:v>725.72</x:v>
      </x:c>
      <x:c r="P1204" s="54" t="n">
        <x:f>ROUND(J1204*L1204,2)</x:f>
        <x:v>421.92</x:v>
      </x:c>
      <x:c r="Q1204" s="54" t="n">
        <x:f>ROUND(O1204-P1204,2)</x:f>
        <x:v>303.8</x:v>
      </x:c>
      <x:c r="R1204" s="55" t="n">
        <x:f>IF(O1204=0,0,ROUND(Q1204/O1204,4))</x:f>
        <x:v>0.4186</x:v>
      </x:c>
      <x:c r="S1204" s="53" t="n">
        <x:v>14</x:v>
      </x:c>
      <x:c r="T1204" t="str">
        <x:v>Entregue com atraso</x:v>
      </x:c>
      <x:c r="U1204" t="n">
        <x:v>2</x:v>
      </x:c>
      <x:c r="V1204" t="str"/>
    </x:row>
    <x:row r="1205">
      <x:c r="A1205" s="52" t="n">
        <x:v>46127</x:v>
      </x:c>
      <x:c r="B1205" t="str">
        <x:v>PED-101204</x:v>
      </x:c>
      <x:c r="C1205" t="str">
        <x:v>Cliente 081</x:v>
      </x:c>
      <x:c r="D1205" t="str">
        <x:v>SC</x:v>
      </x:c>
      <x:c r="E1205" t="str">
        <x:v>Sul</x:v>
      </x:c>
      <x:c r="F1205" t="str">
        <x:v>Marketplace</x:v>
      </x:c>
      <x:c r="G1205" t="str">
        <x:v>Acessórios</x:v>
      </x:c>
      <x:c r="H1205" t="str">
        <x:v>Mochila Executiva</x:v>
      </x:c>
      <x:c r="I1205" t="str">
        <x:v>Ana</x:v>
      </x:c>
      <x:c r="J1205" s="53" t="n">
        <x:v>1</x:v>
      </x:c>
      <x:c r="K1205" s="54" t="n">
        <x:v>429.85</x:v>
      </x:c>
      <x:c r="L1205" s="54" t="n">
        <x:v>188.54</x:v>
      </x:c>
      <x:c r="M1205" s="55" t="n">
        <x:v>0.035</x:v>
      </x:c>
      <x:c r="N1205" s="54" t="n">
        <x:f>ROUND(J1205*K1205,2)</x:f>
        <x:v>429.85</x:v>
      </x:c>
      <x:c r="O1205" s="54" t="n">
        <x:f>ROUND(N1205*(1-M1205),2)</x:f>
        <x:v>414.81</x:v>
      </x:c>
      <x:c r="P1205" s="54" t="n">
        <x:f>ROUND(J1205*L1205,2)</x:f>
        <x:v>188.54</x:v>
      </x:c>
      <x:c r="Q1205" s="54" t="n">
        <x:f>ROUND(O1205-P1205,2)</x:f>
        <x:v>226.27</x:v>
      </x:c>
      <x:c r="R1205" s="55" t="n">
        <x:f>IF(O1205=0,0,ROUND(Q1205/O1205,4))</x:f>
        <x:v>0.5455</x:v>
      </x:c>
      <x:c r="S1205" s="53" t="n">
        <x:v>13</x:v>
      </x:c>
      <x:c r="T1205" t="str">
        <x:v>Entregue com atraso</x:v>
      </x:c>
      <x:c r="U1205" t="n">
        <x:v>5</x:v>
      </x:c>
      <x:c r="V1205" t="str"/>
    </x:row>
    <x:row r="1206">
      <x:c r="A1206" s="52" t="n">
        <x:v>46118</x:v>
      </x:c>
      <x:c r="B1206" t="str">
        <x:v>PED-101205</x:v>
      </x:c>
      <x:c r="C1206" t="str">
        <x:v>Cliente 101</x:v>
      </x:c>
      <x:c r="D1206" t="str">
        <x:v>MA</x:v>
      </x:c>
      <x:c r="E1206" t="str">
        <x:v>Nordeste</x:v>
      </x:c>
      <x:c r="F1206" t="str">
        <x:v>Televendas</x:v>
      </x:c>
      <x:c r="G1206" t="str">
        <x:v>Casa</x:v>
      </x:c>
      <x:c r="H1206" t="str">
        <x:v>Aspirador Robô</x:v>
      </x:c>
      <x:c r="I1206" t="str">
        <x:v>Ana</x:v>
      </x:c>
      <x:c r="J1206" s="53" t="n">
        <x:v>5</x:v>
      </x:c>
      <x:c r="K1206" s="54" t="n">
        <x:v>1832.04</x:v>
      </x:c>
      <x:c r="L1206" s="54" t="n">
        <x:v>1199.58</x:v>
      </x:c>
      <x:c r="M1206" s="55" t="n">
        <x:v>0.0244</x:v>
      </x:c>
      <x:c r="N1206" s="54" t="n">
        <x:f>ROUND(J1206*K1206,2)</x:f>
        <x:v>9160.2</x:v>
      </x:c>
      <x:c r="O1206" s="54" t="n">
        <x:f>ROUND(N1206*(1-M1206),2)</x:f>
        <x:v>8936.69</x:v>
      </x:c>
      <x:c r="P1206" s="54" t="n">
        <x:f>ROUND(J1206*L1206,2)</x:f>
        <x:v>5997.9</x:v>
      </x:c>
      <x:c r="Q1206" s="54" t="n">
        <x:f>ROUND(O1206-P1206,2)</x:f>
        <x:v>2938.79</x:v>
      </x:c>
      <x:c r="R1206" s="55" t="n">
        <x:f>IF(O1206=0,0,ROUND(Q1206/O1206,4))</x:f>
        <x:v>0.3288</x:v>
      </x:c>
      <x:c r="S1206" s="53" t="n">
        <x:v>5</x:v>
      </x:c>
      <x:c r="T1206" t="str">
        <x:v>Entregue</x:v>
      </x:c>
      <x:c r="U1206" t="n">
        <x:v>4</x:v>
      </x:c>
      <x:c r="V1206" t="str"/>
    </x:row>
    <x:row r="1207">
      <x:c r="A1207" s="52" t="n">
        <x:v>46110</x:v>
      </x:c>
      <x:c r="B1207" t="str">
        <x:v>PED-101206</x:v>
      </x:c>
      <x:c r="C1207" t="str">
        <x:v>Cliente 052</x:v>
      </x:c>
      <x:c r="D1207" t="str">
        <x:v>GO</x:v>
      </x:c>
      <x:c r="E1207" t="str">
        <x:v>Centro-Oeste</x:v>
      </x:c>
      <x:c r="F1207" t="str">
        <x:v>Televendas</x:v>
      </x:c>
      <x:c r="G1207" t="str">
        <x:v>Casa</x:v>
      </x:c>
      <x:c r="H1207" t="str">
        <x:v>Purificador</x:v>
      </x:c>
      <x:c r="I1207" t="str">
        <x:v>Ana</x:v>
      </x:c>
      <x:c r="J1207" s="53" t="n">
        <x:v>1</x:v>
      </x:c>
      <x:c r="K1207" s="54" t="n">
        <x:v>1346.03</x:v>
      </x:c>
      <x:c r="L1207" s="54" t="n">
        <x:v>796.39</x:v>
      </x:c>
      <x:c r="M1207" s="55" t="n">
        <x:v>0.0582</x:v>
      </x:c>
      <x:c r="N1207" s="54" t="n">
        <x:f>ROUND(J1207*K1207,2)</x:f>
        <x:v>1346.03</x:v>
      </x:c>
      <x:c r="O1207" s="54" t="n">
        <x:f>ROUND(N1207*(1-M1207),2)</x:f>
        <x:v>1267.69</x:v>
      </x:c>
      <x:c r="P1207" s="54" t="n">
        <x:f>ROUND(J1207*L1207,2)</x:f>
        <x:v>796.39</x:v>
      </x:c>
      <x:c r="Q1207" s="54" t="n">
        <x:f>ROUND(O1207-P1207,2)</x:f>
        <x:v>471.3</x:v>
      </x:c>
      <x:c r="R1207" s="55" t="n">
        <x:f>IF(O1207=0,0,ROUND(Q1207/O1207,4))</x:f>
        <x:v>0.3718</x:v>
      </x:c>
      <x:c r="S1207" s="53" t="n">
        <x:v>10</x:v>
      </x:c>
      <x:c r="T1207" t="str">
        <x:v>Entregue</x:v>
      </x:c>
      <x:c r="U1207" t="n">
        <x:v>4</x:v>
      </x:c>
      <x:c r="V1207" t="str"/>
    </x:row>
    <x:row r="1208">
      <x:c r="A1208" s="52" t="n">
        <x:v>46071</x:v>
      </x:c>
      <x:c r="B1208" t="str">
        <x:v>PED-101207</x:v>
      </x:c>
      <x:c r="C1208" t="str">
        <x:v>Cliente 089</x:v>
      </x:c>
      <x:c r="D1208" t="str">
        <x:v>PE</x:v>
      </x:c>
      <x:c r="E1208" t="str">
        <x:v>Nordeste</x:v>
      </x:c>
      <x:c r="F1208" t="str">
        <x:v>E-commerce</x:v>
      </x:c>
      <x:c r="G1208" t="str">
        <x:v>Tecnologia</x:v>
      </x:c>
      <x:c r="H1208" t="str">
        <x:v>Monitor 27</x:v>
      </x:c>
      <x:c r="I1208" t="str">
        <x:v>Gabriela</x:v>
      </x:c>
      <x:c r="J1208" s="53" t="n">
        <x:v>3</x:v>
      </x:c>
      <x:c r="K1208" s="54" t="n">
        <x:v>1665.99</x:v>
      </x:c>
      <x:c r="L1208" s="54" t="n">
        <x:v>1078.69</x:v>
      </x:c>
      <x:c r="M1208" s="55" t="n">
        <x:v>0.0505</x:v>
      </x:c>
      <x:c r="N1208" s="54" t="n">
        <x:f>ROUND(J1208*K1208,2)</x:f>
        <x:v>4997.97</x:v>
      </x:c>
      <x:c r="O1208" s="54" t="n">
        <x:f>ROUND(N1208*(1-M1208),2)</x:f>
        <x:v>4745.57</x:v>
      </x:c>
      <x:c r="P1208" s="54" t="n">
        <x:f>ROUND(J1208*L1208,2)</x:f>
        <x:v>3236.07</x:v>
      </x:c>
      <x:c r="Q1208" s="54" t="n">
        <x:f>ROUND(O1208-P1208,2)</x:f>
        <x:v>1509.5</x:v>
      </x:c>
      <x:c r="R1208" s="55" t="n">
        <x:f>IF(O1208=0,0,ROUND(Q1208/O1208,4))</x:f>
        <x:v>0.3181</x:v>
      </x:c>
      <x:c r="S1208" s="53" t="n">
        <x:v>11</x:v>
      </x:c>
      <x:c r="T1208" t="str">
        <x:v>Entregue com atraso</x:v>
      </x:c>
      <x:c r="U1208" t="n">
        <x:v>5</x:v>
      </x:c>
      <x:c r="V1208" t="str"/>
    </x:row>
    <x:row r="1209">
      <x:c r="A1209" s="52" t="n">
        <x:v>46097</x:v>
      </x:c>
      <x:c r="B1209" t="str">
        <x:v>PED-101208</x:v>
      </x:c>
      <x:c r="C1209" t="str">
        <x:v>Cliente 083</x:v>
      </x:c>
      <x:c r="D1209" t="str">
        <x:v>SP</x:v>
      </x:c>
      <x:c r="E1209" t="str">
        <x:v>Sudeste</x:v>
      </x:c>
      <x:c r="F1209" t="str">
        <x:v>Marketplace</x:v>
      </x:c>
      <x:c r="G1209" t="str">
        <x:v>Escritório</x:v>
      </x:c>
      <x:c r="H1209" t="str">
        <x:v>Luminária LED</x:v>
      </x:c>
      <x:c r="I1209" t="str">
        <x:v>Bruno</x:v>
      </x:c>
      <x:c r="J1209" s="53" t="n">
        <x:v>1</x:v>
      </x:c>
      <x:c r="K1209" s="54" t="n">
        <x:v>270.32</x:v>
      </x:c>
      <x:c r="L1209" s="54" t="n">
        <x:v>120.05</x:v>
      </x:c>
      <x:c r="M1209" s="55" t="n">
        <x:v>0.1144</x:v>
      </x:c>
      <x:c r="N1209" s="54" t="n">
        <x:f>ROUND(J1209*K1209,2)</x:f>
        <x:v>270.32</x:v>
      </x:c>
      <x:c r="O1209" s="54" t="n">
        <x:f>ROUND(N1209*(1-M1209),2)</x:f>
        <x:v>239.4</x:v>
      </x:c>
      <x:c r="P1209" s="54" t="n">
        <x:f>ROUND(J1209*L1209,2)</x:f>
        <x:v>120.05</x:v>
      </x:c>
      <x:c r="Q1209" s="54" t="n">
        <x:f>ROUND(O1209-P1209,2)</x:f>
        <x:v>119.35</x:v>
      </x:c>
      <x:c r="R1209" s="55" t="n">
        <x:f>IF(O1209=0,0,ROUND(Q1209/O1209,4))</x:f>
        <x:v>0.4985</x:v>
      </x:c>
      <x:c r="S1209" s="53" t="n">
        <x:v>11</x:v>
      </x:c>
      <x:c r="T1209" t="str">
        <x:v>Entregue com atraso</x:v>
      </x:c>
      <x:c r="U1209" t="n">
        <x:v>2</x:v>
      </x:c>
      <x:c r="V1209" t="str"/>
    </x:row>
    <x:row r="1210">
      <x:c r="A1210" s="52" t="n">
        <x:v>46093</x:v>
      </x:c>
      <x:c r="B1210" t="str">
        <x:v>PED-101209</x:v>
      </x:c>
      <x:c r="C1210" t="str">
        <x:v>Cliente 031</x:v>
      </x:c>
      <x:c r="D1210" t="str">
        <x:v>SC</x:v>
      </x:c>
      <x:c r="E1210" t="str">
        <x:v>Sul</x:v>
      </x:c>
      <x:c r="F1210" t="str">
        <x:v>Televendas</x:v>
      </x:c>
      <x:c r="G1210" t="str">
        <x:v>Escritório</x:v>
      </x:c>
      <x:c r="H1210" t="str">
        <x:v>Mesa Ajustável</x:v>
      </x:c>
      <x:c r="I1210" t="str">
        <x:v>Gabriela</x:v>
      </x:c>
      <x:c r="J1210" s="53" t="n">
        <x:v>8</x:v>
      </x:c>
      <x:c r="K1210" s="54" t="n">
        <x:v>2823.12</x:v>
      </x:c>
      <x:c r="L1210" s="54" t="n">
        <x:v>1838.23</x:v>
      </x:c>
      <x:c r="M1210" s="55" t="n">
        <x:v>0</x:v>
      </x:c>
      <x:c r="N1210" s="54" t="n">
        <x:f>ROUND(J1210*K1210,2)</x:f>
        <x:v>22584.96</x:v>
      </x:c>
      <x:c r="O1210" s="54" t="n">
        <x:f>ROUND(N1210*(1-M1210),2)</x:f>
        <x:v>22584.96</x:v>
      </x:c>
      <x:c r="P1210" s="54" t="n">
        <x:f>ROUND(J1210*L1210,2)</x:f>
        <x:v>14705.84</x:v>
      </x:c>
      <x:c r="Q1210" s="54" t="n">
        <x:f>ROUND(O1210-P1210,2)</x:f>
        <x:v>7879.12</x:v>
      </x:c>
      <x:c r="R1210" s="55" t="n">
        <x:f>IF(O1210=0,0,ROUND(Q1210/O1210,4))</x:f>
        <x:v>0.3489</x:v>
      </x:c>
      <x:c r="S1210" s="53" t="n">
        <x:v>9</x:v>
      </x:c>
      <x:c r="T1210" t="str">
        <x:v>Entregue</x:v>
      </x:c>
      <x:c r="U1210" t="n">
        <x:v>4</x:v>
      </x:c>
      <x:c r="V1210" t="str"/>
    </x:row>
    <x:row r="1211">
      <x:c r="A1211" s="52" t="n">
        <x:v>46042</x:v>
      </x:c>
      <x:c r="B1211" t="str">
        <x:v>PED-101210</x:v>
      </x:c>
      <x:c r="C1211" t="str">
        <x:v>Cliente 079</x:v>
      </x:c>
      <x:c r="D1211" t="str">
        <x:v>MG</x:v>
      </x:c>
      <x:c r="E1211" t="str">
        <x:v>Sudeste</x:v>
      </x:c>
      <x:c r="F1211" t="str">
        <x:v>Loja</x:v>
      </x:c>
      <x:c r="G1211" t="str">
        <x:v>Tecnologia</x:v>
      </x:c>
      <x:c r="H1211" t="str">
        <x:v>Monitor 27</x:v>
      </x:c>
      <x:c r="I1211" t="str">
        <x:v>Felipe</x:v>
      </x:c>
      <x:c r="J1211" s="53" t="n">
        <x:v>4</x:v>
      </x:c>
      <x:c r="K1211" s="54" t="n">
        <x:v>1738.28</x:v>
      </x:c>
      <x:c r="L1211" s="54" t="n">
        <x:v>1104.31</x:v>
      </x:c>
      <x:c r="M1211" s="55" t="n">
        <x:v>0</x:v>
      </x:c>
      <x:c r="N1211" s="54" t="n">
        <x:f>ROUND(J1211*K1211,2)</x:f>
        <x:v>6953.12</x:v>
      </x:c>
      <x:c r="O1211" s="54" t="n">
        <x:f>ROUND(N1211*(1-M1211),2)</x:f>
        <x:v>6953.12</x:v>
      </x:c>
      <x:c r="P1211" s="54" t="n">
        <x:f>ROUND(J1211*L1211,2)</x:f>
        <x:v>4417.24</x:v>
      </x:c>
      <x:c r="Q1211" s="54" t="n">
        <x:f>ROUND(O1211-P1211,2)</x:f>
        <x:v>2535.88</x:v>
      </x:c>
      <x:c r="R1211" s="55" t="n">
        <x:f>IF(O1211=0,0,ROUND(Q1211/O1211,4))</x:f>
        <x:v>0.3647</x:v>
      </x:c>
      <x:c r="S1211" s="53" t="n">
        <x:v>11</x:v>
      </x:c>
      <x:c r="T1211" t="str">
        <x:v>Entregue com atraso</x:v>
      </x:c>
      <x:c r="U1211" t="n">
        <x:v>2</x:v>
      </x:c>
      <x:c r="V1211" t="str"/>
    </x:row>
    <x:row r="1212">
      <x:c r="A1212" s="52" t="n">
        <x:v>46226</x:v>
      </x:c>
      <x:c r="B1212" t="str">
        <x:v>PED-101211</x:v>
      </x:c>
      <x:c r="C1212" t="str">
        <x:v>Cliente 031</x:v>
      </x:c>
      <x:c r="D1212" t="str">
        <x:v>GO</x:v>
      </x:c>
      <x:c r="E1212" t="str">
        <x:v>Centro-Oeste</x:v>
      </x:c>
      <x:c r="F1212" t="str">
        <x:v>Marketplace</x:v>
      </x:c>
      <x:c r="G1212" t="str">
        <x:v>Escritório</x:v>
      </x:c>
      <x:c r="H1212" t="str">
        <x:v>Luminária LED</x:v>
      </x:c>
      <x:c r="I1212" t="str">
        <x:v>Felipe</x:v>
      </x:c>
      <x:c r="J1212" s="53" t="n">
        <x:v>8</x:v>
      </x:c>
      <x:c r="K1212" s="54" t="n">
        <x:v>263.2</x:v>
      </x:c>
      <x:c r="L1212" s="54" t="n">
        <x:v>117.98</x:v>
      </x:c>
      <x:c r="M1212" s="55" t="n">
        <x:v>0.0539</x:v>
      </x:c>
      <x:c r="N1212" s="54" t="n">
        <x:f>ROUND(J1212*K1212,2)</x:f>
        <x:v>2105.6</x:v>
      </x:c>
      <x:c r="O1212" s="54" t="n">
        <x:f>ROUND(N1212*(1-M1212),2)</x:f>
        <x:v>1992.11</x:v>
      </x:c>
      <x:c r="P1212" s="54" t="n">
        <x:f>ROUND(J1212*L1212,2)</x:f>
        <x:v>943.84</x:v>
      </x:c>
      <x:c r="Q1212" s="54" t="n">
        <x:f>ROUND(O1212-P1212,2)</x:f>
        <x:v>1048.27</x:v>
      </x:c>
      <x:c r="R1212" s="55" t="n">
        <x:f>IF(O1212=0,0,ROUND(Q1212/O1212,4))</x:f>
        <x:v>0.5262</x:v>
      </x:c>
      <x:c r="S1212" s="53" t="n">
        <x:v>13</x:v>
      </x:c>
      <x:c r="T1212" t="str">
        <x:v>Entregue com atraso</x:v>
      </x:c>
      <x:c r="U1212" t="n">
        <x:v>2</x:v>
      </x:c>
      <x:c r="V1212" t="str"/>
    </x:row>
    <x:row r="1213">
      <x:c r="A1213" s="52" t="n">
        <x:v>46040</x:v>
      </x:c>
      <x:c r="B1213" t="str">
        <x:v>PED-101212</x:v>
      </x:c>
      <x:c r="C1213" t="str">
        <x:v>Cliente 082</x:v>
      </x:c>
      <x:c r="D1213" t="str">
        <x:v>ES</x:v>
      </x:c>
      <x:c r="E1213" t="str">
        <x:v>Sudeste</x:v>
      </x:c>
      <x:c r="F1213" t="str">
        <x:v>Televendas</x:v>
      </x:c>
      <x:c r="G1213" t="str">
        <x:v>Casa</x:v>
      </x:c>
      <x:c r="H1213" t="str">
        <x:v>Purificador</x:v>
      </x:c>
      <x:c r="I1213" t="str">
        <x:v>Carla</x:v>
      </x:c>
      <x:c r="J1213" s="53" t="n">
        <x:v>6</x:v>
      </x:c>
      <x:c r="K1213" s="54" t="n">
        <x:v>1280.29</x:v>
      </x:c>
      <x:c r="L1213" s="54" t="n">
        <x:v>788.79</x:v>
      </x:c>
      <x:c r="M1213" s="55" t="n">
        <x:v>0</x:v>
      </x:c>
      <x:c r="N1213" s="54" t="n">
        <x:f>ROUND(J1213*K1213,2)</x:f>
        <x:v>7681.74</x:v>
      </x:c>
      <x:c r="O1213" s="54" t="n">
        <x:f>ROUND(N1213*(1-M1213),2)</x:f>
        <x:v>7681.74</x:v>
      </x:c>
      <x:c r="P1213" s="54" t="n">
        <x:f>ROUND(J1213*L1213,2)</x:f>
        <x:v>4732.74</x:v>
      </x:c>
      <x:c r="Q1213" s="54" t="n">
        <x:f>ROUND(O1213-P1213,2)</x:f>
        <x:v>2949</x:v>
      </x:c>
      <x:c r="R1213" s="55" t="n">
        <x:f>IF(O1213=0,0,ROUND(Q1213/O1213,4))</x:f>
        <x:v>0.3839</x:v>
      </x:c>
      <x:c r="S1213" s="53" t="n">
        <x:v>4</x:v>
      </x:c>
      <x:c r="T1213" t="str">
        <x:v>Entregue</x:v>
      </x:c>
      <x:c r="U1213" t="n">
        <x:v>5</x:v>
      </x:c>
      <x:c r="V1213" t="str"/>
    </x:row>
    <x:row r="1214">
      <x:c r="A1214" s="52" t="n">
        <x:v>46092</x:v>
      </x:c>
      <x:c r="B1214" t="str">
        <x:v>PED-101213</x:v>
      </x:c>
      <x:c r="C1214" t="str">
        <x:v>Cliente 113</x:v>
      </x:c>
      <x:c r="D1214" t="str">
        <x:v>SC</x:v>
      </x:c>
      <x:c r="E1214" t="str">
        <x:v>Sul</x:v>
      </x:c>
      <x:c r="F1214" t="str">
        <x:v>Marketplace</x:v>
      </x:c>
      <x:c r="G1214" t="str">
        <x:v>Tecnologia</x:v>
      </x:c>
      <x:c r="H1214" t="str">
        <x:v>Notebook Pro</x:v>
      </x:c>
      <x:c r="I1214" t="str">
        <x:v>Henrique</x:v>
      </x:c>
      <x:c r="J1214" s="53" t="n">
        <x:v>7</x:v>
      </x:c>
      <x:c r="K1214" s="54" t="n">
        <x:v>5877.56</x:v>
      </x:c>
      <x:c r="L1214" s="54" t="n">
        <x:v>4387.67</x:v>
      </x:c>
      <x:c r="M1214" s="55" t="n">
        <x:v>0.035</x:v>
      </x:c>
      <x:c r="N1214" s="54" t="n">
        <x:f>ROUND(J1214*K1214,2)</x:f>
        <x:v>41142.92</x:v>
      </x:c>
      <x:c r="O1214" s="54" t="n">
        <x:f>ROUND(N1214*(1-M1214),2)</x:f>
        <x:v>39702.92</x:v>
      </x:c>
      <x:c r="P1214" s="54" t="n">
        <x:f>ROUND(J1214*L1214,2)</x:f>
        <x:v>30713.69</x:v>
      </x:c>
      <x:c r="Q1214" s="54" t="n">
        <x:f>ROUND(O1214-P1214,2)</x:f>
        <x:v>8989.23</x:v>
      </x:c>
      <x:c r="R1214" s="55" t="n">
        <x:f>IF(O1214=0,0,ROUND(Q1214/O1214,4))</x:f>
        <x:v>0.2264</x:v>
      </x:c>
      <x:c r="S1214" s="53" t="n">
        <x:v>11</x:v>
      </x:c>
      <x:c r="T1214" t="str">
        <x:v>Entregue com atraso</x:v>
      </x:c>
      <x:c r="U1214" t="n">
        <x:v>5</x:v>
      </x:c>
      <x:c r="V1214" t="str"/>
    </x:row>
    <x:row r="1215">
      <x:c r="A1215" s="52" t="n">
        <x:v>46210</x:v>
      </x:c>
      <x:c r="B1215" t="str">
        <x:v>PED-101214</x:v>
      </x:c>
      <x:c r="C1215" t="str">
        <x:v>Cliente 027</x:v>
      </x:c>
      <x:c r="D1215" t="str">
        <x:v>MA</x:v>
      </x:c>
      <x:c r="E1215" t="str">
        <x:v>Nordeste</x:v>
      </x:c>
      <x:c r="F1215" t="str">
        <x:v>Televendas</x:v>
      </x:c>
      <x:c r="G1215" t="str">
        <x:v>Tecnologia</x:v>
      </x:c>
      <x:c r="H1215" t="str">
        <x:v>Notebook Pro</x:v>
      </x:c>
      <x:c r="I1215" t="str">
        <x:v>Elaine</x:v>
      </x:c>
      <x:c r="J1215" s="53" t="n">
        <x:v>8</x:v>
      </x:c>
      <x:c r="K1215" s="54" t="n">
        <x:v>6024.95</x:v>
      </x:c>
      <x:c r="L1215" s="54" t="n">
        <x:v>4611.35</x:v>
      </x:c>
      <x:c r="M1215" s="55" t="n">
        <x:v>0.0793</x:v>
      </x:c>
      <x:c r="N1215" s="54" t="n">
        <x:f>ROUND(J1215*K1215,2)</x:f>
        <x:v>48199.6</x:v>
      </x:c>
      <x:c r="O1215" s="54" t="n">
        <x:f>ROUND(N1215*(1-M1215),2)</x:f>
        <x:v>44377.37</x:v>
      </x:c>
      <x:c r="P1215" s="54" t="n">
        <x:f>ROUND(J1215*L1215,2)</x:f>
        <x:v>36890.8</x:v>
      </x:c>
      <x:c r="Q1215" s="54" t="n">
        <x:f>ROUND(O1215-P1215,2)</x:f>
        <x:v>7486.57</x:v>
      </x:c>
      <x:c r="R1215" s="55" t="n">
        <x:f>IF(O1215=0,0,ROUND(Q1215/O1215,4))</x:f>
        <x:v>0.1687</x:v>
      </x:c>
      <x:c r="S1215" s="53" t="n">
        <x:v>8</x:v>
      </x:c>
      <x:c r="T1215" t="str">
        <x:v>Entregue</x:v>
      </x:c>
      <x:c r="U1215" t="n">
        <x:v>5</x:v>
      </x:c>
      <x:c r="V1215" t="str"/>
    </x:row>
    <x:row r="1216">
      <x:c r="A1216" s="52" t="n">
        <x:v>46231</x:v>
      </x:c>
      <x:c r="B1216" t="str">
        <x:v>PED-101215</x:v>
      </x:c>
      <x:c r="C1216" t="str">
        <x:v>Cliente 063</x:v>
      </x:c>
      <x:c r="D1216" t="str">
        <x:v>PE</x:v>
      </x:c>
      <x:c r="E1216" t="str">
        <x:v>Nordeste</x:v>
      </x:c>
      <x:c r="F1216" t="str">
        <x:v>E-commerce</x:v>
      </x:c>
      <x:c r="G1216" t="str">
        <x:v>Acessórios</x:v>
      </x:c>
      <x:c r="H1216" t="str">
        <x:v>Webcam HD</x:v>
      </x:c>
      <x:c r="I1216" t="str">
        <x:v>Isabela</x:v>
      </x:c>
      <x:c r="J1216" s="53" t="n">
        <x:v>2</x:v>
      </x:c>
      <x:c r="K1216" s="54" t="n">
        <x:v>508.01</x:v>
      </x:c>
      <x:c r="L1216" s="54" t="n">
        <x:v>253.54</x:v>
      </x:c>
      <x:c r="M1216" s="55" t="n">
        <x:v>0</x:v>
      </x:c>
      <x:c r="N1216" s="54" t="n">
        <x:f>ROUND(J1216*K1216,2)</x:f>
        <x:v>1016.02</x:v>
      </x:c>
      <x:c r="O1216" s="54" t="n">
        <x:f>ROUND(N1216*(1-M1216),2)</x:f>
        <x:v>1016.02</x:v>
      </x:c>
      <x:c r="P1216" s="54" t="n">
        <x:f>ROUND(J1216*L1216,2)</x:f>
        <x:v>507.08</x:v>
      </x:c>
      <x:c r="Q1216" s="54" t="n">
        <x:f>ROUND(O1216-P1216,2)</x:f>
        <x:v>508.94</x:v>
      </x:c>
      <x:c r="R1216" s="55" t="n">
        <x:f>IF(O1216=0,0,ROUND(Q1216/O1216,4))</x:f>
        <x:v>0.5009</x:v>
      </x:c>
      <x:c r="S1216" s="53" t="n">
        <x:v>8</x:v>
      </x:c>
      <x:c r="T1216" t="str">
        <x:v>Entregue</x:v>
      </x:c>
      <x:c r="U1216" t="n">
        <x:v>5</x:v>
      </x:c>
      <x:c r="V1216" t="str"/>
    </x:row>
    <x:row r="1217">
      <x:c r="A1217" s="52" t="n">
        <x:v>46117</x:v>
      </x:c>
      <x:c r="B1217" t="str">
        <x:v>PED-101216</x:v>
      </x:c>
      <x:c r="C1217" t="str">
        <x:v>Cliente 076</x:v>
      </x:c>
      <x:c r="D1217" t="str">
        <x:v>PR</x:v>
      </x:c>
      <x:c r="E1217" t="str">
        <x:v>Sul</x:v>
      </x:c>
      <x:c r="F1217" t="str">
        <x:v>Marketplace</x:v>
      </x:c>
      <x:c r="G1217" t="str">
        <x:v>Tecnologia</x:v>
      </x:c>
      <x:c r="H1217" t="str">
        <x:v>Headset Office</x:v>
      </x:c>
      <x:c r="I1217" t="str">
        <x:v>Carla</x:v>
      </x:c>
      <x:c r="J1217" s="53" t="n">
        <x:v>4</x:v>
      </x:c>
      <x:c r="K1217" s="54" t="n">
        <x:v>400.48</x:v>
      </x:c>
      <x:c r="L1217" s="54" t="n">
        <x:v>211.34</x:v>
      </x:c>
      <x:c r="M1217" s="55" t="n">
        <x:v>0.1394</x:v>
      </x:c>
      <x:c r="N1217" s="54" t="n">
        <x:f>ROUND(J1217*K1217,2)</x:f>
        <x:v>1601.92</x:v>
      </x:c>
      <x:c r="O1217" s="54" t="n">
        <x:f>ROUND(N1217*(1-M1217),2)</x:f>
        <x:v>1378.61</x:v>
      </x:c>
      <x:c r="P1217" s="54" t="n">
        <x:f>ROUND(J1217*L1217,2)</x:f>
        <x:v>845.36</x:v>
      </x:c>
      <x:c r="Q1217" s="54" t="n">
        <x:f>ROUND(O1217-P1217,2)</x:f>
        <x:v>533.25</x:v>
      </x:c>
      <x:c r="R1217" s="55" t="n">
        <x:f>IF(O1217=0,0,ROUND(Q1217/O1217,4))</x:f>
        <x:v>0.3868</x:v>
      </x:c>
      <x:c r="S1217" s="53" t="n">
        <x:v>7</x:v>
      </x:c>
      <x:c r="T1217" t="str">
        <x:v>Entregue</x:v>
      </x:c>
      <x:c r="U1217" t="n">
        <x:v>5</x:v>
      </x:c>
      <x:c r="V1217" t="str"/>
    </x:row>
    <x:row r="1218">
      <x:c r="A1218" s="52" t="n">
        <x:v>46081</x:v>
      </x:c>
      <x:c r="B1218" t="str">
        <x:v>PED-101217</x:v>
      </x:c>
      <x:c r="C1218" t="str">
        <x:v>Cliente 025</x:v>
      </x:c>
      <x:c r="D1218" t="str">
        <x:v>ES</x:v>
      </x:c>
      <x:c r="E1218" t="str">
        <x:v>Sudeste</x:v>
      </x:c>
      <x:c r="F1218" t="str">
        <x:v>E-commerce</x:v>
      </x:c>
      <x:c r="G1218" t="str">
        <x:v>Casa</x:v>
      </x:c>
      <x:c r="H1218" t="str">
        <x:v>Purificador</x:v>
      </x:c>
      <x:c r="I1218" t="str">
        <x:v>Felipe</x:v>
      </x:c>
      <x:c r="J1218" s="53" t="n">
        <x:v>4</x:v>
      </x:c>
      <x:c r="K1218" s="54" t="n">
        <x:v>1278.09</x:v>
      </x:c>
      <x:c r="L1218" s="54" t="n">
        <x:v>758.6</x:v>
      </x:c>
      <x:c r="M1218" s="55" t="n">
        <x:v>0.1015</x:v>
      </x:c>
      <x:c r="N1218" s="54" t="n">
        <x:f>ROUND(J1218*K1218,2)</x:f>
        <x:v>5112.36</x:v>
      </x:c>
      <x:c r="O1218" s="54" t="n">
        <x:f>ROUND(N1218*(1-M1218),2)</x:f>
        <x:v>4593.46</x:v>
      </x:c>
      <x:c r="P1218" s="54" t="n">
        <x:f>ROUND(J1218*L1218,2)</x:f>
        <x:v>3034.4</x:v>
      </x:c>
      <x:c r="Q1218" s="54" t="n">
        <x:f>ROUND(O1218-P1218,2)</x:f>
        <x:v>1559.06</x:v>
      </x:c>
      <x:c r="R1218" s="55" t="n">
        <x:f>IF(O1218=0,0,ROUND(Q1218/O1218,4))</x:f>
        <x:v>0.3394</x:v>
      </x:c>
      <x:c r="S1218" s="53" t="n">
        <x:v>2</x:v>
      </x:c>
      <x:c r="T1218" t="str">
        <x:v>Entregue</x:v>
      </x:c>
      <x:c r="U1218" t="n">
        <x:v>3</x:v>
      </x:c>
      <x:c r="V1218" t="str"/>
    </x:row>
    <x:row r="1219">
      <x:c r="A1219" s="52" t="n">
        <x:v>46122</x:v>
      </x:c>
      <x:c r="B1219" t="str">
        <x:v>PED-101218</x:v>
      </x:c>
      <x:c r="C1219" t="str">
        <x:v>Cliente 053</x:v>
      </x:c>
      <x:c r="D1219" t="str">
        <x:v>BA</x:v>
      </x:c>
      <x:c r="E1219" t="str">
        <x:v>Nordeste</x:v>
      </x:c>
      <x:c r="F1219" t="str">
        <x:v>Marketplace</x:v>
      </x:c>
      <x:c r="G1219" t="str">
        <x:v>Casa</x:v>
      </x:c>
      <x:c r="H1219" t="str">
        <x:v>Cafeteira Smart</x:v>
      </x:c>
      <x:c r="I1219" t="str">
        <x:v>Isabela</x:v>
      </x:c>
      <x:c r="J1219" s="53" t="n">
        <x:v>8</x:v>
      </x:c>
      <x:c r="K1219" s="54" t="n">
        <x:v>812.27</x:v>
      </x:c>
      <x:c r="L1219" s="54" t="n">
        <x:v>464.46</x:v>
      </x:c>
      <x:c r="M1219" s="55" t="n">
        <x:v>0.035</x:v>
      </x:c>
      <x:c r="N1219" s="54" t="n">
        <x:f>ROUND(J1219*K1219,2)</x:f>
        <x:v>6498.16</x:v>
      </x:c>
      <x:c r="O1219" s="54" t="n">
        <x:f>ROUND(N1219*(1-M1219),2)</x:f>
        <x:v>6270.72</x:v>
      </x:c>
      <x:c r="P1219" s="54" t="n">
        <x:f>ROUND(J1219*L1219,2)</x:f>
        <x:v>3715.68</x:v>
      </x:c>
      <x:c r="Q1219" s="54" t="n">
        <x:f>ROUND(O1219-P1219,2)</x:f>
        <x:v>2555.04</x:v>
      </x:c>
      <x:c r="R1219" s="55" t="n">
        <x:f>IF(O1219=0,0,ROUND(Q1219/O1219,4))</x:f>
        <x:v>0.4075</x:v>
      </x:c>
      <x:c r="S1219" s="53" t="n">
        <x:v>8</x:v>
      </x:c>
      <x:c r="T1219" t="str">
        <x:v>Entregue</x:v>
      </x:c>
      <x:c r="U1219" t="n">
        <x:v>5</x:v>
      </x:c>
      <x:c r="V1219" t="str"/>
    </x:row>
    <x:row r="1220">
      <x:c r="A1220" s="52" t="n">
        <x:v>46100</x:v>
      </x:c>
      <x:c r="B1220" t="str">
        <x:v>PED-101219</x:v>
      </x:c>
      <x:c r="C1220" t="str">
        <x:v>Cliente 022</x:v>
      </x:c>
      <x:c r="D1220" t="str">
        <x:v>AM</x:v>
      </x:c>
      <x:c r="E1220" t="str">
        <x:v>Norte</x:v>
      </x:c>
      <x:c r="F1220" t="str">
        <x:v>E-commerce</x:v>
      </x:c>
      <x:c r="G1220" t="str">
        <x:v>Acessórios</x:v>
      </x:c>
      <x:c r="H1220" t="str">
        <x:v>Hub USB-C</x:v>
      </x:c>
      <x:c r="I1220" t="str">
        <x:v>Diego</x:v>
      </x:c>
      <x:c r="J1220" s="53" t="n">
        <x:v>4</x:v>
      </x:c>
      <x:c r="K1220" s="54" t="n">
        <x:v>326.73</x:v>
      </x:c>
      <x:c r="L1220" s="54" t="n">
        <x:v>144.35</x:v>
      </x:c>
      <x:c r="M1220" s="55" t="n">
        <x:v>0.1157</x:v>
      </x:c>
      <x:c r="N1220" s="54" t="n">
        <x:f>ROUND(J1220*K1220,2)</x:f>
        <x:v>1306.92</x:v>
      </x:c>
      <x:c r="O1220" s="54" t="n">
        <x:f>ROUND(N1220*(1-M1220),2)</x:f>
        <x:v>1155.71</x:v>
      </x:c>
      <x:c r="P1220" s="54" t="n">
        <x:f>ROUND(J1220*L1220,2)</x:f>
        <x:v>577.4</x:v>
      </x:c>
      <x:c r="Q1220" s="54" t="n">
        <x:f>ROUND(O1220-P1220,2)</x:f>
        <x:v>578.31</x:v>
      </x:c>
      <x:c r="R1220" s="55" t="n">
        <x:f>IF(O1220=0,0,ROUND(Q1220/O1220,4))</x:f>
        <x:v>0.5004</x:v>
      </x:c>
      <x:c r="S1220" s="53" t="n">
        <x:v>6</x:v>
      </x:c>
      <x:c r="T1220" t="str">
        <x:v>Entregue</x:v>
      </x:c>
      <x:c r="U1220" t="n">
        <x:v>2</x:v>
      </x:c>
      <x:c r="V1220" t="str"/>
    </x:row>
    <x:row r="1221">
      <x:c r="A1221" s="52" t="n">
        <x:v>46174</x:v>
      </x:c>
      <x:c r="B1221" t="str">
        <x:v>PED-101220</x:v>
      </x:c>
      <x:c r="C1221" t="str">
        <x:v>Cliente 095</x:v>
      </x:c>
      <x:c r="D1221" t="str">
        <x:v>RS</x:v>
      </x:c>
      <x:c r="E1221" t="str">
        <x:v>Sul</x:v>
      </x:c>
      <x:c r="F1221" t="str">
        <x:v>Televendas</x:v>
      </x:c>
      <x:c r="G1221" t="str">
        <x:v>Tecnologia</x:v>
      </x:c>
      <x:c r="H1221" t="str">
        <x:v>Notebook Pro</x:v>
      </x:c>
      <x:c r="I1221" t="str">
        <x:v>Henrique</x:v>
      </x:c>
      <x:c r="J1221" s="53" t="n">
        <x:v>4</x:v>
      </x:c>
      <x:c r="K1221" s="54" t="n">
        <x:v>6124.38</x:v>
      </x:c>
      <x:c r="L1221" s="54" t="n">
        <x:v>4390.72</x:v>
      </x:c>
      <x:c r="M1221" s="55" t="n">
        <x:v>0.0486</x:v>
      </x:c>
      <x:c r="N1221" s="54" t="n">
        <x:f>ROUND(J1221*K1221,2)</x:f>
        <x:v>24497.52</x:v>
      </x:c>
      <x:c r="O1221" s="54" t="n">
        <x:f>ROUND(N1221*(1-M1221),2)</x:f>
        <x:v>23306.94</x:v>
      </x:c>
      <x:c r="P1221" s="54" t="n">
        <x:f>ROUND(J1221*L1221,2)</x:f>
        <x:v>17562.88</x:v>
      </x:c>
      <x:c r="Q1221" s="54" t="n">
        <x:f>ROUND(O1221-P1221,2)</x:f>
        <x:v>5744.06</x:v>
      </x:c>
      <x:c r="R1221" s="55" t="n">
        <x:f>IF(O1221=0,0,ROUND(Q1221/O1221,4))</x:f>
        <x:v>0.2465</x:v>
      </x:c>
      <x:c r="S1221" s="53" t="n">
        <x:v>6</x:v>
      </x:c>
      <x:c r="T1221" t="str">
        <x:v>Entregue</x:v>
      </x:c>
      <x:c r="U1221" t="n">
        <x:v>5</x:v>
      </x:c>
      <x:c r="V1221" t="str"/>
    </x:row>
    <x:row r="1222">
      <x:c r="A1222" s="52" t="n">
        <x:v>46148</x:v>
      </x:c>
      <x:c r="B1222" t="str">
        <x:v>PED-101221</x:v>
      </x:c>
      <x:c r="C1222" t="str">
        <x:v>Cliente 110</x:v>
      </x:c>
      <x:c r="D1222" t="str">
        <x:v>MA</x:v>
      </x:c>
      <x:c r="E1222" t="str">
        <x:v>Nordeste</x:v>
      </x:c>
      <x:c r="F1222" t="str">
        <x:v>E-commerce</x:v>
      </x:c>
      <x:c r="G1222" t="str">
        <x:v>Tecnologia</x:v>
      </x:c>
      <x:c r="H1222" t="str">
        <x:v>Headset Office</x:v>
      </x:c>
      <x:c r="I1222" t="str">
        <x:v>João</x:v>
      </x:c>
      <x:c r="J1222" s="53" t="n">
        <x:v>5</x:v>
      </x:c>
      <x:c r="K1222" s="54" t="n">
        <x:v>395.24</x:v>
      </x:c>
      <x:c r="L1222" s="54" t="n">
        <x:v>214.85</x:v>
      </x:c>
      <x:c r="M1222" s="55" t="n">
        <x:v>0.1112</x:v>
      </x:c>
      <x:c r="N1222" s="54" t="n">
        <x:f>ROUND(J1222*K1222,2)</x:f>
        <x:v>1976.2</x:v>
      </x:c>
      <x:c r="O1222" s="54" t="n">
        <x:f>ROUND(N1222*(1-M1222),2)</x:f>
        <x:v>1756.45</x:v>
      </x:c>
      <x:c r="P1222" s="54" t="n">
        <x:f>ROUND(J1222*L1222,2)</x:f>
        <x:v>1074.25</x:v>
      </x:c>
      <x:c r="Q1222" s="54" t="n">
        <x:f>ROUND(O1222-P1222,2)</x:f>
        <x:v>682.2</x:v>
      </x:c>
      <x:c r="R1222" s="55" t="n">
        <x:f>IF(O1222=0,0,ROUND(Q1222/O1222,4))</x:f>
        <x:v>0.3884</x:v>
      </x:c>
      <x:c r="S1222" s="53" t="n">
        <x:v>4</x:v>
      </x:c>
      <x:c r="T1222" t="str">
        <x:v>Entregue</x:v>
      </x:c>
      <x:c r="U1222" t="n">
        <x:v>5</x:v>
      </x:c>
      <x:c r="V1222" t="str"/>
    </x:row>
    <x:row r="1223">
      <x:c r="A1223" s="52" t="n">
        <x:v>46196</x:v>
      </x:c>
      <x:c r="B1223" t="str">
        <x:v>PED-101222</x:v>
      </x:c>
      <x:c r="C1223" t="str">
        <x:v>Cliente 017</x:v>
      </x:c>
      <x:c r="D1223" t="str">
        <x:v>AM</x:v>
      </x:c>
      <x:c r="E1223" t="str">
        <x:v>Norte</x:v>
      </x:c>
      <x:c r="F1223" t="str">
        <x:v>Televendas</x:v>
      </x:c>
      <x:c r="G1223" t="str">
        <x:v>Tecnologia</x:v>
      </x:c>
      <x:c r="H1223" t="str">
        <x:v>Monitor 27</x:v>
      </x:c>
      <x:c r="I1223" t="str">
        <x:v>Isabela</x:v>
      </x:c>
      <x:c r="J1223" s="53" t="n">
        <x:v>8</x:v>
      </x:c>
      <x:c r="K1223" s="54" t="n">
        <x:v>1638.86</x:v>
      </x:c>
      <x:c r="L1223" s="54" t="n">
        <x:v>1078.59</x:v>
      </x:c>
      <x:c r="M1223" s="55" t="n">
        <x:v>0</x:v>
      </x:c>
      <x:c r="N1223" s="54" t="n">
        <x:f>ROUND(J1223*K1223,2)</x:f>
        <x:v>13110.88</x:v>
      </x:c>
      <x:c r="O1223" s="54" t="n">
        <x:f>ROUND(N1223*(1-M1223),2)</x:f>
        <x:v>13110.88</x:v>
      </x:c>
      <x:c r="P1223" s="54" t="n">
        <x:f>ROUND(J1223*L1223,2)</x:f>
        <x:v>8628.72</x:v>
      </x:c>
      <x:c r="Q1223" s="54" t="n">
        <x:f>ROUND(O1223-P1223,2)</x:f>
        <x:v>4482.16</x:v>
      </x:c>
      <x:c r="R1223" s="55" t="n">
        <x:f>IF(O1223=0,0,ROUND(Q1223/O1223,4))</x:f>
        <x:v>0.3419</x:v>
      </x:c>
      <x:c r="S1223" s="53" t="n">
        <x:v>9</x:v>
      </x:c>
      <x:c r="T1223" t="str">
        <x:v>Entregue</x:v>
      </x:c>
      <x:c r="U1223" t="n">
        <x:v>2</x:v>
      </x:c>
      <x:c r="V1223" t="str"/>
    </x:row>
    <x:row r="1224">
      <x:c r="A1224" s="52" t="n">
        <x:v>46071</x:v>
      </x:c>
      <x:c r="B1224" t="str">
        <x:v>PED-101223</x:v>
      </x:c>
      <x:c r="C1224" t="str">
        <x:v>Cliente 022</x:v>
      </x:c>
      <x:c r="D1224" t="str">
        <x:v>ES</x:v>
      </x:c>
      <x:c r="E1224" t="str">
        <x:v>Sudeste</x:v>
      </x:c>
      <x:c r="F1224" t="str">
        <x:v>E-commerce</x:v>
      </x:c>
      <x:c r="G1224" t="str">
        <x:v>Escritório</x:v>
      </x:c>
      <x:c r="H1224" t="str">
        <x:v>Mesa Ajustável</x:v>
      </x:c>
      <x:c r="I1224" t="str">
        <x:v>Diego</x:v>
      </x:c>
      <x:c r="J1224" s="53" t="n">
        <x:v>5</x:v>
      </x:c>
      <x:c r="K1224" s="54" t="n">
        <x:v>2660.46</x:v>
      </x:c>
      <x:c r="L1224" s="54" t="n">
        <x:v>1845.58</x:v>
      </x:c>
      <x:c r="M1224" s="55" t="n">
        <x:v>0.0938</x:v>
      </x:c>
      <x:c r="N1224" s="54" t="n">
        <x:f>ROUND(J1224*K1224,2)</x:f>
        <x:v>13302.3</x:v>
      </x:c>
      <x:c r="O1224" s="54" t="n">
        <x:f>ROUND(N1224*(1-M1224),2)</x:f>
        <x:v>12054.54</x:v>
      </x:c>
      <x:c r="P1224" s="54" t="n">
        <x:f>ROUND(J1224*L1224,2)</x:f>
        <x:v>9227.9</x:v>
      </x:c>
      <x:c r="Q1224" s="54" t="n">
        <x:f>ROUND(O1224-P1224,2)</x:f>
        <x:v>2826.64</x:v>
      </x:c>
      <x:c r="R1224" s="55" t="n">
        <x:f>IF(O1224=0,0,ROUND(Q1224/O1224,4))</x:f>
        <x:v>0.2345</x:v>
      </x:c>
      <x:c r="S1224" s="53" t="n">
        <x:v>9</x:v>
      </x:c>
      <x:c r="T1224" t="str">
        <x:v>Entregue</x:v>
      </x:c>
      <x:c r="U1224" t="n">
        <x:v>3</x:v>
      </x:c>
      <x:c r="V1224" t="str"/>
    </x:row>
    <x:row r="1225">
      <x:c r="A1225" s="52" t="n">
        <x:v>46213</x:v>
      </x:c>
      <x:c r="B1225" t="str">
        <x:v>PED-101224</x:v>
      </x:c>
      <x:c r="C1225" t="str">
        <x:v>Cliente 040</x:v>
      </x:c>
      <x:c r="D1225" t="str">
        <x:v>MA</x:v>
      </x:c>
      <x:c r="E1225" t="str">
        <x:v>Nordeste</x:v>
      </x:c>
      <x:c r="F1225" t="str">
        <x:v>Televendas</x:v>
      </x:c>
      <x:c r="G1225" t="str">
        <x:v>Escritório</x:v>
      </x:c>
      <x:c r="H1225" t="str">
        <x:v>Mesa Ajustável</x:v>
      </x:c>
      <x:c r="I1225" t="str">
        <x:v>Felipe</x:v>
      </x:c>
      <x:c r="J1225" s="53" t="n">
        <x:v>8</x:v>
      </x:c>
      <x:c r="K1225" s="54" t="n">
        <x:v>2623.38</x:v>
      </x:c>
      <x:c r="L1225" s="54" t="n">
        <x:v>1863.26</x:v>
      </x:c>
      <x:c r="M1225" s="55" t="n">
        <x:v>0.074</x:v>
      </x:c>
      <x:c r="N1225" s="54" t="n">
        <x:f>ROUND(J1225*K1225,2)</x:f>
        <x:v>20987.04</x:v>
      </x:c>
      <x:c r="O1225" s="54" t="n">
        <x:f>ROUND(N1225*(1-M1225),2)</x:f>
        <x:v>19434</x:v>
      </x:c>
      <x:c r="P1225" s="54" t="n">
        <x:f>ROUND(J1225*L1225,2)</x:f>
        <x:v>14906.08</x:v>
      </x:c>
      <x:c r="Q1225" s="54" t="n">
        <x:f>ROUND(O1225-P1225,2)</x:f>
        <x:v>4527.92</x:v>
      </x:c>
      <x:c r="R1225" s="55" t="n">
        <x:f>IF(O1225=0,0,ROUND(Q1225/O1225,4))</x:f>
        <x:v>0.233</x:v>
      </x:c>
      <x:c r="S1225" s="53" t="n">
        <x:v>4</x:v>
      </x:c>
      <x:c r="T1225" t="str">
        <x:v>Entregue</x:v>
      </x:c>
      <x:c r="U1225" t="n">
        <x:v>4</x:v>
      </x:c>
      <x:c r="V1225" t="str"/>
    </x:row>
    <x:row r="1226">
      <x:c r="A1226" s="52" t="n">
        <x:v>46031</x:v>
      </x:c>
      <x:c r="B1226" t="str">
        <x:v>PED-101225</x:v>
      </x:c>
      <x:c r="C1226" t="str">
        <x:v>Cliente 083</x:v>
      </x:c>
      <x:c r="D1226" t="str">
        <x:v>SP</x:v>
      </x:c>
      <x:c r="E1226" t="str">
        <x:v>Sudeste</x:v>
      </x:c>
      <x:c r="F1226" t="str">
        <x:v>Televendas</x:v>
      </x:c>
      <x:c r="G1226" t="str">
        <x:v>Tecnologia</x:v>
      </x:c>
      <x:c r="H1226" t="str">
        <x:v>Monitor 27</x:v>
      </x:c>
      <x:c r="I1226" t="str">
        <x:v>João</x:v>
      </x:c>
      <x:c r="J1226" s="53" t="n">
        <x:v>1</x:v>
      </x:c>
      <x:c r="K1226" s="54" t="n">
        <x:v>1716.56</x:v>
      </x:c>
      <x:c r="L1226" s="54" t="n">
        <x:v>1130.85</x:v>
      </x:c>
      <x:c r="M1226" s="55" t="n">
        <x:v>0.025</x:v>
      </x:c>
      <x:c r="N1226" s="54" t="n">
        <x:f>ROUND(J1226*K1226,2)</x:f>
        <x:v>1716.56</x:v>
      </x:c>
      <x:c r="O1226" s="54" t="n">
        <x:f>ROUND(N1226*(1-M1226),2)</x:f>
        <x:v>1673.65</x:v>
      </x:c>
      <x:c r="P1226" s="54" t="n">
        <x:f>ROUND(J1226*L1226,2)</x:f>
        <x:v>1130.85</x:v>
      </x:c>
      <x:c r="Q1226" s="54" t="n">
        <x:f>ROUND(O1226-P1226,2)</x:f>
        <x:v>542.8</x:v>
      </x:c>
      <x:c r="R1226" s="55" t="n">
        <x:f>IF(O1226=0,0,ROUND(Q1226/O1226,4))</x:f>
        <x:v>0.3243</x:v>
      </x:c>
      <x:c r="S1226" s="53" t="n">
        <x:v>14</x:v>
      </x:c>
      <x:c r="T1226" t="str">
        <x:v>Entregue com atraso</x:v>
      </x:c>
      <x:c r="U1226" t="n">
        <x:v>4</x:v>
      </x:c>
      <x:c r="V1226" t="str"/>
    </x:row>
    <x:row r="1227">
      <x:c r="A1227" s="52" t="n">
        <x:v>46062</x:v>
      </x:c>
      <x:c r="B1227" t="str">
        <x:v>PED-101226</x:v>
      </x:c>
      <x:c r="C1227" t="str">
        <x:v>Cliente 086</x:v>
      </x:c>
      <x:c r="D1227" t="str">
        <x:v>SP</x:v>
      </x:c>
      <x:c r="E1227" t="str">
        <x:v>Sudeste</x:v>
      </x:c>
      <x:c r="F1227" t="str">
        <x:v>Marketplace</x:v>
      </x:c>
      <x:c r="G1227" t="str">
        <x:v>Acessórios</x:v>
      </x:c>
      <x:c r="H1227" t="str">
        <x:v>Mochila Executiva</x:v>
      </x:c>
      <x:c r="I1227" t="str">
        <x:v>Elaine</x:v>
      </x:c>
      <x:c r="J1227" s="53" t="n">
        <x:v>1</x:v>
      </x:c>
      <x:c r="K1227" s="54" t="n">
        <x:v>454.23</x:v>
      </x:c>
      <x:c r="L1227" s="54" t="n">
        <x:v>186.98</x:v>
      </x:c>
      <x:c r="M1227" s="55" t="n">
        <x:v>0.1023</x:v>
      </x:c>
      <x:c r="N1227" s="54" t="n">
        <x:f>ROUND(J1227*K1227,2)</x:f>
        <x:v>454.23</x:v>
      </x:c>
      <x:c r="O1227" s="54" t="n">
        <x:f>ROUND(N1227*(1-M1227),2)</x:f>
        <x:v>407.76</x:v>
      </x:c>
      <x:c r="P1227" s="54" t="n">
        <x:f>ROUND(J1227*L1227,2)</x:f>
        <x:v>186.98</x:v>
      </x:c>
      <x:c r="Q1227" s="54" t="n">
        <x:f>ROUND(O1227-P1227,2)</x:f>
        <x:v>220.78</x:v>
      </x:c>
      <x:c r="R1227" s="55" t="n">
        <x:f>IF(O1227=0,0,ROUND(Q1227/O1227,4))</x:f>
        <x:v>0.5414</x:v>
      </x:c>
      <x:c r="S1227" s="53" t="n">
        <x:v>11</x:v>
      </x:c>
      <x:c r="T1227" t="str">
        <x:v>Entregue com atraso</x:v>
      </x:c>
      <x:c r="U1227" t="n">
        <x:v>5</x:v>
      </x:c>
      <x:c r="V1227" t="str"/>
    </x:row>
    <x:row r="1228">
      <x:c r="A1228" s="52" t="n">
        <x:v>46199</x:v>
      </x:c>
      <x:c r="B1228" t="str">
        <x:v>PED-101227</x:v>
      </x:c>
      <x:c r="C1228" t="str">
        <x:v>Cliente 079</x:v>
      </x:c>
      <x:c r="D1228" t="str">
        <x:v>PE</x:v>
      </x:c>
      <x:c r="E1228" t="str">
        <x:v>Nordeste</x:v>
      </x:c>
      <x:c r="F1228" t="str">
        <x:v>Televendas</x:v>
      </x:c>
      <x:c r="G1228" t="str">
        <x:v>Tecnologia</x:v>
      </x:c>
      <x:c r="H1228" t="str">
        <x:v>Headset Office</x:v>
      </x:c>
      <x:c r="I1228" t="str">
        <x:v>Bruno</x:v>
      </x:c>
      <x:c r="J1228" s="53" t="n">
        <x:v>6</x:v>
      </x:c>
      <x:c r="K1228" s="54" t="n">
        <x:v>405.24</x:v>
      </x:c>
      <x:c r="L1228" s="54" t="n">
        <x:v>219.3</x:v>
      </x:c>
      <x:c r="M1228" s="55" t="n">
        <x:v>0</x:v>
      </x:c>
      <x:c r="N1228" s="54" t="n">
        <x:f>ROUND(J1228*K1228,2)</x:f>
        <x:v>2431.44</x:v>
      </x:c>
      <x:c r="O1228" s="54" t="n">
        <x:f>ROUND(N1228*(1-M1228),2)</x:f>
        <x:v>2431.44</x:v>
      </x:c>
      <x:c r="P1228" s="54" t="n">
        <x:f>ROUND(J1228*L1228,2)</x:f>
        <x:v>1315.8</x:v>
      </x:c>
      <x:c r="Q1228" s="54" t="n">
        <x:f>ROUND(O1228-P1228,2)</x:f>
        <x:v>1115.64</x:v>
      </x:c>
      <x:c r="R1228" s="55" t="n">
        <x:f>IF(O1228=0,0,ROUND(Q1228/O1228,4))</x:f>
        <x:v>0.4588</x:v>
      </x:c>
      <x:c r="S1228" s="53" t="n">
        <x:v>14</x:v>
      </x:c>
      <x:c r="T1228" t="str">
        <x:v>Entregue com atraso</x:v>
      </x:c>
      <x:c r="U1228" t="n">
        <x:v>5</x:v>
      </x:c>
      <x:c r="V1228" t="str"/>
    </x:row>
    <x:row r="1229">
      <x:c r="A1229" s="52" t="n">
        <x:v>46125</x:v>
      </x:c>
      <x:c r="B1229" t="str">
        <x:v>PED-101228</x:v>
      </x:c>
      <x:c r="C1229" t="str">
        <x:v>Cliente 001</x:v>
      </x:c>
      <x:c r="D1229" t="str">
        <x:v>PA</x:v>
      </x:c>
      <x:c r="E1229" t="str">
        <x:v>Norte</x:v>
      </x:c>
      <x:c r="F1229" t="str">
        <x:v>Loja</x:v>
      </x:c>
      <x:c r="G1229" t="str">
        <x:v>Tecnologia</x:v>
      </x:c>
      <x:c r="H1229" t="str">
        <x:v>Headset Office</x:v>
      </x:c>
      <x:c r="I1229" t="str">
        <x:v>Henrique</x:v>
      </x:c>
      <x:c r="J1229" s="53" t="n">
        <x:v>8</x:v>
      </x:c>
      <x:c r="K1229" s="54" t="n">
        <x:v>383.89</x:v>
      </x:c>
      <x:c r="L1229" s="54" t="n">
        <x:v>225.87</x:v>
      </x:c>
      <x:c r="M1229" s="55" t="n">
        <x:v>0</x:v>
      </x:c>
      <x:c r="N1229" s="54" t="n">
        <x:f>ROUND(J1229*K1229,2)</x:f>
        <x:v>3071.12</x:v>
      </x:c>
      <x:c r="O1229" s="54" t="n">
        <x:f>ROUND(N1229*(1-M1229),2)</x:f>
        <x:v>3071.12</x:v>
      </x:c>
      <x:c r="P1229" s="54" t="n">
        <x:f>ROUND(J1229*L1229,2)</x:f>
        <x:v>1806.96</x:v>
      </x:c>
      <x:c r="Q1229" s="54" t="n">
        <x:f>ROUND(O1229-P1229,2)</x:f>
        <x:v>1264.16</x:v>
      </x:c>
      <x:c r="R1229" s="55" t="n">
        <x:f>IF(O1229=0,0,ROUND(Q1229/O1229,4))</x:f>
        <x:v>0.4116</x:v>
      </x:c>
      <x:c r="S1229" s="53" t="n">
        <x:v>9</x:v>
      </x:c>
      <x:c r="T1229" t="str">
        <x:v>Entregue</x:v>
      </x:c>
      <x:c r="U1229" t="n">
        <x:v>3</x:v>
      </x:c>
      <x:c r="V1229" t="str"/>
    </x:row>
    <x:row r="1230">
      <x:c r="A1230" s="52" t="n">
        <x:v>46038</x:v>
      </x:c>
      <x:c r="B1230" t="str">
        <x:v>PED-101229</x:v>
      </x:c>
      <x:c r="C1230" t="str">
        <x:v>Cliente 082</x:v>
      </x:c>
      <x:c r="D1230" t="str">
        <x:v>MG</x:v>
      </x:c>
      <x:c r="E1230" t="str">
        <x:v>Sudeste</x:v>
      </x:c>
      <x:c r="F1230" t="str">
        <x:v>Televendas</x:v>
      </x:c>
      <x:c r="G1230" t="str">
        <x:v>Casa</x:v>
      </x:c>
      <x:c r="H1230" t="str">
        <x:v>Aspirador Robô</x:v>
      </x:c>
      <x:c r="I1230" t="str">
        <x:v>Gabriela</x:v>
      </x:c>
      <x:c r="J1230" s="53" t="n">
        <x:v>5</x:v>
      </x:c>
      <x:c r="K1230" s="54" t="n">
        <x:v>1783.04</x:v>
      </x:c>
      <x:c r="L1230" s="54" t="n">
        <x:v>1246.14</x:v>
      </x:c>
      <x:c r="M1230" s="55" t="n">
        <x:v>0.0925</x:v>
      </x:c>
      <x:c r="N1230" s="54" t="n">
        <x:f>ROUND(J1230*K1230,2)</x:f>
        <x:v>8915.2</x:v>
      </x:c>
      <x:c r="O1230" s="54" t="n">
        <x:f>ROUND(N1230*(1-M1230),2)</x:f>
        <x:v>8090.54</x:v>
      </x:c>
      <x:c r="P1230" s="54" t="n">
        <x:f>ROUND(J1230*L1230,2)</x:f>
        <x:v>6230.7</x:v>
      </x:c>
      <x:c r="Q1230" s="54" t="n">
        <x:f>ROUND(O1230-P1230,2)</x:f>
        <x:v>1859.84</x:v>
      </x:c>
      <x:c r="R1230" s="55" t="n">
        <x:f>IF(O1230=0,0,ROUND(Q1230/O1230,4))</x:f>
        <x:v>0.2299</x:v>
      </x:c>
      <x:c r="S1230" s="53" t="n">
        <x:v>4</x:v>
      </x:c>
      <x:c r="T1230" t="str">
        <x:v>Entregue</x:v>
      </x:c>
      <x:c r="U1230" t="n">
        <x:v>2</x:v>
      </x:c>
      <x:c r="V1230" t="str"/>
    </x:row>
    <x:row r="1231">
      <x:c r="A1231" s="52" t="n">
        <x:v>46209</x:v>
      </x:c>
      <x:c r="B1231" t="str">
        <x:v>PED-101230</x:v>
      </x:c>
      <x:c r="C1231" t="str">
        <x:v>Cliente 098</x:v>
      </x:c>
      <x:c r="D1231" t="str">
        <x:v>RS</x:v>
      </x:c>
      <x:c r="E1231" t="str">
        <x:v>Sul</x:v>
      </x:c>
      <x:c r="F1231" t="str">
        <x:v>Loja</x:v>
      </x:c>
      <x:c r="G1231" t="str">
        <x:v>Tecnologia</x:v>
      </x:c>
      <x:c r="H1231" t="str">
        <x:v>Notebook Pro</x:v>
      </x:c>
      <x:c r="I1231" t="str">
        <x:v>Elaine</x:v>
      </x:c>
      <x:c r="J1231" s="53" t="n">
        <x:v>2</x:v>
      </x:c>
      <x:c r="K1231" s="54" t="n">
        <x:v>6219.11</x:v>
      </x:c>
      <x:c r="L1231" s="54" t="n">
        <x:v>4297.65</x:v>
      </x:c>
      <x:c r="M1231" s="55" t="n">
        <x:v>0.0125</x:v>
      </x:c>
      <x:c r="N1231" s="54" t="n">
        <x:f>ROUND(J1231*K1231,2)</x:f>
        <x:v>12438.22</x:v>
      </x:c>
      <x:c r="O1231" s="54" t="n">
        <x:f>ROUND(N1231*(1-M1231),2)</x:f>
        <x:v>12282.74</x:v>
      </x:c>
      <x:c r="P1231" s="54" t="n">
        <x:f>ROUND(J1231*L1231,2)</x:f>
        <x:v>8595.3</x:v>
      </x:c>
      <x:c r="Q1231" s="54" t="n">
        <x:f>ROUND(O1231-P1231,2)</x:f>
        <x:v>3687.44</x:v>
      </x:c>
      <x:c r="R1231" s="55" t="n">
        <x:f>IF(O1231=0,0,ROUND(Q1231/O1231,4))</x:f>
        <x:v>0.3002</x:v>
      </x:c>
      <x:c r="S1231" s="53" t="n">
        <x:v>10</x:v>
      </x:c>
      <x:c r="T1231" t="str">
        <x:v>Entregue</x:v>
      </x:c>
      <x:c r="U1231" t="n">
        <x:v>2</x:v>
      </x:c>
      <x:c r="V1231" t="str"/>
    </x:row>
    <x:row r="1232">
      <x:c r="A1232" s="52" t="n">
        <x:v>46209</x:v>
      </x:c>
      <x:c r="B1232" t="str">
        <x:v>PED-101231</x:v>
      </x:c>
      <x:c r="C1232" t="str">
        <x:v>Cliente 004</x:v>
      </x:c>
      <x:c r="D1232" t="str">
        <x:v>AM</x:v>
      </x:c>
      <x:c r="E1232" t="str">
        <x:v>Norte</x:v>
      </x:c>
      <x:c r="F1232" t="str">
        <x:v>Marketplace</x:v>
      </x:c>
      <x:c r="G1232" t="str">
        <x:v>Escritório</x:v>
      </x:c>
      <x:c r="H1232" t="str">
        <x:v>Luminária LED</x:v>
      </x:c>
      <x:c r="I1232" t="str">
        <x:v>Henrique</x:v>
      </x:c>
      <x:c r="J1232" s="53" t="n">
        <x:v>8</x:v>
      </x:c>
      <x:c r="K1232" s="54" t="n">
        <x:v>266.03</x:v>
      </x:c>
      <x:c r="L1232" s="54" t="n">
        <x:v>126.26</x:v>
      </x:c>
      <x:c r="M1232" s="55" t="n">
        <x:v>0.1175</x:v>
      </x:c>
      <x:c r="N1232" s="54" t="n">
        <x:f>ROUND(J1232*K1232,2)</x:f>
        <x:v>2128.24</x:v>
      </x:c>
      <x:c r="O1232" s="54" t="n">
        <x:f>ROUND(N1232*(1-M1232),2)</x:f>
        <x:v>1878.17</x:v>
      </x:c>
      <x:c r="P1232" s="54" t="n">
        <x:f>ROUND(J1232*L1232,2)</x:f>
        <x:v>1010.08</x:v>
      </x:c>
      <x:c r="Q1232" s="54" t="n">
        <x:f>ROUND(O1232-P1232,2)</x:f>
        <x:v>868.09</x:v>
      </x:c>
      <x:c r="R1232" s="55" t="n">
        <x:f>IF(O1232=0,0,ROUND(Q1232/O1232,4))</x:f>
        <x:v>0.4622</x:v>
      </x:c>
      <x:c r="S1232" s="53" t="n">
        <x:v>3</x:v>
      </x:c>
      <x:c r="T1232" t="str">
        <x:v>Entregue</x:v>
      </x:c>
      <x:c r="U1232" t="n">
        <x:v>3</x:v>
      </x:c>
      <x:c r="V1232" t="str"/>
    </x:row>
    <x:row r="1233">
      <x:c r="A1233" s="52" t="n">
        <x:v>46168</x:v>
      </x:c>
      <x:c r="B1233" t="str">
        <x:v>PED-101232</x:v>
      </x:c>
      <x:c r="C1233" t="str">
        <x:v>Cliente 119</x:v>
      </x:c>
      <x:c r="D1233" t="str">
        <x:v>PA</x:v>
      </x:c>
      <x:c r="E1233" t="str">
        <x:v>Norte</x:v>
      </x:c>
      <x:c r="F1233" t="str">
        <x:v>Marketplace</x:v>
      </x:c>
      <x:c r="G1233" t="str">
        <x:v>Tecnologia</x:v>
      </x:c>
      <x:c r="H1233" t="str">
        <x:v>Notebook Pro</x:v>
      </x:c>
      <x:c r="I1233" t="str">
        <x:v>Elaine</x:v>
      </x:c>
      <x:c r="J1233" s="53" t="n">
        <x:v>5</x:v>
      </x:c>
      <x:c r="K1233" s="54" t="n">
        <x:v>5813.51</x:v>
      </x:c>
      <x:c r="L1233" s="54" t="n">
        <x:v>4448.08</x:v>
      </x:c>
      <x:c r="M1233" s="55" t="n">
        <x:v>0.035</x:v>
      </x:c>
      <x:c r="N1233" s="54" t="n">
        <x:f>ROUND(J1233*K1233,2)</x:f>
        <x:v>29067.55</x:v>
      </x:c>
      <x:c r="O1233" s="54" t="n">
        <x:f>ROUND(N1233*(1-M1233),2)</x:f>
        <x:v>28050.19</x:v>
      </x:c>
      <x:c r="P1233" s="54" t="n">
        <x:f>ROUND(J1233*L1233,2)</x:f>
        <x:v>22240.4</x:v>
      </x:c>
      <x:c r="Q1233" s="54" t="n">
        <x:f>ROUND(O1233-P1233,2)</x:f>
        <x:v>5809.79</x:v>
      </x:c>
      <x:c r="R1233" s="55" t="n">
        <x:f>IF(O1233=0,0,ROUND(Q1233/O1233,4))</x:f>
        <x:v>0.2071</x:v>
      </x:c>
      <x:c r="S1233" s="53" t="n">
        <x:v>8</x:v>
      </x:c>
      <x:c r="T1233" t="str">
        <x:v>Entregue</x:v>
      </x:c>
      <x:c r="U1233" t="n">
        <x:v>4</x:v>
      </x:c>
      <x:c r="V1233" t="str"/>
    </x:row>
    <x:row r="1234">
      <x:c r="A1234" s="52" t="n">
        <x:v>46118</x:v>
      </x:c>
      <x:c r="B1234" t="str">
        <x:v>PED-101233</x:v>
      </x:c>
      <x:c r="C1234" t="str">
        <x:v>Cliente 036</x:v>
      </x:c>
      <x:c r="D1234" t="str">
        <x:v>MA</x:v>
      </x:c>
      <x:c r="E1234" t="str">
        <x:v>Nordeste</x:v>
      </x:c>
      <x:c r="F1234" t="str">
        <x:v>E-commerce</x:v>
      </x:c>
      <x:c r="G1234" t="str">
        <x:v>Tecnologia</x:v>
      </x:c>
      <x:c r="H1234" t="str">
        <x:v>Monitor 27</x:v>
      </x:c>
      <x:c r="I1234" t="str">
        <x:v>Felipe</x:v>
      </x:c>
      <x:c r="J1234" s="53" t="n">
        <x:v>7</x:v>
      </x:c>
      <x:c r="K1234" s="54" t="n">
        <x:v>1650.18</x:v>
      </x:c>
      <x:c r="L1234" s="54" t="n">
        <x:v>1139.98</x:v>
      </x:c>
      <x:c r="M1234" s="55" t="n">
        <x:v>0</x:v>
      </x:c>
      <x:c r="N1234" s="54" t="n">
        <x:f>ROUND(J1234*K1234,2)</x:f>
        <x:v>11551.26</x:v>
      </x:c>
      <x:c r="O1234" s="54" t="n">
        <x:f>ROUND(N1234*(1-M1234),2)</x:f>
        <x:v>11551.26</x:v>
      </x:c>
      <x:c r="P1234" s="54" t="n">
        <x:f>ROUND(J1234*L1234,2)</x:f>
        <x:v>7979.86</x:v>
      </x:c>
      <x:c r="Q1234" s="54" t="n">
        <x:f>ROUND(O1234-P1234,2)</x:f>
        <x:v>3571.4</x:v>
      </x:c>
      <x:c r="R1234" s="55" t="n">
        <x:f>IF(O1234=0,0,ROUND(Q1234/O1234,4))</x:f>
        <x:v>0.3092</x:v>
      </x:c>
      <x:c r="S1234" s="53" t="n">
        <x:v>10</x:v>
      </x:c>
      <x:c r="T1234" t="str">
        <x:v>Entregue</x:v>
      </x:c>
      <x:c r="U1234" t="n">
        <x:v>4</x:v>
      </x:c>
      <x:c r="V1234" t="str"/>
    </x:row>
    <x:row r="1235">
      <x:c r="A1235" s="52" t="n">
        <x:v>46107</x:v>
      </x:c>
      <x:c r="B1235" t="str">
        <x:v>PED-101234</x:v>
      </x:c>
      <x:c r="C1235" t="str">
        <x:v>Cliente 087</x:v>
      </x:c>
      <x:c r="D1235" t="str">
        <x:v>PE</x:v>
      </x:c>
      <x:c r="E1235" t="str">
        <x:v>Nordeste</x:v>
      </x:c>
      <x:c r="F1235" t="str">
        <x:v>Televendas</x:v>
      </x:c>
      <x:c r="G1235" t="str">
        <x:v>Tecnologia</x:v>
      </x:c>
      <x:c r="H1235" t="str">
        <x:v>Notebook Pro</x:v>
      </x:c>
      <x:c r="I1235" t="str">
        <x:v>João</x:v>
      </x:c>
      <x:c r="J1235" s="53" t="n">
        <x:v>2</x:v>
      </x:c>
      <x:c r="K1235" s="54" t="n">
        <x:v>5884.66</x:v>
      </x:c>
      <x:c r="L1235" s="54" t="n">
        <x:v>4355.86</x:v>
      </x:c>
      <x:c r="M1235" s="55" t="n">
        <x:v>0.0223</x:v>
      </x:c>
      <x:c r="N1235" s="54" t="n">
        <x:f>ROUND(J1235*K1235,2)</x:f>
        <x:v>11769.32</x:v>
      </x:c>
      <x:c r="O1235" s="54" t="n">
        <x:f>ROUND(N1235*(1-M1235),2)</x:f>
        <x:v>11506.86</x:v>
      </x:c>
      <x:c r="P1235" s="54" t="n">
        <x:f>ROUND(J1235*L1235,2)</x:f>
        <x:v>8711.72</x:v>
      </x:c>
      <x:c r="Q1235" s="54" t="n">
        <x:f>ROUND(O1235-P1235,2)</x:f>
        <x:v>2795.14</x:v>
      </x:c>
      <x:c r="R1235" s="55" t="n">
        <x:f>IF(O1235=0,0,ROUND(Q1235/O1235,4))</x:f>
        <x:v>0.2429</x:v>
      </x:c>
      <x:c r="S1235" s="53" t="n">
        <x:v>7</x:v>
      </x:c>
      <x:c r="T1235" t="str">
        <x:v>Entregue</x:v>
      </x:c>
      <x:c r="U1235" t="n">
        <x:v>5</x:v>
      </x:c>
      <x:c r="V1235" t="str"/>
    </x:row>
    <x:row r="1236">
      <x:c r="A1236" s="52" t="n">
        <x:v>46127</x:v>
      </x:c>
      <x:c r="B1236" t="str">
        <x:v>PED-101235</x:v>
      </x:c>
      <x:c r="C1236" t="str">
        <x:v>Cliente 080</x:v>
      </x:c>
      <x:c r="D1236" t="str">
        <x:v>PE</x:v>
      </x:c>
      <x:c r="E1236" t="str">
        <x:v>Nordeste</x:v>
      </x:c>
      <x:c r="F1236" t="str">
        <x:v>E-commerce</x:v>
      </x:c>
      <x:c r="G1236" t="str">
        <x:v>Tecnologia</x:v>
      </x:c>
      <x:c r="H1236" t="str">
        <x:v>Monitor 27</x:v>
      </x:c>
      <x:c r="I1236" t="str">
        <x:v>Elaine</x:v>
      </x:c>
      <x:c r="J1236" s="53" t="n">
        <x:v>3</x:v>
      </x:c>
      <x:c r="K1236" s="54" t="n">
        <x:v>1742.51</x:v>
      </x:c>
      <x:c r="L1236" s="54" t="n">
        <x:v>1172.33</x:v>
      </x:c>
      <x:c r="M1236" s="55" t="n">
        <x:v>0.0812</x:v>
      </x:c>
      <x:c r="N1236" s="54" t="n">
        <x:f>ROUND(J1236*K1236,2)</x:f>
        <x:v>5227.53</x:v>
      </x:c>
      <x:c r="O1236" s="54" t="n">
        <x:f>ROUND(N1236*(1-M1236),2)</x:f>
        <x:v>4803.05</x:v>
      </x:c>
      <x:c r="P1236" s="54" t="n">
        <x:f>ROUND(J1236*L1236,2)</x:f>
        <x:v>3516.99</x:v>
      </x:c>
      <x:c r="Q1236" s="54" t="n">
        <x:f>ROUND(O1236-P1236,2)</x:f>
        <x:v>1286.06</x:v>
      </x:c>
      <x:c r="R1236" s="55" t="n">
        <x:f>IF(O1236=0,0,ROUND(Q1236/O1236,4))</x:f>
        <x:v>0.2678</x:v>
      </x:c>
      <x:c r="S1236" s="53" t="n">
        <x:v>12</x:v>
      </x:c>
      <x:c r="T1236" t="str">
        <x:v>Entregue com atraso</x:v>
      </x:c>
      <x:c r="U1236" t="n">
        <x:v>5</x:v>
      </x:c>
      <x:c r="V1236" t="str"/>
    </x:row>
    <x:row r="1237">
      <x:c r="A1237" s="52" t="n">
        <x:v>46167</x:v>
      </x:c>
      <x:c r="B1237" t="str">
        <x:v>PED-101236</x:v>
      </x:c>
      <x:c r="C1237" t="str">
        <x:v>Cliente 074</x:v>
      </x:c>
      <x:c r="D1237" t="str">
        <x:v>ES</x:v>
      </x:c>
      <x:c r="E1237" t="str">
        <x:v>Sudeste</x:v>
      </x:c>
      <x:c r="F1237" t="str">
        <x:v>Televendas</x:v>
      </x:c>
      <x:c r="G1237" t="str">
        <x:v>Casa</x:v>
      </x:c>
      <x:c r="H1237" t="str">
        <x:v>Purificador</x:v>
      </x:c>
      <x:c r="I1237" t="str">
        <x:v>Henrique</x:v>
      </x:c>
      <x:c r="J1237" s="53" t="n">
        <x:v>2</x:v>
      </x:c>
      <x:c r="K1237" s="54" t="n">
        <x:v>1269.85</x:v>
      </x:c>
      <x:c r="L1237" s="54" t="n">
        <x:v>773.04</x:v>
      </x:c>
      <x:c r="M1237" s="55" t="n">
        <x:v>0</x:v>
      </x:c>
      <x:c r="N1237" s="54" t="n">
        <x:f>ROUND(J1237*K1237,2)</x:f>
        <x:v>2539.7</x:v>
      </x:c>
      <x:c r="O1237" s="54" t="n">
        <x:f>ROUND(N1237*(1-M1237),2)</x:f>
        <x:v>2539.7</x:v>
      </x:c>
      <x:c r="P1237" s="54" t="n">
        <x:f>ROUND(J1237*L1237,2)</x:f>
        <x:v>1546.08</x:v>
      </x:c>
      <x:c r="Q1237" s="54" t="n">
        <x:f>ROUND(O1237-P1237,2)</x:f>
        <x:v>993.62</x:v>
      </x:c>
      <x:c r="R1237" s="55" t="n">
        <x:f>IF(O1237=0,0,ROUND(Q1237/O1237,4))</x:f>
        <x:v>0.3912</x:v>
      </x:c>
      <x:c r="S1237" s="53" t="n">
        <x:v>2</x:v>
      </x:c>
      <x:c r="T1237" t="str">
        <x:v>Entregue</x:v>
      </x:c>
      <x:c r="U1237" t="n">
        <x:v>3</x:v>
      </x:c>
      <x:c r="V1237" t="str"/>
    </x:row>
    <x:row r="1238">
      <x:c r="A1238" s="52" t="n">
        <x:v>46222</x:v>
      </x:c>
      <x:c r="B1238" t="str">
        <x:v>PED-101237</x:v>
      </x:c>
      <x:c r="C1238" t="str">
        <x:v>Cliente 066</x:v>
      </x:c>
      <x:c r="D1238" t="str">
        <x:v>PA</x:v>
      </x:c>
      <x:c r="E1238" t="str">
        <x:v>Norte</x:v>
      </x:c>
      <x:c r="F1238" t="str">
        <x:v>Loja</x:v>
      </x:c>
      <x:c r="G1238" t="str">
        <x:v>Casa</x:v>
      </x:c>
      <x:c r="H1238" t="str">
        <x:v>Cafeteira Smart</x:v>
      </x:c>
      <x:c r="I1238" t="str">
        <x:v>João</x:v>
      </x:c>
      <x:c r="J1238" s="53" t="n">
        <x:v>4</x:v>
      </x:c>
      <x:c r="K1238" s="54" t="n">
        <x:v>834.19</x:v>
      </x:c>
      <x:c r="L1238" s="54" t="n">
        <x:v>478.87</x:v>
      </x:c>
      <x:c r="M1238" s="55" t="n">
        <x:v>0</x:v>
      </x:c>
      <x:c r="N1238" s="54" t="n">
        <x:f>ROUND(J1238*K1238,2)</x:f>
        <x:v>3336.76</x:v>
      </x:c>
      <x:c r="O1238" s="54" t="n">
        <x:f>ROUND(N1238*(1-M1238),2)</x:f>
        <x:v>3336.76</x:v>
      </x:c>
      <x:c r="P1238" s="54" t="n">
        <x:f>ROUND(J1238*L1238,2)</x:f>
        <x:v>1915.48</x:v>
      </x:c>
      <x:c r="Q1238" s="54" t="n">
        <x:f>ROUND(O1238-P1238,2)</x:f>
        <x:v>1421.28</x:v>
      </x:c>
      <x:c r="R1238" s="55" t="n">
        <x:f>IF(O1238=0,0,ROUND(Q1238/O1238,4))</x:f>
        <x:v>0.4259</x:v>
      </x:c>
      <x:c r="S1238" s="53" t="n">
        <x:v>9</x:v>
      </x:c>
      <x:c r="T1238" t="str">
        <x:v>Entregue</x:v>
      </x:c>
      <x:c r="U1238" t="n">
        <x:v>3</x:v>
      </x:c>
      <x:c r="V1238" t="str"/>
    </x:row>
    <x:row r="1239">
      <x:c r="A1239" s="52" t="n">
        <x:v>46120</x:v>
      </x:c>
      <x:c r="B1239" t="str">
        <x:v>PED-101238</x:v>
      </x:c>
      <x:c r="C1239" t="str">
        <x:v>Cliente 018</x:v>
      </x:c>
      <x:c r="D1239" t="str">
        <x:v>MG</x:v>
      </x:c>
      <x:c r="E1239" t="str">
        <x:v>Sudeste</x:v>
      </x:c>
      <x:c r="F1239" t="str">
        <x:v>Loja</x:v>
      </x:c>
      <x:c r="G1239" t="str">
        <x:v>Acessórios</x:v>
      </x:c>
      <x:c r="H1239" t="str">
        <x:v>Hub USB-C</x:v>
      </x:c>
      <x:c r="I1239" t="str">
        <x:v>Diego</x:v>
      </x:c>
      <x:c r="J1239" s="53" t="n">
        <x:v>6</x:v>
      </x:c>
      <x:c r="K1239" s="54" t="n">
        <x:v>328.66</x:v>
      </x:c>
      <x:c r="L1239" s="54" t="n">
        <x:v>140.22</x:v>
      </x:c>
      <x:c r="M1239" s="55" t="n">
        <x:v>0</x:v>
      </x:c>
      <x:c r="N1239" s="54" t="n">
        <x:f>ROUND(J1239*K1239,2)</x:f>
        <x:v>1971.96</x:v>
      </x:c>
      <x:c r="O1239" s="54" t="n">
        <x:f>ROUND(N1239*(1-M1239),2)</x:f>
        <x:v>1971.96</x:v>
      </x:c>
      <x:c r="P1239" s="54" t="n">
        <x:f>ROUND(J1239*L1239,2)</x:f>
        <x:v>841.32</x:v>
      </x:c>
      <x:c r="Q1239" s="54" t="n">
        <x:f>ROUND(O1239-P1239,2)</x:f>
        <x:v>1130.64</x:v>
      </x:c>
      <x:c r="R1239" s="55" t="n">
        <x:f>IF(O1239=0,0,ROUND(Q1239/O1239,4))</x:f>
        <x:v>0.5734</x:v>
      </x:c>
      <x:c r="S1239" s="53" t="n">
        <x:v>13</x:v>
      </x:c>
      <x:c r="T1239" t="str">
        <x:v>Entregue com atraso</x:v>
      </x:c>
      <x:c r="U1239" t="n">
        <x:v>5</x:v>
      </x:c>
      <x:c r="V1239" t="str"/>
    </x:row>
    <x:row r="1240">
      <x:c r="A1240" s="52" t="n">
        <x:v>46033</x:v>
      </x:c>
      <x:c r="B1240" t="str">
        <x:v>PED-101239</x:v>
      </x:c>
      <x:c r="C1240" t="str">
        <x:v>Cliente 083</x:v>
      </x:c>
      <x:c r="D1240" t="str">
        <x:v>MG</x:v>
      </x:c>
      <x:c r="E1240" t="str">
        <x:v>Sudeste</x:v>
      </x:c>
      <x:c r="F1240" t="str">
        <x:v>E-commerce</x:v>
      </x:c>
      <x:c r="G1240" t="str">
        <x:v>Casa</x:v>
      </x:c>
      <x:c r="H1240" t="str">
        <x:v>Purificador</x:v>
      </x:c>
      <x:c r="I1240" t="str">
        <x:v>Henrique</x:v>
      </x:c>
      <x:c r="J1240" s="53" t="n">
        <x:v>1</x:v>
      </x:c>
      <x:c r="K1240" s="54" t="n">
        <x:v>1249.15</x:v>
      </x:c>
      <x:c r="L1240" s="54" t="n">
        <x:v>806.04</x:v>
      </x:c>
      <x:c r="M1240" s="55" t="n">
        <x:v>0.051</x:v>
      </x:c>
      <x:c r="N1240" s="54" t="n">
        <x:f>ROUND(J1240*K1240,2)</x:f>
        <x:v>1249.15</x:v>
      </x:c>
      <x:c r="O1240" s="54" t="n">
        <x:f>ROUND(N1240*(1-M1240),2)</x:f>
        <x:v>1185.44</x:v>
      </x:c>
      <x:c r="P1240" s="54" t="n">
        <x:f>ROUND(J1240*L1240,2)</x:f>
        <x:v>806.04</x:v>
      </x:c>
      <x:c r="Q1240" s="54" t="n">
        <x:f>ROUND(O1240-P1240,2)</x:f>
        <x:v>379.4</x:v>
      </x:c>
      <x:c r="R1240" s="55" t="n">
        <x:f>IF(O1240=0,0,ROUND(Q1240/O1240,4))</x:f>
        <x:v>0.32</x:v>
      </x:c>
      <x:c r="S1240" s="53" t="n">
        <x:v>13</x:v>
      </x:c>
      <x:c r="T1240" t="str">
        <x:v>Entregue com atraso</x:v>
      </x:c>
      <x:c r="U1240" t="n">
        <x:v>4</x:v>
      </x:c>
      <x:c r="V1240" t="str"/>
    </x:row>
    <x:row r="1241">
      <x:c r="A1241" s="52" t="n">
        <x:v>46233</x:v>
      </x:c>
      <x:c r="B1241" t="str">
        <x:v>PED-101240</x:v>
      </x:c>
      <x:c r="C1241" t="str">
        <x:v>Cliente 014</x:v>
      </x:c>
      <x:c r="D1241" t="str">
        <x:v>SC</x:v>
      </x:c>
      <x:c r="E1241" t="str">
        <x:v>Sul</x:v>
      </x:c>
      <x:c r="F1241" t="str">
        <x:v>Loja</x:v>
      </x:c>
      <x:c r="G1241" t="str">
        <x:v>Tecnologia</x:v>
      </x:c>
      <x:c r="H1241" t="str">
        <x:v>Monitor 27</x:v>
      </x:c>
      <x:c r="I1241" t="str">
        <x:v>Bruno</x:v>
      </x:c>
      <x:c r="J1241" s="53" t="n">
        <x:v>1</x:v>
      </x:c>
      <x:c r="K1241" s="54" t="n">
        <x:v>1596.84</x:v>
      </x:c>
      <x:c r="L1241" s="54" t="n">
        <x:v>1063.94</x:v>
      </x:c>
      <x:c r="M1241" s="55" t="n">
        <x:v>0</x:v>
      </x:c>
      <x:c r="N1241" s="54" t="n">
        <x:f>ROUND(J1241*K1241,2)</x:f>
        <x:v>1596.84</x:v>
      </x:c>
      <x:c r="O1241" s="54" t="n">
        <x:f>ROUND(N1241*(1-M1241),2)</x:f>
        <x:v>1596.84</x:v>
      </x:c>
      <x:c r="P1241" s="54" t="n">
        <x:f>ROUND(J1241*L1241,2)</x:f>
        <x:v>1063.94</x:v>
      </x:c>
      <x:c r="Q1241" s="54" t="n">
        <x:f>ROUND(O1241-P1241,2)</x:f>
        <x:v>532.9</x:v>
      </x:c>
      <x:c r="R1241" s="55" t="n">
        <x:f>IF(O1241=0,0,ROUND(Q1241/O1241,4))</x:f>
        <x:v>0.3337</x:v>
      </x:c>
      <x:c r="S1241" s="53" t="n">
        <x:v>13</x:v>
      </x:c>
      <x:c r="T1241" t="str">
        <x:v>Entregue com atraso</x:v>
      </x:c>
      <x:c r="U1241" t="n">
        <x:v>5</x:v>
      </x:c>
      <x:c r="V1241" t="str"/>
    </x:row>
    <x:row r="1242">
      <x:c r="A1242" s="52" t="n">
        <x:v>46168</x:v>
      </x:c>
      <x:c r="B1242" t="str">
        <x:v>PED-101241</x:v>
      </x:c>
      <x:c r="C1242" t="str">
        <x:v>Cliente 100</x:v>
      </x:c>
      <x:c r="D1242" t="str">
        <x:v>DF</x:v>
      </x:c>
      <x:c r="E1242" t="str">
        <x:v>Centro-Oeste</x:v>
      </x:c>
      <x:c r="F1242" t="str">
        <x:v>Loja</x:v>
      </x:c>
      <x:c r="G1242" t="str">
        <x:v>Acessórios</x:v>
      </x:c>
      <x:c r="H1242" t="str">
        <x:v>Webcam HD</x:v>
      </x:c>
      <x:c r="I1242" t="str">
        <x:v>Carla</x:v>
      </x:c>
      <x:c r="J1242" s="53" t="n">
        <x:v>4</x:v>
      </x:c>
      <x:c r="K1242" s="54" t="n">
        <x:v>524.5</x:v>
      </x:c>
      <x:c r="L1242" s="54" t="n">
        <x:v>233.89</x:v>
      </x:c>
      <x:c r="M1242" s="55" t="n">
        <x:v>0</x:v>
      </x:c>
      <x:c r="N1242" s="54" t="n">
        <x:f>ROUND(J1242*K1242,2)</x:f>
        <x:v>2098</x:v>
      </x:c>
      <x:c r="O1242" s="54" t="n">
        <x:f>ROUND(N1242*(1-M1242),2)</x:f>
        <x:v>2098</x:v>
      </x:c>
      <x:c r="P1242" s="54" t="n">
        <x:f>ROUND(J1242*L1242,2)</x:f>
        <x:v>935.56</x:v>
      </x:c>
      <x:c r="Q1242" s="54" t="n">
        <x:f>ROUND(O1242-P1242,2)</x:f>
        <x:v>1162.44</x:v>
      </x:c>
      <x:c r="R1242" s="55" t="n">
        <x:f>IF(O1242=0,0,ROUND(Q1242/O1242,4))</x:f>
        <x:v>0.5541</x:v>
      </x:c>
      <x:c r="S1242" s="53" t="n">
        <x:v>12</x:v>
      </x:c>
      <x:c r="T1242" t="str">
        <x:v>Entregue com atraso</x:v>
      </x:c>
      <x:c r="U1242" t="n">
        <x:v>3</x:v>
      </x:c>
      <x:c r="V1242" t="str"/>
    </x:row>
    <x:row r="1243">
      <x:c r="A1243" s="52" t="n">
        <x:v>46067</x:v>
      </x:c>
      <x:c r="B1243" t="str">
        <x:v>PED-101242</x:v>
      </x:c>
      <x:c r="C1243" t="str">
        <x:v>Cliente 045</x:v>
      </x:c>
      <x:c r="D1243" t="str">
        <x:v>MA</x:v>
      </x:c>
      <x:c r="E1243" t="str">
        <x:v>Nordeste</x:v>
      </x:c>
      <x:c r="F1243" t="str">
        <x:v>Loja</x:v>
      </x:c>
      <x:c r="G1243" t="str">
        <x:v>Casa</x:v>
      </x:c>
      <x:c r="H1243" t="str">
        <x:v>Purificador</x:v>
      </x:c>
      <x:c r="I1243" t="str">
        <x:v>Isabela</x:v>
      </x:c>
      <x:c r="J1243" s="53" t="n">
        <x:v>5</x:v>
      </x:c>
      <x:c r="K1243" s="54" t="n">
        <x:v>1360.38</x:v>
      </x:c>
      <x:c r="L1243" s="54" t="n">
        <x:v>776.31</x:v>
      </x:c>
      <x:c r="M1243" s="55" t="n">
        <x:v>0.0459</x:v>
      </x:c>
      <x:c r="N1243" s="54" t="n">
        <x:f>ROUND(J1243*K1243,2)</x:f>
        <x:v>6801.9</x:v>
      </x:c>
      <x:c r="O1243" s="54" t="n">
        <x:f>ROUND(N1243*(1-M1243),2)</x:f>
        <x:v>6489.69</x:v>
      </x:c>
      <x:c r="P1243" s="54" t="n">
        <x:f>ROUND(J1243*L1243,2)</x:f>
        <x:v>3881.55</x:v>
      </x:c>
      <x:c r="Q1243" s="54" t="n">
        <x:f>ROUND(O1243-P1243,2)</x:f>
        <x:v>2608.14</x:v>
      </x:c>
      <x:c r="R1243" s="55" t="n">
        <x:f>IF(O1243=0,0,ROUND(Q1243/O1243,4))</x:f>
        <x:v>0.4019</x:v>
      </x:c>
      <x:c r="S1243" s="53" t="n">
        <x:v>30</x:v>
      </x:c>
      <x:c r="T1243" t="str">
        <x:v>Entregue com atraso</x:v>
      </x:c>
      <x:c r="U1243" t="n">
        <x:v>2</x:v>
      </x:c>
      <x:c r="V1243" t="str">
        <x:v>Ocorrência logística</x:v>
      </x:c>
    </x:row>
    <x:row r="1244">
      <x:c r="A1244" s="52" t="n">
        <x:v>46111</x:v>
      </x:c>
      <x:c r="B1244" t="str">
        <x:v>PED-101243</x:v>
      </x:c>
      <x:c r="C1244" t="str">
        <x:v>Cliente 117</x:v>
      </x:c>
      <x:c r="D1244" t="str">
        <x:v>SC</x:v>
      </x:c>
      <x:c r="E1244" t="str">
        <x:v>Sul</x:v>
      </x:c>
      <x:c r="F1244" t="str">
        <x:v>Televendas</x:v>
      </x:c>
      <x:c r="G1244" t="str">
        <x:v>Escritório</x:v>
      </x:c>
      <x:c r="H1244" t="str">
        <x:v>Mesa Ajustável</x:v>
      </x:c>
      <x:c r="I1244" t="str">
        <x:v>Henrique</x:v>
      </x:c>
      <x:c r="J1244" s="53" t="n">
        <x:v>7</x:v>
      </x:c>
      <x:c r="K1244" s="54" t="n">
        <x:v>2671.98</x:v>
      </x:c>
      <x:c r="L1244" s="54" t="n">
        <x:v>1889.16</x:v>
      </x:c>
      <x:c r="M1244" s="55" t="n">
        <x:v>0</x:v>
      </x:c>
      <x:c r="N1244" s="54" t="n">
        <x:f>ROUND(J1244*K1244,2)</x:f>
        <x:v>18703.86</x:v>
      </x:c>
      <x:c r="O1244" s="54" t="n">
        <x:f>ROUND(N1244*(1-M1244),2)</x:f>
        <x:v>18703.86</x:v>
      </x:c>
      <x:c r="P1244" s="54" t="n">
        <x:f>ROUND(J1244*L1244,2)</x:f>
        <x:v>13224.12</x:v>
      </x:c>
      <x:c r="Q1244" s="54" t="n">
        <x:f>ROUND(O1244-P1244,2)</x:f>
        <x:v>5479.74</x:v>
      </x:c>
      <x:c r="R1244" s="55" t="n">
        <x:f>IF(O1244=0,0,ROUND(Q1244/O1244,4))</x:f>
        <x:v>0.293</x:v>
      </x:c>
      <x:c r="S1244" s="53" t="n">
        <x:v>11</x:v>
      </x:c>
      <x:c r="T1244" t="str">
        <x:v>Entregue com atraso</x:v>
      </x:c>
      <x:c r="U1244" t="n">
        <x:v>2</x:v>
      </x:c>
      <x:c r="V1244" t="str"/>
    </x:row>
    <x:row r="1245">
      <x:c r="A1245" s="52" t="n">
        <x:v>46209</x:v>
      </x:c>
      <x:c r="B1245" t="str">
        <x:v>PED-101244</x:v>
      </x:c>
      <x:c r="C1245" t="str">
        <x:v>Cliente 042</x:v>
      </x:c>
      <x:c r="D1245" t="str">
        <x:v>GO</x:v>
      </x:c>
      <x:c r="E1245" t="str">
        <x:v>Centro-Oeste</x:v>
      </x:c>
      <x:c r="F1245" t="str">
        <x:v>E-commerce</x:v>
      </x:c>
      <x:c r="G1245" t="str">
        <x:v>Acessórios</x:v>
      </x:c>
      <x:c r="H1245" t="str">
        <x:v>Mochila Executiva</x:v>
      </x:c>
      <x:c r="I1245" t="str">
        <x:v>Carla</x:v>
      </x:c>
      <x:c r="J1245" s="53" t="n">
        <x:v>4</x:v>
      </x:c>
      <x:c r="K1245" s="54" t="n">
        <x:v>422.7</x:v>
      </x:c>
      <x:c r="L1245" s="54" t="n">
        <x:v>196.41</x:v>
      </x:c>
      <x:c r="M1245" s="55" t="n">
        <x:v>0.0246</x:v>
      </x:c>
      <x:c r="N1245" s="54" t="n">
        <x:f>ROUND(J1245*K1245,2)</x:f>
        <x:v>1690.8</x:v>
      </x:c>
      <x:c r="O1245" s="54" t="n">
        <x:f>ROUND(N1245*(1-M1245),2)</x:f>
        <x:v>1649.21</x:v>
      </x:c>
      <x:c r="P1245" s="54" t="n">
        <x:f>ROUND(J1245*L1245,2)</x:f>
        <x:v>785.64</x:v>
      </x:c>
      <x:c r="Q1245" s="54" t="n">
        <x:f>ROUND(O1245-P1245,2)</x:f>
        <x:v>863.57</x:v>
      </x:c>
      <x:c r="R1245" s="55" t="n">
        <x:f>IF(O1245=0,0,ROUND(Q1245/O1245,4))</x:f>
        <x:v>0.5236</x:v>
      </x:c>
      <x:c r="S1245" s="53" t="n">
        <x:v>9</x:v>
      </x:c>
      <x:c r="T1245" t="str">
        <x:v>Entregue</x:v>
      </x:c>
      <x:c r="U1245" t="n">
        <x:v>4</x:v>
      </x:c>
      <x:c r="V1245" t="str"/>
    </x:row>
    <x:row r="1246">
      <x:c r="A1246" s="52" t="n">
        <x:v>46128</x:v>
      </x:c>
      <x:c r="B1246" t="str">
        <x:v>PED-101245</x:v>
      </x:c>
      <x:c r="C1246" t="str">
        <x:v>Cliente 090</x:v>
      </x:c>
      <x:c r="D1246" t="str">
        <x:v>PE</x:v>
      </x:c>
      <x:c r="E1246" t="str">
        <x:v>Nordeste</x:v>
      </x:c>
      <x:c r="F1246" t="str">
        <x:v>Marketplace</x:v>
      </x:c>
      <x:c r="G1246" t="str">
        <x:v>Tecnologia</x:v>
      </x:c>
      <x:c r="H1246" t="str">
        <x:v>Headset Office</x:v>
      </x:c>
      <x:c r="I1246" t="str">
        <x:v>Gabriela</x:v>
      </x:c>
      <x:c r="J1246" s="53" t="n">
        <x:v>1</x:v>
      </x:c>
      <x:c r="K1246" s="54" t="n">
        <x:v>384.91</x:v>
      </x:c>
      <x:c r="L1246" s="54" t="n">
        <x:v>221.37</x:v>
      </x:c>
      <x:c r="M1246" s="55" t="n">
        <x:v>0.1589</x:v>
      </x:c>
      <x:c r="N1246" s="54" t="n">
        <x:f>ROUND(J1246*K1246,2)</x:f>
        <x:v>384.91</x:v>
      </x:c>
      <x:c r="O1246" s="54" t="n">
        <x:f>ROUND(N1246*(1-M1246),2)</x:f>
        <x:v>323.75</x:v>
      </x:c>
      <x:c r="P1246" s="54" t="n">
        <x:f>ROUND(J1246*L1246,2)</x:f>
        <x:v>221.37</x:v>
      </x:c>
      <x:c r="Q1246" s="54" t="n">
        <x:f>ROUND(O1246-P1246,2)</x:f>
        <x:v>102.38</x:v>
      </x:c>
      <x:c r="R1246" s="55" t="n">
        <x:f>IF(O1246=0,0,ROUND(Q1246/O1246,4))</x:f>
        <x:v>0.3162</x:v>
      </x:c>
      <x:c r="S1246" s="53" t="n">
        <x:v>10</x:v>
      </x:c>
      <x:c r="T1246" t="str">
        <x:v>Entregue</x:v>
      </x:c>
      <x:c r="U1246" t="n">
        <x:v>2</x:v>
      </x:c>
      <x:c r="V1246" t="str"/>
    </x:row>
    <x:row r="1247">
      <x:c r="A1247" s="52" t="n">
        <x:v>46223</x:v>
      </x:c>
      <x:c r="B1247" t="str">
        <x:v>PED-101246</x:v>
      </x:c>
      <x:c r="C1247" t="str">
        <x:v>Cliente 019</x:v>
      </x:c>
      <x:c r="D1247" t="str">
        <x:v>SC</x:v>
      </x:c>
      <x:c r="E1247" t="str">
        <x:v>Sul</x:v>
      </x:c>
      <x:c r="F1247" t="str">
        <x:v>Loja</x:v>
      </x:c>
      <x:c r="G1247" t="str">
        <x:v>Escritório</x:v>
      </x:c>
      <x:c r="H1247" t="str">
        <x:v>Mesa Ajustável</x:v>
      </x:c>
      <x:c r="I1247" t="str">
        <x:v>Felipe</x:v>
      </x:c>
      <x:c r="J1247" s="53" t="n">
        <x:v>1</x:v>
      </x:c>
      <x:c r="K1247" s="54" t="n">
        <x:v>2868.12</x:v>
      </x:c>
      <x:c r="L1247" s="54" t="n">
        <x:v>1865.58</x:v>
      </x:c>
      <x:c r="M1247" s="55" t="n">
        <x:v>0.0657</x:v>
      </x:c>
      <x:c r="N1247" s="54" t="n">
        <x:f>ROUND(J1247*K1247,2)</x:f>
        <x:v>2868.12</x:v>
      </x:c>
      <x:c r="O1247" s="54" t="n">
        <x:f>ROUND(N1247*(1-M1247),2)</x:f>
        <x:v>2679.68</x:v>
      </x:c>
      <x:c r="P1247" s="54" t="n">
        <x:f>ROUND(J1247*L1247,2)</x:f>
        <x:v>1865.58</x:v>
      </x:c>
      <x:c r="Q1247" s="54" t="n">
        <x:f>ROUND(O1247-P1247,2)</x:f>
        <x:v>814.1</x:v>
      </x:c>
      <x:c r="R1247" s="55" t="n">
        <x:f>IF(O1247=0,0,ROUND(Q1247/O1247,4))</x:f>
        <x:v>0.3038</x:v>
      </x:c>
      <x:c r="S1247" s="53" t="n">
        <x:v>3</x:v>
      </x:c>
      <x:c r="T1247" t="str">
        <x:v>Entregue</x:v>
      </x:c>
      <x:c r="U1247" t="n">
        <x:v>4</x:v>
      </x:c>
      <x:c r="V1247" t="str"/>
    </x:row>
    <x:row r="1248">
      <x:c r="A1248" s="52" t="n">
        <x:v>46038</x:v>
      </x:c>
      <x:c r="B1248" t="str">
        <x:v>PED-101247</x:v>
      </x:c>
      <x:c r="C1248" t="str">
        <x:v>Cliente 047</x:v>
      </x:c>
      <x:c r="D1248" t="str">
        <x:v>RS</x:v>
      </x:c>
      <x:c r="E1248" t="str">
        <x:v>Sul</x:v>
      </x:c>
      <x:c r="F1248" t="str">
        <x:v>E-commerce</x:v>
      </x:c>
      <x:c r="G1248" t="str">
        <x:v>Escritório</x:v>
      </x:c>
      <x:c r="H1248" t="str">
        <x:v>Luminária LED</x:v>
      </x:c>
      <x:c r="I1248" t="str">
        <x:v>Bruno</x:v>
      </x:c>
      <x:c r="J1248" s="53" t="n">
        <x:v>7</x:v>
      </x:c>
      <x:c r="K1248" s="54" t="n">
        <x:v>268.46</x:v>
      </x:c>
      <x:c r="L1248" s="54" t="n">
        <x:v>113.99</x:v>
      </x:c>
      <x:c r="M1248" s="55" t="n">
        <x:v>0</x:v>
      </x:c>
      <x:c r="N1248" s="54" t="n">
        <x:f>ROUND(J1248*K1248,2)</x:f>
        <x:v>1879.22</x:v>
      </x:c>
      <x:c r="O1248" s="54" t="n">
        <x:f>ROUND(N1248*(1-M1248),2)</x:f>
        <x:v>1879.22</x:v>
      </x:c>
      <x:c r="P1248" s="54" t="n">
        <x:f>ROUND(J1248*L1248,2)</x:f>
        <x:v>797.93</x:v>
      </x:c>
      <x:c r="Q1248" s="54" t="n">
        <x:f>ROUND(O1248-P1248,2)</x:f>
        <x:v>1081.29</x:v>
      </x:c>
      <x:c r="R1248" s="55" t="n">
        <x:f>IF(O1248=0,0,ROUND(Q1248/O1248,4))</x:f>
        <x:v>0.5754</x:v>
      </x:c>
      <x:c r="S1248" s="53" t="n">
        <x:v>5</x:v>
      </x:c>
      <x:c r="T1248" t="str">
        <x:v>Entregue</x:v>
      </x:c>
      <x:c r="U1248" t="n">
        <x:v>4</x:v>
      </x:c>
      <x:c r="V1248" t="str"/>
    </x:row>
    <x:row r="1249">
      <x:c r="A1249" s="52" t="n">
        <x:v>46210</x:v>
      </x:c>
      <x:c r="B1249" t="str">
        <x:v>PED-101248</x:v>
      </x:c>
      <x:c r="C1249" t="str">
        <x:v>Cliente 057</x:v>
      </x:c>
      <x:c r="D1249" t="str">
        <x:v>SP</x:v>
      </x:c>
      <x:c r="E1249" t="str">
        <x:v>Sudeste</x:v>
      </x:c>
      <x:c r="F1249" t="str">
        <x:v>Televendas</x:v>
      </x:c>
      <x:c r="G1249" t="str">
        <x:v>Acessórios</x:v>
      </x:c>
      <x:c r="H1249" t="str">
        <x:v>Mochila Executiva</x:v>
      </x:c>
      <x:c r="I1249" t="str">
        <x:v>Gabriela</x:v>
      </x:c>
      <x:c r="J1249" s="53" t="n">
        <x:v>7</x:v>
      </x:c>
      <x:c r="K1249" s="54" t="n">
        <x:v>411.04</x:v>
      </x:c>
      <x:c r="L1249" s="54" t="n">
        <x:v>185.03</x:v>
      </x:c>
      <x:c r="M1249" s="55" t="n">
        <x:v>0.0511</x:v>
      </x:c>
      <x:c r="N1249" s="54" t="n">
        <x:f>ROUND(J1249*K1249,2)</x:f>
        <x:v>2877.28</x:v>
      </x:c>
      <x:c r="O1249" s="54" t="n">
        <x:f>ROUND(N1249*(1-M1249),2)</x:f>
        <x:v>2730.25</x:v>
      </x:c>
      <x:c r="P1249" s="54" t="n">
        <x:f>ROUND(J1249*L1249,2)</x:f>
        <x:v>1295.21</x:v>
      </x:c>
      <x:c r="Q1249" s="54" t="n">
        <x:f>ROUND(O1249-P1249,2)</x:f>
        <x:v>1435.04</x:v>
      </x:c>
      <x:c r="R1249" s="55" t="n">
        <x:f>IF(O1249=0,0,ROUND(Q1249/O1249,4))</x:f>
        <x:v>0.5256</x:v>
      </x:c>
      <x:c r="S1249" s="53" t="n">
        <x:v>8</x:v>
      </x:c>
      <x:c r="T1249" t="str">
        <x:v>Cancelado</x:v>
      </x:c>
      <x:c r="U1249"/>
      <x:c r="V1249" t="str"/>
    </x:row>
    <x:row r="1250">
      <x:c r="A1250" s="52" t="n">
        <x:v>46125</x:v>
      </x:c>
      <x:c r="B1250" t="str">
        <x:v>PED-101249</x:v>
      </x:c>
      <x:c r="C1250" t="str">
        <x:v>Cliente 021</x:v>
      </x:c>
      <x:c r="D1250" t="str">
        <x:v>RJ</x:v>
      </x:c>
      <x:c r="E1250" t="str">
        <x:v>Sudeste</x:v>
      </x:c>
      <x:c r="F1250" t="str">
        <x:v>Loja</x:v>
      </x:c>
      <x:c r="G1250" t="str">
        <x:v>Tecnologia</x:v>
      </x:c>
      <x:c r="H1250" t="str">
        <x:v>Headset Office</x:v>
      </x:c>
      <x:c r="I1250" t="str">
        <x:v>Elaine</x:v>
      </x:c>
      <x:c r="J1250" s="53" t="n">
        <x:v>4</x:v>
      </x:c>
      <x:c r="K1250" s="54" t="n">
        <x:v>405.68</x:v>
      </x:c>
      <x:c r="L1250" s="54" t="n">
        <x:v>212.18</x:v>
      </x:c>
      <x:c r="M1250" s="55" t="n">
        <x:v>0</x:v>
      </x:c>
      <x:c r="N1250" s="54" t="n">
        <x:f>ROUND(J1250*K1250,2)</x:f>
        <x:v>1622.72</x:v>
      </x:c>
      <x:c r="O1250" s="54" t="n">
        <x:f>ROUND(N1250*(1-M1250),2)</x:f>
        <x:v>1622.72</x:v>
      </x:c>
      <x:c r="P1250" s="54" t="n">
        <x:f>ROUND(J1250*L1250,2)</x:f>
        <x:v>848.72</x:v>
      </x:c>
      <x:c r="Q1250" s="54" t="n">
        <x:f>ROUND(O1250-P1250,2)</x:f>
        <x:v>774</x:v>
      </x:c>
      <x:c r="R1250" s="55" t="n">
        <x:f>IF(O1250=0,0,ROUND(Q1250/O1250,4))</x:f>
        <x:v>0.477</x:v>
      </x:c>
      <x:c r="S1250" s="53" t="n">
        <x:v>10</x:v>
      </x:c>
      <x:c r="T1250" t="str">
        <x:v>Entregue</x:v>
      </x:c>
      <x:c r="U1250" t="n">
        <x:v>3</x:v>
      </x:c>
      <x:c r="V1250" t="str"/>
    </x:row>
    <x:row r="1251">
      <x:c r="A1251" s="52" t="n">
        <x:v>46128</x:v>
      </x:c>
      <x:c r="B1251" t="str">
        <x:v>PED-101250</x:v>
      </x:c>
      <x:c r="C1251" t="str">
        <x:v>Cliente 053</x:v>
      </x:c>
      <x:c r="D1251" t="str">
        <x:v>PE</x:v>
      </x:c>
      <x:c r="E1251" t="str">
        <x:v>Nordeste</x:v>
      </x:c>
      <x:c r="F1251" t="str">
        <x:v>E-commerce</x:v>
      </x:c>
      <x:c r="G1251" t="str">
        <x:v>Acessórios</x:v>
      </x:c>
      <x:c r="H1251" t="str">
        <x:v>Hub USB-C</x:v>
      </x:c>
      <x:c r="I1251" t="str">
        <x:v>Felipe</x:v>
      </x:c>
      <x:c r="J1251" s="53" t="n">
        <x:v>2</x:v>
      </x:c>
      <x:c r="K1251" s="54" t="n">
        <x:v>327.59</x:v>
      </x:c>
      <x:c r="L1251" s="54" t="n">
        <x:v>145.03</x:v>
      </x:c>
      <x:c r="M1251" s="55" t="n">
        <x:v>0.1288</x:v>
      </x:c>
      <x:c r="N1251" s="54" t="n">
        <x:f>ROUND(J1251*K1251,2)</x:f>
        <x:v>655.18</x:v>
      </x:c>
      <x:c r="O1251" s="54" t="n">
        <x:f>ROUND(N1251*(1-M1251),2)</x:f>
        <x:v>570.79</x:v>
      </x:c>
      <x:c r="P1251" s="54" t="n">
        <x:f>ROUND(J1251*L1251,2)</x:f>
        <x:v>290.06</x:v>
      </x:c>
      <x:c r="Q1251" s="54" t="n">
        <x:f>ROUND(O1251-P1251,2)</x:f>
        <x:v>280.73</x:v>
      </x:c>
      <x:c r="R1251" s="55" t="n">
        <x:f>IF(O1251=0,0,ROUND(Q1251/O1251,4))</x:f>
        <x:v>0.4918</x:v>
      </x:c>
      <x:c r="S1251" s="53" t="n">
        <x:v>12</x:v>
      </x:c>
      <x:c r="T1251" t="str">
        <x:v>Entregue com atraso</x:v>
      </x:c>
      <x:c r="U1251" t="n">
        <x:v>3</x:v>
      </x:c>
      <x:c r="V1251" t="str"/>
    </x:row>
    <x:row r="1252">
      <x:c r="A1252" s="52" t="n">
        <x:v>46166</x:v>
      </x:c>
      <x:c r="B1252" t="str">
        <x:v>PED-101251</x:v>
      </x:c>
      <x:c r="C1252" t="str">
        <x:v>Cliente 117</x:v>
      </x:c>
      <x:c r="D1252" t="str">
        <x:v>PA</x:v>
      </x:c>
      <x:c r="E1252" t="str">
        <x:v>Norte</x:v>
      </x:c>
      <x:c r="F1252" t="str">
        <x:v>E-commerce</x:v>
      </x:c>
      <x:c r="G1252" t="str">
        <x:v>Escritório</x:v>
      </x:c>
      <x:c r="H1252" t="str">
        <x:v>Luminária LED</x:v>
      </x:c>
      <x:c r="I1252" t="str">
        <x:v>Isabela</x:v>
      </x:c>
      <x:c r="J1252" s="53" t="n">
        <x:v>6</x:v>
      </x:c>
      <x:c r="K1252" s="54" t="n">
        <x:v>267.38</x:v>
      </x:c>
      <x:c r="L1252" s="54" t="n">
        <x:v>120.07</x:v>
      </x:c>
      <x:c r="M1252" s="55" t="n">
        <x:v>0.1006</x:v>
      </x:c>
      <x:c r="N1252" s="54" t="n">
        <x:f>ROUND(J1252*K1252,2)</x:f>
        <x:v>1604.28</x:v>
      </x:c>
      <x:c r="O1252" s="54" t="n">
        <x:f>ROUND(N1252*(1-M1252),2)</x:f>
        <x:v>1442.89</x:v>
      </x:c>
      <x:c r="P1252" s="54" t="n">
        <x:f>ROUND(J1252*L1252,2)</x:f>
        <x:v>720.42</x:v>
      </x:c>
      <x:c r="Q1252" s="54" t="n">
        <x:f>ROUND(O1252-P1252,2)</x:f>
        <x:v>722.47</x:v>
      </x:c>
      <x:c r="R1252" s="55" t="n">
        <x:f>IF(O1252=0,0,ROUND(Q1252/O1252,4))</x:f>
        <x:v>0.5007</x:v>
      </x:c>
      <x:c r="S1252" s="53" t="n">
        <x:v>4</x:v>
      </x:c>
      <x:c r="T1252" t="str">
        <x:v>Entregue</x:v>
      </x:c>
      <x:c r="U1252" t="n">
        <x:v>4</x:v>
      </x:c>
      <x:c r="V1252" t="str"/>
    </x:row>
    <x:row r="1253">
      <x:c r="A1253" s="52" t="n">
        <x:v>46067</x:v>
      </x:c>
      <x:c r="B1253" t="str">
        <x:v>PED-101252</x:v>
      </x:c>
      <x:c r="C1253" t="str">
        <x:v>Cliente 044</x:v>
      </x:c>
      <x:c r="D1253" t="str">
        <x:v>SP</x:v>
      </x:c>
      <x:c r="E1253" t="str">
        <x:v>Sudeste</x:v>
      </x:c>
      <x:c r="F1253" t="str">
        <x:v>Loja</x:v>
      </x:c>
      <x:c r="G1253" t="str">
        <x:v>Acessórios</x:v>
      </x:c>
      <x:c r="H1253" t="str">
        <x:v>Webcam HD</x:v>
      </x:c>
      <x:c r="I1253" t="str">
        <x:v>Diego</x:v>
      </x:c>
      <x:c r="J1253" s="53" t="n">
        <x:v>8</x:v>
      </x:c>
      <x:c r="K1253" s="54" t="n">
        <x:v>536.93</x:v>
      </x:c>
      <x:c r="L1253" s="54" t="n">
        <x:v>236.98</x:v>
      </x:c>
      <x:c r="M1253" s="55" t="n">
        <x:v>0</x:v>
      </x:c>
      <x:c r="N1253" s="54" t="n">
        <x:f>ROUND(J1253*K1253,2)</x:f>
        <x:v>4295.44</x:v>
      </x:c>
      <x:c r="O1253" s="54" t="n">
        <x:f>ROUND(N1253*(1-M1253),2)</x:f>
        <x:v>4295.44</x:v>
      </x:c>
      <x:c r="P1253" s="54" t="n">
        <x:f>ROUND(J1253*L1253,2)</x:f>
        <x:v>1895.84</x:v>
      </x:c>
      <x:c r="Q1253" s="54" t="n">
        <x:f>ROUND(O1253-P1253,2)</x:f>
        <x:v>2399.6</x:v>
      </x:c>
      <x:c r="R1253" s="55" t="n">
        <x:f>IF(O1253=0,0,ROUND(Q1253/O1253,4))</x:f>
        <x:v>0.5586</x:v>
      </x:c>
      <x:c r="S1253" s="53" t="n">
        <x:v>5</x:v>
      </x:c>
      <x:c r="T1253" t="str">
        <x:v>Entregue</x:v>
      </x:c>
      <x:c r="U1253" t="n">
        <x:v>2</x:v>
      </x:c>
      <x:c r="V1253" t="str"/>
    </x:row>
    <x:row r="1254">
      <x:c r="A1254" s="52" t="n">
        <x:v>46092</x:v>
      </x:c>
      <x:c r="B1254" t="str">
        <x:v>PED-101253</x:v>
      </x:c>
      <x:c r="C1254" t="str">
        <x:v>Cliente 106</x:v>
      </x:c>
      <x:c r="D1254" t="str">
        <x:v>SP</x:v>
      </x:c>
      <x:c r="E1254" t="str">
        <x:v>Sudeste</x:v>
      </x:c>
      <x:c r="F1254" t="str">
        <x:v>E-commerce</x:v>
      </x:c>
      <x:c r="G1254" t="str">
        <x:v>Acessórios</x:v>
      </x:c>
      <x:c r="H1254" t="str">
        <x:v>Webcam HD</x:v>
      </x:c>
      <x:c r="I1254" t="str">
        <x:v>Felipe</x:v>
      </x:c>
      <x:c r="J1254" s="53" t="n">
        <x:v>4</x:v>
      </x:c>
      <x:c r="K1254" s="54" t="n">
        <x:v>511.61</x:v>
      </x:c>
      <x:c r="L1254" s="54" t="n">
        <x:v>251.28</x:v>
      </x:c>
      <x:c r="M1254" s="55" t="n">
        <x:v>0.1165</x:v>
      </x:c>
      <x:c r="N1254" s="54" t="n">
        <x:f>ROUND(J1254*K1254,2)</x:f>
        <x:v>2046.44</x:v>
      </x:c>
      <x:c r="O1254" s="54" t="n">
        <x:f>ROUND(N1254*(1-M1254),2)</x:f>
        <x:v>1808.03</x:v>
      </x:c>
      <x:c r="P1254" s="54" t="n">
        <x:f>ROUND(J1254*L1254,2)</x:f>
        <x:v>1005.12</x:v>
      </x:c>
      <x:c r="Q1254" s="54" t="n">
        <x:f>ROUND(O1254-P1254,2)</x:f>
        <x:v>802.91</x:v>
      </x:c>
      <x:c r="R1254" s="55" t="n">
        <x:f>IF(O1254=0,0,ROUND(Q1254/O1254,4))</x:f>
        <x:v>0.4441</x:v>
      </x:c>
      <x:c r="S1254" s="53" t="n">
        <x:v>4</x:v>
      </x:c>
      <x:c r="T1254" t="str">
        <x:v>Entregue</x:v>
      </x:c>
      <x:c r="U1254" t="n">
        <x:v>5</x:v>
      </x:c>
      <x:c r="V1254" t="str"/>
    </x:row>
    <x:row r="1255">
      <x:c r="A1255" s="52" t="n">
        <x:v>46130</x:v>
      </x:c>
      <x:c r="B1255" t="str">
        <x:v>PED-101254</x:v>
      </x:c>
      <x:c r="C1255" t="str">
        <x:v>Cliente 029</x:v>
      </x:c>
      <x:c r="D1255" t="str">
        <x:v>CE</x:v>
      </x:c>
      <x:c r="E1255" t="str">
        <x:v>Nordeste</x:v>
      </x:c>
      <x:c r="F1255" t="str">
        <x:v>E-commerce</x:v>
      </x:c>
      <x:c r="G1255" t="str">
        <x:v>Escritório</x:v>
      </x:c>
      <x:c r="H1255" t="str">
        <x:v>Mesa Ajustável</x:v>
      </x:c>
      <x:c r="I1255" t="str">
        <x:v>Ana</x:v>
      </x:c>
      <x:c r="J1255" s="53" t="n">
        <x:v>2</x:v>
      </x:c>
      <x:c r="K1255" s="54" t="n">
        <x:v>2633.84</x:v>
      </x:c>
      <x:c r="L1255" s="54" t="n">
        <x:v>1931.63</x:v>
      </x:c>
      <x:c r="M1255" s="55" t="n">
        <x:v>0</x:v>
      </x:c>
      <x:c r="N1255" s="54" t="n">
        <x:f>ROUND(J1255*K1255,2)</x:f>
        <x:v>5267.68</x:v>
      </x:c>
      <x:c r="O1255" s="54" t="n">
        <x:f>ROUND(N1255*(1-M1255),2)</x:f>
        <x:v>5267.68</x:v>
      </x:c>
      <x:c r="P1255" s="54" t="n">
        <x:f>ROUND(J1255*L1255,2)</x:f>
        <x:v>3863.26</x:v>
      </x:c>
      <x:c r="Q1255" s="54" t="n">
        <x:f>ROUND(O1255-P1255,2)</x:f>
        <x:v>1404.42</x:v>
      </x:c>
      <x:c r="R1255" s="55" t="n">
        <x:f>IF(O1255=0,0,ROUND(Q1255/O1255,4))</x:f>
        <x:v>0.2666</x:v>
      </x:c>
      <x:c r="S1255" s="53" t="n">
        <x:v>4</x:v>
      </x:c>
      <x:c r="T1255" t="str">
        <x:v>Entregue</x:v>
      </x:c>
      <x:c r="U1255" t="n">
        <x:v>5</x:v>
      </x:c>
      <x:c r="V1255" t="str"/>
    </x:row>
    <x:row r="1256">
      <x:c r="A1256" s="52" t="n">
        <x:v>46048</x:v>
      </x:c>
      <x:c r="B1256" t="str">
        <x:v>PED-101255</x:v>
      </x:c>
      <x:c r="C1256" t="str">
        <x:v>Cliente 006</x:v>
      </x:c>
      <x:c r="D1256" t="str">
        <x:v>ES</x:v>
      </x:c>
      <x:c r="E1256" t="str">
        <x:v>Sudeste</x:v>
      </x:c>
      <x:c r="F1256" t="str">
        <x:v>E-commerce</x:v>
      </x:c>
      <x:c r="G1256" t="str">
        <x:v>Escritório</x:v>
      </x:c>
      <x:c r="H1256" t="str">
        <x:v>Cadeira Ergonômica</x:v>
      </x:c>
      <x:c r="I1256" t="str">
        <x:v>Diego</x:v>
      </x:c>
      <x:c r="J1256" s="53" t="n">
        <x:v>2</x:v>
      </x:c>
      <x:c r="K1256" s="54" t="n">
        <x:v>2171.97</x:v>
      </x:c>
      <x:c r="L1256" s="54" t="n">
        <x:v>1363.3</x:v>
      </x:c>
      <x:c r="M1256" s="55" t="n">
        <x:v>0</x:v>
      </x:c>
      <x:c r="N1256" s="54" t="n">
        <x:f>ROUND(J1256*K1256,2)</x:f>
        <x:v>4343.94</x:v>
      </x:c>
      <x:c r="O1256" s="54" t="n">
        <x:f>ROUND(N1256*(1-M1256),2)</x:f>
        <x:v>4343.94</x:v>
      </x:c>
      <x:c r="P1256" s="54" t="n">
        <x:f>ROUND(J1256*L1256,2)</x:f>
        <x:v>2726.6</x:v>
      </x:c>
      <x:c r="Q1256" s="54" t="n">
        <x:f>ROUND(O1256-P1256,2)</x:f>
        <x:v>1617.34</x:v>
      </x:c>
      <x:c r="R1256" s="55" t="n">
        <x:f>IF(O1256=0,0,ROUND(Q1256/O1256,4))</x:f>
        <x:v>0.3723</x:v>
      </x:c>
      <x:c r="S1256" s="53" t="n">
        <x:v>13</x:v>
      </x:c>
      <x:c r="T1256" t="str">
        <x:v>Entregue com atraso</x:v>
      </x:c>
      <x:c r="U1256" t="n">
        <x:v>2</x:v>
      </x:c>
      <x:c r="V1256" t="str"/>
    </x:row>
    <x:row r="1257">
      <x:c r="A1257" s="52" t="n">
        <x:v>46136</x:v>
      </x:c>
      <x:c r="B1257" t="str">
        <x:v>PED-101256</x:v>
      </x:c>
      <x:c r="C1257" t="str">
        <x:v>Cliente 050</x:v>
      </x:c>
      <x:c r="D1257" t="str">
        <x:v>DF</x:v>
      </x:c>
      <x:c r="E1257" t="str">
        <x:v>Centro-Oeste</x:v>
      </x:c>
      <x:c r="F1257" t="str">
        <x:v>Marketplace</x:v>
      </x:c>
      <x:c r="G1257" t="str">
        <x:v>Acessórios</x:v>
      </x:c>
      <x:c r="H1257" t="str">
        <x:v>Mochila Executiva</x:v>
      </x:c>
      <x:c r="I1257" t="str">
        <x:v>Bruno</x:v>
      </x:c>
      <x:c r="J1257" s="53" t="n">
        <x:v>6</x:v>
      </x:c>
      <x:c r="K1257" s="54" t="n">
        <x:v>452.17</x:v>
      </x:c>
      <x:c r="L1257" s="54" t="n">
        <x:v>189</x:v>
      </x:c>
      <x:c r="M1257" s="55" t="n">
        <x:v>0.102</x:v>
      </x:c>
      <x:c r="N1257" s="54" t="n">
        <x:f>ROUND(J1257*K1257,2)</x:f>
        <x:v>2713.02</x:v>
      </x:c>
      <x:c r="O1257" s="54" t="n">
        <x:f>ROUND(N1257*(1-M1257),2)</x:f>
        <x:v>2436.29</x:v>
      </x:c>
      <x:c r="P1257" s="54" t="n">
        <x:f>ROUND(J1257*L1257,2)</x:f>
        <x:v>1134</x:v>
      </x:c>
      <x:c r="Q1257" s="54" t="n">
        <x:f>ROUND(O1257-P1257,2)</x:f>
        <x:v>1302.29</x:v>
      </x:c>
      <x:c r="R1257" s="55" t="n">
        <x:f>IF(O1257=0,0,ROUND(Q1257/O1257,4))</x:f>
        <x:v>0.5345</x:v>
      </x:c>
      <x:c r="S1257" s="53" t="n">
        <x:v>11</x:v>
      </x:c>
      <x:c r="T1257" t="str">
        <x:v>Entregue com atraso</x:v>
      </x:c>
      <x:c r="U1257" t="n">
        <x:v>3</x:v>
      </x:c>
      <x:c r="V1257" t="str"/>
    </x:row>
    <x:row r="1258">
      <x:c r="A1258" s="52" t="n">
        <x:v>46035</x:v>
      </x:c>
      <x:c r="B1258" t="str">
        <x:v>PED-101257</x:v>
      </x:c>
      <x:c r="C1258" t="str">
        <x:v>Cliente 091</x:v>
      </x:c>
      <x:c r="D1258" t="str">
        <x:v>CE</x:v>
      </x:c>
      <x:c r="E1258" t="str">
        <x:v>Nordeste</x:v>
      </x:c>
      <x:c r="F1258" t="str">
        <x:v>E-commerce</x:v>
      </x:c>
      <x:c r="G1258" t="str">
        <x:v>Escritório</x:v>
      </x:c>
      <x:c r="H1258" t="str">
        <x:v>Mesa Ajustável</x:v>
      </x:c>
      <x:c r="I1258" t="str">
        <x:v>João</x:v>
      </x:c>
      <x:c r="J1258" s="53" t="n">
        <x:v>2</x:v>
      </x:c>
      <x:c r="K1258" s="54" t="n">
        <x:v>2647.66</x:v>
      </x:c>
      <x:c r="L1258" s="54" t="n">
        <x:v>1869.7</x:v>
      </x:c>
      <x:c r="M1258" s="55" t="n">
        <x:v>0</x:v>
      </x:c>
      <x:c r="N1258" s="54" t="n">
        <x:f>ROUND(J1258*K1258,2)</x:f>
        <x:v>5295.32</x:v>
      </x:c>
      <x:c r="O1258" s="54" t="n">
        <x:f>ROUND(N1258*(1-M1258),2)</x:f>
        <x:v>5295.32</x:v>
      </x:c>
      <x:c r="P1258" s="54" t="n">
        <x:f>ROUND(J1258*L1258,2)</x:f>
        <x:v>3739.4</x:v>
      </x:c>
      <x:c r="Q1258" s="54" t="n">
        <x:f>ROUND(O1258-P1258,2)</x:f>
        <x:v>1555.92</x:v>
      </x:c>
      <x:c r="R1258" s="55" t="n">
        <x:f>IF(O1258=0,0,ROUND(Q1258/O1258,4))</x:f>
        <x:v>0.2938</x:v>
      </x:c>
      <x:c r="S1258" s="53" t="n">
        <x:v>3</x:v>
      </x:c>
      <x:c r="T1258" t="str">
        <x:v>Entregue</x:v>
      </x:c>
      <x:c r="U1258" t="n">
        <x:v>4</x:v>
      </x:c>
      <x:c r="V1258" t="str"/>
    </x:row>
    <x:row r="1259">
      <x:c r="A1259" s="52" t="n">
        <x:v>46084</x:v>
      </x:c>
      <x:c r="B1259" t="str">
        <x:v>PED-101258</x:v>
      </x:c>
      <x:c r="C1259" t="str">
        <x:v>Cliente 066</x:v>
      </x:c>
      <x:c r="D1259" t="str">
        <x:v>SC</x:v>
      </x:c>
      <x:c r="E1259" t="str">
        <x:v>Sul</x:v>
      </x:c>
      <x:c r="F1259" t="str">
        <x:v>Marketplace</x:v>
      </x:c>
      <x:c r="G1259" t="str">
        <x:v>Escritório</x:v>
      </x:c>
      <x:c r="H1259" t="str">
        <x:v>Luminária LED</x:v>
      </x:c>
      <x:c r="I1259" t="str">
        <x:v>Elaine</x:v>
      </x:c>
      <x:c r="J1259" s="53" t="n">
        <x:v>7</x:v>
      </x:c>
      <x:c r="K1259" s="54" t="n">
        <x:v>259.34</x:v>
      </x:c>
      <x:c r="L1259" s="54" t="n">
        <x:v>120.29</x:v>
      </x:c>
      <x:c r="M1259" s="55" t="n">
        <x:v>0.0511</x:v>
      </x:c>
      <x:c r="N1259" s="54" t="n">
        <x:f>ROUND(J1259*K1259,2)</x:f>
        <x:v>1815.38</x:v>
      </x:c>
      <x:c r="O1259" s="54" t="n">
        <x:f>ROUND(N1259*(1-M1259),2)</x:f>
        <x:v>1722.61</x:v>
      </x:c>
      <x:c r="P1259" s="54" t="n">
        <x:f>ROUND(J1259*L1259,2)</x:f>
        <x:v>842.03</x:v>
      </x:c>
      <x:c r="Q1259" s="54" t="n">
        <x:f>ROUND(O1259-P1259,2)</x:f>
        <x:v>880.58</x:v>
      </x:c>
      <x:c r="R1259" s="55" t="n">
        <x:f>IF(O1259=0,0,ROUND(Q1259/O1259,4))</x:f>
        <x:v>0.5112</x:v>
      </x:c>
      <x:c r="S1259" s="53" t="n">
        <x:v>4</x:v>
      </x:c>
      <x:c r="T1259" t="str">
        <x:v>Entregue</x:v>
      </x:c>
      <x:c r="U1259" t="n">
        <x:v>4</x:v>
      </x:c>
      <x:c r="V1259" t="str"/>
    </x:row>
    <x:row r="1260">
      <x:c r="A1260" s="52" t="n">
        <x:v>46179</x:v>
      </x:c>
      <x:c r="B1260" t="str">
        <x:v>PED-101259</x:v>
      </x:c>
      <x:c r="C1260" t="str">
        <x:v>Cliente 028</x:v>
      </x:c>
      <x:c r="D1260" t="str">
        <x:v>SP</x:v>
      </x:c>
      <x:c r="E1260" t="str">
        <x:v>Sudeste</x:v>
      </x:c>
      <x:c r="F1260" t="str">
        <x:v>Loja</x:v>
      </x:c>
      <x:c r="G1260" t="str">
        <x:v>Escritório</x:v>
      </x:c>
      <x:c r="H1260" t="str">
        <x:v>Mesa Ajustável</x:v>
      </x:c>
      <x:c r="I1260" t="str">
        <x:v>Isabela</x:v>
      </x:c>
      <x:c r="J1260" s="53" t="n">
        <x:v>2</x:v>
      </x:c>
      <x:c r="K1260" s="54" t="n">
        <x:v>2889.94</x:v>
      </x:c>
      <x:c r="L1260" s="54" t="n">
        <x:v>1767.45</x:v>
      </x:c>
      <x:c r="M1260" s="55" t="n">
        <x:v>0.1223</x:v>
      </x:c>
      <x:c r="N1260" s="54" t="n">
        <x:f>ROUND(J1260*K1260,2)</x:f>
        <x:v>5779.88</x:v>
      </x:c>
      <x:c r="O1260" s="54" t="n">
        <x:f>ROUND(N1260*(1-M1260),2)</x:f>
        <x:v>5073</x:v>
      </x:c>
      <x:c r="P1260" s="54" t="n">
        <x:f>ROUND(J1260*L1260,2)</x:f>
        <x:v>3534.9</x:v>
      </x:c>
      <x:c r="Q1260" s="54" t="n">
        <x:f>ROUND(O1260-P1260,2)</x:f>
        <x:v>1538.1</x:v>
      </x:c>
      <x:c r="R1260" s="55" t="n">
        <x:f>IF(O1260=0,0,ROUND(Q1260/O1260,4))</x:f>
        <x:v>0.3032</x:v>
      </x:c>
      <x:c r="S1260" s="53" t="n">
        <x:v>8</x:v>
      </x:c>
      <x:c r="T1260" t="str">
        <x:v>Entregue</x:v>
      </x:c>
      <x:c r="U1260" t="n">
        <x:v>3</x:v>
      </x:c>
      <x:c r="V1260" t="str"/>
    </x:row>
    <x:row r="1261">
      <x:c r="A1261" s="52" t="n">
        <x:v>46156</x:v>
      </x:c>
      <x:c r="B1261" t="str">
        <x:v>PED-101260</x:v>
      </x:c>
      <x:c r="C1261" t="str">
        <x:v>Cliente 055</x:v>
      </x:c>
      <x:c r="D1261" t="str">
        <x:v>SP</x:v>
      </x:c>
      <x:c r="E1261" t="str">
        <x:v>Sudeste</x:v>
      </x:c>
      <x:c r="F1261" t="str">
        <x:v>E-commerce</x:v>
      </x:c>
      <x:c r="G1261" t="str">
        <x:v>Acessórios</x:v>
      </x:c>
      <x:c r="H1261" t="str">
        <x:v>Webcam HD</x:v>
      </x:c>
      <x:c r="I1261" t="str">
        <x:v>Henrique</x:v>
      </x:c>
      <x:c r="J1261" s="53" t="n">
        <x:v>6</x:v>
      </x:c>
      <x:c r="K1261" s="54" t="n">
        <x:v>499.08</x:v>
      </x:c>
      <x:c r="L1261" s="54" t="n">
        <x:v>246.95</x:v>
      </x:c>
      <x:c r="M1261" s="55" t="n">
        <x:v>0.0141</x:v>
      </x:c>
      <x:c r="N1261" s="54" t="n">
        <x:f>ROUND(J1261*K1261,2)</x:f>
        <x:v>2994.48</x:v>
      </x:c>
      <x:c r="O1261" s="54" t="n">
        <x:f>ROUND(N1261*(1-M1261),2)</x:f>
        <x:v>2952.26</x:v>
      </x:c>
      <x:c r="P1261" s="54" t="n">
        <x:f>ROUND(J1261*L1261,2)</x:f>
        <x:v>1481.7</x:v>
      </x:c>
      <x:c r="Q1261" s="54" t="n">
        <x:f>ROUND(O1261-P1261,2)</x:f>
        <x:v>1470.56</x:v>
      </x:c>
      <x:c r="R1261" s="55" t="n">
        <x:f>IF(O1261=0,0,ROUND(Q1261/O1261,4))</x:f>
        <x:v>0.4981</x:v>
      </x:c>
      <x:c r="S1261" s="53" t="n">
        <x:v>7</x:v>
      </x:c>
      <x:c r="T1261" t="str">
        <x:v>Entregue</x:v>
      </x:c>
      <x:c r="U1261" t="n">
        <x:v>3</x:v>
      </x:c>
      <x:c r="V1261" t="str"/>
    </x:row>
    <x:row r="1262">
      <x:c r="A1262" s="52" t="n">
        <x:v>46039</x:v>
      </x:c>
      <x:c r="B1262" t="str">
        <x:v>PED-101261</x:v>
      </x:c>
      <x:c r="C1262" t="str">
        <x:v>Cliente 083</x:v>
      </x:c>
      <x:c r="D1262" t="str">
        <x:v>DF</x:v>
      </x:c>
      <x:c r="E1262" t="str">
        <x:v>Centro-Oeste</x:v>
      </x:c>
      <x:c r="F1262" t="str">
        <x:v>E-commerce</x:v>
      </x:c>
      <x:c r="G1262" t="str">
        <x:v>Escritório</x:v>
      </x:c>
      <x:c r="H1262" t="str">
        <x:v>Luminária LED</x:v>
      </x:c>
      <x:c r="I1262" t="str">
        <x:v>Carla</x:v>
      </x:c>
      <x:c r="J1262" s="53" t="n">
        <x:v>2</x:v>
      </x:c>
      <x:c r="K1262" s="54" t="n">
        <x:v>246.2</x:v>
      </x:c>
      <x:c r="L1262" s="54" t="n">
        <x:v>121.27</x:v>
      </x:c>
      <x:c r="M1262" s="55" t="n">
        <x:v>0.0459</x:v>
      </x:c>
      <x:c r="N1262" s="54" t="n">
        <x:f>ROUND(J1262*K1262,2)</x:f>
        <x:v>492.4</x:v>
      </x:c>
      <x:c r="O1262" s="54" t="n">
        <x:f>ROUND(N1262*(1-M1262),2)</x:f>
        <x:v>469.8</x:v>
      </x:c>
      <x:c r="P1262" s="54" t="n">
        <x:f>ROUND(J1262*L1262,2)</x:f>
        <x:v>242.54</x:v>
      </x:c>
      <x:c r="Q1262" s="54" t="n">
        <x:f>ROUND(O1262-P1262,2)</x:f>
        <x:v>227.26</x:v>
      </x:c>
      <x:c r="R1262" s="55" t="n">
        <x:f>IF(O1262=0,0,ROUND(Q1262/O1262,4))</x:f>
        <x:v>0.4837</x:v>
      </x:c>
      <x:c r="S1262" s="53" t="n">
        <x:v>12</x:v>
      </x:c>
      <x:c r="T1262" t="str">
        <x:v>Entregue com atraso</x:v>
      </x:c>
      <x:c r="U1262" t="n">
        <x:v>2</x:v>
      </x:c>
      <x:c r="V1262" t="str"/>
    </x:row>
    <x:row r="1263">
      <x:c r="A1263" s="52" t="n">
        <x:v>46208</x:v>
      </x:c>
      <x:c r="B1263" t="str">
        <x:v>PED-101262</x:v>
      </x:c>
      <x:c r="C1263" t="str">
        <x:v>Cliente 091</x:v>
      </x:c>
      <x:c r="D1263" t="str">
        <x:v>SP</x:v>
      </x:c>
      <x:c r="E1263" t="str">
        <x:v>Sudeste</x:v>
      </x:c>
      <x:c r="F1263" t="str">
        <x:v>E-commerce</x:v>
      </x:c>
      <x:c r="G1263" t="str">
        <x:v>Escritório</x:v>
      </x:c>
      <x:c r="H1263" t="str">
        <x:v>Luminária LED</x:v>
      </x:c>
      <x:c r="I1263" t="str">
        <x:v>Bruno</x:v>
      </x:c>
      <x:c r="J1263" s="53" t="n">
        <x:v>6</x:v>
      </x:c>
      <x:c r="K1263" s="54" t="n">
        <x:v>273.29</x:v>
      </x:c>
      <x:c r="L1263" s="54" t="n">
        <x:v>116.04</x:v>
      </x:c>
      <x:c r="M1263" s="55" t="n">
        <x:v>0.0357</x:v>
      </x:c>
      <x:c r="N1263" s="54" t="n">
        <x:f>ROUND(J1263*K1263,2)</x:f>
        <x:v>1639.74</x:v>
      </x:c>
      <x:c r="O1263" s="54" t="n">
        <x:f>ROUND(N1263*(1-M1263),2)</x:f>
        <x:v>1581.2</x:v>
      </x:c>
      <x:c r="P1263" s="54" t="n">
        <x:f>ROUND(J1263*L1263,2)</x:f>
        <x:v>696.24</x:v>
      </x:c>
      <x:c r="Q1263" s="54" t="n">
        <x:f>ROUND(O1263-P1263,2)</x:f>
        <x:v>884.96</x:v>
      </x:c>
      <x:c r="R1263" s="55" t="n">
        <x:f>IF(O1263=0,0,ROUND(Q1263/O1263,4))</x:f>
        <x:v>0.5597</x:v>
      </x:c>
      <x:c r="S1263" s="53" t="n">
        <x:v>13</x:v>
      </x:c>
      <x:c r="T1263" t="str">
        <x:v>Entregue com atraso</x:v>
      </x:c>
      <x:c r="U1263" t="n">
        <x:v>4</x:v>
      </x:c>
      <x:c r="V1263" t="str"/>
    </x:row>
    <x:row r="1264">
      <x:c r="A1264" s="52" t="n">
        <x:v>46152</x:v>
      </x:c>
      <x:c r="B1264" t="str">
        <x:v>PED-101263</x:v>
      </x:c>
      <x:c r="C1264" t="str">
        <x:v>Cliente 007</x:v>
      </x:c>
      <x:c r="D1264" t="str">
        <x:v>PR</x:v>
      </x:c>
      <x:c r="E1264" t="str">
        <x:v>Sul</x:v>
      </x:c>
      <x:c r="F1264" t="str">
        <x:v>Loja</x:v>
      </x:c>
      <x:c r="G1264" t="str">
        <x:v>Casa</x:v>
      </x:c>
      <x:c r="H1264" t="str">
        <x:v>Cafeteira Smart</x:v>
      </x:c>
      <x:c r="I1264" t="str">
        <x:v>Henrique</x:v>
      </x:c>
      <x:c r="J1264" s="53" t="n">
        <x:v>8</x:v>
      </x:c>
      <x:c r="K1264" s="54" t="n">
        <x:v>797.04</x:v>
      </x:c>
      <x:c r="L1264" s="54" t="n">
        <x:v>460.6</x:v>
      </x:c>
      <x:c r="M1264" s="55" t="n">
        <x:v>0</x:v>
      </x:c>
      <x:c r="N1264" s="54" t="n">
        <x:f>ROUND(J1264*K1264,2)</x:f>
        <x:v>6376.32</x:v>
      </x:c>
      <x:c r="O1264" s="54" t="n">
        <x:f>ROUND(N1264*(1-M1264),2)</x:f>
        <x:v>6376.32</x:v>
      </x:c>
      <x:c r="P1264" s="54" t="n">
        <x:f>ROUND(J1264*L1264,2)</x:f>
        <x:v>3684.8</x:v>
      </x:c>
      <x:c r="Q1264" s="54" t="n">
        <x:f>ROUND(O1264-P1264,2)</x:f>
        <x:v>2691.52</x:v>
      </x:c>
      <x:c r="R1264" s="55" t="n">
        <x:f>IF(O1264=0,0,ROUND(Q1264/O1264,4))</x:f>
        <x:v>0.4221</x:v>
      </x:c>
      <x:c r="S1264" s="53" t="n">
        <x:v>11</x:v>
      </x:c>
      <x:c r="T1264" t="str">
        <x:v>Entregue com atraso</x:v>
      </x:c>
      <x:c r="U1264" t="n">
        <x:v>3</x:v>
      </x:c>
      <x:c r="V1264" t="str"/>
    </x:row>
    <x:row r="1265">
      <x:c r="A1265" s="52" t="n">
        <x:v>46184</x:v>
      </x:c>
      <x:c r="B1265" t="str">
        <x:v>PED-101264</x:v>
      </x:c>
      <x:c r="C1265" t="str">
        <x:v>Cliente 066</x:v>
      </x:c>
      <x:c r="D1265" t="str">
        <x:v>SC</x:v>
      </x:c>
      <x:c r="E1265" t="str">
        <x:v>Sul</x:v>
      </x:c>
      <x:c r="F1265" t="str">
        <x:v>Loja</x:v>
      </x:c>
      <x:c r="G1265" t="str">
        <x:v>Casa</x:v>
      </x:c>
      <x:c r="H1265" t="str">
        <x:v>Aspirador Robô</x:v>
      </x:c>
      <x:c r="I1265" t="str">
        <x:v>Diego</x:v>
      </x:c>
      <x:c r="J1265" s="53" t="n">
        <x:v>3</x:v>
      </x:c>
      <x:c r="K1265" s="54" t="n">
        <x:v>1922.42</x:v>
      </x:c>
      <x:c r="L1265" s="54" t="n">
        <x:v>1183</x:v>
      </x:c>
      <x:c r="M1265" s="55" t="n">
        <x:v>0.0683</x:v>
      </x:c>
      <x:c r="N1265" s="54" t="n">
        <x:f>ROUND(J1265*K1265,2)</x:f>
        <x:v>5767.26</x:v>
      </x:c>
      <x:c r="O1265" s="54" t="n">
        <x:f>ROUND(N1265*(1-M1265),2)</x:f>
        <x:v>5373.36</x:v>
      </x:c>
      <x:c r="P1265" s="54" t="n">
        <x:f>ROUND(J1265*L1265,2)</x:f>
        <x:v>3549</x:v>
      </x:c>
      <x:c r="Q1265" s="54" t="n">
        <x:f>ROUND(O1265-P1265,2)</x:f>
        <x:v>1824.36</x:v>
      </x:c>
      <x:c r="R1265" s="55" t="n">
        <x:f>IF(O1265=0,0,ROUND(Q1265/O1265,4))</x:f>
        <x:v>0.3395</x:v>
      </x:c>
      <x:c r="S1265" s="53" t="n">
        <x:v>12</x:v>
      </x:c>
      <x:c r="T1265" t="str">
        <x:v>Cancelado</x:v>
      </x:c>
      <x:c r="U1265"/>
      <x:c r="V1265" t="str"/>
    </x:row>
    <x:row r="1266">
      <x:c r="A1266" s="52" t="n">
        <x:v>46098</x:v>
      </x:c>
      <x:c r="B1266" t="str">
        <x:v>PED-101265</x:v>
      </x:c>
      <x:c r="C1266" t="str">
        <x:v>Cliente 092</x:v>
      </x:c>
      <x:c r="D1266" t="str">
        <x:v>PR</x:v>
      </x:c>
      <x:c r="E1266" t="str">
        <x:v>Sul</x:v>
      </x:c>
      <x:c r="F1266" t="str">
        <x:v>Marketplace</x:v>
      </x:c>
      <x:c r="G1266" t="str">
        <x:v>Tecnologia</x:v>
      </x:c>
      <x:c r="H1266" t="str">
        <x:v>Monitor 27</x:v>
      </x:c>
      <x:c r="I1266" t="str">
        <x:v>Ana</x:v>
      </x:c>
      <x:c r="J1266" s="53" t="n">
        <x:v>5</x:v>
      </x:c>
      <x:c r="K1266" s="54" t="n">
        <x:v>1648.92</x:v>
      </x:c>
      <x:c r="L1266" s="54" t="n">
        <x:v>1079.55</x:v>
      </x:c>
      <x:c r="M1266" s="55" t="n">
        <x:v>0.0889</x:v>
      </x:c>
      <x:c r="N1266" s="54" t="n">
        <x:f>ROUND(J1266*K1266,2)</x:f>
        <x:v>8244.6</x:v>
      </x:c>
      <x:c r="O1266" s="54" t="n">
        <x:f>ROUND(N1266*(1-M1266),2)</x:f>
        <x:v>7511.66</x:v>
      </x:c>
      <x:c r="P1266" s="54" t="n">
        <x:f>ROUND(J1266*L1266,2)</x:f>
        <x:v>5397.75</x:v>
      </x:c>
      <x:c r="Q1266" s="54" t="n">
        <x:f>ROUND(O1266-P1266,2)</x:f>
        <x:v>2113.91</x:v>
      </x:c>
      <x:c r="R1266" s="55" t="n">
        <x:f>IF(O1266=0,0,ROUND(Q1266/O1266,4))</x:f>
        <x:v>0.2814</x:v>
      </x:c>
      <x:c r="S1266" s="53" t="n">
        <x:v>11</x:v>
      </x:c>
      <x:c r="T1266" t="str">
        <x:v>Entregue com atraso</x:v>
      </x:c>
      <x:c r="U1266" t="n">
        <x:v>2</x:v>
      </x:c>
      <x:c r="V1266" t="str"/>
    </x:row>
    <x:row r="1267">
      <x:c r="A1267" s="52" t="n">
        <x:v>46030</x:v>
      </x:c>
      <x:c r="B1267" t="str">
        <x:v>PED-101266</x:v>
      </x:c>
      <x:c r="C1267" t="str">
        <x:v>Cliente 003</x:v>
      </x:c>
      <x:c r="D1267" t="str">
        <x:v>RS</x:v>
      </x:c>
      <x:c r="E1267" t="str">
        <x:v>Sul</x:v>
      </x:c>
      <x:c r="F1267" t="str">
        <x:v>E-commerce</x:v>
      </x:c>
      <x:c r="G1267" t="str">
        <x:v>Casa</x:v>
      </x:c>
      <x:c r="H1267" t="str">
        <x:v>Cafeteira Smart</x:v>
      </x:c>
      <x:c r="I1267" t="str">
        <x:v>Ana</x:v>
      </x:c>
      <x:c r="J1267" s="53" t="n">
        <x:v>8</x:v>
      </x:c>
      <x:c r="K1267" s="54" t="n">
        <x:v>783</x:v>
      </x:c>
      <x:c r="L1267" s="54" t="n">
        <x:v>441.84</x:v>
      </x:c>
      <x:c r="M1267" s="55" t="n">
        <x:v>0.0899</x:v>
      </x:c>
      <x:c r="N1267" s="54" t="n">
        <x:f>ROUND(J1267*K1267,2)</x:f>
        <x:v>6264</x:v>
      </x:c>
      <x:c r="O1267" s="54" t="n">
        <x:f>ROUND(N1267*(1-M1267),2)</x:f>
        <x:v>5700.87</x:v>
      </x:c>
      <x:c r="P1267" s="54" t="n">
        <x:f>ROUND(J1267*L1267,2)</x:f>
        <x:v>3534.72</x:v>
      </x:c>
      <x:c r="Q1267" s="54" t="n">
        <x:f>ROUND(O1267-P1267,2)</x:f>
        <x:v>2166.15</x:v>
      </x:c>
      <x:c r="R1267" s="55" t="n">
        <x:f>IF(O1267=0,0,ROUND(Q1267/O1267,4))</x:f>
        <x:v>0.38</x:v>
      </x:c>
      <x:c r="S1267" s="53" t="n">
        <x:v>9</x:v>
      </x:c>
      <x:c r="T1267" t="str">
        <x:v>Cancelado</x:v>
      </x:c>
      <x:c r="U1267"/>
      <x:c r="V1267" t="str"/>
    </x:row>
    <x:row r="1268">
      <x:c r="A1268" s="52" t="n">
        <x:v>46112</x:v>
      </x:c>
      <x:c r="B1268" t="str">
        <x:v>PED-101267</x:v>
      </x:c>
      <x:c r="C1268" t="str">
        <x:v>Cliente 108</x:v>
      </x:c>
      <x:c r="D1268" t="str">
        <x:v>CE</x:v>
      </x:c>
      <x:c r="E1268" t="str">
        <x:v>Nordeste</x:v>
      </x:c>
      <x:c r="F1268" t="str">
        <x:v>Televendas</x:v>
      </x:c>
      <x:c r="G1268" t="str">
        <x:v>Acessórios</x:v>
      </x:c>
      <x:c r="H1268" t="str">
        <x:v>Mochila Executiva</x:v>
      </x:c>
      <x:c r="I1268" t="str">
        <x:v>Isabela</x:v>
      </x:c>
      <x:c r="J1268" s="53" t="n">
        <x:v>1</x:v>
      </x:c>
      <x:c r="K1268" s="54" t="n">
        <x:v>434.77</x:v>
      </x:c>
      <x:c r="L1268" s="54" t="n">
        <x:v>497.06</x:v>
      </x:c>
      <x:c r="M1268" s="55" t="n">
        <x:v>0</x:v>
      </x:c>
      <x:c r="N1268" s="54" t="n">
        <x:f>ROUND(J1268*K1268,2)</x:f>
        <x:v>434.77</x:v>
      </x:c>
      <x:c r="O1268" s="54" t="n">
        <x:f>ROUND(N1268*(1-M1268),2)</x:f>
        <x:v>434.77</x:v>
      </x:c>
      <x:c r="P1268" s="54" t="n">
        <x:f>ROUND(J1268*L1268,2)</x:f>
        <x:v>497.06</x:v>
      </x:c>
      <x:c r="Q1268" s="54" t="n">
        <x:f>ROUND(O1268-P1268,2)</x:f>
        <x:v>-62.29</x:v>
      </x:c>
      <x:c r="R1268" s="55" t="n">
        <x:f>IF(O1268=0,0,ROUND(Q1268/O1268,4))</x:f>
        <x:v>-0.1433</x:v>
      </x:c>
      <x:c r="S1268" s="53" t="n">
        <x:v>4</x:v>
      </x:c>
      <x:c r="T1268" t="str">
        <x:v>Entregue</x:v>
      </x:c>
      <x:c r="U1268" t="n">
        <x:v>4</x:v>
      </x:c>
      <x:c r="V1268" t="str">
        <x:v>Custo revisado após fechamento</x:v>
      </x:c>
    </x:row>
    <x:row r="1269">
      <x:c r="A1269" s="52" t="n">
        <x:v>46194</x:v>
      </x:c>
      <x:c r="B1269" t="str">
        <x:v>PED-101268</x:v>
      </x:c>
      <x:c r="C1269" t="str">
        <x:v>Cliente 026</x:v>
      </x:c>
      <x:c r="D1269" t="str">
        <x:v>BA</x:v>
      </x:c>
      <x:c r="E1269" t="str">
        <x:v>Nordeste</x:v>
      </x:c>
      <x:c r="F1269" t="str">
        <x:v>Televendas</x:v>
      </x:c>
      <x:c r="G1269" t="str">
        <x:v>Acessórios</x:v>
      </x:c>
      <x:c r="H1269" t="str">
        <x:v>Mochila Executiva</x:v>
      </x:c>
      <x:c r="I1269" t="str">
        <x:v>Ana</x:v>
      </x:c>
      <x:c r="J1269" s="53" t="n">
        <x:v>5</x:v>
      </x:c>
      <x:c r="K1269" s="54" t="n">
        <x:v>451.81</x:v>
      </x:c>
      <x:c r="L1269" s="54" t="n">
        <x:v>198.27</x:v>
      </x:c>
      <x:c r="M1269" s="55" t="n">
        <x:v>0.0825</x:v>
      </x:c>
      <x:c r="N1269" s="54" t="n">
        <x:f>ROUND(J1269*K1269,2)</x:f>
        <x:v>2259.05</x:v>
      </x:c>
      <x:c r="O1269" s="54" t="n">
        <x:f>ROUND(N1269*(1-M1269),2)</x:f>
        <x:v>2072.68</x:v>
      </x:c>
      <x:c r="P1269" s="54" t="n">
        <x:f>ROUND(J1269*L1269,2)</x:f>
        <x:v>991.35</x:v>
      </x:c>
      <x:c r="Q1269" s="54" t="n">
        <x:f>ROUND(O1269-P1269,2)</x:f>
        <x:v>1081.33</x:v>
      </x:c>
      <x:c r="R1269" s="55" t="n">
        <x:f>IF(O1269=0,0,ROUND(Q1269/O1269,4))</x:f>
        <x:v>0.5217</x:v>
      </x:c>
      <x:c r="S1269" s="53" t="n">
        <x:v>8</x:v>
      </x:c>
      <x:c r="T1269" t="str">
        <x:v>Entregue</x:v>
      </x:c>
      <x:c r="U1269" t="n">
        <x:v>2</x:v>
      </x:c>
      <x:c r="V1269" t="str"/>
    </x:row>
    <x:row r="1270">
      <x:c r="A1270" s="52" t="n">
        <x:v>46066</x:v>
      </x:c>
      <x:c r="B1270" t="str">
        <x:v>PED-101269</x:v>
      </x:c>
      <x:c r="C1270" t="str">
        <x:v>Cliente 119</x:v>
      </x:c>
      <x:c r="D1270" t="str">
        <x:v>MT</x:v>
      </x:c>
      <x:c r="E1270" t="str">
        <x:v>Centro-Oeste</x:v>
      </x:c>
      <x:c r="F1270" t="str">
        <x:v>Televendas</x:v>
      </x:c>
      <x:c r="G1270" t="str">
        <x:v>Acessórios</x:v>
      </x:c>
      <x:c r="H1270" t="str">
        <x:v>Mochila Executiva</x:v>
      </x:c>
      <x:c r="I1270" t="str">
        <x:v>João</x:v>
      </x:c>
      <x:c r="J1270" s="53" t="n">
        <x:v>5</x:v>
      </x:c>
      <x:c r="K1270" s="54" t="n">
        <x:v>425.27</x:v>
      </x:c>
      <x:c r="L1270" s="54" t="n">
        <x:v>182.8</x:v>
      </x:c>
      <x:c r="M1270" s="55" t="n">
        <x:v>0</x:v>
      </x:c>
      <x:c r="N1270" s="54" t="n">
        <x:f>ROUND(J1270*K1270,2)</x:f>
        <x:v>2126.35</x:v>
      </x:c>
      <x:c r="O1270" s="54" t="n">
        <x:f>ROUND(N1270*(1-M1270),2)</x:f>
        <x:v>2126.35</x:v>
      </x:c>
      <x:c r="P1270" s="54" t="n">
        <x:f>ROUND(J1270*L1270,2)</x:f>
        <x:v>914</x:v>
      </x:c>
      <x:c r="Q1270" s="54" t="n">
        <x:f>ROUND(O1270-P1270,2)</x:f>
        <x:v>1212.35</x:v>
      </x:c>
      <x:c r="R1270" s="55" t="n">
        <x:f>IF(O1270=0,0,ROUND(Q1270/O1270,4))</x:f>
        <x:v>0.5702</x:v>
      </x:c>
      <x:c r="S1270" s="53" t="n">
        <x:v>7</x:v>
      </x:c>
      <x:c r="T1270" t="str">
        <x:v>Entregue</x:v>
      </x:c>
      <x:c r="U1270" t="n">
        <x:v>3</x:v>
      </x:c>
      <x:c r="V1270" t="str"/>
    </x:row>
    <x:row r="1271">
      <x:c r="A1271" s="52" t="n">
        <x:v>46234</x:v>
      </x:c>
      <x:c r="B1271" t="str">
        <x:v>PED-101270</x:v>
      </x:c>
      <x:c r="C1271" t="str">
        <x:v>Cliente 069</x:v>
      </x:c>
      <x:c r="D1271" t="str">
        <x:v>PA</x:v>
      </x:c>
      <x:c r="E1271" t="str">
        <x:v>Norte</x:v>
      </x:c>
      <x:c r="F1271" t="str">
        <x:v>Marketplace</x:v>
      </x:c>
      <x:c r="G1271" t="str">
        <x:v>Acessórios</x:v>
      </x:c>
      <x:c r="H1271" t="str">
        <x:v>Mochila Executiva</x:v>
      </x:c>
      <x:c r="I1271" t="str">
        <x:v>Bruno</x:v>
      </x:c>
      <x:c r="J1271" s="53" t="n">
        <x:v>5</x:v>
      </x:c>
      <x:c r="K1271" s="54" t="n">
        <x:v>432.11</x:v>
      </x:c>
      <x:c r="L1271" s="54" t="n">
        <x:v>205.12</x:v>
      </x:c>
      <x:c r="M1271" s="55" t="n">
        <x:v>0.035</x:v>
      </x:c>
      <x:c r="N1271" s="54" t="n">
        <x:f>ROUND(J1271*K1271,2)</x:f>
        <x:v>2160.55</x:v>
      </x:c>
      <x:c r="O1271" s="54" t="n">
        <x:f>ROUND(N1271*(1-M1271),2)</x:f>
        <x:v>2084.93</x:v>
      </x:c>
      <x:c r="P1271" s="54" t="n">
        <x:f>ROUND(J1271*L1271,2)</x:f>
        <x:v>1025.6</x:v>
      </x:c>
      <x:c r="Q1271" s="54" t="n">
        <x:f>ROUND(O1271-P1271,2)</x:f>
        <x:v>1059.33</x:v>
      </x:c>
      <x:c r="R1271" s="55" t="n">
        <x:f>IF(O1271=0,0,ROUND(Q1271/O1271,4))</x:f>
        <x:v>0.5081</x:v>
      </x:c>
      <x:c r="S1271" s="53" t="n">
        <x:v>14</x:v>
      </x:c>
      <x:c r="T1271" t="str">
        <x:v>Entregue com atraso</x:v>
      </x:c>
      <x:c r="U1271" t="n">
        <x:v>3</x:v>
      </x:c>
      <x:c r="V1271" t="str"/>
    </x:row>
    <x:row r="1272">
      <x:c r="A1272" s="52" t="n">
        <x:v>46142</x:v>
      </x:c>
      <x:c r="B1272" t="str">
        <x:v>PED-101271</x:v>
      </x:c>
      <x:c r="C1272" t="str">
        <x:v>Cliente 059</x:v>
      </x:c>
      <x:c r="D1272" t="str">
        <x:v>MG</x:v>
      </x:c>
      <x:c r="E1272" t="str">
        <x:v>Sudeste</x:v>
      </x:c>
      <x:c r="F1272" t="str">
        <x:v>Marketplace</x:v>
      </x:c>
      <x:c r="G1272" t="str">
        <x:v>Escritório</x:v>
      </x:c>
      <x:c r="H1272" t="str">
        <x:v>Cadeira Ergonômica</x:v>
      </x:c>
      <x:c r="I1272" t="str">
        <x:v>Henrique</x:v>
      </x:c>
      <x:c r="J1272" s="53" t="n">
        <x:v>8</x:v>
      </x:c>
      <x:c r="K1272" s="54" t="n">
        <x:v>2098.46</x:v>
      </x:c>
      <x:c r="L1272" s="54" t="n">
        <x:v>1380.24</x:v>
      </x:c>
      <x:c r="M1272" s="55" t="n">
        <x:v>0.072</x:v>
      </x:c>
      <x:c r="N1272" s="54" t="n">
        <x:f>ROUND(J1272*K1272,2)</x:f>
        <x:v>16787.68</x:v>
      </x:c>
      <x:c r="O1272" s="54" t="n">
        <x:f>ROUND(N1272*(1-M1272),2)</x:f>
        <x:v>15578.97</x:v>
      </x:c>
      <x:c r="P1272" s="54" t="n">
        <x:f>ROUND(J1272*L1272,2)</x:f>
        <x:v>11041.92</x:v>
      </x:c>
      <x:c r="Q1272" s="54" t="n">
        <x:f>ROUND(O1272-P1272,2)</x:f>
        <x:v>4537.05</x:v>
      </x:c>
      <x:c r="R1272" s="55" t="n">
        <x:f>IF(O1272=0,0,ROUND(Q1272/O1272,4))</x:f>
        <x:v>0.2912</x:v>
      </x:c>
      <x:c r="S1272" s="53" t="n">
        <x:v>7</x:v>
      </x:c>
      <x:c r="T1272" t="str">
        <x:v>Entregue</x:v>
      </x:c>
      <x:c r="U1272" t="n">
        <x:v>2</x:v>
      </x:c>
      <x:c r="V1272" t="str"/>
    </x:row>
    <x:row r="1273">
      <x:c r="A1273" s="52" t="n">
        <x:v>46039</x:v>
      </x:c>
      <x:c r="B1273" t="str">
        <x:v>PED-101272</x:v>
      </x:c>
      <x:c r="C1273" t="str">
        <x:v>Cliente 049</x:v>
      </x:c>
      <x:c r="D1273" t="str">
        <x:v>DF</x:v>
      </x:c>
      <x:c r="E1273" t="str">
        <x:v>Centro-Oeste</x:v>
      </x:c>
      <x:c r="F1273" t="str">
        <x:v>Marketplace</x:v>
      </x:c>
      <x:c r="G1273" t="str">
        <x:v>Acessórios</x:v>
      </x:c>
      <x:c r="H1273" t="str">
        <x:v>Webcam HD</x:v>
      </x:c>
      <x:c r="I1273" t="str">
        <x:v>Felipe</x:v>
      </x:c>
      <x:c r="J1273" s="53" t="n">
        <x:v>1</x:v>
      </x:c>
      <x:c r="K1273" s="54" t="n">
        <x:v>482.15</x:v>
      </x:c>
      <x:c r="L1273" s="54" t="n">
        <x:v>235.31</x:v>
      </x:c>
      <x:c r="M1273" s="55" t="n">
        <x:v>0.035</x:v>
      </x:c>
      <x:c r="N1273" s="54" t="n">
        <x:f>ROUND(J1273*K1273,2)</x:f>
        <x:v>482.15</x:v>
      </x:c>
      <x:c r="O1273" s="54" t="n">
        <x:f>ROUND(N1273*(1-M1273),2)</x:f>
        <x:v>465.27</x:v>
      </x:c>
      <x:c r="P1273" s="54" t="n">
        <x:f>ROUND(J1273*L1273,2)</x:f>
        <x:v>235.31</x:v>
      </x:c>
      <x:c r="Q1273" s="54" t="n">
        <x:f>ROUND(O1273-P1273,2)</x:f>
        <x:v>229.96</x:v>
      </x:c>
      <x:c r="R1273" s="55" t="n">
        <x:f>IF(O1273=0,0,ROUND(Q1273/O1273,4))</x:f>
        <x:v>0.4943</x:v>
      </x:c>
      <x:c r="S1273" s="53" t="n">
        <x:v>7</x:v>
      </x:c>
      <x:c r="T1273" t="str">
        <x:v>Entregue</x:v>
      </x:c>
      <x:c r="U1273" t="n">
        <x:v>4</x:v>
      </x:c>
      <x:c r="V1273" t="str"/>
    </x:row>
    <x:row r="1274">
      <x:c r="A1274" s="52" t="n">
        <x:v>46218</x:v>
      </x:c>
      <x:c r="B1274" t="str">
        <x:v>PED-101273</x:v>
      </x:c>
      <x:c r="C1274" t="str">
        <x:v>Cliente 047</x:v>
      </x:c>
      <x:c r="D1274" t="str">
        <x:v>DF</x:v>
      </x:c>
      <x:c r="E1274" t="str">
        <x:v>Centro-Oeste</x:v>
      </x:c>
      <x:c r="F1274" t="str">
        <x:v>E-commerce</x:v>
      </x:c>
      <x:c r="G1274" t="str">
        <x:v>Escritório</x:v>
      </x:c>
      <x:c r="H1274" t="str">
        <x:v>Cadeira Ergonômica</x:v>
      </x:c>
      <x:c r="I1274" t="str">
        <x:v>Felipe</x:v>
      </x:c>
      <x:c r="J1274" s="53" t="n">
        <x:v>5</x:v>
      </x:c>
      <x:c r="K1274" s="54" t="n">
        <x:v>2130.42</x:v>
      </x:c>
      <x:c r="L1274" s="54" t="n">
        <x:v>1387.01</x:v>
      </x:c>
      <x:c r="M1274" s="55" t="n">
        <x:v>0</x:v>
      </x:c>
      <x:c r="N1274" s="54" t="n">
        <x:f>ROUND(J1274*K1274,2)</x:f>
        <x:v>10652.1</x:v>
      </x:c>
      <x:c r="O1274" s="54" t="n">
        <x:f>ROUND(N1274*(1-M1274),2)</x:f>
        <x:v>10652.1</x:v>
      </x:c>
      <x:c r="P1274" s="54" t="n">
        <x:f>ROUND(J1274*L1274,2)</x:f>
        <x:v>6935.05</x:v>
      </x:c>
      <x:c r="Q1274" s="54" t="n">
        <x:f>ROUND(O1274-P1274,2)</x:f>
        <x:v>3717.05</x:v>
      </x:c>
      <x:c r="R1274" s="55" t="n">
        <x:f>IF(O1274=0,0,ROUND(Q1274/O1274,4))</x:f>
        <x:v>0.3489</x:v>
      </x:c>
      <x:c r="S1274" s="53" t="n">
        <x:v>2</x:v>
      </x:c>
      <x:c r="T1274" t="str">
        <x:v>Entregue</x:v>
      </x:c>
      <x:c r="U1274" t="n">
        <x:v>3</x:v>
      </x:c>
      <x:c r="V1274" t="str"/>
    </x:row>
    <x:row r="1275">
      <x:c r="A1275" s="52" t="n">
        <x:v>46057</x:v>
      </x:c>
      <x:c r="B1275" t="str">
        <x:v>PED-101274</x:v>
      </x:c>
      <x:c r="C1275" t="str">
        <x:v>Cliente 006</x:v>
      </x:c>
      <x:c r="D1275" t="str">
        <x:v>MG</x:v>
      </x:c>
      <x:c r="E1275" t="str">
        <x:v>Sudeste</x:v>
      </x:c>
      <x:c r="F1275" t="str">
        <x:v>Loja</x:v>
      </x:c>
      <x:c r="G1275" t="str">
        <x:v>Escritório</x:v>
      </x:c>
      <x:c r="H1275" t="str">
        <x:v>Mesa Ajustável</x:v>
      </x:c>
      <x:c r="I1275" t="str">
        <x:v>Elaine</x:v>
      </x:c>
      <x:c r="J1275" s="53" t="n">
        <x:v>1</x:v>
      </x:c>
      <x:c r="K1275" s="54" t="n">
        <x:v>2954.12</x:v>
      </x:c>
      <x:c r="L1275" s="54" t="n">
        <x:v>1814.84</x:v>
      </x:c>
      <x:c r="M1275" s="55" t="n">
        <x:v>0.1136</x:v>
      </x:c>
      <x:c r="N1275" s="54" t="n">
        <x:f>ROUND(J1275*K1275,2)</x:f>
        <x:v>2954.12</x:v>
      </x:c>
      <x:c r="O1275" s="54" t="n">
        <x:f>ROUND(N1275*(1-M1275),2)</x:f>
        <x:v>2618.53</x:v>
      </x:c>
      <x:c r="P1275" s="54" t="n">
        <x:f>ROUND(J1275*L1275,2)</x:f>
        <x:v>1814.84</x:v>
      </x:c>
      <x:c r="Q1275" s="54" t="n">
        <x:f>ROUND(O1275-P1275,2)</x:f>
        <x:v>803.69</x:v>
      </x:c>
      <x:c r="R1275" s="55" t="n">
        <x:f>IF(O1275=0,0,ROUND(Q1275/O1275,4))</x:f>
        <x:v>0.3069</x:v>
      </x:c>
      <x:c r="S1275" s="53" t="n">
        <x:v>2</x:v>
      </x:c>
      <x:c r="T1275" t="str">
        <x:v>Entregue</x:v>
      </x:c>
      <x:c r="U1275" t="n">
        <x:v>5</x:v>
      </x:c>
      <x:c r="V1275" t="str"/>
    </x:row>
    <x:row r="1276">
      <x:c r="A1276" s="52" t="n">
        <x:v>46123</x:v>
      </x:c>
      <x:c r="B1276" t="str">
        <x:v>PED-101275</x:v>
      </x:c>
      <x:c r="C1276" t="str">
        <x:v>Cliente 030</x:v>
      </x:c>
      <x:c r="D1276" t="str">
        <x:v>MA</x:v>
      </x:c>
      <x:c r="E1276" t="str">
        <x:v>Nordeste</x:v>
      </x:c>
      <x:c r="F1276" t="str">
        <x:v>E-commerce</x:v>
      </x:c>
      <x:c r="G1276" t="str">
        <x:v>Tecnologia</x:v>
      </x:c>
      <x:c r="H1276" t="str">
        <x:v>Headset Office</x:v>
      </x:c>
      <x:c r="I1276" t="str">
        <x:v>Carla</x:v>
      </x:c>
      <x:c r="J1276" s="53" t="n">
        <x:v>4</x:v>
      </x:c>
      <x:c r="K1276" s="54" t="n">
        <x:v>382.07</x:v>
      </x:c>
      <x:c r="L1276" s="54" t="n">
        <x:v>220.92</x:v>
      </x:c>
      <x:c r="M1276" s="55" t="n">
        <x:v>0.0247</x:v>
      </x:c>
      <x:c r="N1276" s="54" t="n">
        <x:f>ROUND(J1276*K1276,2)</x:f>
        <x:v>1528.28</x:v>
      </x:c>
      <x:c r="O1276" s="54" t="n">
        <x:f>ROUND(N1276*(1-M1276),2)</x:f>
        <x:v>1490.53</x:v>
      </x:c>
      <x:c r="P1276" s="54" t="n">
        <x:f>ROUND(J1276*L1276,2)</x:f>
        <x:v>883.68</x:v>
      </x:c>
      <x:c r="Q1276" s="54" t="n">
        <x:f>ROUND(O1276-P1276,2)</x:f>
        <x:v>606.85</x:v>
      </x:c>
      <x:c r="R1276" s="55" t="n">
        <x:f>IF(O1276=0,0,ROUND(Q1276/O1276,4))</x:f>
        <x:v>0.4071</x:v>
      </x:c>
      <x:c r="S1276" s="53" t="n">
        <x:v>2</x:v>
      </x:c>
      <x:c r="T1276" t="str">
        <x:v>Entregue</x:v>
      </x:c>
      <x:c r="U1276" t="n">
        <x:v>2</x:v>
      </x:c>
      <x:c r="V1276" t="str"/>
    </x:row>
    <x:row r="1277">
      <x:c r="A1277" s="52" t="n">
        <x:v>46088</x:v>
      </x:c>
      <x:c r="B1277" t="str">
        <x:v>PED-101276</x:v>
      </x:c>
      <x:c r="C1277" t="str">
        <x:v>Cliente 027</x:v>
      </x:c>
      <x:c r="D1277" t="str">
        <x:v>RS</x:v>
      </x:c>
      <x:c r="E1277" t="str">
        <x:v>Sul</x:v>
      </x:c>
      <x:c r="F1277" t="str">
        <x:v>E-commerce</x:v>
      </x:c>
      <x:c r="G1277" t="str">
        <x:v>Casa</x:v>
      </x:c>
      <x:c r="H1277" t="str">
        <x:v>Aspirador Robô</x:v>
      </x:c>
      <x:c r="I1277" t="str">
        <x:v>João</x:v>
      </x:c>
      <x:c r="J1277" s="53" t="n">
        <x:v>3</x:v>
      </x:c>
      <x:c r="K1277" s="54" t="n">
        <x:v>1930.35</x:v>
      </x:c>
      <x:c r="L1277" s="54" t="n">
        <x:v>1149.2</x:v>
      </x:c>
      <x:c r="M1277" s="55" t="n">
        <x:v>0</x:v>
      </x:c>
      <x:c r="N1277" s="54" t="n">
        <x:f>ROUND(J1277*K1277,2)</x:f>
        <x:v>5791.05</x:v>
      </x:c>
      <x:c r="O1277" s="54" t="n">
        <x:f>ROUND(N1277*(1-M1277),2)</x:f>
        <x:v>5791.05</x:v>
      </x:c>
      <x:c r="P1277" s="54" t="n">
        <x:f>ROUND(J1277*L1277,2)</x:f>
        <x:v>3447.6</x:v>
      </x:c>
      <x:c r="Q1277" s="54" t="n">
        <x:f>ROUND(O1277-P1277,2)</x:f>
        <x:v>2343.45</x:v>
      </x:c>
      <x:c r="R1277" s="55" t="n">
        <x:f>IF(O1277=0,0,ROUND(Q1277/O1277,4))</x:f>
        <x:v>0.4047</x:v>
      </x:c>
      <x:c r="S1277" s="53" t="n">
        <x:v>5</x:v>
      </x:c>
      <x:c r="T1277" t="str">
        <x:v>Entregue</x:v>
      </x:c>
      <x:c r="U1277" t="n">
        <x:v>2</x:v>
      </x:c>
      <x:c r="V1277" t="str"/>
    </x:row>
    <x:row r="1278">
      <x:c r="A1278" s="52" t="n">
        <x:v>46200</x:v>
      </x:c>
      <x:c r="B1278" t="str">
        <x:v>PED-101277</x:v>
      </x:c>
      <x:c r="C1278" t="str">
        <x:v>Cliente 091</x:v>
      </x:c>
      <x:c r="D1278" t="str">
        <x:v>DF</x:v>
      </x:c>
      <x:c r="E1278" t="str">
        <x:v>Centro-Oeste</x:v>
      </x:c>
      <x:c r="F1278" t="str">
        <x:v>E-commerce</x:v>
      </x:c>
      <x:c r="G1278" t="str">
        <x:v>Casa</x:v>
      </x:c>
      <x:c r="H1278" t="str">
        <x:v>Aspirador Robô</x:v>
      </x:c>
      <x:c r="I1278" t="str">
        <x:v>Gabriela</x:v>
      </x:c>
      <x:c r="J1278" s="53" t="n">
        <x:v>5</x:v>
      </x:c>
      <x:c r="K1278" s="54" t="n">
        <x:v>1841.92</x:v>
      </x:c>
      <x:c r="L1278" s="54" t="n">
        <x:v>1204.87</x:v>
      </x:c>
      <x:c r="M1278" s="55" t="n">
        <x:v>0</x:v>
      </x:c>
      <x:c r="N1278" s="54" t="n">
        <x:f>ROUND(J1278*K1278,2)</x:f>
        <x:v>9209.6</x:v>
      </x:c>
      <x:c r="O1278" s="54" t="n">
        <x:f>ROUND(N1278*(1-M1278),2)</x:f>
        <x:v>9209.6</x:v>
      </x:c>
      <x:c r="P1278" s="54" t="n">
        <x:f>ROUND(J1278*L1278,2)</x:f>
        <x:v>6024.35</x:v>
      </x:c>
      <x:c r="Q1278" s="54" t="n">
        <x:f>ROUND(O1278-P1278,2)</x:f>
        <x:v>3185.25</x:v>
      </x:c>
      <x:c r="R1278" s="55" t="n">
        <x:f>IF(O1278=0,0,ROUND(Q1278/O1278,4))</x:f>
        <x:v>0.3459</x:v>
      </x:c>
      <x:c r="S1278" s="53" t="n">
        <x:v>9</x:v>
      </x:c>
      <x:c r="T1278" t="str">
        <x:v>Entregue</x:v>
      </x:c>
      <x:c r="U1278" t="n">
        <x:v>5</x:v>
      </x:c>
      <x:c r="V1278" t="str"/>
    </x:row>
    <x:row r="1279">
      <x:c r="A1279" s="52" t="n">
        <x:v>46100</x:v>
      </x:c>
      <x:c r="B1279" t="str">
        <x:v>PED-101278</x:v>
      </x:c>
      <x:c r="C1279" t="str">
        <x:v>Cliente 115</x:v>
      </x:c>
      <x:c r="D1279" t="str">
        <x:v>BA</x:v>
      </x:c>
      <x:c r="E1279" t="str">
        <x:v>Nordeste</x:v>
      </x:c>
      <x:c r="F1279" t="str">
        <x:v>Marketplace</x:v>
      </x:c>
      <x:c r="G1279" t="str">
        <x:v>Escritório</x:v>
      </x:c>
      <x:c r="H1279" t="str">
        <x:v>Luminária LED</x:v>
      </x:c>
      <x:c r="I1279" t="str">
        <x:v>Isabela</x:v>
      </x:c>
      <x:c r="J1279" s="53" t="n">
        <x:v>4</x:v>
      </x:c>
      <x:c r="K1279" s="54" t="n">
        <x:v>247.47</x:v>
      </x:c>
      <x:c r="L1279" s="54" t="n">
        <x:v>127.36</x:v>
      </x:c>
      <x:c r="M1279" s="55" t="n">
        <x:v>0.035</x:v>
      </x:c>
      <x:c r="N1279" s="54" t="n">
        <x:f>ROUND(J1279*K1279,2)</x:f>
        <x:v>989.88</x:v>
      </x:c>
      <x:c r="O1279" s="54" t="n">
        <x:f>ROUND(N1279*(1-M1279),2)</x:f>
        <x:v>955.23</x:v>
      </x:c>
      <x:c r="P1279" s="54" t="n">
        <x:f>ROUND(J1279*L1279,2)</x:f>
        <x:v>509.44</x:v>
      </x:c>
      <x:c r="Q1279" s="54" t="n">
        <x:f>ROUND(O1279-P1279,2)</x:f>
        <x:v>445.79</x:v>
      </x:c>
      <x:c r="R1279" s="55" t="n">
        <x:f>IF(O1279=0,0,ROUND(Q1279/O1279,4))</x:f>
        <x:v>0.4667</x:v>
      </x:c>
      <x:c r="S1279" s="53" t="n">
        <x:v>6</x:v>
      </x:c>
      <x:c r="T1279" t="str">
        <x:v>Entregue</x:v>
      </x:c>
      <x:c r="U1279" t="n">
        <x:v>3</x:v>
      </x:c>
      <x:c r="V1279" t="str"/>
    </x:row>
    <x:row r="1280">
      <x:c r="A1280" s="52" t="n">
        <x:v>46100</x:v>
      </x:c>
      <x:c r="B1280" t="str">
        <x:v>PED-101279</x:v>
      </x:c>
      <x:c r="C1280" t="str">
        <x:v>Cliente 002</x:v>
      </x:c>
      <x:c r="D1280" t="str">
        <x:v>SC</x:v>
      </x:c>
      <x:c r="E1280" t="str">
        <x:v>Sul</x:v>
      </x:c>
      <x:c r="F1280" t="str">
        <x:v>Loja</x:v>
      </x:c>
      <x:c r="G1280" t="str">
        <x:v>Acessórios</x:v>
      </x:c>
      <x:c r="H1280" t="str">
        <x:v>Webcam HD</x:v>
      </x:c>
      <x:c r="I1280" t="str">
        <x:v>Felipe</x:v>
      </x:c>
      <x:c r="J1280" s="53" t="n">
        <x:v>8</x:v>
      </x:c>
      <x:c r="K1280" s="54" t="n">
        <x:v>494.86</x:v>
      </x:c>
      <x:c r="L1280" s="54" t="n">
        <x:v>230.45</x:v>
      </x:c>
      <x:c r="M1280" s="55" t="n">
        <x:v>0.1154</x:v>
      </x:c>
      <x:c r="N1280" s="54" t="n">
        <x:f>ROUND(J1280*K1280,2)</x:f>
        <x:v>3958.88</x:v>
      </x:c>
      <x:c r="O1280" s="54" t="n">
        <x:f>ROUND(N1280*(1-M1280),2)</x:f>
        <x:v>3502.03</x:v>
      </x:c>
      <x:c r="P1280" s="54" t="n">
        <x:f>ROUND(J1280*L1280,2)</x:f>
        <x:v>1843.6</x:v>
      </x:c>
      <x:c r="Q1280" s="54" t="n">
        <x:f>ROUND(O1280-P1280,2)</x:f>
        <x:v>1658.43</x:v>
      </x:c>
      <x:c r="R1280" s="55" t="n">
        <x:f>IF(O1280=0,0,ROUND(Q1280/O1280,4))</x:f>
        <x:v>0.4736</x:v>
      </x:c>
      <x:c r="S1280" s="53" t="n">
        <x:v>7</x:v>
      </x:c>
      <x:c r="T1280" t="str">
        <x:v>Entregue</x:v>
      </x:c>
      <x:c r="U1280" t="n">
        <x:v>5</x:v>
      </x:c>
      <x:c r="V1280" t="str"/>
    </x:row>
    <x:row r="1281">
      <x:c r="A1281" s="52" t="n">
        <x:v>46084</x:v>
      </x:c>
      <x:c r="B1281" t="str">
        <x:v>PED-101280</x:v>
      </x:c>
      <x:c r="C1281" t="str">
        <x:v>Cliente 010</x:v>
      </x:c>
      <x:c r="D1281" t="str">
        <x:v>PE</x:v>
      </x:c>
      <x:c r="E1281" t="str">
        <x:v>Nordeste</x:v>
      </x:c>
      <x:c r="F1281" t="str">
        <x:v>Loja</x:v>
      </x:c>
      <x:c r="G1281" t="str">
        <x:v>Escritório</x:v>
      </x:c>
      <x:c r="H1281" t="str">
        <x:v>Mesa Ajustável</x:v>
      </x:c>
      <x:c r="I1281" t="str">
        <x:v>Elaine</x:v>
      </x:c>
      <x:c r="J1281" s="53" t="n">
        <x:v>8</x:v>
      </x:c>
      <x:c r="K1281" s="54" t="n">
        <x:v>2848.43</x:v>
      </x:c>
      <x:c r="L1281" s="54" t="n">
        <x:v>1900.5</x:v>
      </x:c>
      <x:c r="M1281" s="55" t="n">
        <x:v>0</x:v>
      </x:c>
      <x:c r="N1281" s="54" t="n">
        <x:f>ROUND(J1281*K1281,2)</x:f>
        <x:v>22787.44</x:v>
      </x:c>
      <x:c r="O1281" s="54" t="n">
        <x:f>ROUND(N1281*(1-M1281),2)</x:f>
        <x:v>22787.44</x:v>
      </x:c>
      <x:c r="P1281" s="54" t="n">
        <x:f>ROUND(J1281*L1281,2)</x:f>
        <x:v>15204</x:v>
      </x:c>
      <x:c r="Q1281" s="54" t="n">
        <x:f>ROUND(O1281-P1281,2)</x:f>
        <x:v>7583.44</x:v>
      </x:c>
      <x:c r="R1281" s="55" t="n">
        <x:f>IF(O1281=0,0,ROUND(Q1281/O1281,4))</x:f>
        <x:v>0.3328</x:v>
      </x:c>
      <x:c r="S1281" s="53" t="n">
        <x:v>14</x:v>
      </x:c>
      <x:c r="T1281" t="str">
        <x:v>Entregue com atraso</x:v>
      </x:c>
      <x:c r="U1281" t="n">
        <x:v>5</x:v>
      </x:c>
      <x:c r="V1281" t="str"/>
    </x:row>
    <x:row r="1282">
      <x:c r="A1282" s="52" t="n">
        <x:v>46028</x:v>
      </x:c>
      <x:c r="B1282" t="str">
        <x:v>PED-101281</x:v>
      </x:c>
      <x:c r="C1282" t="str">
        <x:v>Cliente 002</x:v>
      </x:c>
      <x:c r="D1282" t="str">
        <x:v>ES</x:v>
      </x:c>
      <x:c r="E1282" t="str">
        <x:v>Sudeste</x:v>
      </x:c>
      <x:c r="F1282" t="str">
        <x:v>E-commerce</x:v>
      </x:c>
      <x:c r="G1282" t="str">
        <x:v>Tecnologia</x:v>
      </x:c>
      <x:c r="H1282" t="str">
        <x:v>Headset Office</x:v>
      </x:c>
      <x:c r="I1282" t="str">
        <x:v>Henrique</x:v>
      </x:c>
      <x:c r="J1282" s="53" t="n">
        <x:v>2</x:v>
      </x:c>
      <x:c r="K1282" s="54" t="n">
        <x:v>388.88</x:v>
      </x:c>
      <x:c r="L1282" s="54" t="n">
        <x:v>209.96</x:v>
      </x:c>
      <x:c r="M1282" s="55" t="n">
        <x:v>0</x:v>
      </x:c>
      <x:c r="N1282" s="54" t="n">
        <x:f>ROUND(J1282*K1282,2)</x:f>
        <x:v>777.76</x:v>
      </x:c>
      <x:c r="O1282" s="54" t="n">
        <x:f>ROUND(N1282*(1-M1282),2)</x:f>
        <x:v>777.76</x:v>
      </x:c>
      <x:c r="P1282" s="54" t="n">
        <x:f>ROUND(J1282*L1282,2)</x:f>
        <x:v>419.92</x:v>
      </x:c>
      <x:c r="Q1282" s="54" t="n">
        <x:f>ROUND(O1282-P1282,2)</x:f>
        <x:v>357.84</x:v>
      </x:c>
      <x:c r="R1282" s="55" t="n">
        <x:f>IF(O1282=0,0,ROUND(Q1282/O1282,4))</x:f>
        <x:v>0.4601</x:v>
      </x:c>
      <x:c r="S1282" s="53" t="n">
        <x:v>3</x:v>
      </x:c>
      <x:c r="T1282" t="str">
        <x:v>Entregue</x:v>
      </x:c>
      <x:c r="U1282" t="n">
        <x:v>3</x:v>
      </x:c>
      <x:c r="V1282" t="str"/>
    </x:row>
    <x:row r="1283">
      <x:c r="A1283" s="52" t="n">
        <x:v>46201</x:v>
      </x:c>
      <x:c r="B1283" t="str">
        <x:v>PED-101282</x:v>
      </x:c>
      <x:c r="C1283" t="str">
        <x:v>Cliente 044</x:v>
      </x:c>
      <x:c r="D1283" t="str">
        <x:v>CE</x:v>
      </x:c>
      <x:c r="E1283" t="str">
        <x:v>Nordeste</x:v>
      </x:c>
      <x:c r="F1283" t="str">
        <x:v>Televendas</x:v>
      </x:c>
      <x:c r="G1283" t="str">
        <x:v>Escritório</x:v>
      </x:c>
      <x:c r="H1283" t="str">
        <x:v>Luminária LED</x:v>
      </x:c>
      <x:c r="I1283" t="str">
        <x:v>Bruno</x:v>
      </x:c>
      <x:c r="J1283" s="53" t="n">
        <x:v>5</x:v>
      </x:c>
      <x:c r="K1283" s="54" t="n">
        <x:v>267.05</x:v>
      </x:c>
      <x:c r="L1283" s="54" t="n">
        <x:v>124.03</x:v>
      </x:c>
      <x:c r="M1283" s="55" t="n">
        <x:v>0.0556</x:v>
      </x:c>
      <x:c r="N1283" s="54" t="n">
        <x:f>ROUND(J1283*K1283,2)</x:f>
        <x:v>1335.25</x:v>
      </x:c>
      <x:c r="O1283" s="54" t="n">
        <x:f>ROUND(N1283*(1-M1283),2)</x:f>
        <x:v>1261.01</x:v>
      </x:c>
      <x:c r="P1283" s="54" t="n">
        <x:f>ROUND(J1283*L1283,2)</x:f>
        <x:v>620.15</x:v>
      </x:c>
      <x:c r="Q1283" s="54" t="n">
        <x:f>ROUND(O1283-P1283,2)</x:f>
        <x:v>640.86</x:v>
      </x:c>
      <x:c r="R1283" s="55" t="n">
        <x:f>IF(O1283=0,0,ROUND(Q1283/O1283,4))</x:f>
        <x:v>0.5082</x:v>
      </x:c>
      <x:c r="S1283" s="53" t="n">
        <x:v>5</x:v>
      </x:c>
      <x:c r="T1283" t="str">
        <x:v>Entregue</x:v>
      </x:c>
      <x:c r="U1283" t="n">
        <x:v>3</x:v>
      </x:c>
      <x:c r="V1283" t="str"/>
    </x:row>
    <x:row r="1284">
      <x:c r="A1284" s="52" t="n">
        <x:v>46226</x:v>
      </x:c>
      <x:c r="B1284" t="str">
        <x:v>PED-101283</x:v>
      </x:c>
      <x:c r="C1284" t="str">
        <x:v>Cliente 083</x:v>
      </x:c>
      <x:c r="D1284" t="str">
        <x:v>PR</x:v>
      </x:c>
      <x:c r="E1284" t="str">
        <x:v>Sul</x:v>
      </x:c>
      <x:c r="F1284" t="str">
        <x:v>Loja</x:v>
      </x:c>
      <x:c r="G1284" t="str">
        <x:v>Casa</x:v>
      </x:c>
      <x:c r="H1284" t="str">
        <x:v>Purificador</x:v>
      </x:c>
      <x:c r="I1284" t="str">
        <x:v>Bruno</x:v>
      </x:c>
      <x:c r="J1284" s="53" t="n">
        <x:v>8</x:v>
      </x:c>
      <x:c r="K1284" s="54" t="n">
        <x:v>1329.91</x:v>
      </x:c>
      <x:c r="L1284" s="54" t="n">
        <x:v>749.47</x:v>
      </x:c>
      <x:c r="M1284" s="55" t="n">
        <x:v>0.0353</x:v>
      </x:c>
      <x:c r="N1284" s="54" t="n">
        <x:f>ROUND(J1284*K1284,2)</x:f>
        <x:v>10639.28</x:v>
      </x:c>
      <x:c r="O1284" s="54" t="n">
        <x:f>ROUND(N1284*(1-M1284),2)</x:f>
        <x:v>10263.71</x:v>
      </x:c>
      <x:c r="P1284" s="54" t="n">
        <x:f>ROUND(J1284*L1284,2)</x:f>
        <x:v>5995.76</x:v>
      </x:c>
      <x:c r="Q1284" s="54" t="n">
        <x:f>ROUND(O1284-P1284,2)</x:f>
        <x:v>4267.95</x:v>
      </x:c>
      <x:c r="R1284" s="55" t="n">
        <x:f>IF(O1284=0,0,ROUND(Q1284/O1284,4))</x:f>
        <x:v>0.4158</x:v>
      </x:c>
      <x:c r="S1284" s="53" t="n">
        <x:v>9</x:v>
      </x:c>
      <x:c r="T1284" t="str">
        <x:v>Entregue</x:v>
      </x:c>
      <x:c r="U1284" t="n">
        <x:v>5</x:v>
      </x:c>
      <x:c r="V1284" t="str"/>
    </x:row>
    <x:row r="1285">
      <x:c r="A1285" s="52" t="n">
        <x:v>46167</x:v>
      </x:c>
      <x:c r="B1285" t="str">
        <x:v>PED-101284</x:v>
      </x:c>
      <x:c r="C1285" t="str">
        <x:v>Cliente 053</x:v>
      </x:c>
      <x:c r="D1285" t="str">
        <x:v>MG</x:v>
      </x:c>
      <x:c r="E1285" t="str">
        <x:v>Sudeste</x:v>
      </x:c>
      <x:c r="F1285" t="str">
        <x:v>E-commerce</x:v>
      </x:c>
      <x:c r="G1285" t="str">
        <x:v>Casa</x:v>
      </x:c>
      <x:c r="H1285" t="str">
        <x:v>Cafeteira Smart</x:v>
      </x:c>
      <x:c r="I1285" t="str">
        <x:v>Henrique</x:v>
      </x:c>
      <x:c r="J1285" s="53" t="n">
        <x:v>1</x:v>
      </x:c>
      <x:c r="K1285" s="54" t="n">
        <x:v>767.06</x:v>
      </x:c>
      <x:c r="L1285" s="54" t="n">
        <x:v>453.4</x:v>
      </x:c>
      <x:c r="M1285" s="55" t="n">
        <x:v>0.07</x:v>
      </x:c>
      <x:c r="N1285" s="54" t="n">
        <x:f>ROUND(J1285*K1285,2)</x:f>
        <x:v>767.06</x:v>
      </x:c>
      <x:c r="O1285" s="54" t="n">
        <x:f>ROUND(N1285*(1-M1285),2)</x:f>
        <x:v>713.37</x:v>
      </x:c>
      <x:c r="P1285" s="54" t="n">
        <x:f>ROUND(J1285*L1285,2)</x:f>
        <x:v>453.4</x:v>
      </x:c>
      <x:c r="Q1285" s="54" t="n">
        <x:f>ROUND(O1285-P1285,2)</x:f>
        <x:v>259.97</x:v>
      </x:c>
      <x:c r="R1285" s="55" t="n">
        <x:f>IF(O1285=0,0,ROUND(Q1285/O1285,4))</x:f>
        <x:v>0.3644</x:v>
      </x:c>
      <x:c r="S1285" s="53" t="n">
        <x:v>8</x:v>
      </x:c>
      <x:c r="T1285" t="str">
        <x:v>Entregue</x:v>
      </x:c>
      <x:c r="U1285" t="n">
        <x:v>2</x:v>
      </x:c>
      <x:c r="V1285" t="str"/>
    </x:row>
    <x:row r="1286">
      <x:c r="A1286" s="52" t="n">
        <x:v>46058</x:v>
      </x:c>
      <x:c r="B1286" t="str">
        <x:v>PED-101285</x:v>
      </x:c>
      <x:c r="C1286" t="str">
        <x:v>Cliente 023</x:v>
      </x:c>
      <x:c r="D1286" t="str">
        <x:v>MA</x:v>
      </x:c>
      <x:c r="E1286" t="str">
        <x:v>Nordeste</x:v>
      </x:c>
      <x:c r="F1286" t="str">
        <x:v>Televendas</x:v>
      </x:c>
      <x:c r="G1286" t="str">
        <x:v>Escritório</x:v>
      </x:c>
      <x:c r="H1286" t="str">
        <x:v>Cadeira Ergonômica</x:v>
      </x:c>
      <x:c r="I1286" t="str">
        <x:v>Diego</x:v>
      </x:c>
      <x:c r="J1286" s="53" t="n">
        <x:v>7</x:v>
      </x:c>
      <x:c r="K1286" s="54" t="n">
        <x:v>2226.42</x:v>
      </x:c>
      <x:c r="L1286" s="54" t="n">
        <x:v>1414.09</x:v>
      </x:c>
      <x:c r="M1286" s="55" t="n">
        <x:v>0.0368</x:v>
      </x:c>
      <x:c r="N1286" s="54" t="n">
        <x:f>ROUND(J1286*K1286,2)</x:f>
        <x:v>15584.94</x:v>
      </x:c>
      <x:c r="O1286" s="54" t="n">
        <x:f>ROUND(N1286*(1-M1286),2)</x:f>
        <x:v>15011.41</x:v>
      </x:c>
      <x:c r="P1286" s="54" t="n">
        <x:f>ROUND(J1286*L1286,2)</x:f>
        <x:v>9898.63</x:v>
      </x:c>
      <x:c r="Q1286" s="54" t="n">
        <x:f>ROUND(O1286-P1286,2)</x:f>
        <x:v>5112.78</x:v>
      </x:c>
      <x:c r="R1286" s="55" t="n">
        <x:f>IF(O1286=0,0,ROUND(Q1286/O1286,4))</x:f>
        <x:v>0.3406</x:v>
      </x:c>
      <x:c r="S1286" s="53" t="n">
        <x:v>2</x:v>
      </x:c>
      <x:c r="T1286" t="str">
        <x:v>Entregue</x:v>
      </x:c>
      <x:c r="U1286" t="n">
        <x:v>5</x:v>
      </x:c>
      <x:c r="V1286" t="str"/>
    </x:row>
    <x:row r="1287">
      <x:c r="A1287" s="52" t="n">
        <x:v>46159</x:v>
      </x:c>
      <x:c r="B1287" t="str">
        <x:v>PED-101286</x:v>
      </x:c>
      <x:c r="C1287" t="str">
        <x:v>Cliente 021</x:v>
      </x:c>
      <x:c r="D1287" t="str">
        <x:v>AM</x:v>
      </x:c>
      <x:c r="E1287" t="str">
        <x:v>Norte</x:v>
      </x:c>
      <x:c r="F1287" t="str">
        <x:v>E-commerce</x:v>
      </x:c>
      <x:c r="G1287" t="str">
        <x:v>Escritório</x:v>
      </x:c>
      <x:c r="H1287" t="str">
        <x:v>Cadeira Ergonômica</x:v>
      </x:c>
      <x:c r="I1287" t="str">
        <x:v>Gabriela</x:v>
      </x:c>
      <x:c r="J1287" s="53" t="n">
        <x:v>8</x:v>
      </x:c>
      <x:c r="K1287" s="54" t="n">
        <x:v>2105.78</x:v>
      </x:c>
      <x:c r="L1287" s="54" t="n">
        <x:v>1480.07</x:v>
      </x:c>
      <x:c r="M1287" s="55" t="n">
        <x:v>0</x:v>
      </x:c>
      <x:c r="N1287" s="54" t="n">
        <x:f>ROUND(J1287*K1287,2)</x:f>
        <x:v>16846.24</x:v>
      </x:c>
      <x:c r="O1287" s="54" t="n">
        <x:f>ROUND(N1287*(1-M1287),2)</x:f>
        <x:v>16846.24</x:v>
      </x:c>
      <x:c r="P1287" s="54" t="n">
        <x:f>ROUND(J1287*L1287,2)</x:f>
        <x:v>11840.56</x:v>
      </x:c>
      <x:c r="Q1287" s="54" t="n">
        <x:f>ROUND(O1287-P1287,2)</x:f>
        <x:v>5005.68</x:v>
      </x:c>
      <x:c r="R1287" s="55" t="n">
        <x:f>IF(O1287=0,0,ROUND(Q1287/O1287,4))</x:f>
        <x:v>0.2971</x:v>
      </x:c>
      <x:c r="S1287" s="53" t="n">
        <x:v>11</x:v>
      </x:c>
      <x:c r="T1287" t="str">
        <x:v>Entregue com atraso</x:v>
      </x:c>
      <x:c r="U1287" t="n">
        <x:v>2</x:v>
      </x:c>
      <x:c r="V1287" t="str"/>
    </x:row>
    <x:row r="1288">
      <x:c r="A1288" s="52" t="n">
        <x:v>46136</x:v>
      </x:c>
      <x:c r="B1288" t="str">
        <x:v>PED-101287</x:v>
      </x:c>
      <x:c r="C1288" t="str">
        <x:v>Cliente 116</x:v>
      </x:c>
      <x:c r="D1288" t="str">
        <x:v>MG</x:v>
      </x:c>
      <x:c r="E1288" t="str">
        <x:v>Sudeste</x:v>
      </x:c>
      <x:c r="F1288" t="str">
        <x:v>Marketplace</x:v>
      </x:c>
      <x:c r="G1288" t="str">
        <x:v>Acessórios</x:v>
      </x:c>
      <x:c r="H1288" t="str">
        <x:v>Webcam HD</x:v>
      </x:c>
      <x:c r="I1288" t="str">
        <x:v>Isabela</x:v>
      </x:c>
      <x:c r="J1288" s="53" t="n">
        <x:v>7</x:v>
      </x:c>
      <x:c r="K1288" s="54" t="n">
        <x:v>499.56</x:v>
      </x:c>
      <x:c r="L1288" s="54" t="n">
        <x:v>239</x:v>
      </x:c>
      <x:c r="M1288" s="55" t="n">
        <x:v>0.035</x:v>
      </x:c>
      <x:c r="N1288" s="54" t="n">
        <x:f>ROUND(J1288*K1288,2)</x:f>
        <x:v>3496.92</x:v>
      </x:c>
      <x:c r="O1288" s="54" t="n">
        <x:f>ROUND(N1288*(1-M1288),2)</x:f>
        <x:v>3374.53</x:v>
      </x:c>
      <x:c r="P1288" s="54" t="n">
        <x:f>ROUND(J1288*L1288,2)</x:f>
        <x:v>1673</x:v>
      </x:c>
      <x:c r="Q1288" s="54" t="n">
        <x:f>ROUND(O1288-P1288,2)</x:f>
        <x:v>1701.53</x:v>
      </x:c>
      <x:c r="R1288" s="55" t="n">
        <x:f>IF(O1288=0,0,ROUND(Q1288/O1288,4))</x:f>
        <x:v>0.5042</x:v>
      </x:c>
      <x:c r="S1288" s="53" t="n">
        <x:v>10</x:v>
      </x:c>
      <x:c r="T1288" t="str">
        <x:v>Entregue</x:v>
      </x:c>
      <x:c r="U1288" t="n">
        <x:v>2</x:v>
      </x:c>
      <x:c r="V1288" t="str"/>
    </x:row>
    <x:row r="1289">
      <x:c r="A1289" s="52" t="n">
        <x:v>46053</x:v>
      </x:c>
      <x:c r="B1289" t="str">
        <x:v>PED-101288</x:v>
      </x:c>
      <x:c r="C1289" t="str">
        <x:v>Cliente 120</x:v>
      </x:c>
      <x:c r="D1289" t="str">
        <x:v>RS</x:v>
      </x:c>
      <x:c r="E1289" t="str">
        <x:v>Sul</x:v>
      </x:c>
      <x:c r="F1289" t="str">
        <x:v>E-commerce</x:v>
      </x:c>
      <x:c r="G1289" t="str">
        <x:v>Tecnologia</x:v>
      </x:c>
      <x:c r="H1289" t="str">
        <x:v>Monitor 27</x:v>
      </x:c>
      <x:c r="I1289" t="str">
        <x:v>Carla</x:v>
      </x:c>
      <x:c r="J1289" s="53" t="n">
        <x:v>2</x:v>
      </x:c>
      <x:c r="K1289" s="54" t="n">
        <x:v>1643.9</x:v>
      </x:c>
      <x:c r="L1289" s="54" t="n">
        <x:v>1063.88</x:v>
      </x:c>
      <x:c r="M1289" s="55" t="n">
        <x:v>0.0116</x:v>
      </x:c>
      <x:c r="N1289" s="54" t="n">
        <x:f>ROUND(J1289*K1289,2)</x:f>
        <x:v>3287.8</x:v>
      </x:c>
      <x:c r="O1289" s="54" t="n">
        <x:f>ROUND(N1289*(1-M1289),2)</x:f>
        <x:v>3249.66</x:v>
      </x:c>
      <x:c r="P1289" s="54" t="n">
        <x:f>ROUND(J1289*L1289,2)</x:f>
        <x:v>2127.76</x:v>
      </x:c>
      <x:c r="Q1289" s="54" t="n">
        <x:f>ROUND(O1289-P1289,2)</x:f>
        <x:v>1121.9</x:v>
      </x:c>
      <x:c r="R1289" s="55" t="n">
        <x:f>IF(O1289=0,0,ROUND(Q1289/O1289,4))</x:f>
        <x:v>0.3452</x:v>
      </x:c>
      <x:c r="S1289" s="53" t="n">
        <x:v>4</x:v>
      </x:c>
      <x:c r="T1289" t="str">
        <x:v>Entregue</x:v>
      </x:c>
      <x:c r="U1289" t="n">
        <x:v>2</x:v>
      </x:c>
      <x:c r="V1289" t="str"/>
    </x:row>
    <x:row r="1290">
      <x:c r="A1290" s="52" t="n">
        <x:v>46213</x:v>
      </x:c>
      <x:c r="B1290" t="str">
        <x:v>PED-101289</x:v>
      </x:c>
      <x:c r="C1290" t="str">
        <x:v>Cliente 002</x:v>
      </x:c>
      <x:c r="D1290" t="str">
        <x:v>CE</x:v>
      </x:c>
      <x:c r="E1290" t="str">
        <x:v>Nordeste</x:v>
      </x:c>
      <x:c r="F1290" t="str">
        <x:v>Loja</x:v>
      </x:c>
      <x:c r="G1290" t="str">
        <x:v>Casa</x:v>
      </x:c>
      <x:c r="H1290" t="str">
        <x:v>Aspirador Robô</x:v>
      </x:c>
      <x:c r="I1290" t="str">
        <x:v>Bruno</x:v>
      </x:c>
      <x:c r="J1290" s="53" t="n">
        <x:v>8</x:v>
      </x:c>
      <x:c r="K1290" s="54" t="n">
        <x:v>1971.33</x:v>
      </x:c>
      <x:c r="L1290" s="54" t="n">
        <x:v>1243.21</x:v>
      </x:c>
      <x:c r="M1290" s="55" t="n">
        <x:v>0.026</x:v>
      </x:c>
      <x:c r="N1290" s="54" t="n">
        <x:f>ROUND(J1290*K1290,2)</x:f>
        <x:v>15770.64</x:v>
      </x:c>
      <x:c r="O1290" s="54" t="n">
        <x:f>ROUND(N1290*(1-M1290),2)</x:f>
        <x:v>15360.6</x:v>
      </x:c>
      <x:c r="P1290" s="54" t="n">
        <x:f>ROUND(J1290*L1290,2)</x:f>
        <x:v>9945.68</x:v>
      </x:c>
      <x:c r="Q1290" s="54" t="n">
        <x:f>ROUND(O1290-P1290,2)</x:f>
        <x:v>5414.92</x:v>
      </x:c>
      <x:c r="R1290" s="55" t="n">
        <x:f>IF(O1290=0,0,ROUND(Q1290/O1290,4))</x:f>
        <x:v>0.3525</x:v>
      </x:c>
      <x:c r="S1290" s="53" t="n">
        <x:v>11</x:v>
      </x:c>
      <x:c r="T1290" t="str">
        <x:v>Entregue com atraso</x:v>
      </x:c>
      <x:c r="U1290" t="n">
        <x:v>5</x:v>
      </x:c>
      <x:c r="V1290" t="str"/>
    </x:row>
    <x:row r="1291">
      <x:c r="A1291" s="52" t="n">
        <x:v>46191</x:v>
      </x:c>
      <x:c r="B1291" t="str">
        <x:v>PED-101290</x:v>
      </x:c>
      <x:c r="C1291" t="str">
        <x:v>Cliente 063</x:v>
      </x:c>
      <x:c r="D1291" t="str">
        <x:v>SP</x:v>
      </x:c>
      <x:c r="E1291" t="str">
        <x:v>Sudeste</x:v>
      </x:c>
      <x:c r="F1291" t="str">
        <x:v>Marketplace</x:v>
      </x:c>
      <x:c r="G1291" t="str">
        <x:v>Acessórios</x:v>
      </x:c>
      <x:c r="H1291" t="str">
        <x:v>Webcam HD</x:v>
      </x:c>
      <x:c r="I1291" t="str">
        <x:v>Elaine</x:v>
      </x:c>
      <x:c r="J1291" s="53" t="n">
        <x:v>2</x:v>
      </x:c>
      <x:c r="K1291" s="54" t="n">
        <x:v>482.14</x:v>
      </x:c>
      <x:c r="L1291" s="54" t="n">
        <x:v>234.97</x:v>
      </x:c>
      <x:c r="M1291" s="55" t="n">
        <x:v>0.1159</x:v>
      </x:c>
      <x:c r="N1291" s="54" t="n">
        <x:f>ROUND(J1291*K1291,2)</x:f>
        <x:v>964.28</x:v>
      </x:c>
      <x:c r="O1291" s="54" t="n">
        <x:f>ROUND(N1291*(1-M1291),2)</x:f>
        <x:v>852.52</x:v>
      </x:c>
      <x:c r="P1291" s="54" t="n">
        <x:f>ROUND(J1291*L1291,2)</x:f>
        <x:v>469.94</x:v>
      </x:c>
      <x:c r="Q1291" s="54" t="n">
        <x:f>ROUND(O1291-P1291,2)</x:f>
        <x:v>382.58</x:v>
      </x:c>
      <x:c r="R1291" s="55" t="n">
        <x:f>IF(O1291=0,0,ROUND(Q1291/O1291,4))</x:f>
        <x:v>0.4488</x:v>
      </x:c>
      <x:c r="S1291" s="53" t="n">
        <x:v>9</x:v>
      </x:c>
      <x:c r="T1291" t="str">
        <x:v>Entregue</x:v>
      </x:c>
      <x:c r="U1291" t="n">
        <x:v>5</x:v>
      </x:c>
      <x:c r="V1291" t="str"/>
    </x:row>
    <x:row r="1292">
      <x:c r="A1292" s="52" t="n">
        <x:v>46033</x:v>
      </x:c>
      <x:c r="B1292" t="str">
        <x:v>PED-101291</x:v>
      </x:c>
      <x:c r="C1292" t="str">
        <x:v>Cliente 026</x:v>
      </x:c>
      <x:c r="D1292" t="str">
        <x:v>PR</x:v>
      </x:c>
      <x:c r="E1292" t="str">
        <x:v>Sul</x:v>
      </x:c>
      <x:c r="F1292" t="str">
        <x:v>Televendas</x:v>
      </x:c>
      <x:c r="G1292" t="str">
        <x:v>Casa</x:v>
      </x:c>
      <x:c r="H1292" t="str">
        <x:v>Aspirador Robô</x:v>
      </x:c>
      <x:c r="I1292" t="str">
        <x:v>Felipe</x:v>
      </x:c>
      <x:c r="J1292" s="53" t="n">
        <x:v>6</x:v>
      </x:c>
      <x:c r="K1292" s="54" t="n">
        <x:v>1973.2</x:v>
      </x:c>
      <x:c r="L1292" s="54" t="n">
        <x:v>1170.62</x:v>
      </x:c>
      <x:c r="M1292" s="55" t="n">
        <x:v>0</x:v>
      </x:c>
      <x:c r="N1292" s="54" t="n">
        <x:f>ROUND(J1292*K1292,2)</x:f>
        <x:v>11839.2</x:v>
      </x:c>
      <x:c r="O1292" s="54" t="n">
        <x:f>ROUND(N1292*(1-M1292),2)</x:f>
        <x:v>11839.2</x:v>
      </x:c>
      <x:c r="P1292" s="54" t="n">
        <x:f>ROUND(J1292*L1292,2)</x:f>
        <x:v>7023.72</x:v>
      </x:c>
      <x:c r="Q1292" s="54" t="n">
        <x:f>ROUND(O1292-P1292,2)</x:f>
        <x:v>4815.48</x:v>
      </x:c>
      <x:c r="R1292" s="55" t="n">
        <x:f>IF(O1292=0,0,ROUND(Q1292/O1292,4))</x:f>
        <x:v>0.4067</x:v>
      </x:c>
      <x:c r="S1292" s="53" t="n">
        <x:v>8</x:v>
      </x:c>
      <x:c r="T1292" t="str">
        <x:v>Entregue</x:v>
      </x:c>
      <x:c r="U1292" t="n">
        <x:v>4</x:v>
      </x:c>
      <x:c r="V1292" t="str"/>
    </x:row>
    <x:row r="1293">
      <x:c r="A1293" s="52" t="n">
        <x:v>46040</x:v>
      </x:c>
      <x:c r="B1293" t="str">
        <x:v>PED-101292</x:v>
      </x:c>
      <x:c r="C1293" t="str">
        <x:v>Cliente 114</x:v>
      </x:c>
      <x:c r="D1293" t="str">
        <x:v>PR</x:v>
      </x:c>
      <x:c r="E1293" t="str">
        <x:v>Sul</x:v>
      </x:c>
      <x:c r="F1293" t="str">
        <x:v>Marketplace</x:v>
      </x:c>
      <x:c r="G1293" t="str">
        <x:v>Tecnologia</x:v>
      </x:c>
      <x:c r="H1293" t="str">
        <x:v>Monitor 27</x:v>
      </x:c>
      <x:c r="I1293" t="str">
        <x:v>Gabriela</x:v>
      </x:c>
      <x:c r="J1293" s="53" t="n">
        <x:v>4</x:v>
      </x:c>
      <x:c r="K1293" s="54" t="n">
        <x:v>1666.76</x:v>
      </x:c>
      <x:c r="L1293" s="54" t="n">
        <x:v>1081.86</x:v>
      </x:c>
      <x:c r="M1293" s="55" t="n">
        <x:v>0.1422</x:v>
      </x:c>
      <x:c r="N1293" s="54" t="n">
        <x:f>ROUND(J1293*K1293,2)</x:f>
        <x:v>6667.04</x:v>
      </x:c>
      <x:c r="O1293" s="54" t="n">
        <x:f>ROUND(N1293*(1-M1293),2)</x:f>
        <x:v>5718.99</x:v>
      </x:c>
      <x:c r="P1293" s="54" t="n">
        <x:f>ROUND(J1293*L1293,2)</x:f>
        <x:v>4327.44</x:v>
      </x:c>
      <x:c r="Q1293" s="54" t="n">
        <x:f>ROUND(O1293-P1293,2)</x:f>
        <x:v>1391.55</x:v>
      </x:c>
      <x:c r="R1293" s="55" t="n">
        <x:f>IF(O1293=0,0,ROUND(Q1293/O1293,4))</x:f>
        <x:v>0.2433</x:v>
      </x:c>
      <x:c r="S1293" s="53" t="n">
        <x:v>2</x:v>
      </x:c>
      <x:c r="T1293" t="str">
        <x:v>Entregue</x:v>
      </x:c>
      <x:c r="U1293" t="n">
        <x:v>4</x:v>
      </x:c>
      <x:c r="V1293" t="str"/>
    </x:row>
    <x:row r="1294">
      <x:c r="A1294" s="52" t="n">
        <x:v>46217</x:v>
      </x:c>
      <x:c r="B1294" t="str">
        <x:v>PED-101293</x:v>
      </x:c>
      <x:c r="C1294" t="str">
        <x:v>Cliente 101</x:v>
      </x:c>
      <x:c r="D1294" t="str">
        <x:v>MG</x:v>
      </x:c>
      <x:c r="E1294" t="str">
        <x:v>Sudeste</x:v>
      </x:c>
      <x:c r="F1294" t="str">
        <x:v>Televendas</x:v>
      </x:c>
      <x:c r="G1294" t="str">
        <x:v>Escritório</x:v>
      </x:c>
      <x:c r="H1294" t="str">
        <x:v>Cadeira Ergonômica</x:v>
      </x:c>
      <x:c r="I1294" t="str">
        <x:v>Gabriela</x:v>
      </x:c>
      <x:c r="J1294" s="53" t="n">
        <x:v>1</x:v>
      </x:c>
      <x:c r="K1294" s="54" t="n">
        <x:v>2211.81</x:v>
      </x:c>
      <x:c r="L1294" s="54" t="n">
        <x:v>1461.97</x:v>
      </x:c>
      <x:c r="M1294" s="55" t="n">
        <x:v>0.0485</x:v>
      </x:c>
      <x:c r="N1294" s="54" t="n">
        <x:f>ROUND(J1294*K1294,2)</x:f>
        <x:v>2211.81</x:v>
      </x:c>
      <x:c r="O1294" s="54" t="n">
        <x:f>ROUND(N1294*(1-M1294),2)</x:f>
        <x:v>2104.54</x:v>
      </x:c>
      <x:c r="P1294" s="54" t="n">
        <x:f>ROUND(J1294*L1294,2)</x:f>
        <x:v>1461.97</x:v>
      </x:c>
      <x:c r="Q1294" s="54" t="n">
        <x:f>ROUND(O1294-P1294,2)</x:f>
        <x:v>642.57</x:v>
      </x:c>
      <x:c r="R1294" s="55" t="n">
        <x:f>IF(O1294=0,0,ROUND(Q1294/O1294,4))</x:f>
        <x:v>0.3053</x:v>
      </x:c>
      <x:c r="S1294" s="53" t="n">
        <x:v>4</x:v>
      </x:c>
      <x:c r="T1294" t="str">
        <x:v>Entregue</x:v>
      </x:c>
      <x:c r="U1294" t="n">
        <x:v>5</x:v>
      </x:c>
      <x:c r="V1294" t="str"/>
    </x:row>
    <x:row r="1295">
      <x:c r="A1295" s="52" t="n">
        <x:v>46053</x:v>
      </x:c>
      <x:c r="B1295" t="str">
        <x:v>PED-101294</x:v>
      </x:c>
      <x:c r="C1295" t="str">
        <x:v>Cliente 095</x:v>
      </x:c>
      <x:c r="D1295" t="str">
        <x:v>MG</x:v>
      </x:c>
      <x:c r="E1295" t="str">
        <x:v>Sudeste</x:v>
      </x:c>
      <x:c r="F1295" t="str">
        <x:v>E-commerce</x:v>
      </x:c>
      <x:c r="G1295" t="str">
        <x:v>Casa</x:v>
      </x:c>
      <x:c r="H1295" t="str">
        <x:v>Purificador</x:v>
      </x:c>
      <x:c r="I1295" t="str">
        <x:v>Diego</x:v>
      </x:c>
      <x:c r="J1295" s="53" t="n">
        <x:v>5</x:v>
      </x:c>
      <x:c r="K1295" s="54" t="n">
        <x:v>1274.85</x:v>
      </x:c>
      <x:c r="L1295" s="54" t="n">
        <x:v>781.79</x:v>
      </x:c>
      <x:c r="M1295" s="55" t="n">
        <x:v>0</x:v>
      </x:c>
      <x:c r="N1295" s="54" t="n">
        <x:f>ROUND(J1295*K1295,2)</x:f>
        <x:v>6374.25</x:v>
      </x:c>
      <x:c r="O1295" s="54" t="n">
        <x:f>ROUND(N1295*(1-M1295),2)</x:f>
        <x:v>6374.25</x:v>
      </x:c>
      <x:c r="P1295" s="54" t="n">
        <x:f>ROUND(J1295*L1295,2)</x:f>
        <x:v>3908.95</x:v>
      </x:c>
      <x:c r="Q1295" s="54" t="n">
        <x:f>ROUND(O1295-P1295,2)</x:f>
        <x:v>2465.3</x:v>
      </x:c>
      <x:c r="R1295" s="55" t="n">
        <x:f>IF(O1295=0,0,ROUND(Q1295/O1295,4))</x:f>
        <x:v>0.3868</x:v>
      </x:c>
      <x:c r="S1295" s="53" t="n">
        <x:v>9</x:v>
      </x:c>
      <x:c r="T1295" t="str">
        <x:v>Entregue</x:v>
      </x:c>
      <x:c r="U1295" t="n">
        <x:v>2</x:v>
      </x:c>
      <x:c r="V1295" t="str"/>
    </x:row>
    <x:row r="1296">
      <x:c r="A1296" s="52" t="n">
        <x:v>46052</x:v>
      </x:c>
      <x:c r="B1296" t="str">
        <x:v>PED-101295</x:v>
      </x:c>
      <x:c r="C1296" t="str">
        <x:v>Cliente 022</x:v>
      </x:c>
      <x:c r="D1296" t="str">
        <x:v>RJ</x:v>
      </x:c>
      <x:c r="E1296" t="str">
        <x:v>Sudeste</x:v>
      </x:c>
      <x:c r="F1296" t="str">
        <x:v>Televendas</x:v>
      </x:c>
      <x:c r="G1296" t="str">
        <x:v>Tecnologia</x:v>
      </x:c>
      <x:c r="H1296" t="str">
        <x:v>Headset Office</x:v>
      </x:c>
      <x:c r="I1296" t="str">
        <x:v>Carla</x:v>
      </x:c>
      <x:c r="J1296" s="53" t="n">
        <x:v>3</x:v>
      </x:c>
      <x:c r="K1296" s="54" t="n">
        <x:v>372.76</x:v>
      </x:c>
      <x:c r="L1296" s="54" t="n">
        <x:v>214.52</x:v>
      </x:c>
      <x:c r="M1296" s="55" t="n">
        <x:v>0.0753</x:v>
      </x:c>
      <x:c r="N1296" s="54" t="n">
        <x:f>ROUND(J1296*K1296,2)</x:f>
        <x:v>1118.28</x:v>
      </x:c>
      <x:c r="O1296" s="54" t="n">
        <x:f>ROUND(N1296*(1-M1296),2)</x:f>
        <x:v>1034.07</x:v>
      </x:c>
      <x:c r="P1296" s="54" t="n">
        <x:f>ROUND(J1296*L1296,2)</x:f>
        <x:v>643.56</x:v>
      </x:c>
      <x:c r="Q1296" s="54" t="n">
        <x:f>ROUND(O1296-P1296,2)</x:f>
        <x:v>390.51</x:v>
      </x:c>
      <x:c r="R1296" s="55" t="n">
        <x:f>IF(O1296=0,0,ROUND(Q1296/O1296,4))</x:f>
        <x:v>0.3776</x:v>
      </x:c>
      <x:c r="S1296" s="53" t="n">
        <x:v>7</x:v>
      </x:c>
      <x:c r="T1296" t="str">
        <x:v>Entregue</x:v>
      </x:c>
      <x:c r="U1296" t="n">
        <x:v>5</x:v>
      </x:c>
      <x:c r="V1296" t="str"/>
    </x:row>
    <x:row r="1297">
      <x:c r="A1297" s="52" t="n">
        <x:v>46148</x:v>
      </x:c>
      <x:c r="B1297" t="str">
        <x:v>PED-101296</x:v>
      </x:c>
      <x:c r="C1297" t="str">
        <x:v>Cliente 005</x:v>
      </x:c>
      <x:c r="D1297" t="str">
        <x:v>MT</x:v>
      </x:c>
      <x:c r="E1297" t="str">
        <x:v>Centro-Oeste</x:v>
      </x:c>
      <x:c r="F1297" t="str">
        <x:v>E-commerce</x:v>
      </x:c>
      <x:c r="G1297" t="str">
        <x:v>Casa</x:v>
      </x:c>
      <x:c r="H1297" t="str">
        <x:v>Cafeteira Smart</x:v>
      </x:c>
      <x:c r="I1297" t="str">
        <x:v>Carla</x:v>
      </x:c>
      <x:c r="J1297" s="53" t="n">
        <x:v>3</x:v>
      </x:c>
      <x:c r="K1297" s="54" t="n">
        <x:v>784.16</x:v>
      </x:c>
      <x:c r="L1297" s="54" t="n">
        <x:v>441.24</x:v>
      </x:c>
      <x:c r="M1297" s="55" t="n">
        <x:v>0</x:v>
      </x:c>
      <x:c r="N1297" s="54" t="n">
        <x:f>ROUND(J1297*K1297,2)</x:f>
        <x:v>2352.48</x:v>
      </x:c>
      <x:c r="O1297" s="54" t="n">
        <x:f>ROUND(N1297*(1-M1297),2)</x:f>
        <x:v>2352.48</x:v>
      </x:c>
      <x:c r="P1297" s="54" t="n">
        <x:f>ROUND(J1297*L1297,2)</x:f>
        <x:v>1323.72</x:v>
      </x:c>
      <x:c r="Q1297" s="54" t="n">
        <x:f>ROUND(O1297-P1297,2)</x:f>
        <x:v>1028.76</x:v>
      </x:c>
      <x:c r="R1297" s="55" t="n">
        <x:f>IF(O1297=0,0,ROUND(Q1297/O1297,4))</x:f>
        <x:v>0.4373</x:v>
      </x:c>
      <x:c r="S1297" s="53" t="n">
        <x:v>9</x:v>
      </x:c>
      <x:c r="T1297" t="str">
        <x:v>Entregue</x:v>
      </x:c>
      <x:c r="U1297" t="n">
        <x:v>2</x:v>
      </x:c>
      <x:c r="V1297" t="str"/>
    </x:row>
    <x:row r="1298">
      <x:c r="A1298" s="52" t="n">
        <x:v>46041</x:v>
      </x:c>
      <x:c r="B1298" t="str">
        <x:v>PED-101297</x:v>
      </x:c>
      <x:c r="C1298" t="str">
        <x:v>Cliente 024</x:v>
      </x:c>
      <x:c r="D1298" t="str">
        <x:v>DF</x:v>
      </x:c>
      <x:c r="E1298" t="str">
        <x:v>Centro-Oeste</x:v>
      </x:c>
      <x:c r="F1298" t="str">
        <x:v>E-commerce</x:v>
      </x:c>
      <x:c r="G1298" t="str">
        <x:v>Casa</x:v>
      </x:c>
      <x:c r="H1298" t="str">
        <x:v>Purificador</x:v>
      </x:c>
      <x:c r="I1298" t="str">
        <x:v>Elaine</x:v>
      </x:c>
      <x:c r="J1298" s="53" t="n">
        <x:v>8</x:v>
      </x:c>
      <x:c r="K1298" s="54" t="n">
        <x:v>1312</x:v>
      </x:c>
      <x:c r="L1298" s="54" t="n">
        <x:v>800.34</x:v>
      </x:c>
      <x:c r="M1298" s="55" t="n">
        <x:v>0</x:v>
      </x:c>
      <x:c r="N1298" s="54" t="n">
        <x:f>ROUND(J1298*K1298,2)</x:f>
        <x:v>10496</x:v>
      </x:c>
      <x:c r="O1298" s="54" t="n">
        <x:f>ROUND(N1298*(1-M1298),2)</x:f>
        <x:v>10496</x:v>
      </x:c>
      <x:c r="P1298" s="54" t="n">
        <x:f>ROUND(J1298*L1298,2)</x:f>
        <x:v>6402.72</x:v>
      </x:c>
      <x:c r="Q1298" s="54" t="n">
        <x:f>ROUND(O1298-P1298,2)</x:f>
        <x:v>4093.28</x:v>
      </x:c>
      <x:c r="R1298" s="55" t="n">
        <x:f>IF(O1298=0,0,ROUND(Q1298/O1298,4))</x:f>
        <x:v>0.39</x:v>
      </x:c>
      <x:c r="S1298" s="53" t="n">
        <x:v>10</x:v>
      </x:c>
      <x:c r="T1298" t="str">
        <x:v>Entregue</x:v>
      </x:c>
      <x:c r="U1298" t="n">
        <x:v>2</x:v>
      </x:c>
      <x:c r="V1298" t="str"/>
    </x:row>
    <x:row r="1299">
      <x:c r="A1299" s="52" t="n">
        <x:v>46159</x:v>
      </x:c>
      <x:c r="B1299" t="str">
        <x:v>PED-101298</x:v>
      </x:c>
      <x:c r="C1299" t="str">
        <x:v>Cliente 116</x:v>
      </x:c>
      <x:c r="D1299" t="str">
        <x:v>PR</x:v>
      </x:c>
      <x:c r="E1299" t="str">
        <x:v>Sul</x:v>
      </x:c>
      <x:c r="F1299" t="str">
        <x:v>Televendas</x:v>
      </x:c>
      <x:c r="G1299" t="str">
        <x:v>Acessórios</x:v>
      </x:c>
      <x:c r="H1299" t="str">
        <x:v>Mochila Executiva</x:v>
      </x:c>
      <x:c r="I1299" t="str">
        <x:v>Elaine</x:v>
      </x:c>
      <x:c r="J1299" s="53" t="n">
        <x:v>7</x:v>
      </x:c>
      <x:c r="K1299" s="54" t="n">
        <x:v>442.74</x:v>
      </x:c>
      <x:c r="L1299" s="54" t="n">
        <x:v>192.14</x:v>
      </x:c>
      <x:c r="M1299" s="55" t="n">
        <x:v>0.1063</x:v>
      </x:c>
      <x:c r="N1299" s="54" t="n">
        <x:f>ROUND(J1299*K1299,2)</x:f>
        <x:v>3099.18</x:v>
      </x:c>
      <x:c r="O1299" s="54" t="n">
        <x:f>ROUND(N1299*(1-M1299),2)</x:f>
        <x:v>2769.74</x:v>
      </x:c>
      <x:c r="P1299" s="54" t="n">
        <x:f>ROUND(J1299*L1299,2)</x:f>
        <x:v>1344.98</x:v>
      </x:c>
      <x:c r="Q1299" s="54" t="n">
        <x:f>ROUND(O1299-P1299,2)</x:f>
        <x:v>1424.76</x:v>
      </x:c>
      <x:c r="R1299" s="55" t="n">
        <x:f>IF(O1299=0,0,ROUND(Q1299/O1299,4))</x:f>
        <x:v>0.5144</x:v>
      </x:c>
      <x:c r="S1299" s="53" t="n">
        <x:v>3</x:v>
      </x:c>
      <x:c r="T1299" t="str">
        <x:v>Entregue</x:v>
      </x:c>
      <x:c r="U1299" t="n">
        <x:v>5</x:v>
      </x:c>
      <x:c r="V1299" t="str"/>
    </x:row>
    <x:row r="1300">
      <x:c r="A1300" s="52" t="n">
        <x:v>46178</x:v>
      </x:c>
      <x:c r="B1300" t="str">
        <x:v>PED-101299</x:v>
      </x:c>
      <x:c r="C1300" t="str">
        <x:v>Cliente 036</x:v>
      </x:c>
      <x:c r="D1300" t="str">
        <x:v>SC</x:v>
      </x:c>
      <x:c r="E1300" t="str">
        <x:v>Sul</x:v>
      </x:c>
      <x:c r="F1300" t="str">
        <x:v>E-commerce</x:v>
      </x:c>
      <x:c r="G1300" t="str">
        <x:v>Tecnologia</x:v>
      </x:c>
      <x:c r="H1300" t="str">
        <x:v>Notebook Pro</x:v>
      </x:c>
      <x:c r="I1300" t="str">
        <x:v>Diego</x:v>
      </x:c>
      <x:c r="J1300" s="53" t="n">
        <x:v>1</x:v>
      </x:c>
      <x:c r="K1300" s="54" t="n">
        <x:v>5975.06</x:v>
      </x:c>
      <x:c r="L1300" s="54" t="n">
        <x:v>4286.11</x:v>
      </x:c>
      <x:c r="M1300" s="55" t="n">
        <x:v>0.0077</x:v>
      </x:c>
      <x:c r="N1300" s="54" t="n">
        <x:f>ROUND(J1300*K1300,2)</x:f>
        <x:v>5975.06</x:v>
      </x:c>
      <x:c r="O1300" s="54" t="n">
        <x:f>ROUND(N1300*(1-M1300),2)</x:f>
        <x:v>5929.05</x:v>
      </x:c>
      <x:c r="P1300" s="54" t="n">
        <x:f>ROUND(J1300*L1300,2)</x:f>
        <x:v>4286.11</x:v>
      </x:c>
      <x:c r="Q1300" s="54" t="n">
        <x:f>ROUND(O1300-P1300,2)</x:f>
        <x:v>1642.94</x:v>
      </x:c>
      <x:c r="R1300" s="55" t="n">
        <x:f>IF(O1300=0,0,ROUND(Q1300/O1300,4))</x:f>
        <x:v>0.2771</x:v>
      </x:c>
      <x:c r="S1300" s="53" t="n">
        <x:v>14</x:v>
      </x:c>
      <x:c r="T1300" t="str">
        <x:v>Cancelado</x:v>
      </x:c>
      <x:c r="U1300"/>
      <x:c r="V1300" t="str"/>
    </x:row>
    <x:row r="1301">
      <x:c r="A1301" s="52" t="n">
        <x:v>46129</x:v>
      </x:c>
      <x:c r="B1301" t="str">
        <x:v>PED-101300</x:v>
      </x:c>
      <x:c r="C1301" t="str">
        <x:v>Cliente 070</x:v>
      </x:c>
      <x:c r="D1301" t="str">
        <x:v>MG</x:v>
      </x:c>
      <x:c r="E1301" t="str">
        <x:v>Sudeste</x:v>
      </x:c>
      <x:c r="F1301" t="str">
        <x:v>E-commerce</x:v>
      </x:c>
      <x:c r="G1301" t="str">
        <x:v>Tecnologia</x:v>
      </x:c>
      <x:c r="H1301" t="str">
        <x:v>Notebook Pro</x:v>
      </x:c>
      <x:c r="I1301" t="str">
        <x:v>Gabriela</x:v>
      </x:c>
      <x:c r="J1301" s="53" t="n">
        <x:v>7</x:v>
      </x:c>
      <x:c r="K1301" s="54" t="n">
        <x:v>5934.02</x:v>
      </x:c>
      <x:c r="L1301" s="54" t="n">
        <x:v>4427.4</x:v>
      </x:c>
      <x:c r="M1301" s="55" t="n">
        <x:v>0.1053</x:v>
      </x:c>
      <x:c r="N1301" s="54" t="n">
        <x:f>ROUND(J1301*K1301,2)</x:f>
        <x:v>41538.14</x:v>
      </x:c>
      <x:c r="O1301" s="54" t="n">
        <x:f>ROUND(N1301*(1-M1301),2)</x:f>
        <x:v>37164.17</x:v>
      </x:c>
      <x:c r="P1301" s="54" t="n">
        <x:f>ROUND(J1301*L1301,2)</x:f>
        <x:v>30991.8</x:v>
      </x:c>
      <x:c r="Q1301" s="54" t="n">
        <x:f>ROUND(O1301-P1301,2)</x:f>
        <x:v>6172.37</x:v>
      </x:c>
      <x:c r="R1301" s="55" t="n">
        <x:f>IF(O1301=0,0,ROUND(Q1301/O1301,4))</x:f>
        <x:v>0.1661</x:v>
      </x:c>
      <x:c r="S1301" s="53" t="n">
        <x:v>8</x:v>
      </x:c>
      <x:c r="T1301" t="str">
        <x:v>Entregue</x:v>
      </x:c>
      <x:c r="U1301" t="n">
        <x:v>3</x:v>
      </x:c>
      <x:c r="V1301" t="str"/>
    </x:row>
    <x:row r="1302">
      <x:c r="A1302" s="52" t="n">
        <x:v>46169</x:v>
      </x:c>
      <x:c r="B1302" t="str">
        <x:v>PED-101301</x:v>
      </x:c>
      <x:c r="C1302" t="str">
        <x:v>Cliente 025</x:v>
      </x:c>
      <x:c r="D1302" t="str">
        <x:v>GO</x:v>
      </x:c>
      <x:c r="E1302" t="str">
        <x:v>Centro-Oeste</x:v>
      </x:c>
      <x:c r="F1302" t="str">
        <x:v>E-commerce</x:v>
      </x:c>
      <x:c r="G1302" t="str">
        <x:v>Casa</x:v>
      </x:c>
      <x:c r="H1302" t="str">
        <x:v>Purificador</x:v>
      </x:c>
      <x:c r="I1302" t="str">
        <x:v>Gabriela</x:v>
      </x:c>
      <x:c r="J1302" s="53" t="n">
        <x:v>8</x:v>
      </x:c>
      <x:c r="K1302" s="54" t="n">
        <x:v>1226.81</x:v>
      </x:c>
      <x:c r="L1302" s="54" t="n">
        <x:v>807.2</x:v>
      </x:c>
      <x:c r="M1302" s="55" t="n">
        <x:v>0</x:v>
      </x:c>
      <x:c r="N1302" s="54" t="n">
        <x:f>ROUND(J1302*K1302,2)</x:f>
        <x:v>9814.48</x:v>
      </x:c>
      <x:c r="O1302" s="54" t="n">
        <x:f>ROUND(N1302*(1-M1302),2)</x:f>
        <x:v>9814.48</x:v>
      </x:c>
      <x:c r="P1302" s="54" t="n">
        <x:f>ROUND(J1302*L1302,2)</x:f>
        <x:v>6457.6</x:v>
      </x:c>
      <x:c r="Q1302" s="54" t="n">
        <x:f>ROUND(O1302-P1302,2)</x:f>
        <x:v>3356.88</x:v>
      </x:c>
      <x:c r="R1302" s="55" t="n">
        <x:f>IF(O1302=0,0,ROUND(Q1302/O1302,4))</x:f>
        <x:v>0.342</x:v>
      </x:c>
      <x:c r="S1302" s="53" t="n">
        <x:v>6</x:v>
      </x:c>
      <x:c r="T1302" t="str">
        <x:v>Entregue</x:v>
      </x:c>
      <x:c r="U1302" t="n">
        <x:v>4</x:v>
      </x:c>
      <x:c r="V1302" t="str"/>
    </x:row>
    <x:row r="1303">
      <x:c r="A1303" s="52" t="n">
        <x:v>46059</x:v>
      </x:c>
      <x:c r="B1303" t="str">
        <x:v>PED-101302</x:v>
      </x:c>
      <x:c r="C1303" t="str">
        <x:v>Cliente 032</x:v>
      </x:c>
      <x:c r="D1303" t="str">
        <x:v>MG</x:v>
      </x:c>
      <x:c r="E1303" t="str">
        <x:v>Sudeste</x:v>
      </x:c>
      <x:c r="F1303" t="str">
        <x:v>Marketplace</x:v>
      </x:c>
      <x:c r="G1303" t="str">
        <x:v>Escritório</x:v>
      </x:c>
      <x:c r="H1303" t="str">
        <x:v>Luminária LED</x:v>
      </x:c>
      <x:c r="I1303" t="str">
        <x:v>Henrique</x:v>
      </x:c>
      <x:c r="J1303" s="53" t="n">
        <x:v>4</x:v>
      </x:c>
      <x:c r="K1303" s="54" t="n">
        <x:v>258.51</x:v>
      </x:c>
      <x:c r="L1303" s="54" t="n">
        <x:v>115.83</x:v>
      </x:c>
      <x:c r="M1303" s="55" t="n">
        <x:v>0.035</x:v>
      </x:c>
      <x:c r="N1303" s="54" t="n">
        <x:f>ROUND(J1303*K1303,2)</x:f>
        <x:v>1034.04</x:v>
      </x:c>
      <x:c r="O1303" s="54" t="n">
        <x:f>ROUND(N1303*(1-M1303),2)</x:f>
        <x:v>997.85</x:v>
      </x:c>
      <x:c r="P1303" s="54" t="n">
        <x:f>ROUND(J1303*L1303,2)</x:f>
        <x:v>463.32</x:v>
      </x:c>
      <x:c r="Q1303" s="54" t="n">
        <x:f>ROUND(O1303-P1303,2)</x:f>
        <x:v>534.53</x:v>
      </x:c>
      <x:c r="R1303" s="55" t="n">
        <x:f>IF(O1303=0,0,ROUND(Q1303/O1303,4))</x:f>
        <x:v>0.5357</x:v>
      </x:c>
      <x:c r="S1303" s="53" t="n">
        <x:v>14</x:v>
      </x:c>
      <x:c r="T1303" t="str">
        <x:v>Entregue com atraso</x:v>
      </x:c>
      <x:c r="U1303" t="n">
        <x:v>2</x:v>
      </x:c>
      <x:c r="V1303" t="str"/>
    </x:row>
    <x:row r="1304">
      <x:c r="A1304" s="52" t="n">
        <x:v>46226</x:v>
      </x:c>
      <x:c r="B1304" t="str">
        <x:v>PED-101303</x:v>
      </x:c>
      <x:c r="C1304" t="str">
        <x:v>Cliente 069</x:v>
      </x:c>
      <x:c r="D1304" t="str">
        <x:v>CE</x:v>
      </x:c>
      <x:c r="E1304" t="str">
        <x:v>Nordeste</x:v>
      </x:c>
      <x:c r="F1304" t="str">
        <x:v>Televendas</x:v>
      </x:c>
      <x:c r="G1304" t="str">
        <x:v>Acessórios</x:v>
      </x:c>
      <x:c r="H1304" t="str">
        <x:v>Mochila Executiva</x:v>
      </x:c>
      <x:c r="I1304" t="str">
        <x:v>Diego</x:v>
      </x:c>
      <x:c r="J1304" s="53" t="n">
        <x:v>6</x:v>
      </x:c>
      <x:c r="K1304" s="54" t="n">
        <x:v>408.69</x:v>
      </x:c>
      <x:c r="L1304" s="54" t="n">
        <x:v>195.68</x:v>
      </x:c>
      <x:c r="M1304" s="55" t="n">
        <x:v>0.073</x:v>
      </x:c>
      <x:c r="N1304" s="54" t="n">
        <x:f>ROUND(J1304*K1304,2)</x:f>
        <x:v>2452.14</x:v>
      </x:c>
      <x:c r="O1304" s="54" t="n">
        <x:f>ROUND(N1304*(1-M1304),2)</x:f>
        <x:v>2273.13</x:v>
      </x:c>
      <x:c r="P1304" s="54" t="n">
        <x:f>ROUND(J1304*L1304,2)</x:f>
        <x:v>1174.08</x:v>
      </x:c>
      <x:c r="Q1304" s="54" t="n">
        <x:f>ROUND(O1304-P1304,2)</x:f>
        <x:v>1099.05</x:v>
      </x:c>
      <x:c r="R1304" s="55" t="n">
        <x:f>IF(O1304=0,0,ROUND(Q1304/O1304,4))</x:f>
        <x:v>0.4835</x:v>
      </x:c>
      <x:c r="S1304" s="53" t="n">
        <x:v>3</x:v>
      </x:c>
      <x:c r="T1304" t="str">
        <x:v>Entregue</x:v>
      </x:c>
      <x:c r="U1304" t="n">
        <x:v>5</x:v>
      </x:c>
      <x:c r="V1304" t="str"/>
    </x:row>
    <x:row r="1305">
      <x:c r="A1305" s="52" t="n">
        <x:v>46047</x:v>
      </x:c>
      <x:c r="B1305" t="str">
        <x:v>PED-101304</x:v>
      </x:c>
      <x:c r="C1305" t="str">
        <x:v>Cliente 072</x:v>
      </x:c>
      <x:c r="D1305" t="str">
        <x:v>MA</x:v>
      </x:c>
      <x:c r="E1305" t="str">
        <x:v>Nordeste</x:v>
      </x:c>
      <x:c r="F1305" t="str">
        <x:v>Televendas</x:v>
      </x:c>
      <x:c r="G1305" t="str">
        <x:v>Tecnologia</x:v>
      </x:c>
      <x:c r="H1305" t="str">
        <x:v>Notebook Pro</x:v>
      </x:c>
      <x:c r="I1305" t="str">
        <x:v>Bruno</x:v>
      </x:c>
      <x:c r="J1305" s="53" t="n">
        <x:v>4</x:v>
      </x:c>
      <x:c r="K1305" s="54" t="n">
        <x:v>5997.38</x:v>
      </x:c>
      <x:c r="L1305" s="54" t="n">
        <x:v>4308.56</x:v>
      </x:c>
      <x:c r="M1305" s="55" t="n">
        <x:v>0</x:v>
      </x:c>
      <x:c r="N1305" s="54" t="n">
        <x:f>ROUND(J1305*K1305,2)</x:f>
        <x:v>23989.52</x:v>
      </x:c>
      <x:c r="O1305" s="54" t="n">
        <x:f>ROUND(N1305*(1-M1305),2)</x:f>
        <x:v>23989.52</x:v>
      </x:c>
      <x:c r="P1305" s="54" t="n">
        <x:f>ROUND(J1305*L1305,2)</x:f>
        <x:v>17234.24</x:v>
      </x:c>
      <x:c r="Q1305" s="54" t="n">
        <x:f>ROUND(O1305-P1305,2)</x:f>
        <x:v>6755.28</x:v>
      </x:c>
      <x:c r="R1305" s="55" t="n">
        <x:f>IF(O1305=0,0,ROUND(Q1305/O1305,4))</x:f>
        <x:v>0.2816</x:v>
      </x:c>
      <x:c r="S1305" s="53" t="n">
        <x:v>2</x:v>
      </x:c>
      <x:c r="T1305" t="str">
        <x:v>Entregue</x:v>
      </x:c>
      <x:c r="U1305" t="n">
        <x:v>4</x:v>
      </x:c>
      <x:c r="V1305" t="str"/>
    </x:row>
    <x:row r="1306">
      <x:c r="A1306" s="52" t="n">
        <x:v>46061</x:v>
      </x:c>
      <x:c r="B1306" t="str">
        <x:v>PED-101305</x:v>
      </x:c>
      <x:c r="C1306" t="str">
        <x:v>Cliente 047</x:v>
      </x:c>
      <x:c r="D1306" t="str">
        <x:v>ES</x:v>
      </x:c>
      <x:c r="E1306" t="str">
        <x:v>Sudeste</x:v>
      </x:c>
      <x:c r="F1306" t="str">
        <x:v>Marketplace</x:v>
      </x:c>
      <x:c r="G1306" t="str">
        <x:v>Tecnologia</x:v>
      </x:c>
      <x:c r="H1306" t="str">
        <x:v>Notebook Pro</x:v>
      </x:c>
      <x:c r="I1306" t="str">
        <x:v>Gabriela</x:v>
      </x:c>
      <x:c r="J1306" s="53" t="n">
        <x:v>2</x:v>
      </x:c>
      <x:c r="K1306" s="54" t="n">
        <x:v>5897.43</x:v>
      </x:c>
      <x:c r="L1306" s="54" t="n">
        <x:v>4522.56</x:v>
      </x:c>
      <x:c r="M1306" s="55" t="n">
        <x:v>0.0693</x:v>
      </x:c>
      <x:c r="N1306" s="54" t="n">
        <x:f>ROUND(J1306*K1306,2)</x:f>
        <x:v>11794.86</x:v>
      </x:c>
      <x:c r="O1306" s="54" t="n">
        <x:f>ROUND(N1306*(1-M1306),2)</x:f>
        <x:v>10977.48</x:v>
      </x:c>
      <x:c r="P1306" s="54" t="n">
        <x:f>ROUND(J1306*L1306,2)</x:f>
        <x:v>9045.12</x:v>
      </x:c>
      <x:c r="Q1306" s="54" t="n">
        <x:f>ROUND(O1306-P1306,2)</x:f>
        <x:v>1932.36</x:v>
      </x:c>
      <x:c r="R1306" s="55" t="n">
        <x:f>IF(O1306=0,0,ROUND(Q1306/O1306,4))</x:f>
        <x:v>0.176</x:v>
      </x:c>
      <x:c r="S1306" s="53" t="n">
        <x:v>7</x:v>
      </x:c>
      <x:c r="T1306" t="str">
        <x:v>Entregue</x:v>
      </x:c>
      <x:c r="U1306" t="n">
        <x:v>5</x:v>
      </x:c>
      <x:c r="V1306" t="str"/>
    </x:row>
    <x:row r="1307">
      <x:c r="A1307" s="52" t="n">
        <x:v>46233</x:v>
      </x:c>
      <x:c r="B1307" t="str">
        <x:v>PED-101306</x:v>
      </x:c>
      <x:c r="C1307" t="str">
        <x:v>Cliente 084</x:v>
      </x:c>
      <x:c r="D1307" t="str">
        <x:v>MG</x:v>
      </x:c>
      <x:c r="E1307" t="str">
        <x:v>Sudeste</x:v>
      </x:c>
      <x:c r="F1307" t="str">
        <x:v>Loja</x:v>
      </x:c>
      <x:c r="G1307" t="str">
        <x:v>Casa</x:v>
      </x:c>
      <x:c r="H1307" t="str">
        <x:v>Aspirador Robô</x:v>
      </x:c>
      <x:c r="I1307" t="str">
        <x:v>Carla</x:v>
      </x:c>
      <x:c r="J1307" s="53" t="n">
        <x:v>5</x:v>
      </x:c>
      <x:c r="K1307" s="54" t="n">
        <x:v>1873.39</x:v>
      </x:c>
      <x:c r="L1307" s="54" t="n">
        <x:v>1177.31</x:v>
      </x:c>
      <x:c r="M1307" s="55" t="n">
        <x:v>0</x:v>
      </x:c>
      <x:c r="N1307" s="54" t="n">
        <x:f>ROUND(J1307*K1307,2)</x:f>
        <x:v>9366.95</x:v>
      </x:c>
      <x:c r="O1307" s="54" t="n">
        <x:f>ROUND(N1307*(1-M1307),2)</x:f>
        <x:v>9366.95</x:v>
      </x:c>
      <x:c r="P1307" s="54" t="n">
        <x:f>ROUND(J1307*L1307,2)</x:f>
        <x:v>5886.55</x:v>
      </x:c>
      <x:c r="Q1307" s="54" t="n">
        <x:f>ROUND(O1307-P1307,2)</x:f>
        <x:v>3480.4</x:v>
      </x:c>
      <x:c r="R1307" s="55" t="n">
        <x:f>IF(O1307=0,0,ROUND(Q1307/O1307,4))</x:f>
        <x:v>0.3716</x:v>
      </x:c>
      <x:c r="S1307" s="53" t="n">
        <x:v>13</x:v>
      </x:c>
      <x:c r="T1307" t="str">
        <x:v>Entregue com atraso</x:v>
      </x:c>
      <x:c r="U1307" t="n">
        <x:v>4</x:v>
      </x:c>
      <x:c r="V1307" t="str"/>
    </x:row>
    <x:row r="1308">
      <x:c r="A1308" s="52" t="n">
        <x:v>46035</x:v>
      </x:c>
      <x:c r="B1308" t="str">
        <x:v>PED-101307</x:v>
      </x:c>
      <x:c r="C1308" t="str">
        <x:v>Cliente 009</x:v>
      </x:c>
      <x:c r="D1308" t="str">
        <x:v>DF</x:v>
      </x:c>
      <x:c r="E1308" t="str">
        <x:v>Centro-Oeste</x:v>
      </x:c>
      <x:c r="F1308" t="str">
        <x:v>Marketplace</x:v>
      </x:c>
      <x:c r="G1308" t="str">
        <x:v>Acessórios</x:v>
      </x:c>
      <x:c r="H1308" t="str">
        <x:v>Webcam HD</x:v>
      </x:c>
      <x:c r="I1308" t="str">
        <x:v>Ana</x:v>
      </x:c>
      <x:c r="J1308" s="53" t="n">
        <x:v>5</x:v>
      </x:c>
      <x:c r="K1308" s="54" t="n">
        <x:v>483.14</x:v>
      </x:c>
      <x:c r="L1308" s="54" t="n">
        <x:v>247.1</x:v>
      </x:c>
      <x:c r="M1308" s="55" t="n">
        <x:v>0.1632</x:v>
      </x:c>
      <x:c r="N1308" s="54" t="n">
        <x:f>ROUND(J1308*K1308,2)</x:f>
        <x:v>2415.7</x:v>
      </x:c>
      <x:c r="O1308" s="54" t="n">
        <x:f>ROUND(N1308*(1-M1308),2)</x:f>
        <x:v>2021.46</x:v>
      </x:c>
      <x:c r="P1308" s="54" t="n">
        <x:f>ROUND(J1308*L1308,2)</x:f>
        <x:v>1235.5</x:v>
      </x:c>
      <x:c r="Q1308" s="54" t="n">
        <x:f>ROUND(O1308-P1308,2)</x:f>
        <x:v>785.96</x:v>
      </x:c>
      <x:c r="R1308" s="55" t="n">
        <x:f>IF(O1308=0,0,ROUND(Q1308/O1308,4))</x:f>
        <x:v>0.3888</x:v>
      </x:c>
      <x:c r="S1308" s="53" t="n">
        <x:v>6</x:v>
      </x:c>
      <x:c r="T1308" t="str">
        <x:v>Entregue</x:v>
      </x:c>
      <x:c r="U1308" t="n">
        <x:v>3</x:v>
      </x:c>
      <x:c r="V1308" t="str"/>
    </x:row>
    <x:row r="1309">
      <x:c r="A1309" s="52" t="n">
        <x:v>46044</x:v>
      </x:c>
      <x:c r="B1309" t="str">
        <x:v>PED-101308</x:v>
      </x:c>
      <x:c r="C1309" t="str">
        <x:v>Cliente 034</x:v>
      </x:c>
      <x:c r="D1309" t="str">
        <x:v>PA</x:v>
      </x:c>
      <x:c r="E1309" t="str">
        <x:v>Norte</x:v>
      </x:c>
      <x:c r="F1309" t="str">
        <x:v>E-commerce</x:v>
      </x:c>
      <x:c r="G1309" t="str">
        <x:v>Escritório</x:v>
      </x:c>
      <x:c r="H1309" t="str">
        <x:v>Luminária LED</x:v>
      </x:c>
      <x:c r="I1309" t="str">
        <x:v>João</x:v>
      </x:c>
      <x:c r="J1309" s="53" t="n">
        <x:v>8</x:v>
      </x:c>
      <x:c r="K1309" s="54" t="n">
        <x:v>274.65</x:v>
      </x:c>
      <x:c r="L1309" s="54" t="n">
        <x:v>127.32</x:v>
      </x:c>
      <x:c r="M1309" s="55" t="n">
        <x:v>0.1162</x:v>
      </x:c>
      <x:c r="N1309" s="54" t="n">
        <x:f>ROUND(J1309*K1309,2)</x:f>
        <x:v>2197.2</x:v>
      </x:c>
      <x:c r="O1309" s="54" t="n">
        <x:f>ROUND(N1309*(1-M1309),2)</x:f>
        <x:v>1941.89</x:v>
      </x:c>
      <x:c r="P1309" s="54" t="n">
        <x:f>ROUND(J1309*L1309,2)</x:f>
        <x:v>1018.56</x:v>
      </x:c>
      <x:c r="Q1309" s="54" t="n">
        <x:f>ROUND(O1309-P1309,2)</x:f>
        <x:v>923.33</x:v>
      </x:c>
      <x:c r="R1309" s="55" t="n">
        <x:f>IF(O1309=0,0,ROUND(Q1309/O1309,4))</x:f>
        <x:v>0.4755</x:v>
      </x:c>
      <x:c r="S1309" s="53" t="n">
        <x:v>7</x:v>
      </x:c>
      <x:c r="T1309" t="str">
        <x:v>Entregue</x:v>
      </x:c>
      <x:c r="U1309" t="n">
        <x:v>2</x:v>
      </x:c>
      <x:c r="V1309" t="str"/>
    </x:row>
    <x:row r="1310">
      <x:c r="A1310" s="52" t="n">
        <x:v>46047</x:v>
      </x:c>
      <x:c r="B1310" t="str">
        <x:v>PED-101309</x:v>
      </x:c>
      <x:c r="C1310" t="str">
        <x:v>Cliente 061</x:v>
      </x:c>
      <x:c r="D1310" t="str">
        <x:v>SP</x:v>
      </x:c>
      <x:c r="E1310" t="str">
        <x:v>Sudeste</x:v>
      </x:c>
      <x:c r="F1310" t="str">
        <x:v>E-commerce</x:v>
      </x:c>
      <x:c r="G1310" t="str">
        <x:v>Acessórios</x:v>
      </x:c>
      <x:c r="H1310" t="str">
        <x:v>Mochila Executiva</x:v>
      </x:c>
      <x:c r="I1310" t="str">
        <x:v>Ana</x:v>
      </x:c>
      <x:c r="J1310" s="53" t="n">
        <x:v>7</x:v>
      </x:c>
      <x:c r="K1310" s="54" t="n">
        <x:v>426.91</x:v>
      </x:c>
      <x:c r="L1310" s="54" t="n">
        <x:v>191.33</x:v>
      </x:c>
      <x:c r="M1310" s="55" t="n">
        <x:v>0</x:v>
      </x:c>
      <x:c r="N1310" s="54" t="n">
        <x:f>ROUND(J1310*K1310,2)</x:f>
        <x:v>2988.37</x:v>
      </x:c>
      <x:c r="O1310" s="54" t="n">
        <x:f>ROUND(N1310*(1-M1310),2)</x:f>
        <x:v>2988.37</x:v>
      </x:c>
      <x:c r="P1310" s="54" t="n">
        <x:f>ROUND(J1310*L1310,2)</x:f>
        <x:v>1339.31</x:v>
      </x:c>
      <x:c r="Q1310" s="54" t="n">
        <x:f>ROUND(O1310-P1310,2)</x:f>
        <x:v>1649.06</x:v>
      </x:c>
      <x:c r="R1310" s="55" t="n">
        <x:f>IF(O1310=0,0,ROUND(Q1310/O1310,4))</x:f>
        <x:v>0.5518</x:v>
      </x:c>
      <x:c r="S1310" s="53" t="n">
        <x:v>5</x:v>
      </x:c>
      <x:c r="T1310" t="str">
        <x:v>Entregue</x:v>
      </x:c>
      <x:c r="U1310" t="n">
        <x:v>3</x:v>
      </x:c>
      <x:c r="V1310" t="str"/>
    </x:row>
    <x:row r="1311">
      <x:c r="A1311" s="52" t="n">
        <x:v>46070</x:v>
      </x:c>
      <x:c r="B1311" t="str">
        <x:v>PED-101310</x:v>
      </x:c>
      <x:c r="C1311" t="str">
        <x:v>Cliente 019</x:v>
      </x:c>
      <x:c r="D1311" t="str">
        <x:v>PR</x:v>
      </x:c>
      <x:c r="E1311" t="str">
        <x:v>Sul</x:v>
      </x:c>
      <x:c r="F1311" t="str">
        <x:v>Loja</x:v>
      </x:c>
      <x:c r="G1311" t="str">
        <x:v>Acessórios</x:v>
      </x:c>
      <x:c r="H1311" t="str">
        <x:v>Mochila Executiva</x:v>
      </x:c>
      <x:c r="I1311" t="str">
        <x:v>Ana</x:v>
      </x:c>
      <x:c r="J1311" s="53" t="n">
        <x:v>5</x:v>
      </x:c>
      <x:c r="K1311" s="54" t="n">
        <x:v>455.02</x:v>
      </x:c>
      <x:c r="L1311" s="54" t="n">
        <x:v>190.9</x:v>
      </x:c>
      <x:c r="M1311" s="55" t="n">
        <x:v>0.1128</x:v>
      </x:c>
      <x:c r="N1311" s="54" t="n">
        <x:f>ROUND(J1311*K1311,2)</x:f>
        <x:v>2275.1</x:v>
      </x:c>
      <x:c r="O1311" s="54" t="n">
        <x:f>ROUND(N1311*(1-M1311),2)</x:f>
        <x:v>2018.47</x:v>
      </x:c>
      <x:c r="P1311" s="54" t="n">
        <x:f>ROUND(J1311*L1311,2)</x:f>
        <x:v>954.5</x:v>
      </x:c>
      <x:c r="Q1311" s="54" t="n">
        <x:f>ROUND(O1311-P1311,2)</x:f>
        <x:v>1063.97</x:v>
      </x:c>
      <x:c r="R1311" s="55" t="n">
        <x:f>IF(O1311=0,0,ROUND(Q1311/O1311,4))</x:f>
        <x:v>0.5271</x:v>
      </x:c>
      <x:c r="S1311" s="53" t="n">
        <x:v>5</x:v>
      </x:c>
      <x:c r="T1311" t="str">
        <x:v>Entregue</x:v>
      </x:c>
      <x:c r="U1311" t="n">
        <x:v>2</x:v>
      </x:c>
      <x:c r="V1311" t="str"/>
    </x:row>
    <x:row r="1312">
      <x:c r="A1312" s="52" t="n">
        <x:v>46159</x:v>
      </x:c>
      <x:c r="B1312" t="str">
        <x:v>PED-101311</x:v>
      </x:c>
      <x:c r="C1312" t="str">
        <x:v>Cliente 056</x:v>
      </x:c>
      <x:c r="D1312" t="str">
        <x:v>RJ</x:v>
      </x:c>
      <x:c r="E1312" t="str">
        <x:v>Sudeste</x:v>
      </x:c>
      <x:c r="F1312" t="str">
        <x:v>Marketplace</x:v>
      </x:c>
      <x:c r="G1312" t="str">
        <x:v>Casa</x:v>
      </x:c>
      <x:c r="H1312" t="str">
        <x:v>Aspirador Robô</x:v>
      </x:c>
      <x:c r="I1312" t="str">
        <x:v>Ana</x:v>
      </x:c>
      <x:c r="J1312" s="53" t="n">
        <x:v>7</x:v>
      </x:c>
      <x:c r="K1312" s="54" t="n">
        <x:v>1932.24</x:v>
      </x:c>
      <x:c r="L1312" s="54" t="n">
        <x:v>1164.84</x:v>
      </x:c>
      <x:c r="M1312" s="55" t="n">
        <x:v>0.035</x:v>
      </x:c>
      <x:c r="N1312" s="54" t="n">
        <x:f>ROUND(J1312*K1312,2)</x:f>
        <x:v>13525.68</x:v>
      </x:c>
      <x:c r="O1312" s="54" t="n">
        <x:f>ROUND(N1312*(1-M1312),2)</x:f>
        <x:v>13052.28</x:v>
      </x:c>
      <x:c r="P1312" s="54" t="n">
        <x:f>ROUND(J1312*L1312,2)</x:f>
        <x:v>8153.88</x:v>
      </x:c>
      <x:c r="Q1312" s="54" t="n">
        <x:f>ROUND(O1312-P1312,2)</x:f>
        <x:v>4898.4</x:v>
      </x:c>
      <x:c r="R1312" s="55" t="n">
        <x:f>IF(O1312=0,0,ROUND(Q1312/O1312,4))</x:f>
        <x:v>0.3753</x:v>
      </x:c>
      <x:c r="S1312" s="53" t="n">
        <x:v>13</x:v>
      </x:c>
      <x:c r="T1312" t="str">
        <x:v>Entregue com atraso</x:v>
      </x:c>
      <x:c r="U1312" t="n">
        <x:v>2</x:v>
      </x:c>
      <x:c r="V1312" t="str"/>
    </x:row>
    <x:row r="1313">
      <x:c r="A1313" s="52" t="n">
        <x:v>46176</x:v>
      </x:c>
      <x:c r="B1313" t="str">
        <x:v>PED-101312</x:v>
      </x:c>
      <x:c r="C1313" t="str">
        <x:v>Cliente 009</x:v>
      </x:c>
      <x:c r="D1313" t="str">
        <x:v>SC</x:v>
      </x:c>
      <x:c r="E1313" t="str">
        <x:v>Sul</x:v>
      </x:c>
      <x:c r="F1313" t="str">
        <x:v>Loja</x:v>
      </x:c>
      <x:c r="G1313" t="str">
        <x:v>Escritório</x:v>
      </x:c>
      <x:c r="H1313" t="str">
        <x:v>Mesa Ajustável</x:v>
      </x:c>
      <x:c r="I1313" t="str">
        <x:v>Gabriela</x:v>
      </x:c>
      <x:c r="J1313" s="53" t="n">
        <x:v>2</x:v>
      </x:c>
      <x:c r="K1313" s="54" t="n">
        <x:v>2767.09</x:v>
      </x:c>
      <x:c r="L1313" s="54" t="n">
        <x:v>1754.44</x:v>
      </x:c>
      <x:c r="M1313" s="55" t="n">
        <x:v>0.0689</x:v>
      </x:c>
      <x:c r="N1313" s="54" t="n">
        <x:f>ROUND(J1313*K1313,2)</x:f>
        <x:v>5534.18</x:v>
      </x:c>
      <x:c r="O1313" s="54" t="n">
        <x:f>ROUND(N1313*(1-M1313),2)</x:f>
        <x:v>5152.87</x:v>
      </x:c>
      <x:c r="P1313" s="54" t="n">
        <x:f>ROUND(J1313*L1313,2)</x:f>
        <x:v>3508.88</x:v>
      </x:c>
      <x:c r="Q1313" s="54" t="n">
        <x:f>ROUND(O1313-P1313,2)</x:f>
        <x:v>1643.99</x:v>
      </x:c>
      <x:c r="R1313" s="55" t="n">
        <x:f>IF(O1313=0,0,ROUND(Q1313/O1313,4))</x:f>
        <x:v>0.319</x:v>
      </x:c>
      <x:c r="S1313" s="53" t="n">
        <x:v>4</x:v>
      </x:c>
      <x:c r="T1313" t="str">
        <x:v>Entregue</x:v>
      </x:c>
      <x:c r="U1313" t="n">
        <x:v>4</x:v>
      </x:c>
      <x:c r="V1313" t="str"/>
    </x:row>
    <x:row r="1314">
      <x:c r="A1314" s="52" t="n">
        <x:v>46198</x:v>
      </x:c>
      <x:c r="B1314" t="str">
        <x:v>PED-101313</x:v>
      </x:c>
      <x:c r="C1314" t="str">
        <x:v>Cliente 062</x:v>
      </x:c>
      <x:c r="D1314" t="str">
        <x:v>MA</x:v>
      </x:c>
      <x:c r="E1314" t="str">
        <x:v>Nordeste</x:v>
      </x:c>
      <x:c r="F1314" t="str">
        <x:v>E-commerce</x:v>
      </x:c>
      <x:c r="G1314" t="str">
        <x:v>Tecnologia</x:v>
      </x:c>
      <x:c r="H1314" t="str">
        <x:v>Headset Office</x:v>
      </x:c>
      <x:c r="I1314" t="str">
        <x:v>Ana</x:v>
      </x:c>
      <x:c r="J1314" s="53" t="n">
        <x:v>1</x:v>
      </x:c>
      <x:c r="K1314" s="54" t="n">
        <x:v>407.79</x:v>
      </x:c>
      <x:c r="L1314" s="54" t="n">
        <x:v>222.96</x:v>
      </x:c>
      <x:c r="M1314" s="55" t="n">
        <x:v>0</x:v>
      </x:c>
      <x:c r="N1314" s="54" t="n">
        <x:f>ROUND(J1314*K1314,2)</x:f>
        <x:v>407.79</x:v>
      </x:c>
      <x:c r="O1314" s="54" t="n">
        <x:f>ROUND(N1314*(1-M1314),2)</x:f>
        <x:v>407.79</x:v>
      </x:c>
      <x:c r="P1314" s="54" t="n">
        <x:f>ROUND(J1314*L1314,2)</x:f>
        <x:v>222.96</x:v>
      </x:c>
      <x:c r="Q1314" s="54" t="n">
        <x:f>ROUND(O1314-P1314,2)</x:f>
        <x:v>184.83</x:v>
      </x:c>
      <x:c r="R1314" s="55" t="n">
        <x:f>IF(O1314=0,0,ROUND(Q1314/O1314,4))</x:f>
        <x:v>0.4532</x:v>
      </x:c>
      <x:c r="S1314" s="53" t="n">
        <x:v>10</x:v>
      </x:c>
      <x:c r="T1314" t="str">
        <x:v>Entregue</x:v>
      </x:c>
      <x:c r="U1314" t="n">
        <x:v>2</x:v>
      </x:c>
      <x:c r="V1314" t="str"/>
    </x:row>
    <x:row r="1315">
      <x:c r="A1315" s="52" t="n">
        <x:v>46120</x:v>
      </x:c>
      <x:c r="B1315" t="str">
        <x:v>PED-101314</x:v>
      </x:c>
      <x:c r="C1315" t="str">
        <x:v>Cliente 094</x:v>
      </x:c>
      <x:c r="D1315" t="str">
        <x:v>AM</x:v>
      </x:c>
      <x:c r="E1315" t="str">
        <x:v>Norte</x:v>
      </x:c>
      <x:c r="F1315" t="str">
        <x:v>Marketplace</x:v>
      </x:c>
      <x:c r="G1315" t="str">
        <x:v>Acessórios</x:v>
      </x:c>
      <x:c r="H1315" t="str">
        <x:v>Hub USB-C</x:v>
      </x:c>
      <x:c r="I1315" t="str">
        <x:v>Gabriela</x:v>
      </x:c>
      <x:c r="J1315" s="53" t="n">
        <x:v>3</x:v>
      </x:c>
      <x:c r="K1315" s="54" t="n">
        <x:v>327.28</x:v>
      </x:c>
      <x:c r="L1315" s="54" t="n">
        <x:v>142.61</x:v>
      </x:c>
      <x:c r="M1315" s="55" t="n">
        <x:v>0.035</x:v>
      </x:c>
      <x:c r="N1315" s="54" t="n">
        <x:f>ROUND(J1315*K1315,2)</x:f>
        <x:v>981.84</x:v>
      </x:c>
      <x:c r="O1315" s="54" t="n">
        <x:f>ROUND(N1315*(1-M1315),2)</x:f>
        <x:v>947.48</x:v>
      </x:c>
      <x:c r="P1315" s="54" t="n">
        <x:f>ROUND(J1315*L1315,2)</x:f>
        <x:v>427.83</x:v>
      </x:c>
      <x:c r="Q1315" s="54" t="n">
        <x:f>ROUND(O1315-P1315,2)</x:f>
        <x:v>519.65</x:v>
      </x:c>
      <x:c r="R1315" s="55" t="n">
        <x:f>IF(O1315=0,0,ROUND(Q1315/O1315,4))</x:f>
        <x:v>0.5485</x:v>
      </x:c>
      <x:c r="S1315" s="53" t="n">
        <x:v>9</x:v>
      </x:c>
      <x:c r="T1315" t="str">
        <x:v>Entregue</x:v>
      </x:c>
      <x:c r="U1315" t="n">
        <x:v>5</x:v>
      </x:c>
      <x:c r="V1315" t="str"/>
    </x:row>
    <x:row r="1316">
      <x:c r="A1316" s="52" t="n">
        <x:v>46080</x:v>
      </x:c>
      <x:c r="B1316" t="str">
        <x:v>PED-101315</x:v>
      </x:c>
      <x:c r="C1316" t="str">
        <x:v>Cliente 062</x:v>
      </x:c>
      <x:c r="D1316" t="str">
        <x:v>MT</x:v>
      </x:c>
      <x:c r="E1316" t="str">
        <x:v>Centro-Oeste</x:v>
      </x:c>
      <x:c r="F1316" t="str">
        <x:v>Loja</x:v>
      </x:c>
      <x:c r="G1316" t="str">
        <x:v>Escritório</x:v>
      </x:c>
      <x:c r="H1316" t="str">
        <x:v>Luminária LED</x:v>
      </x:c>
      <x:c r="I1316" t="str">
        <x:v>Henrique</x:v>
      </x:c>
      <x:c r="J1316" s="53" t="n">
        <x:v>5</x:v>
      </x:c>
      <x:c r="K1316" s="54" t="n">
        <x:v>269.56</x:v>
      </x:c>
      <x:c r="L1316" s="54" t="n">
        <x:v>120.31</x:v>
      </x:c>
      <x:c r="M1316" s="55" t="n">
        <x:v>0</x:v>
      </x:c>
      <x:c r="N1316" s="54" t="n">
        <x:f>ROUND(J1316*K1316,2)</x:f>
        <x:v>1347.8</x:v>
      </x:c>
      <x:c r="O1316" s="54" t="n">
        <x:f>ROUND(N1316*(1-M1316),2)</x:f>
        <x:v>1347.8</x:v>
      </x:c>
      <x:c r="P1316" s="54" t="n">
        <x:f>ROUND(J1316*L1316,2)</x:f>
        <x:v>601.55</x:v>
      </x:c>
      <x:c r="Q1316" s="54" t="n">
        <x:f>ROUND(O1316-P1316,2)</x:f>
        <x:v>746.25</x:v>
      </x:c>
      <x:c r="R1316" s="55" t="n">
        <x:f>IF(O1316=0,0,ROUND(Q1316/O1316,4))</x:f>
        <x:v>0.5537</x:v>
      </x:c>
      <x:c r="S1316" s="53" t="n">
        <x:v>32</x:v>
      </x:c>
      <x:c r="T1316" t="str">
        <x:v>Entregue com atraso</x:v>
      </x:c>
      <x:c r="U1316" t="n">
        <x:v>1</x:v>
      </x:c>
      <x:c r="V1316" t="str">
        <x:v>Ocorrência logística</x:v>
      </x:c>
    </x:row>
    <x:row r="1317">
      <x:c r="A1317" s="52" t="n">
        <x:v>46148</x:v>
      </x:c>
      <x:c r="B1317" t="str">
        <x:v>PED-101316</x:v>
      </x:c>
      <x:c r="C1317" t="str">
        <x:v>Cliente 058</x:v>
      </x:c>
      <x:c r="D1317" t="str">
        <x:v>AM</x:v>
      </x:c>
      <x:c r="E1317" t="str">
        <x:v>Norte</x:v>
      </x:c>
      <x:c r="F1317" t="str">
        <x:v>Televendas</x:v>
      </x:c>
      <x:c r="G1317" t="str">
        <x:v>Escritório</x:v>
      </x:c>
      <x:c r="H1317" t="str">
        <x:v>Mesa Ajustável</x:v>
      </x:c>
      <x:c r="I1317" t="str">
        <x:v>Diego</x:v>
      </x:c>
      <x:c r="J1317" s="53" t="n">
        <x:v>1</x:v>
      </x:c>
      <x:c r="K1317" s="54" t="n">
        <x:v>2757.04</x:v>
      </x:c>
      <x:c r="L1317" s="54" t="n">
        <x:v>1863.38</x:v>
      </x:c>
      <x:c r="M1317" s="55" t="n">
        <x:v>0.0414</x:v>
      </x:c>
      <x:c r="N1317" s="54" t="n">
        <x:f>ROUND(J1317*K1317,2)</x:f>
        <x:v>2757.04</x:v>
      </x:c>
      <x:c r="O1317" s="54" t="n">
        <x:f>ROUND(N1317*(1-M1317),2)</x:f>
        <x:v>2642.9</x:v>
      </x:c>
      <x:c r="P1317" s="54" t="n">
        <x:f>ROUND(J1317*L1317,2)</x:f>
        <x:v>1863.38</x:v>
      </x:c>
      <x:c r="Q1317" s="54" t="n">
        <x:f>ROUND(O1317-P1317,2)</x:f>
        <x:v>779.52</x:v>
      </x:c>
      <x:c r="R1317" s="55" t="n">
        <x:f>IF(O1317=0,0,ROUND(Q1317/O1317,4))</x:f>
        <x:v>0.2949</x:v>
      </x:c>
      <x:c r="S1317" s="53" t="n">
        <x:v>14</x:v>
      </x:c>
      <x:c r="T1317" t="str">
        <x:v>Entregue com atraso</x:v>
      </x:c>
      <x:c r="U1317" t="n">
        <x:v>5</x:v>
      </x:c>
      <x:c r="V1317" t="str"/>
    </x:row>
    <x:row r="1318">
      <x:c r="A1318" s="52" t="n">
        <x:v>46116</x:v>
      </x:c>
      <x:c r="B1318" t="str">
        <x:v>PED-101317</x:v>
      </x:c>
      <x:c r="C1318" t="str">
        <x:v>Cliente 017</x:v>
      </x:c>
      <x:c r="D1318" t="str">
        <x:v>PA</x:v>
      </x:c>
      <x:c r="E1318" t="str">
        <x:v>Norte</x:v>
      </x:c>
      <x:c r="F1318" t="str">
        <x:v>E-commerce</x:v>
      </x:c>
      <x:c r="G1318" t="str">
        <x:v>Tecnologia</x:v>
      </x:c>
      <x:c r="H1318" t="str">
        <x:v>Headset Office</x:v>
      </x:c>
      <x:c r="I1318" t="str">
        <x:v>Ana</x:v>
      </x:c>
      <x:c r="J1318" s="53" t="n">
        <x:v>2</x:v>
      </x:c>
      <x:c r="K1318" s="54" t="n">
        <x:v>402.35</x:v>
      </x:c>
      <x:c r="L1318" s="54" t="n">
        <x:v>219.93</x:v>
      </x:c>
      <x:c r="M1318" s="55" t="n">
        <x:v>0</x:v>
      </x:c>
      <x:c r="N1318" s="54" t="n">
        <x:f>ROUND(J1318*K1318,2)</x:f>
        <x:v>804.7</x:v>
      </x:c>
      <x:c r="O1318" s="54" t="n">
        <x:f>ROUND(N1318*(1-M1318),2)</x:f>
        <x:v>804.7</x:v>
      </x:c>
      <x:c r="P1318" s="54" t="n">
        <x:f>ROUND(J1318*L1318,2)</x:f>
        <x:v>439.86</x:v>
      </x:c>
      <x:c r="Q1318" s="54" t="n">
        <x:f>ROUND(O1318-P1318,2)</x:f>
        <x:v>364.84</x:v>
      </x:c>
      <x:c r="R1318" s="55" t="n">
        <x:f>IF(O1318=0,0,ROUND(Q1318/O1318,4))</x:f>
        <x:v>0.4534</x:v>
      </x:c>
      <x:c r="S1318" s="53" t="n">
        <x:v>12</x:v>
      </x:c>
      <x:c r="T1318" t="str">
        <x:v>Entregue com atraso</x:v>
      </x:c>
      <x:c r="U1318" t="n">
        <x:v>4</x:v>
      </x:c>
      <x:c r="V1318" t="str"/>
    </x:row>
    <x:row r="1319">
      <x:c r="A1319" s="52" t="n">
        <x:v>46036</x:v>
      </x:c>
      <x:c r="B1319" t="str">
        <x:v>PED-101318</x:v>
      </x:c>
      <x:c r="C1319" t="str">
        <x:v>Cliente 051</x:v>
      </x:c>
      <x:c r="D1319" t="str">
        <x:v>GO</x:v>
      </x:c>
      <x:c r="E1319" t="str">
        <x:v>Centro-Oeste</x:v>
      </x:c>
      <x:c r="F1319" t="str">
        <x:v>E-commerce</x:v>
      </x:c>
      <x:c r="G1319" t="str">
        <x:v>Acessórios</x:v>
      </x:c>
      <x:c r="H1319" t="str">
        <x:v>Webcam HD</x:v>
      </x:c>
      <x:c r="I1319" t="str">
        <x:v>Diego</x:v>
      </x:c>
      <x:c r="J1319" s="53" t="n">
        <x:v>1</x:v>
      </x:c>
      <x:c r="K1319" s="54" t="n">
        <x:v>503.59</x:v>
      </x:c>
      <x:c r="L1319" s="54" t="n">
        <x:v>242.88</x:v>
      </x:c>
      <x:c r="M1319" s="55" t="n">
        <x:v>0.1278</x:v>
      </x:c>
      <x:c r="N1319" s="54" t="n">
        <x:f>ROUND(J1319*K1319,2)</x:f>
        <x:v>503.59</x:v>
      </x:c>
      <x:c r="O1319" s="54" t="n">
        <x:f>ROUND(N1319*(1-M1319),2)</x:f>
        <x:v>439.23</x:v>
      </x:c>
      <x:c r="P1319" s="54" t="n">
        <x:f>ROUND(J1319*L1319,2)</x:f>
        <x:v>242.88</x:v>
      </x:c>
      <x:c r="Q1319" s="54" t="n">
        <x:f>ROUND(O1319-P1319,2)</x:f>
        <x:v>196.35</x:v>
      </x:c>
      <x:c r="R1319" s="55" t="n">
        <x:f>IF(O1319=0,0,ROUND(Q1319/O1319,4))</x:f>
        <x:v>0.447</x:v>
      </x:c>
      <x:c r="S1319" s="53" t="n">
        <x:v>11</x:v>
      </x:c>
      <x:c r="T1319" t="str">
        <x:v>Entregue com atraso</x:v>
      </x:c>
      <x:c r="U1319" t="n">
        <x:v>4</x:v>
      </x:c>
      <x:c r="V1319" t="str"/>
    </x:row>
    <x:row r="1320">
      <x:c r="A1320" s="52" t="n">
        <x:v>46064</x:v>
      </x:c>
      <x:c r="B1320" t="str">
        <x:v>PED-101319</x:v>
      </x:c>
      <x:c r="C1320" t="str">
        <x:v>Cliente 101</x:v>
      </x:c>
      <x:c r="D1320" t="str">
        <x:v>AM</x:v>
      </x:c>
      <x:c r="E1320" t="str">
        <x:v>Norte</x:v>
      </x:c>
      <x:c r="F1320" t="str">
        <x:v>Televendas</x:v>
      </x:c>
      <x:c r="G1320" t="str">
        <x:v>Tecnologia</x:v>
      </x:c>
      <x:c r="H1320" t="str">
        <x:v>Notebook Pro</x:v>
      </x:c>
      <x:c r="I1320" t="str">
        <x:v>Gabriela</x:v>
      </x:c>
      <x:c r="J1320" s="53" t="n">
        <x:v>5</x:v>
      </x:c>
      <x:c r="K1320" s="54" t="n">
        <x:v>5695.5</x:v>
      </x:c>
      <x:c r="L1320" s="54" t="n">
        <x:v>4361.85</x:v>
      </x:c>
      <x:c r="M1320" s="55" t="n">
        <x:v>0.026</x:v>
      </x:c>
      <x:c r="N1320" s="54" t="n">
        <x:f>ROUND(J1320*K1320,2)</x:f>
        <x:v>28477.5</x:v>
      </x:c>
      <x:c r="O1320" s="54" t="n">
        <x:f>ROUND(N1320*(1-M1320),2)</x:f>
        <x:v>27737.09</x:v>
      </x:c>
      <x:c r="P1320" s="54" t="n">
        <x:f>ROUND(J1320*L1320,2)</x:f>
        <x:v>21809.25</x:v>
      </x:c>
      <x:c r="Q1320" s="54" t="n">
        <x:f>ROUND(O1320-P1320,2)</x:f>
        <x:v>5927.84</x:v>
      </x:c>
      <x:c r="R1320" s="55" t="n">
        <x:f>IF(O1320=0,0,ROUND(Q1320/O1320,4))</x:f>
        <x:v>0.2137</x:v>
      </x:c>
      <x:c r="S1320" s="53" t="n">
        <x:v>3</x:v>
      </x:c>
      <x:c r="T1320" t="str">
        <x:v>Entregue</x:v>
      </x:c>
      <x:c r="U1320" t="n">
        <x:v>3</x:v>
      </x:c>
      <x:c r="V1320" t="str"/>
    </x:row>
    <x:row r="1321">
      <x:c r="A1321" s="52" t="n">
        <x:v>46046</x:v>
      </x:c>
      <x:c r="B1321" t="str">
        <x:v>PED-101320</x:v>
      </x:c>
      <x:c r="C1321" t="str">
        <x:v>Cliente 090</x:v>
      </x:c>
      <x:c r="D1321" t="str">
        <x:v>DF</x:v>
      </x:c>
      <x:c r="E1321" t="str">
        <x:v>Centro-Oeste</x:v>
      </x:c>
      <x:c r="F1321" t="str">
        <x:v>Televendas</x:v>
      </x:c>
      <x:c r="G1321" t="str">
        <x:v>Tecnologia</x:v>
      </x:c>
      <x:c r="H1321" t="str">
        <x:v>Headset Office</x:v>
      </x:c>
      <x:c r="I1321" t="str">
        <x:v>Bruno</x:v>
      </x:c>
      <x:c r="J1321" s="53" t="n">
        <x:v>8</x:v>
      </x:c>
      <x:c r="K1321" s="54" t="n">
        <x:v>384.21</x:v>
      </x:c>
      <x:c r="L1321" s="54" t="n">
        <x:v>205.49</x:v>
      </x:c>
      <x:c r="M1321" s="55" t="n">
        <x:v>0</x:v>
      </x:c>
      <x:c r="N1321" s="54" t="n">
        <x:f>ROUND(J1321*K1321,2)</x:f>
        <x:v>3073.68</x:v>
      </x:c>
      <x:c r="O1321" s="54" t="n">
        <x:f>ROUND(N1321*(1-M1321),2)</x:f>
        <x:v>3073.68</x:v>
      </x:c>
      <x:c r="P1321" s="54" t="n">
        <x:f>ROUND(J1321*L1321,2)</x:f>
        <x:v>1643.92</x:v>
      </x:c>
      <x:c r="Q1321" s="54" t="n">
        <x:f>ROUND(O1321-P1321,2)</x:f>
        <x:v>1429.76</x:v>
      </x:c>
      <x:c r="R1321" s="55" t="n">
        <x:f>IF(O1321=0,0,ROUND(Q1321/O1321,4))</x:f>
        <x:v>0.4652</x:v>
      </x:c>
      <x:c r="S1321" s="53" t="n">
        <x:v>9</x:v>
      </x:c>
      <x:c r="T1321" t="str">
        <x:v>Entregue</x:v>
      </x:c>
      <x:c r="U1321" t="n">
        <x:v>3</x:v>
      </x:c>
      <x:c r="V1321" t="str"/>
    </x:row>
    <x:row r="1322">
      <x:c r="A1322" s="52" t="n">
        <x:v>46178</x:v>
      </x:c>
      <x:c r="B1322" t="str">
        <x:v>PED-101321</x:v>
      </x:c>
      <x:c r="C1322" t="str">
        <x:v>Cliente 083</x:v>
      </x:c>
      <x:c r="D1322" t="str">
        <x:v>ES</x:v>
      </x:c>
      <x:c r="E1322" t="str">
        <x:v>Sudeste</x:v>
      </x:c>
      <x:c r="F1322" t="str">
        <x:v>Loja</x:v>
      </x:c>
      <x:c r="G1322" t="str">
        <x:v>Tecnologia</x:v>
      </x:c>
      <x:c r="H1322" t="str">
        <x:v>Monitor 27</x:v>
      </x:c>
      <x:c r="I1322" t="str">
        <x:v>Bruno</x:v>
      </x:c>
      <x:c r="J1322" s="53" t="n">
        <x:v>1</x:v>
      </x:c>
      <x:c r="K1322" s="54" t="n">
        <x:v>1713.62</x:v>
      </x:c>
      <x:c r="L1322" s="54" t="n">
        <x:v>1039.26</x:v>
      </x:c>
      <x:c r="M1322" s="55" t="n">
        <x:v>0.0286</x:v>
      </x:c>
      <x:c r="N1322" s="54" t="n">
        <x:f>ROUND(J1322*K1322,2)</x:f>
        <x:v>1713.62</x:v>
      </x:c>
      <x:c r="O1322" s="54" t="n">
        <x:f>ROUND(N1322*(1-M1322),2)</x:f>
        <x:v>1664.61</x:v>
      </x:c>
      <x:c r="P1322" s="54" t="n">
        <x:f>ROUND(J1322*L1322,2)</x:f>
        <x:v>1039.26</x:v>
      </x:c>
      <x:c r="Q1322" s="54" t="n">
        <x:f>ROUND(O1322-P1322,2)</x:f>
        <x:v>625.35</x:v>
      </x:c>
      <x:c r="R1322" s="55" t="n">
        <x:f>IF(O1322=0,0,ROUND(Q1322/O1322,4))</x:f>
        <x:v>0.3757</x:v>
      </x:c>
      <x:c r="S1322" s="53" t="n">
        <x:v>12</x:v>
      </x:c>
      <x:c r="T1322" t="str">
        <x:v>Entregue com atraso</x:v>
      </x:c>
      <x:c r="U1322" t="n">
        <x:v>2</x:v>
      </x:c>
      <x:c r="V1322" t="str"/>
    </x:row>
    <x:row r="1323">
      <x:c r="A1323" s="52" t="n">
        <x:v>46171</x:v>
      </x:c>
      <x:c r="B1323" t="str">
        <x:v>PED-101322</x:v>
      </x:c>
      <x:c r="C1323" t="str">
        <x:v>Cliente 019</x:v>
      </x:c>
      <x:c r="D1323" t="str">
        <x:v>PE</x:v>
      </x:c>
      <x:c r="E1323" t="str">
        <x:v>Nordeste</x:v>
      </x:c>
      <x:c r="F1323" t="str">
        <x:v>Loja</x:v>
      </x:c>
      <x:c r="G1323" t="str">
        <x:v>Tecnologia</x:v>
      </x:c>
      <x:c r="H1323" t="str">
        <x:v>Notebook Pro</x:v>
      </x:c>
      <x:c r="I1323" t="str">
        <x:v>Gabriela</x:v>
      </x:c>
      <x:c r="J1323" s="53" t="n">
        <x:v>8</x:v>
      </x:c>
      <x:c r="K1323" s="54" t="n">
        <x:v>5856.61</x:v>
      </x:c>
      <x:c r="L1323" s="54" t="n">
        <x:v>4539.27</x:v>
      </x:c>
      <x:c r="M1323" s="55" t="n">
        <x:v>0.0603</x:v>
      </x:c>
      <x:c r="N1323" s="54" t="n">
        <x:f>ROUND(J1323*K1323,2)</x:f>
        <x:v>46852.88</x:v>
      </x:c>
      <x:c r="O1323" s="54" t="n">
        <x:f>ROUND(N1323*(1-M1323),2)</x:f>
        <x:v>44027.65</x:v>
      </x:c>
      <x:c r="P1323" s="54" t="n">
        <x:f>ROUND(J1323*L1323,2)</x:f>
        <x:v>36314.16</x:v>
      </x:c>
      <x:c r="Q1323" s="54" t="n">
        <x:f>ROUND(O1323-P1323,2)</x:f>
        <x:v>7713.49</x:v>
      </x:c>
      <x:c r="R1323" s="55" t="n">
        <x:f>IF(O1323=0,0,ROUND(Q1323/O1323,4))</x:f>
        <x:v>0.1752</x:v>
      </x:c>
      <x:c r="S1323" s="53" t="n">
        <x:v>8</x:v>
      </x:c>
      <x:c r="T1323" t="str">
        <x:v>Entregue</x:v>
      </x:c>
      <x:c r="U1323" t="n">
        <x:v>3</x:v>
      </x:c>
      <x:c r="V1323" t="str"/>
    </x:row>
    <x:row r="1324">
      <x:c r="A1324" s="52" t="n">
        <x:v>46140</x:v>
      </x:c>
      <x:c r="B1324" t="str">
        <x:v>PED-101323</x:v>
      </x:c>
      <x:c r="C1324" t="str">
        <x:v>Cliente 022</x:v>
      </x:c>
      <x:c r="D1324" t="str">
        <x:v>MA</x:v>
      </x:c>
      <x:c r="E1324" t="str">
        <x:v>Nordeste</x:v>
      </x:c>
      <x:c r="F1324" t="str">
        <x:v>Marketplace</x:v>
      </x:c>
      <x:c r="G1324" t="str">
        <x:v>Escritório</x:v>
      </x:c>
      <x:c r="H1324" t="str">
        <x:v>Cadeira Ergonômica</x:v>
      </x:c>
      <x:c r="I1324" t="str">
        <x:v>Isabela</x:v>
      </x:c>
      <x:c r="J1324" s="53" t="n">
        <x:v>4</x:v>
      </x:c>
      <x:c r="K1324" s="54" t="n">
        <x:v>2273.61</x:v>
      </x:c>
      <x:c r="L1324" s="54" t="n">
        <x:v>1410.34</x:v>
      </x:c>
      <x:c r="M1324" s="55" t="n">
        <x:v>0.035</x:v>
      </x:c>
      <x:c r="N1324" s="54" t="n">
        <x:f>ROUND(J1324*K1324,2)</x:f>
        <x:v>9094.44</x:v>
      </x:c>
      <x:c r="O1324" s="54" t="n">
        <x:f>ROUND(N1324*(1-M1324),2)</x:f>
        <x:v>8776.13</x:v>
      </x:c>
      <x:c r="P1324" s="54" t="n">
        <x:f>ROUND(J1324*L1324,2)</x:f>
        <x:v>5641.36</x:v>
      </x:c>
      <x:c r="Q1324" s="54" t="n">
        <x:f>ROUND(O1324-P1324,2)</x:f>
        <x:v>3134.77</x:v>
      </x:c>
      <x:c r="R1324" s="55" t="n">
        <x:f>IF(O1324=0,0,ROUND(Q1324/O1324,4))</x:f>
        <x:v>0.3572</x:v>
      </x:c>
      <x:c r="S1324" s="53" t="n">
        <x:v>12</x:v>
      </x:c>
      <x:c r="T1324" t="str">
        <x:v>Entregue com atraso</x:v>
      </x:c>
      <x:c r="U1324" t="n">
        <x:v>3</x:v>
      </x:c>
      <x:c r="V1324" t="str"/>
    </x:row>
    <x:row r="1325">
      <x:c r="A1325" s="52" t="n">
        <x:v>46217</x:v>
      </x:c>
      <x:c r="B1325" t="str">
        <x:v>PED-101324</x:v>
      </x:c>
      <x:c r="C1325" t="str">
        <x:v>Cliente 072</x:v>
      </x:c>
      <x:c r="D1325" t="str">
        <x:v>CE</x:v>
      </x:c>
      <x:c r="E1325" t="str">
        <x:v>Nordeste</x:v>
      </x:c>
      <x:c r="F1325" t="str">
        <x:v>Marketplace</x:v>
      </x:c>
      <x:c r="G1325" t="str">
        <x:v>Escritório</x:v>
      </x:c>
      <x:c r="H1325" t="str">
        <x:v>Mesa Ajustável</x:v>
      </x:c>
      <x:c r="I1325" t="str">
        <x:v>Carla</x:v>
      </x:c>
      <x:c r="J1325" s="53" t="n">
        <x:v>6</x:v>
      </x:c>
      <x:c r="K1325" s="54" t="n">
        <x:v>2665.37</x:v>
      </x:c>
      <x:c r="L1325" s="54" t="n">
        <x:v>1821.6</x:v>
      </x:c>
      <x:c r="M1325" s="55" t="n">
        <x:v>0.1024</x:v>
      </x:c>
      <x:c r="N1325" s="54" t="n">
        <x:f>ROUND(J1325*K1325,2)</x:f>
        <x:v>15992.22</x:v>
      </x:c>
      <x:c r="O1325" s="54" t="n">
        <x:f>ROUND(N1325*(1-M1325),2)</x:f>
        <x:v>14354.62</x:v>
      </x:c>
      <x:c r="P1325" s="54" t="n">
        <x:f>ROUND(J1325*L1325,2)</x:f>
        <x:v>10929.6</x:v>
      </x:c>
      <x:c r="Q1325" s="54" t="n">
        <x:f>ROUND(O1325-P1325,2)</x:f>
        <x:v>3425.02</x:v>
      </x:c>
      <x:c r="R1325" s="55" t="n">
        <x:f>IF(O1325=0,0,ROUND(Q1325/O1325,4))</x:f>
        <x:v>0.2386</x:v>
      </x:c>
      <x:c r="S1325" s="53" t="n">
        <x:v>6</x:v>
      </x:c>
      <x:c r="T1325" t="str">
        <x:v>Entregue</x:v>
      </x:c>
      <x:c r="U1325" t="n">
        <x:v>3</x:v>
      </x:c>
      <x:c r="V1325" t="str"/>
    </x:row>
    <x:row r="1326">
      <x:c r="A1326" s="52" t="n">
        <x:v>46142</x:v>
      </x:c>
      <x:c r="B1326" t="str">
        <x:v>PED-101325</x:v>
      </x:c>
      <x:c r="C1326" t="str">
        <x:v>Cliente 054</x:v>
      </x:c>
      <x:c r="D1326" t="str">
        <x:v>PE</x:v>
      </x:c>
      <x:c r="E1326" t="str">
        <x:v>Nordeste</x:v>
      </x:c>
      <x:c r="F1326" t="str">
        <x:v>Televendas</x:v>
      </x:c>
      <x:c r="G1326" t="str">
        <x:v>Escritório</x:v>
      </x:c>
      <x:c r="H1326" t="str">
        <x:v>Luminária LED</x:v>
      </x:c>
      <x:c r="I1326" t="str">
        <x:v>Gabriela</x:v>
      </x:c>
      <x:c r="J1326" s="53" t="n">
        <x:v>3</x:v>
      </x:c>
      <x:c r="K1326" s="54" t="n">
        <x:v>259.46</x:v>
      </x:c>
      <x:c r="L1326" s="54" t="n">
        <x:v>120.74</x:v>
      </x:c>
      <x:c r="M1326" s="55" t="n">
        <x:v>0.1107</x:v>
      </x:c>
      <x:c r="N1326" s="54" t="n">
        <x:f>ROUND(J1326*K1326,2)</x:f>
        <x:v>778.38</x:v>
      </x:c>
      <x:c r="O1326" s="54" t="n">
        <x:f>ROUND(N1326*(1-M1326),2)</x:f>
        <x:v>692.21</x:v>
      </x:c>
      <x:c r="P1326" s="54" t="n">
        <x:f>ROUND(J1326*L1326,2)</x:f>
        <x:v>362.22</x:v>
      </x:c>
      <x:c r="Q1326" s="54" t="n">
        <x:f>ROUND(O1326-P1326,2)</x:f>
        <x:v>329.99</x:v>
      </x:c>
      <x:c r="R1326" s="55" t="n">
        <x:f>IF(O1326=0,0,ROUND(Q1326/O1326,4))</x:f>
        <x:v>0.4767</x:v>
      </x:c>
      <x:c r="S1326" s="53" t="n">
        <x:v>9</x:v>
      </x:c>
      <x:c r="T1326" t="str">
        <x:v>Entregue</x:v>
      </x:c>
      <x:c r="U1326" t="n">
        <x:v>3</x:v>
      </x:c>
      <x:c r="V1326" t="str"/>
    </x:row>
    <x:row r="1327">
      <x:c r="A1327" s="52" t="n">
        <x:v>46123</x:v>
      </x:c>
      <x:c r="B1327" t="str">
        <x:v>PED-101326</x:v>
      </x:c>
      <x:c r="C1327" t="str">
        <x:v>Cliente 002</x:v>
      </x:c>
      <x:c r="D1327" t="str">
        <x:v>GO</x:v>
      </x:c>
      <x:c r="E1327" t="str">
        <x:v>Centro-Oeste</x:v>
      </x:c>
      <x:c r="F1327" t="str">
        <x:v>Marketplace</x:v>
      </x:c>
      <x:c r="G1327" t="str">
        <x:v>Acessórios</x:v>
      </x:c>
      <x:c r="H1327" t="str">
        <x:v>Webcam HD</x:v>
      </x:c>
      <x:c r="I1327" t="str">
        <x:v>Bruno</x:v>
      </x:c>
      <x:c r="J1327" s="53" t="n">
        <x:v>3</x:v>
      </x:c>
      <x:c r="K1327" s="54" t="n">
        <x:v>538.36</x:v>
      </x:c>
      <x:c r="L1327" s="54" t="n">
        <x:v>244.39</x:v>
      </x:c>
      <x:c r="M1327" s="55" t="n">
        <x:v>0.035</x:v>
      </x:c>
      <x:c r="N1327" s="54" t="n">
        <x:f>ROUND(J1327*K1327,2)</x:f>
        <x:v>1615.08</x:v>
      </x:c>
      <x:c r="O1327" s="54" t="n">
        <x:f>ROUND(N1327*(1-M1327),2)</x:f>
        <x:v>1558.55</x:v>
      </x:c>
      <x:c r="P1327" s="54" t="n">
        <x:f>ROUND(J1327*L1327,2)</x:f>
        <x:v>733.17</x:v>
      </x:c>
      <x:c r="Q1327" s="54" t="n">
        <x:f>ROUND(O1327-P1327,2)</x:f>
        <x:v>825.38</x:v>
      </x:c>
      <x:c r="R1327" s="55" t="n">
        <x:f>IF(O1327=0,0,ROUND(Q1327/O1327,4))</x:f>
        <x:v>0.5296</x:v>
      </x:c>
      <x:c r="S1327" s="53" t="n">
        <x:v>3</x:v>
      </x:c>
      <x:c r="T1327" t="str">
        <x:v>Entregue</x:v>
      </x:c>
      <x:c r="U1327" t="n">
        <x:v>4</x:v>
      </x:c>
      <x:c r="V1327" t="str"/>
    </x:row>
    <x:row r="1328">
      <x:c r="A1328" s="52" t="n">
        <x:v>46152</x:v>
      </x:c>
      <x:c r="B1328" t="str">
        <x:v>PED-101327</x:v>
      </x:c>
      <x:c r="C1328" t="str">
        <x:v>Cliente 072</x:v>
      </x:c>
      <x:c r="D1328" t="str">
        <x:v>PR</x:v>
      </x:c>
      <x:c r="E1328" t="str">
        <x:v>Sul</x:v>
      </x:c>
      <x:c r="F1328" t="str">
        <x:v>Televendas</x:v>
      </x:c>
      <x:c r="G1328" t="str">
        <x:v>Tecnologia</x:v>
      </x:c>
      <x:c r="H1328" t="str">
        <x:v>Notebook Pro</x:v>
      </x:c>
      <x:c r="I1328" t="str">
        <x:v>Gabriela</x:v>
      </x:c>
      <x:c r="J1328" s="53" t="n">
        <x:v>3</x:v>
      </x:c>
      <x:c r="K1328" s="54" t="n">
        <x:v>5669.34</x:v>
      </x:c>
      <x:c r="L1328" s="54" t="n">
        <x:v>4487.51</x:v>
      </x:c>
      <x:c r="M1328" s="55" t="n">
        <x:v>0</x:v>
      </x:c>
      <x:c r="N1328" s="54" t="n">
        <x:f>ROUND(J1328*K1328,2)</x:f>
        <x:v>17008.02</x:v>
      </x:c>
      <x:c r="O1328" s="54" t="n">
        <x:f>ROUND(N1328*(1-M1328),2)</x:f>
        <x:v>17008.02</x:v>
      </x:c>
      <x:c r="P1328" s="54" t="n">
        <x:f>ROUND(J1328*L1328,2)</x:f>
        <x:v>13462.53</x:v>
      </x:c>
      <x:c r="Q1328" s="54" t="n">
        <x:f>ROUND(O1328-P1328,2)</x:f>
        <x:v>3545.49</x:v>
      </x:c>
      <x:c r="R1328" s="55" t="n">
        <x:f>IF(O1328=0,0,ROUND(Q1328/O1328,4))</x:f>
        <x:v>0.2085</x:v>
      </x:c>
      <x:c r="S1328" s="53" t="n">
        <x:v>7</x:v>
      </x:c>
      <x:c r="T1328" t="str">
        <x:v>Entregue</x:v>
      </x:c>
      <x:c r="U1328" t="n">
        <x:v>3</x:v>
      </x:c>
      <x:c r="V1328" t="str"/>
    </x:row>
    <x:row r="1329">
      <x:c r="A1329" s="52" t="n">
        <x:v>46207</x:v>
      </x:c>
      <x:c r="B1329" t="str">
        <x:v>PED-101328</x:v>
      </x:c>
      <x:c r="C1329" t="str">
        <x:v>Cliente 059</x:v>
      </x:c>
      <x:c r="D1329" t="str">
        <x:v>RJ</x:v>
      </x:c>
      <x:c r="E1329" t="str">
        <x:v>Sudeste</x:v>
      </x:c>
      <x:c r="F1329" t="str">
        <x:v>Marketplace</x:v>
      </x:c>
      <x:c r="G1329" t="str">
        <x:v>Acessórios</x:v>
      </x:c>
      <x:c r="H1329" t="str">
        <x:v>Webcam HD</x:v>
      </x:c>
      <x:c r="I1329" t="str">
        <x:v>Elaine</x:v>
      </x:c>
      <x:c r="J1329" s="53" t="n">
        <x:v>8</x:v>
      </x:c>
      <x:c r="K1329" s="54" t="n">
        <x:v>480.42</x:v>
      </x:c>
      <x:c r="L1329" s="54" t="n">
        <x:v>243.13</x:v>
      </x:c>
      <x:c r="M1329" s="55" t="n">
        <x:v>0.1368</x:v>
      </x:c>
      <x:c r="N1329" s="54" t="n">
        <x:f>ROUND(J1329*K1329,2)</x:f>
        <x:v>3843.36</x:v>
      </x:c>
      <x:c r="O1329" s="54" t="n">
        <x:f>ROUND(N1329*(1-M1329),2)</x:f>
        <x:v>3317.59</x:v>
      </x:c>
      <x:c r="P1329" s="54" t="n">
        <x:f>ROUND(J1329*L1329,2)</x:f>
        <x:v>1945.04</x:v>
      </x:c>
      <x:c r="Q1329" s="54" t="n">
        <x:f>ROUND(O1329-P1329,2)</x:f>
        <x:v>1372.55</x:v>
      </x:c>
      <x:c r="R1329" s="55" t="n">
        <x:f>IF(O1329=0,0,ROUND(Q1329/O1329,4))</x:f>
        <x:v>0.4137</x:v>
      </x:c>
      <x:c r="S1329" s="53" t="n">
        <x:v>3</x:v>
      </x:c>
      <x:c r="T1329" t="str">
        <x:v>Entregue</x:v>
      </x:c>
      <x:c r="U1329" t="n">
        <x:v>5</x:v>
      </x:c>
      <x:c r="V1329" t="str"/>
    </x:row>
    <x:row r="1330">
      <x:c r="A1330" s="52" t="n">
        <x:v>46049</x:v>
      </x:c>
      <x:c r="B1330" t="str">
        <x:v>PED-101329</x:v>
      </x:c>
      <x:c r="C1330" t="str">
        <x:v>Cliente 057</x:v>
      </x:c>
      <x:c r="D1330" t="str">
        <x:v>GO</x:v>
      </x:c>
      <x:c r="E1330" t="str">
        <x:v>Centro-Oeste</x:v>
      </x:c>
      <x:c r="F1330" t="str">
        <x:v>Marketplace</x:v>
      </x:c>
      <x:c r="G1330" t="str">
        <x:v>Casa</x:v>
      </x:c>
      <x:c r="H1330" t="str">
        <x:v>Purificador</x:v>
      </x:c>
      <x:c r="I1330" t="str">
        <x:v>Henrique</x:v>
      </x:c>
      <x:c r="J1330" s="53" t="n">
        <x:v>8</x:v>
      </x:c>
      <x:c r="K1330" s="54" t="n">
        <x:v>1345.15</x:v>
      </x:c>
      <x:c r="L1330" s="54" t="n">
        <x:v>746.69</x:v>
      </x:c>
      <x:c r="M1330" s="55" t="n">
        <x:v>0.0452</x:v>
      </x:c>
      <x:c r="N1330" s="54" t="n">
        <x:f>ROUND(J1330*K1330,2)</x:f>
        <x:v>10761.2</x:v>
      </x:c>
      <x:c r="O1330" s="54" t="n">
        <x:f>ROUND(N1330*(1-M1330),2)</x:f>
        <x:v>10274.79</x:v>
      </x:c>
      <x:c r="P1330" s="54" t="n">
        <x:f>ROUND(J1330*L1330,2)</x:f>
        <x:v>5973.52</x:v>
      </x:c>
      <x:c r="Q1330" s="54" t="n">
        <x:f>ROUND(O1330-P1330,2)</x:f>
        <x:v>4301.27</x:v>
      </x:c>
      <x:c r="R1330" s="55" t="n">
        <x:f>IF(O1330=0,0,ROUND(Q1330/O1330,4))</x:f>
        <x:v>0.4186</x:v>
      </x:c>
      <x:c r="S1330" s="53" t="n">
        <x:v>5</x:v>
      </x:c>
      <x:c r="T1330" t="str">
        <x:v>Entregue</x:v>
      </x:c>
      <x:c r="U1330" t="n">
        <x:v>5</x:v>
      </x:c>
      <x:c r="V1330" t="str"/>
    </x:row>
    <x:row r="1331">
      <x:c r="A1331" s="52" t="n">
        <x:v>46059</x:v>
      </x:c>
      <x:c r="B1331" t="str">
        <x:v>PED-101330</x:v>
      </x:c>
      <x:c r="C1331" t="str">
        <x:v>Cliente 069</x:v>
      </x:c>
      <x:c r="D1331" t="str">
        <x:v>SC</x:v>
      </x:c>
      <x:c r="E1331" t="str">
        <x:v>Sul</x:v>
      </x:c>
      <x:c r="F1331" t="str">
        <x:v>Loja</x:v>
      </x:c>
      <x:c r="G1331" t="str">
        <x:v>Casa</x:v>
      </x:c>
      <x:c r="H1331" t="str">
        <x:v>Aspirador Robô</x:v>
      </x:c>
      <x:c r="I1331" t="str">
        <x:v>Carla</x:v>
      </x:c>
      <x:c r="J1331" s="53" t="n">
        <x:v>8</x:v>
      </x:c>
      <x:c r="K1331" s="54" t="n">
        <x:v>1939.77</x:v>
      </x:c>
      <x:c r="L1331" s="54" t="n">
        <x:v>1245.83</x:v>
      </x:c>
      <x:c r="M1331" s="55" t="n">
        <x:v>0</x:v>
      </x:c>
      <x:c r="N1331" s="54" t="n">
        <x:f>ROUND(J1331*K1331,2)</x:f>
        <x:v>15518.16</x:v>
      </x:c>
      <x:c r="O1331" s="54" t="n">
        <x:f>ROUND(N1331*(1-M1331),2)</x:f>
        <x:v>15518.16</x:v>
      </x:c>
      <x:c r="P1331" s="54" t="n">
        <x:f>ROUND(J1331*L1331,2)</x:f>
        <x:v>9966.64</x:v>
      </x:c>
      <x:c r="Q1331" s="54" t="n">
        <x:f>ROUND(O1331-P1331,2)</x:f>
        <x:v>5551.52</x:v>
      </x:c>
      <x:c r="R1331" s="55" t="n">
        <x:f>IF(O1331=0,0,ROUND(Q1331/O1331,4))</x:f>
        <x:v>0.3577</x:v>
      </x:c>
      <x:c r="S1331" s="53" t="n">
        <x:v>10</x:v>
      </x:c>
      <x:c r="T1331" t="str">
        <x:v>Entregue</x:v>
      </x:c>
      <x:c r="U1331" t="n">
        <x:v>3</x:v>
      </x:c>
      <x:c r="V1331" t="str"/>
    </x:row>
    <x:row r="1332">
      <x:c r="A1332" s="52" t="n">
        <x:v>46124</x:v>
      </x:c>
      <x:c r="B1332" t="str">
        <x:v>PED-101331</x:v>
      </x:c>
      <x:c r="C1332" t="str">
        <x:v>Cliente 068</x:v>
      </x:c>
      <x:c r="D1332" t="str">
        <x:v>GO</x:v>
      </x:c>
      <x:c r="E1332" t="str">
        <x:v>Centro-Oeste</x:v>
      </x:c>
      <x:c r="F1332" t="str">
        <x:v>E-commerce</x:v>
      </x:c>
      <x:c r="G1332" t="str">
        <x:v>Casa</x:v>
      </x:c>
      <x:c r="H1332" t="str">
        <x:v>Cafeteira Smart</x:v>
      </x:c>
      <x:c r="I1332" t="str">
        <x:v>Ana</x:v>
      </x:c>
      <x:c r="J1332" s="53" t="n">
        <x:v>2</x:v>
      </x:c>
      <x:c r="K1332" s="54" t="n">
        <x:v>773.25</x:v>
      </x:c>
      <x:c r="L1332" s="54" t="n">
        <x:v>441.62</x:v>
      </x:c>
      <x:c r="M1332" s="55" t="n">
        <x:v>0</x:v>
      </x:c>
      <x:c r="N1332" s="54" t="n">
        <x:f>ROUND(J1332*K1332,2)</x:f>
        <x:v>1546.5</x:v>
      </x:c>
      <x:c r="O1332" s="54" t="n">
        <x:f>ROUND(N1332*(1-M1332),2)</x:f>
        <x:v>1546.5</x:v>
      </x:c>
      <x:c r="P1332" s="54" t="n">
        <x:f>ROUND(J1332*L1332,2)</x:f>
        <x:v>883.24</x:v>
      </x:c>
      <x:c r="Q1332" s="54" t="n">
        <x:f>ROUND(O1332-P1332,2)</x:f>
        <x:v>663.26</x:v>
      </x:c>
      <x:c r="R1332" s="55" t="n">
        <x:f>IF(O1332=0,0,ROUND(Q1332/O1332,4))</x:f>
        <x:v>0.4289</x:v>
      </x:c>
      <x:c r="S1332" s="53" t="n">
        <x:v>10</x:v>
      </x:c>
      <x:c r="T1332" t="str">
        <x:v>Entregue</x:v>
      </x:c>
      <x:c r="U1332" t="n">
        <x:v>5</x:v>
      </x:c>
      <x:c r="V1332" t="str"/>
    </x:row>
    <x:row r="1333">
      <x:c r="A1333" s="52" t="n">
        <x:v>46039</x:v>
      </x:c>
      <x:c r="B1333" t="str">
        <x:v>PED-101332</x:v>
      </x:c>
      <x:c r="C1333" t="str">
        <x:v>Cliente 058</x:v>
      </x:c>
      <x:c r="D1333" t="str">
        <x:v>CE</x:v>
      </x:c>
      <x:c r="E1333" t="str">
        <x:v>Nordeste</x:v>
      </x:c>
      <x:c r="F1333" t="str">
        <x:v>Marketplace</x:v>
      </x:c>
      <x:c r="G1333" t="str">
        <x:v>Tecnologia</x:v>
      </x:c>
      <x:c r="H1333" t="str">
        <x:v>Headset Office</x:v>
      </x:c>
      <x:c r="I1333" t="str">
        <x:v>Ana</x:v>
      </x:c>
      <x:c r="J1333" s="53" t="n">
        <x:v>3</x:v>
      </x:c>
      <x:c r="K1333" s="54" t="n">
        <x:v>402.4</x:v>
      </x:c>
      <x:c r="L1333" s="54" t="n">
        <x:v>221.77</x:v>
      </x:c>
      <x:c r="M1333" s="55" t="n">
        <x:v>0.035</x:v>
      </x:c>
      <x:c r="N1333" s="54" t="n">
        <x:f>ROUND(J1333*K1333,2)</x:f>
        <x:v>1207.2</x:v>
      </x:c>
      <x:c r="O1333" s="54" t="n">
        <x:f>ROUND(N1333*(1-M1333),2)</x:f>
        <x:v>1164.95</x:v>
      </x:c>
      <x:c r="P1333" s="54" t="n">
        <x:f>ROUND(J1333*L1333,2)</x:f>
        <x:v>665.31</x:v>
      </x:c>
      <x:c r="Q1333" s="54" t="n">
        <x:f>ROUND(O1333-P1333,2)</x:f>
        <x:v>499.64</x:v>
      </x:c>
      <x:c r="R1333" s="55" t="n">
        <x:f>IF(O1333=0,0,ROUND(Q1333/O1333,4))</x:f>
        <x:v>0.4289</x:v>
      </x:c>
      <x:c r="S1333" s="53" t="n">
        <x:v>14</x:v>
      </x:c>
      <x:c r="T1333" t="str">
        <x:v>Entregue com atraso</x:v>
      </x:c>
      <x:c r="U1333" t="n">
        <x:v>5</x:v>
      </x:c>
      <x:c r="V1333" t="str"/>
    </x:row>
    <x:row r="1334">
      <x:c r="A1334" s="52" t="n">
        <x:v>46033</x:v>
      </x:c>
      <x:c r="B1334" t="str">
        <x:v>PED-101333</x:v>
      </x:c>
      <x:c r="C1334" t="str">
        <x:v>Cliente 004</x:v>
      </x:c>
      <x:c r="D1334" t="str">
        <x:v>SP</x:v>
      </x:c>
      <x:c r="E1334" t="str">
        <x:v>Sudeste</x:v>
      </x:c>
      <x:c r="F1334" t="str">
        <x:v>E-commerce</x:v>
      </x:c>
      <x:c r="G1334" t="str">
        <x:v>Acessórios</x:v>
      </x:c>
      <x:c r="H1334" t="str">
        <x:v>Webcam HD</x:v>
      </x:c>
      <x:c r="I1334" t="str">
        <x:v>Elaine</x:v>
      </x:c>
      <x:c r="J1334" s="53" t="n">
        <x:v>4</x:v>
      </x:c>
      <x:c r="K1334" s="54" t="n">
        <x:v>516.58</x:v>
      </x:c>
      <x:c r="L1334" s="54" t="n">
        <x:v>244.78</x:v>
      </x:c>
      <x:c r="M1334" s="55" t="n">
        <x:v>0</x:v>
      </x:c>
      <x:c r="N1334" s="54" t="n">
        <x:f>ROUND(J1334*K1334,2)</x:f>
        <x:v>2066.32</x:v>
      </x:c>
      <x:c r="O1334" s="54" t="n">
        <x:f>ROUND(N1334*(1-M1334),2)</x:f>
        <x:v>2066.32</x:v>
      </x:c>
      <x:c r="P1334" s="54" t="n">
        <x:f>ROUND(J1334*L1334,2)</x:f>
        <x:v>979.12</x:v>
      </x:c>
      <x:c r="Q1334" s="54" t="n">
        <x:f>ROUND(O1334-P1334,2)</x:f>
        <x:v>1087.2</x:v>
      </x:c>
      <x:c r="R1334" s="55" t="n">
        <x:f>IF(O1334=0,0,ROUND(Q1334/O1334,4))</x:f>
        <x:v>0.5262</x:v>
      </x:c>
      <x:c r="S1334" s="53" t="n">
        <x:v>3</x:v>
      </x:c>
      <x:c r="T1334" t="str">
        <x:v>Entregue</x:v>
      </x:c>
      <x:c r="U1334" t="n">
        <x:v>2</x:v>
      </x:c>
      <x:c r="V1334" t="str"/>
    </x:row>
    <x:row r="1335">
      <x:c r="A1335" s="52" t="n">
        <x:v>46170</x:v>
      </x:c>
      <x:c r="B1335" t="str">
        <x:v>PED-101334</x:v>
      </x:c>
      <x:c r="C1335" t="str">
        <x:v>Cliente 012</x:v>
      </x:c>
      <x:c r="D1335" t="str">
        <x:v>PE</x:v>
      </x:c>
      <x:c r="E1335" t="str">
        <x:v>Nordeste</x:v>
      </x:c>
      <x:c r="F1335" t="str">
        <x:v>E-commerce</x:v>
      </x:c>
      <x:c r="G1335" t="str">
        <x:v>Escritório</x:v>
      </x:c>
      <x:c r="H1335" t="str">
        <x:v>Mesa Ajustável</x:v>
      </x:c>
      <x:c r="I1335" t="str">
        <x:v>Diego</x:v>
      </x:c>
      <x:c r="J1335" s="53" t="n">
        <x:v>4</x:v>
      </x:c>
      <x:c r="K1335" s="54" t="n">
        <x:v>2829.24</x:v>
      </x:c>
      <x:c r="L1335" s="54" t="n">
        <x:v>1893.14</x:v>
      </x:c>
      <x:c r="M1335" s="55" t="n">
        <x:v>0.1031</x:v>
      </x:c>
      <x:c r="N1335" s="54" t="n">
        <x:f>ROUND(J1335*K1335,2)</x:f>
        <x:v>11316.96</x:v>
      </x:c>
      <x:c r="O1335" s="54" t="n">
        <x:f>ROUND(N1335*(1-M1335),2)</x:f>
        <x:v>10150.18</x:v>
      </x:c>
      <x:c r="P1335" s="54" t="n">
        <x:f>ROUND(J1335*L1335,2)</x:f>
        <x:v>7572.56</x:v>
      </x:c>
      <x:c r="Q1335" s="54" t="n">
        <x:f>ROUND(O1335-P1335,2)</x:f>
        <x:v>2577.62</x:v>
      </x:c>
      <x:c r="R1335" s="55" t="n">
        <x:f>IF(O1335=0,0,ROUND(Q1335/O1335,4))</x:f>
        <x:v>0.2539</x:v>
      </x:c>
      <x:c r="S1335" s="53" t="n">
        <x:v>9</x:v>
      </x:c>
      <x:c r="T1335" t="str">
        <x:v>Entregue</x:v>
      </x:c>
      <x:c r="U1335" t="n">
        <x:v>4</x:v>
      </x:c>
      <x:c r="V1335" t="str"/>
    </x:row>
    <x:row r="1336">
      <x:c r="A1336" s="52" t="n">
        <x:v>46231</x:v>
      </x:c>
      <x:c r="B1336" t="str">
        <x:v>PED-101335</x:v>
      </x:c>
      <x:c r="C1336" t="str">
        <x:v>Cliente 050</x:v>
      </x:c>
      <x:c r="D1336" t="str">
        <x:v>SP</x:v>
      </x:c>
      <x:c r="E1336" t="str">
        <x:v>Sudeste</x:v>
      </x:c>
      <x:c r="F1336" t="str">
        <x:v>Loja</x:v>
      </x:c>
      <x:c r="G1336" t="str">
        <x:v>Acessórios</x:v>
      </x:c>
      <x:c r="H1336" t="str">
        <x:v>Hub USB-C</x:v>
      </x:c>
      <x:c r="I1336" t="str">
        <x:v>Diego</x:v>
      </x:c>
      <x:c r="J1336" s="53" t="n">
        <x:v>4</x:v>
      </x:c>
      <x:c r="K1336" s="54" t="n">
        <x:v>322.45</x:v>
      </x:c>
      <x:c r="L1336" s="54" t="n">
        <x:v>138.93</x:v>
      </x:c>
      <x:c r="M1336" s="55" t="n">
        <x:v>0.0314</x:v>
      </x:c>
      <x:c r="N1336" s="54" t="n">
        <x:f>ROUND(J1336*K1336,2)</x:f>
        <x:v>1289.8</x:v>
      </x:c>
      <x:c r="O1336" s="54" t="n">
        <x:f>ROUND(N1336*(1-M1336),2)</x:f>
        <x:v>1249.3</x:v>
      </x:c>
      <x:c r="P1336" s="54" t="n">
        <x:f>ROUND(J1336*L1336,2)</x:f>
        <x:v>555.72</x:v>
      </x:c>
      <x:c r="Q1336" s="54" t="n">
        <x:f>ROUND(O1336-P1336,2)</x:f>
        <x:v>693.58</x:v>
      </x:c>
      <x:c r="R1336" s="55" t="n">
        <x:f>IF(O1336=0,0,ROUND(Q1336/O1336,4))</x:f>
        <x:v>0.5552</x:v>
      </x:c>
      <x:c r="S1336" s="53" t="n">
        <x:v>8</x:v>
      </x:c>
      <x:c r="T1336" t="str">
        <x:v>Entregue</x:v>
      </x:c>
      <x:c r="U1336" t="n">
        <x:v>3</x:v>
      </x:c>
      <x:c r="V1336" t="str"/>
    </x:row>
    <x:row r="1337">
      <x:c r="A1337" s="52" t="n">
        <x:v>46124</x:v>
      </x:c>
      <x:c r="B1337" t="str">
        <x:v>PED-101336</x:v>
      </x:c>
      <x:c r="C1337" t="str">
        <x:v>Cliente 040</x:v>
      </x:c>
      <x:c r="D1337" t="str">
        <x:v>PA</x:v>
      </x:c>
      <x:c r="E1337" t="str">
        <x:v>Norte</x:v>
      </x:c>
      <x:c r="F1337" t="str">
        <x:v>Televendas</x:v>
      </x:c>
      <x:c r="G1337" t="str">
        <x:v>Escritório</x:v>
      </x:c>
      <x:c r="H1337" t="str">
        <x:v>Luminária LED</x:v>
      </x:c>
      <x:c r="I1337" t="str">
        <x:v>Bruno</x:v>
      </x:c>
      <x:c r="J1337" s="53" t="n">
        <x:v>5</x:v>
      </x:c>
      <x:c r="K1337" s="54" t="n">
        <x:v>256.75</x:v>
      </x:c>
      <x:c r="L1337" s="54" t="n">
        <x:v>125.88</x:v>
      </x:c>
      <x:c r="M1337" s="55" t="n">
        <x:v>0</x:v>
      </x:c>
      <x:c r="N1337" s="54" t="n">
        <x:f>ROUND(J1337*K1337,2)</x:f>
        <x:v>1283.75</x:v>
      </x:c>
      <x:c r="O1337" s="54" t="n">
        <x:f>ROUND(N1337*(1-M1337),2)</x:f>
        <x:v>1283.75</x:v>
      </x:c>
      <x:c r="P1337" s="54" t="n">
        <x:f>ROUND(J1337*L1337,2)</x:f>
        <x:v>629.4</x:v>
      </x:c>
      <x:c r="Q1337" s="54" t="n">
        <x:f>ROUND(O1337-P1337,2)</x:f>
        <x:v>654.35</x:v>
      </x:c>
      <x:c r="R1337" s="55" t="n">
        <x:f>IF(O1337=0,0,ROUND(Q1337/O1337,4))</x:f>
        <x:v>0.5097</x:v>
      </x:c>
      <x:c r="S1337" s="53" t="n">
        <x:v>14</x:v>
      </x:c>
      <x:c r="T1337" t="str">
        <x:v>Entregue com atraso</x:v>
      </x:c>
      <x:c r="U1337" t="n">
        <x:v>4</x:v>
      </x:c>
      <x:c r="V1337" t="str"/>
    </x:row>
    <x:row r="1338">
      <x:c r="A1338" s="52" t="n">
        <x:v>46088</x:v>
      </x:c>
      <x:c r="B1338" t="str">
        <x:v>PED-101337</x:v>
      </x:c>
      <x:c r="C1338" t="str">
        <x:v>Cliente 059</x:v>
      </x:c>
      <x:c r="D1338" t="str">
        <x:v>PA</x:v>
      </x:c>
      <x:c r="E1338" t="str">
        <x:v>Norte</x:v>
      </x:c>
      <x:c r="F1338" t="str">
        <x:v>Marketplace</x:v>
      </x:c>
      <x:c r="G1338" t="str">
        <x:v>Casa</x:v>
      </x:c>
      <x:c r="H1338" t="str">
        <x:v>Purificador</x:v>
      </x:c>
      <x:c r="I1338" t="str">
        <x:v>Diego</x:v>
      </x:c>
      <x:c r="J1338" s="53" t="n">
        <x:v>8</x:v>
      </x:c>
      <x:c r="K1338" s="54" t="n">
        <x:v>1308.57</x:v>
      </x:c>
      <x:c r="L1338" s="54" t="n">
        <x:v>835.91</x:v>
      </x:c>
      <x:c r="M1338" s="55" t="n">
        <x:v>0.035</x:v>
      </x:c>
      <x:c r="N1338" s="54" t="n">
        <x:f>ROUND(J1338*K1338,2)</x:f>
        <x:v>10468.56</x:v>
      </x:c>
      <x:c r="O1338" s="54" t="n">
        <x:f>ROUND(N1338*(1-M1338),2)</x:f>
        <x:v>10102.16</x:v>
      </x:c>
      <x:c r="P1338" s="54" t="n">
        <x:f>ROUND(J1338*L1338,2)</x:f>
        <x:v>6687.28</x:v>
      </x:c>
      <x:c r="Q1338" s="54" t="n">
        <x:f>ROUND(O1338-P1338,2)</x:f>
        <x:v>3414.88</x:v>
      </x:c>
      <x:c r="R1338" s="55" t="n">
        <x:f>IF(O1338=0,0,ROUND(Q1338/O1338,4))</x:f>
        <x:v>0.338</x:v>
      </x:c>
      <x:c r="S1338" s="53" t="n">
        <x:v>5</x:v>
      </x:c>
      <x:c r="T1338" t="str">
        <x:v>Entregue</x:v>
      </x:c>
      <x:c r="U1338" t="n">
        <x:v>3</x:v>
      </x:c>
      <x:c r="V1338" t="str"/>
    </x:row>
    <x:row r="1339">
      <x:c r="A1339" s="52" t="n">
        <x:v>46050</x:v>
      </x:c>
      <x:c r="B1339" t="str">
        <x:v>PED-101338</x:v>
      </x:c>
      <x:c r="C1339" t="str">
        <x:v>Cliente 095</x:v>
      </x:c>
      <x:c r="D1339" t="str">
        <x:v>PR</x:v>
      </x:c>
      <x:c r="E1339" t="str">
        <x:v>Sul</x:v>
      </x:c>
      <x:c r="F1339" t="str">
        <x:v>Televendas</x:v>
      </x:c>
      <x:c r="G1339" t="str">
        <x:v>Acessórios</x:v>
      </x:c>
      <x:c r="H1339" t="str">
        <x:v>Webcam HD</x:v>
      </x:c>
      <x:c r="I1339" t="str">
        <x:v>Elaine</x:v>
      </x:c>
      <x:c r="J1339" s="53" t="n">
        <x:v>5</x:v>
      </x:c>
      <x:c r="K1339" s="54" t="n">
        <x:v>525.93</x:v>
      </x:c>
      <x:c r="L1339" s="54" t="n">
        <x:v>249.07</x:v>
      </x:c>
      <x:c r="M1339" s="55" t="n">
        <x:v>0.0324</x:v>
      </x:c>
      <x:c r="N1339" s="54" t="n">
        <x:f>ROUND(J1339*K1339,2)</x:f>
        <x:v>2629.65</x:v>
      </x:c>
      <x:c r="O1339" s="54" t="n">
        <x:f>ROUND(N1339*(1-M1339),2)</x:f>
        <x:v>2544.45</x:v>
      </x:c>
      <x:c r="P1339" s="54" t="n">
        <x:f>ROUND(J1339*L1339,2)</x:f>
        <x:v>1245.35</x:v>
      </x:c>
      <x:c r="Q1339" s="54" t="n">
        <x:f>ROUND(O1339-P1339,2)</x:f>
        <x:v>1299.1</x:v>
      </x:c>
      <x:c r="R1339" s="55" t="n">
        <x:f>IF(O1339=0,0,ROUND(Q1339/O1339,4))</x:f>
        <x:v>0.5106</x:v>
      </x:c>
      <x:c r="S1339" s="53" t="n">
        <x:v>7</x:v>
      </x:c>
      <x:c r="T1339" t="str">
        <x:v>Entregue</x:v>
      </x:c>
      <x:c r="U1339" t="n">
        <x:v>4</x:v>
      </x:c>
      <x:c r="V1339" t="str"/>
    </x:row>
    <x:row r="1340">
      <x:c r="A1340" s="52" t="n">
        <x:v>46144</x:v>
      </x:c>
      <x:c r="B1340" t="str">
        <x:v>PED-101339</x:v>
      </x:c>
      <x:c r="C1340" t="str">
        <x:v>Cliente 033</x:v>
      </x:c>
      <x:c r="D1340" t="str">
        <x:v>MG</x:v>
      </x:c>
      <x:c r="E1340" t="str">
        <x:v>Sudeste</x:v>
      </x:c>
      <x:c r="F1340" t="str">
        <x:v>Marketplace</x:v>
      </x:c>
      <x:c r="G1340" t="str">
        <x:v>Casa</x:v>
      </x:c>
      <x:c r="H1340" t="str">
        <x:v>Cafeteira Smart</x:v>
      </x:c>
      <x:c r="I1340" t="str">
        <x:v>Diego</x:v>
      </x:c>
      <x:c r="J1340" s="53" t="n">
        <x:v>4</x:v>
      </x:c>
      <x:c r="K1340" s="54" t="n">
        <x:v>765.39</x:v>
      </x:c>
      <x:c r="L1340" s="54" t="n">
        <x:v>465.84</x:v>
      </x:c>
      <x:c r="M1340" s="55" t="n">
        <x:v>0.035</x:v>
      </x:c>
      <x:c r="N1340" s="54" t="n">
        <x:f>ROUND(J1340*K1340,2)</x:f>
        <x:v>3061.56</x:v>
      </x:c>
      <x:c r="O1340" s="54" t="n">
        <x:f>ROUND(N1340*(1-M1340),2)</x:f>
        <x:v>2954.41</x:v>
      </x:c>
      <x:c r="P1340" s="54" t="n">
        <x:f>ROUND(J1340*L1340,2)</x:f>
        <x:v>1863.36</x:v>
      </x:c>
      <x:c r="Q1340" s="54" t="n">
        <x:f>ROUND(O1340-P1340,2)</x:f>
        <x:v>1091.05</x:v>
      </x:c>
      <x:c r="R1340" s="55" t="n">
        <x:f>IF(O1340=0,0,ROUND(Q1340/O1340,4))</x:f>
        <x:v>0.3693</x:v>
      </x:c>
      <x:c r="S1340" s="53" t="n">
        <x:v>7</x:v>
      </x:c>
      <x:c r="T1340" t="str">
        <x:v>Entregue</x:v>
      </x:c>
      <x:c r="U1340" t="n">
        <x:v>2</x:v>
      </x:c>
      <x:c r="V1340" t="str"/>
    </x:row>
    <x:row r="1341">
      <x:c r="A1341" s="52" t="n">
        <x:v>46144</x:v>
      </x:c>
      <x:c r="B1341" t="str">
        <x:v>PED-101340</x:v>
      </x:c>
      <x:c r="C1341" t="str">
        <x:v>Cliente 106</x:v>
      </x:c>
      <x:c r="D1341" t="str">
        <x:v>PR</x:v>
      </x:c>
      <x:c r="E1341" t="str">
        <x:v>Sul</x:v>
      </x:c>
      <x:c r="F1341" t="str">
        <x:v>E-commerce</x:v>
      </x:c>
      <x:c r="G1341" t="str">
        <x:v>Acessórios</x:v>
      </x:c>
      <x:c r="H1341" t="str">
        <x:v>Webcam HD</x:v>
      </x:c>
      <x:c r="I1341" t="str">
        <x:v>Gabriela</x:v>
      </x:c>
      <x:c r="J1341" s="53" t="n">
        <x:v>6</x:v>
      </x:c>
      <x:c r="K1341" s="54" t="n">
        <x:v>540.17</x:v>
      </x:c>
      <x:c r="L1341" s="54" t="n">
        <x:v>240.49</x:v>
      </x:c>
      <x:c r="M1341" s="55" t="n">
        <x:v>0</x:v>
      </x:c>
      <x:c r="N1341" s="54" t="n">
        <x:f>ROUND(J1341*K1341,2)</x:f>
        <x:v>3241.02</x:v>
      </x:c>
      <x:c r="O1341" s="54" t="n">
        <x:f>ROUND(N1341*(1-M1341),2)</x:f>
        <x:v>3241.02</x:v>
      </x:c>
      <x:c r="P1341" s="54" t="n">
        <x:f>ROUND(J1341*L1341,2)</x:f>
        <x:v>1442.94</x:v>
      </x:c>
      <x:c r="Q1341" s="54" t="n">
        <x:f>ROUND(O1341-P1341,2)</x:f>
        <x:v>1798.08</x:v>
      </x:c>
      <x:c r="R1341" s="55" t="n">
        <x:f>IF(O1341=0,0,ROUND(Q1341/O1341,4))</x:f>
        <x:v>0.5548</x:v>
      </x:c>
      <x:c r="S1341" s="53" t="n">
        <x:v>4</x:v>
      </x:c>
      <x:c r="T1341" t="str">
        <x:v>Entregue</x:v>
      </x:c>
      <x:c r="U1341" t="n">
        <x:v>5</x:v>
      </x:c>
      <x:c r="V1341" t="str"/>
    </x:row>
    <x:row r="1342">
      <x:c r="A1342" s="52" t="n">
        <x:v>46176</x:v>
      </x:c>
      <x:c r="B1342" t="str">
        <x:v>PED-101341</x:v>
      </x:c>
      <x:c r="C1342" t="str">
        <x:v>Cliente 096</x:v>
      </x:c>
      <x:c r="D1342" t="str">
        <x:v>PA</x:v>
      </x:c>
      <x:c r="E1342" t="str">
        <x:v>Norte</x:v>
      </x:c>
      <x:c r="F1342" t="str">
        <x:v>E-commerce</x:v>
      </x:c>
      <x:c r="G1342" t="str">
        <x:v>Tecnologia</x:v>
      </x:c>
      <x:c r="H1342" t="str">
        <x:v>Monitor 27</x:v>
      </x:c>
      <x:c r="I1342" t="str">
        <x:v>Felipe</x:v>
      </x:c>
      <x:c r="J1342" s="53" t="n">
        <x:v>3</x:v>
      </x:c>
      <x:c r="K1342" s="54" t="n">
        <x:v>1725.33</x:v>
      </x:c>
      <x:c r="L1342" s="54" t="n">
        <x:v>1125.87</x:v>
      </x:c>
      <x:c r="M1342" s="55" t="n">
        <x:v>0</x:v>
      </x:c>
      <x:c r="N1342" s="54" t="n">
        <x:f>ROUND(J1342*K1342,2)</x:f>
        <x:v>5175.99</x:v>
      </x:c>
      <x:c r="O1342" s="54" t="n">
        <x:f>ROUND(N1342*(1-M1342),2)</x:f>
        <x:v>5175.99</x:v>
      </x:c>
      <x:c r="P1342" s="54" t="n">
        <x:f>ROUND(J1342*L1342,2)</x:f>
        <x:v>3377.61</x:v>
      </x:c>
      <x:c r="Q1342" s="54" t="n">
        <x:f>ROUND(O1342-P1342,2)</x:f>
        <x:v>1798.38</x:v>
      </x:c>
      <x:c r="R1342" s="55" t="n">
        <x:f>IF(O1342=0,0,ROUND(Q1342/O1342,4))</x:f>
        <x:v>0.3474</x:v>
      </x:c>
      <x:c r="S1342" s="53" t="n">
        <x:v>2</x:v>
      </x:c>
      <x:c r="T1342" t="str">
        <x:v>Entregue</x:v>
      </x:c>
      <x:c r="U1342" t="n">
        <x:v>2</x:v>
      </x:c>
      <x:c r="V1342" t="str"/>
    </x:row>
    <x:row r="1343">
      <x:c r="A1343" s="52" t="n">
        <x:v>46220</x:v>
      </x:c>
      <x:c r="B1343" t="str">
        <x:v>PED-101342</x:v>
      </x:c>
      <x:c r="C1343" t="str">
        <x:v>Cliente 063</x:v>
      </x:c>
      <x:c r="D1343" t="str">
        <x:v>CE</x:v>
      </x:c>
      <x:c r="E1343" t="str">
        <x:v>Nordeste</x:v>
      </x:c>
      <x:c r="F1343" t="str">
        <x:v>Televendas</x:v>
      </x:c>
      <x:c r="G1343" t="str">
        <x:v>Acessórios</x:v>
      </x:c>
      <x:c r="H1343" t="str">
        <x:v>Hub USB-C</x:v>
      </x:c>
      <x:c r="I1343" t="str">
        <x:v>Elaine</x:v>
      </x:c>
      <x:c r="J1343" s="53" t="n">
        <x:v>7</x:v>
      </x:c>
      <x:c r="K1343" s="54" t="n">
        <x:v>309.52</x:v>
      </x:c>
      <x:c r="L1343" s="54" t="n">
        <x:v>135.13</x:v>
      </x:c>
      <x:c r="M1343" s="55" t="n">
        <x:v>0.0248</x:v>
      </x:c>
      <x:c r="N1343" s="54" t="n">
        <x:f>ROUND(J1343*K1343,2)</x:f>
        <x:v>2166.64</x:v>
      </x:c>
      <x:c r="O1343" s="54" t="n">
        <x:f>ROUND(N1343*(1-M1343),2)</x:f>
        <x:v>2112.91</x:v>
      </x:c>
      <x:c r="P1343" s="54" t="n">
        <x:f>ROUND(J1343*L1343,2)</x:f>
        <x:v>945.91</x:v>
      </x:c>
      <x:c r="Q1343" s="54" t="n">
        <x:f>ROUND(O1343-P1343,2)</x:f>
        <x:v>1167</x:v>
      </x:c>
      <x:c r="R1343" s="55" t="n">
        <x:f>IF(O1343=0,0,ROUND(Q1343/O1343,4))</x:f>
        <x:v>0.5523</x:v>
      </x:c>
      <x:c r="S1343" s="53" t="n">
        <x:v>6</x:v>
      </x:c>
      <x:c r="T1343" t="str">
        <x:v>Entregue</x:v>
      </x:c>
      <x:c r="U1343" t="n">
        <x:v>4</x:v>
      </x:c>
      <x:c r="V1343" t="str"/>
    </x:row>
    <x:row r="1344">
      <x:c r="A1344" s="52" t="n">
        <x:v>46071</x:v>
      </x:c>
      <x:c r="B1344" t="str">
        <x:v>PED-101343</x:v>
      </x:c>
      <x:c r="C1344" t="str">
        <x:v>Cliente 019</x:v>
      </x:c>
      <x:c r="D1344" t="str">
        <x:v>SP</x:v>
      </x:c>
      <x:c r="E1344" t="str">
        <x:v>Sudeste</x:v>
      </x:c>
      <x:c r="F1344" t="str">
        <x:v>E-commerce</x:v>
      </x:c>
      <x:c r="G1344" t="str">
        <x:v>Escritório</x:v>
      </x:c>
      <x:c r="H1344" t="str">
        <x:v>Mesa Ajustável</x:v>
      </x:c>
      <x:c r="I1344" t="str">
        <x:v>Elaine</x:v>
      </x:c>
      <x:c r="J1344" s="53" t="n">
        <x:v>3</x:v>
      </x:c>
      <x:c r="K1344" s="54" t="n">
        <x:v>2739.68</x:v>
      </x:c>
      <x:c r="L1344" s="54" t="n">
        <x:v>1795.16</x:v>
      </x:c>
      <x:c r="M1344" s="55" t="n">
        <x:v>0.0174</x:v>
      </x:c>
      <x:c r="N1344" s="54" t="n">
        <x:f>ROUND(J1344*K1344,2)</x:f>
        <x:v>8219.04</x:v>
      </x:c>
      <x:c r="O1344" s="54" t="n">
        <x:f>ROUND(N1344*(1-M1344),2)</x:f>
        <x:v>8076.03</x:v>
      </x:c>
      <x:c r="P1344" s="54" t="n">
        <x:f>ROUND(J1344*L1344,2)</x:f>
        <x:v>5385.48</x:v>
      </x:c>
      <x:c r="Q1344" s="54" t="n">
        <x:f>ROUND(O1344-P1344,2)</x:f>
        <x:v>2690.55</x:v>
      </x:c>
      <x:c r="R1344" s="55" t="n">
        <x:f>IF(O1344=0,0,ROUND(Q1344/O1344,4))</x:f>
        <x:v>0.3332</x:v>
      </x:c>
      <x:c r="S1344" s="53" t="n">
        <x:v>12</x:v>
      </x:c>
      <x:c r="T1344" t="str">
        <x:v>Entregue com atraso</x:v>
      </x:c>
      <x:c r="U1344" t="n">
        <x:v>2</x:v>
      </x:c>
      <x:c r="V1344" t="str"/>
    </x:row>
    <x:row r="1345">
      <x:c r="A1345" s="52" t="n">
        <x:v>46079</x:v>
      </x:c>
      <x:c r="B1345" t="str">
        <x:v>PED-101344</x:v>
      </x:c>
      <x:c r="C1345" t="str">
        <x:v>Cliente 105</x:v>
      </x:c>
      <x:c r="D1345" t="str">
        <x:v>CE</x:v>
      </x:c>
      <x:c r="E1345" t="str">
        <x:v>Nordeste</x:v>
      </x:c>
      <x:c r="F1345" t="str">
        <x:v>Marketplace</x:v>
      </x:c>
      <x:c r="G1345" t="str">
        <x:v>Escritório</x:v>
      </x:c>
      <x:c r="H1345" t="str">
        <x:v>Cadeira Ergonômica</x:v>
      </x:c>
      <x:c r="I1345" t="str">
        <x:v>João</x:v>
      </x:c>
      <x:c r="J1345" s="53" t="n">
        <x:v>2</x:v>
      </x:c>
      <x:c r="K1345" s="54" t="n">
        <x:v>2176.1</x:v>
      </x:c>
      <x:c r="L1345" s="54" t="n">
        <x:v>1441.1</x:v>
      </x:c>
      <x:c r="M1345" s="55" t="n">
        <x:v>0.035</x:v>
      </x:c>
      <x:c r="N1345" s="54" t="n">
        <x:f>ROUND(J1345*K1345,2)</x:f>
        <x:v>4352.2</x:v>
      </x:c>
      <x:c r="O1345" s="54" t="n">
        <x:f>ROUND(N1345*(1-M1345),2)</x:f>
        <x:v>4199.87</x:v>
      </x:c>
      <x:c r="P1345" s="54" t="n">
        <x:f>ROUND(J1345*L1345,2)</x:f>
        <x:v>2882.2</x:v>
      </x:c>
      <x:c r="Q1345" s="54" t="n">
        <x:f>ROUND(O1345-P1345,2)</x:f>
        <x:v>1317.67</x:v>
      </x:c>
      <x:c r="R1345" s="55" t="n">
        <x:f>IF(O1345=0,0,ROUND(Q1345/O1345,4))</x:f>
        <x:v>0.3137</x:v>
      </x:c>
      <x:c r="S1345" s="53" t="n">
        <x:v>12</x:v>
      </x:c>
      <x:c r="T1345" t="str">
        <x:v>Entregue com atraso</x:v>
      </x:c>
      <x:c r="U1345" t="n">
        <x:v>3</x:v>
      </x:c>
      <x:c r="V1345" t="str"/>
    </x:row>
    <x:row r="1346">
      <x:c r="A1346" s="52" t="n">
        <x:v>46126</x:v>
      </x:c>
      <x:c r="B1346" t="str">
        <x:v>PED-101345</x:v>
      </x:c>
      <x:c r="C1346" t="str">
        <x:v>Cliente 021</x:v>
      </x:c>
      <x:c r="D1346" t="str">
        <x:v>RJ</x:v>
      </x:c>
      <x:c r="E1346" t="str">
        <x:v>Sudeste</x:v>
      </x:c>
      <x:c r="F1346" t="str">
        <x:v>Loja</x:v>
      </x:c>
      <x:c r="G1346" t="str">
        <x:v>Acessórios</x:v>
      </x:c>
      <x:c r="H1346" t="str">
        <x:v>Hub USB-C</x:v>
      </x:c>
      <x:c r="I1346" t="str">
        <x:v>Bruno</x:v>
      </x:c>
      <x:c r="J1346" s="53" t="n">
        <x:v>1</x:v>
      </x:c>
      <x:c r="K1346" s="54" t="n">
        <x:v>324.59</x:v>
      </x:c>
      <x:c r="L1346" s="54" t="n">
        <x:v>133.86</x:v>
      </x:c>
      <x:c r="M1346" s="55" t="n">
        <x:v>0</x:v>
      </x:c>
      <x:c r="N1346" s="54" t="n">
        <x:f>ROUND(J1346*K1346,2)</x:f>
        <x:v>324.59</x:v>
      </x:c>
      <x:c r="O1346" s="54" t="n">
        <x:f>ROUND(N1346*(1-M1346),2)</x:f>
        <x:v>324.59</x:v>
      </x:c>
      <x:c r="P1346" s="54" t="n">
        <x:f>ROUND(J1346*L1346,2)</x:f>
        <x:v>133.86</x:v>
      </x:c>
      <x:c r="Q1346" s="54" t="n">
        <x:f>ROUND(O1346-P1346,2)</x:f>
        <x:v>190.73</x:v>
      </x:c>
      <x:c r="R1346" s="55" t="n">
        <x:f>IF(O1346=0,0,ROUND(Q1346/O1346,4))</x:f>
        <x:v>0.5876</x:v>
      </x:c>
      <x:c r="S1346" s="53" t="n">
        <x:v>5</x:v>
      </x:c>
      <x:c r="T1346" t="str">
        <x:v>Entregue</x:v>
      </x:c>
      <x:c r="U1346" t="n">
        <x:v>4</x:v>
      </x:c>
      <x:c r="V1346" t="str"/>
    </x:row>
    <x:row r="1347">
      <x:c r="A1347" s="52" t="n">
        <x:v>46070</x:v>
      </x:c>
      <x:c r="B1347" t="str">
        <x:v>PED-101346</x:v>
      </x:c>
      <x:c r="C1347" t="str">
        <x:v>Cliente 034</x:v>
      </x:c>
      <x:c r="D1347" t="str">
        <x:v>DF</x:v>
      </x:c>
      <x:c r="E1347" t="str">
        <x:v>Centro-Oeste</x:v>
      </x:c>
      <x:c r="F1347" t="str">
        <x:v>Televendas</x:v>
      </x:c>
      <x:c r="G1347" t="str">
        <x:v>Casa</x:v>
      </x:c>
      <x:c r="H1347" t="str">
        <x:v>Purificador</x:v>
      </x:c>
      <x:c r="I1347" t="str">
        <x:v>João</x:v>
      </x:c>
      <x:c r="J1347" s="53" t="n">
        <x:v>5</x:v>
      </x:c>
      <x:c r="K1347" s="54" t="n">
        <x:v>1306</x:v>
      </x:c>
      <x:c r="L1347" s="54" t="n">
        <x:v>746.03</x:v>
      </x:c>
      <x:c r="M1347" s="55" t="n">
        <x:v>0</x:v>
      </x:c>
      <x:c r="N1347" s="54" t="n">
        <x:f>ROUND(J1347*K1347,2)</x:f>
        <x:v>6530</x:v>
      </x:c>
      <x:c r="O1347" s="54" t="n">
        <x:f>ROUND(N1347*(1-M1347),2)</x:f>
        <x:v>6530</x:v>
      </x:c>
      <x:c r="P1347" s="54" t="n">
        <x:f>ROUND(J1347*L1347,2)</x:f>
        <x:v>3730.15</x:v>
      </x:c>
      <x:c r="Q1347" s="54" t="n">
        <x:f>ROUND(O1347-P1347,2)</x:f>
        <x:v>2799.85</x:v>
      </x:c>
      <x:c r="R1347" s="55" t="n">
        <x:f>IF(O1347=0,0,ROUND(Q1347/O1347,4))</x:f>
        <x:v>0.4288</x:v>
      </x:c>
      <x:c r="S1347" s="53" t="n">
        <x:v>10</x:v>
      </x:c>
      <x:c r="T1347" t="str">
        <x:v>Cancelado</x:v>
      </x:c>
      <x:c r="U1347"/>
      <x:c r="V1347" t="str"/>
    </x:row>
    <x:row r="1348">
      <x:c r="A1348" s="52" t="n">
        <x:v>46112</x:v>
      </x:c>
      <x:c r="B1348" t="str">
        <x:v>PED-101347</x:v>
      </x:c>
      <x:c r="C1348" t="str">
        <x:v>Cliente 062</x:v>
      </x:c>
      <x:c r="D1348" t="str">
        <x:v>GO</x:v>
      </x:c>
      <x:c r="E1348" t="str">
        <x:v>Centro-Oeste</x:v>
      </x:c>
      <x:c r="F1348" t="str">
        <x:v>Marketplace</x:v>
      </x:c>
      <x:c r="G1348" t="str">
        <x:v>Escritório</x:v>
      </x:c>
      <x:c r="H1348" t="str">
        <x:v>Cadeira Ergonômica</x:v>
      </x:c>
      <x:c r="I1348" t="str">
        <x:v>Isabela</x:v>
      </x:c>
      <x:c r="J1348" s="53" t="n">
        <x:v>5</x:v>
      </x:c>
      <x:c r="K1348" s="54" t="n">
        <x:v>2155.12</x:v>
      </x:c>
      <x:c r="L1348" s="54" t="n">
        <x:v>1367.87</x:v>
      </x:c>
      <x:c r="M1348" s="55" t="n">
        <x:v>0.035</x:v>
      </x:c>
      <x:c r="N1348" s="54" t="n">
        <x:f>ROUND(J1348*K1348,2)</x:f>
        <x:v>10775.6</x:v>
      </x:c>
      <x:c r="O1348" s="54" t="n">
        <x:f>ROUND(N1348*(1-M1348),2)</x:f>
        <x:v>10398.45</x:v>
      </x:c>
      <x:c r="P1348" s="54" t="n">
        <x:f>ROUND(J1348*L1348,2)</x:f>
        <x:v>6839.35</x:v>
      </x:c>
      <x:c r="Q1348" s="54" t="n">
        <x:f>ROUND(O1348-P1348,2)</x:f>
        <x:v>3559.1</x:v>
      </x:c>
      <x:c r="R1348" s="55" t="n">
        <x:f>IF(O1348=0,0,ROUND(Q1348/O1348,4))</x:f>
        <x:v>0.3423</x:v>
      </x:c>
      <x:c r="S1348" s="53" t="n">
        <x:v>14</x:v>
      </x:c>
      <x:c r="T1348" t="str">
        <x:v>Entregue com atraso</x:v>
      </x:c>
      <x:c r="U1348" t="n">
        <x:v>2</x:v>
      </x:c>
      <x:c r="V1348" t="str"/>
    </x:row>
    <x:row r="1349">
      <x:c r="A1349" s="52" t="n">
        <x:v>46175</x:v>
      </x:c>
      <x:c r="B1349" t="str">
        <x:v>PED-101348</x:v>
      </x:c>
      <x:c r="C1349" t="str">
        <x:v>Cliente 006</x:v>
      </x:c>
      <x:c r="D1349" t="str">
        <x:v>PA</x:v>
      </x:c>
      <x:c r="E1349" t="str">
        <x:v>Norte</x:v>
      </x:c>
      <x:c r="F1349" t="str">
        <x:v>Loja</x:v>
      </x:c>
      <x:c r="G1349" t="str">
        <x:v>Acessórios</x:v>
      </x:c>
      <x:c r="H1349" t="str">
        <x:v>Hub USB-C</x:v>
      </x:c>
      <x:c r="I1349" t="str">
        <x:v>Felipe</x:v>
      </x:c>
      <x:c r="J1349" s="53" t="n">
        <x:v>3</x:v>
      </x:c>
      <x:c r="K1349" s="54" t="n">
        <x:v>314.77</x:v>
      </x:c>
      <x:c r="L1349" s="54" t="n">
        <x:v>143.68</x:v>
      </x:c>
      <x:c r="M1349" s="55" t="n">
        <x:v>0.018</x:v>
      </x:c>
      <x:c r="N1349" s="54" t="n">
        <x:f>ROUND(J1349*K1349,2)</x:f>
        <x:v>944.31</x:v>
      </x:c>
      <x:c r="O1349" s="54" t="n">
        <x:f>ROUND(N1349*(1-M1349),2)</x:f>
        <x:v>927.31</x:v>
      </x:c>
      <x:c r="P1349" s="54" t="n">
        <x:f>ROUND(J1349*L1349,2)</x:f>
        <x:v>431.04</x:v>
      </x:c>
      <x:c r="Q1349" s="54" t="n">
        <x:f>ROUND(O1349-P1349,2)</x:f>
        <x:v>496.27</x:v>
      </x:c>
      <x:c r="R1349" s="55" t="n">
        <x:f>IF(O1349=0,0,ROUND(Q1349/O1349,4))</x:f>
        <x:v>0.5352</x:v>
      </x:c>
      <x:c r="S1349" s="53" t="n">
        <x:v>12</x:v>
      </x:c>
      <x:c r="T1349" t="str">
        <x:v>Entregue com atraso</x:v>
      </x:c>
      <x:c r="U1349" t="n">
        <x:v>2</x:v>
      </x:c>
      <x:c r="V1349" t="str"/>
    </x:row>
    <x:row r="1350">
      <x:c r="A1350" s="52" t="n">
        <x:v>46062</x:v>
      </x:c>
      <x:c r="B1350" t="str">
        <x:v>PED-101349</x:v>
      </x:c>
      <x:c r="C1350" t="str">
        <x:v>Cliente 029</x:v>
      </x:c>
      <x:c r="D1350" t="str">
        <x:v>ES</x:v>
      </x:c>
      <x:c r="E1350" t="str">
        <x:v>Sudeste</x:v>
      </x:c>
      <x:c r="F1350" t="str">
        <x:v>E-commerce</x:v>
      </x:c>
      <x:c r="G1350" t="str">
        <x:v>Escritório</x:v>
      </x:c>
      <x:c r="H1350" t="str">
        <x:v>Cadeira Ergonômica</x:v>
      </x:c>
      <x:c r="I1350" t="str">
        <x:v>João</x:v>
      </x:c>
      <x:c r="J1350" s="53" t="n">
        <x:v>7</x:v>
      </x:c>
      <x:c r="K1350" s="54" t="n">
        <x:v>2276.11</x:v>
      </x:c>
      <x:c r="L1350" s="54" t="n">
        <x:v>1398.97</x:v>
      </x:c>
      <x:c r="M1350" s="55" t="n">
        <x:v>0</x:v>
      </x:c>
      <x:c r="N1350" s="54" t="n">
        <x:f>ROUND(J1350*K1350,2)</x:f>
        <x:v>15932.77</x:v>
      </x:c>
      <x:c r="O1350" s="54" t="n">
        <x:f>ROUND(N1350*(1-M1350),2)</x:f>
        <x:v>15932.77</x:v>
      </x:c>
      <x:c r="P1350" s="54" t="n">
        <x:f>ROUND(J1350*L1350,2)</x:f>
        <x:v>9792.79</x:v>
      </x:c>
      <x:c r="Q1350" s="54" t="n">
        <x:f>ROUND(O1350-P1350,2)</x:f>
        <x:v>6139.98</x:v>
      </x:c>
      <x:c r="R1350" s="55" t="n">
        <x:f>IF(O1350=0,0,ROUND(Q1350/O1350,4))</x:f>
        <x:v>0.3854</x:v>
      </x:c>
      <x:c r="S1350" s="53" t="n">
        <x:v>2</x:v>
      </x:c>
      <x:c r="T1350" t="str">
        <x:v>Entregue</x:v>
      </x:c>
      <x:c r="U1350" t="n">
        <x:v>4</x:v>
      </x:c>
      <x:c r="V1350" t="str"/>
    </x:row>
    <x:row r="1351">
      <x:c r="A1351" s="52" t="n">
        <x:v>46158</x:v>
      </x:c>
      <x:c r="B1351" t="str">
        <x:v>PED-101350</x:v>
      </x:c>
      <x:c r="C1351" t="str">
        <x:v>Cliente 059</x:v>
      </x:c>
      <x:c r="D1351" t="str">
        <x:v>PE</x:v>
      </x:c>
      <x:c r="E1351" t="str">
        <x:v>Nordeste</x:v>
      </x:c>
      <x:c r="F1351" t="str">
        <x:v>Televendas</x:v>
      </x:c>
      <x:c r="G1351" t="str">
        <x:v>Casa</x:v>
      </x:c>
      <x:c r="H1351" t="str">
        <x:v>Aspirador Robô</x:v>
      </x:c>
      <x:c r="I1351" t="str">
        <x:v>Felipe</x:v>
      </x:c>
      <x:c r="J1351" s="53" t="n">
        <x:v>1</x:v>
      </x:c>
      <x:c r="K1351" s="54" t="n">
        <x:v>1991.56</x:v>
      </x:c>
      <x:c r="L1351" s="54" t="n">
        <x:v>1227.6</x:v>
      </x:c>
      <x:c r="M1351" s="55" t="n">
        <x:v>0.0113</x:v>
      </x:c>
      <x:c r="N1351" s="54" t="n">
        <x:f>ROUND(J1351*K1351,2)</x:f>
        <x:v>1991.56</x:v>
      </x:c>
      <x:c r="O1351" s="54" t="n">
        <x:f>ROUND(N1351*(1-M1351),2)</x:f>
        <x:v>1969.06</x:v>
      </x:c>
      <x:c r="P1351" s="54" t="n">
        <x:f>ROUND(J1351*L1351,2)</x:f>
        <x:v>1227.6</x:v>
      </x:c>
      <x:c r="Q1351" s="54" t="n">
        <x:f>ROUND(O1351-P1351,2)</x:f>
        <x:v>741.46</x:v>
      </x:c>
      <x:c r="R1351" s="55" t="n">
        <x:f>IF(O1351=0,0,ROUND(Q1351/O1351,4))</x:f>
        <x:v>0.3766</x:v>
      </x:c>
      <x:c r="S1351" s="53" t="n">
        <x:v>9</x:v>
      </x:c>
      <x:c r="T1351" t="str">
        <x:v>Entregue</x:v>
      </x:c>
      <x:c r="U1351" t="n">
        <x:v>3</x:v>
      </x:c>
      <x:c r="V1351" t="str"/>
    </x:row>
    <x:row r="1352">
      <x:c r="A1352" s="52" t="n">
        <x:v>46064</x:v>
      </x:c>
      <x:c r="B1352" t="str">
        <x:v>PED-101351</x:v>
      </x:c>
      <x:c r="C1352" t="str">
        <x:v>Cliente 050</x:v>
      </x:c>
      <x:c r="D1352" t="str">
        <x:v>ES</x:v>
      </x:c>
      <x:c r="E1352" t="str">
        <x:v>Sudeste</x:v>
      </x:c>
      <x:c r="F1352" t="str">
        <x:v>Televendas</x:v>
      </x:c>
      <x:c r="G1352" t="str">
        <x:v>Casa</x:v>
      </x:c>
      <x:c r="H1352" t="str">
        <x:v>Aspirador Robô</x:v>
      </x:c>
      <x:c r="I1352" t="str">
        <x:v>Isabela</x:v>
      </x:c>
      <x:c r="J1352" s="53" t="n">
        <x:v>2</x:v>
      </x:c>
      <x:c r="K1352" s="54" t="n">
        <x:v>1801.42</x:v>
      </x:c>
      <x:c r="L1352" s="54" t="n">
        <x:v>1235.29</x:v>
      </x:c>
      <x:c r="M1352" s="55" t="n">
        <x:v>0</x:v>
      </x:c>
      <x:c r="N1352" s="54" t="n">
        <x:f>ROUND(J1352*K1352,2)</x:f>
        <x:v>3602.84</x:v>
      </x:c>
      <x:c r="O1352" s="54" t="n">
        <x:f>ROUND(N1352*(1-M1352),2)</x:f>
        <x:v>3602.84</x:v>
      </x:c>
      <x:c r="P1352" s="54" t="n">
        <x:f>ROUND(J1352*L1352,2)</x:f>
        <x:v>2470.58</x:v>
      </x:c>
      <x:c r="Q1352" s="54" t="n">
        <x:f>ROUND(O1352-P1352,2)</x:f>
        <x:v>1132.26</x:v>
      </x:c>
      <x:c r="R1352" s="55" t="n">
        <x:f>IF(O1352=0,0,ROUND(Q1352/O1352,4))</x:f>
        <x:v>0.3143</x:v>
      </x:c>
      <x:c r="S1352" s="53" t="n">
        <x:v>6</x:v>
      </x:c>
      <x:c r="T1352" t="str">
        <x:v>Entregue</x:v>
      </x:c>
      <x:c r="U1352" t="n">
        <x:v>2</x:v>
      </x:c>
      <x:c r="V1352" t="str"/>
    </x:row>
    <x:row r="1353">
      <x:c r="A1353" s="52" t="n">
        <x:v>46046</x:v>
      </x:c>
      <x:c r="B1353" t="str">
        <x:v>PED-101352</x:v>
      </x:c>
      <x:c r="C1353" t="str">
        <x:v>Cliente 105</x:v>
      </x:c>
      <x:c r="D1353" t="str">
        <x:v>BA</x:v>
      </x:c>
      <x:c r="E1353" t="str">
        <x:v>Nordeste</x:v>
      </x:c>
      <x:c r="F1353" t="str">
        <x:v>Marketplace</x:v>
      </x:c>
      <x:c r="G1353" t="str">
        <x:v>Tecnologia</x:v>
      </x:c>
      <x:c r="H1353" t="str">
        <x:v>Notebook Pro</x:v>
      </x:c>
      <x:c r="I1353" t="str">
        <x:v>Henrique</x:v>
      </x:c>
      <x:c r="J1353" s="53" t="n">
        <x:v>6</x:v>
      </x:c>
      <x:c r="K1353" s="54" t="n">
        <x:v>6045.88</x:v>
      </x:c>
      <x:c r="L1353" s="54" t="n">
        <x:v>4577.3</x:v>
      </x:c>
      <x:c r="M1353" s="55" t="n">
        <x:v>0.035</x:v>
      </x:c>
      <x:c r="N1353" s="54" t="n">
        <x:f>ROUND(J1353*K1353,2)</x:f>
        <x:v>36275.28</x:v>
      </x:c>
      <x:c r="O1353" s="54" t="n">
        <x:f>ROUND(N1353*(1-M1353),2)</x:f>
        <x:v>35005.65</x:v>
      </x:c>
      <x:c r="P1353" s="54" t="n">
        <x:f>ROUND(J1353*L1353,2)</x:f>
        <x:v>27463.8</x:v>
      </x:c>
      <x:c r="Q1353" s="54" t="n">
        <x:f>ROUND(O1353-P1353,2)</x:f>
        <x:v>7541.85</x:v>
      </x:c>
      <x:c r="R1353" s="55" t="n">
        <x:f>IF(O1353=0,0,ROUND(Q1353/O1353,4))</x:f>
        <x:v>0.2154</x:v>
      </x:c>
      <x:c r="S1353" s="53" t="n">
        <x:v>7</x:v>
      </x:c>
      <x:c r="T1353" t="str">
        <x:v>Entregue</x:v>
      </x:c>
      <x:c r="U1353" t="n">
        <x:v>4</x:v>
      </x:c>
      <x:c r="V1353" t="str"/>
    </x:row>
    <x:row r="1354">
      <x:c r="A1354" s="52" t="n">
        <x:v>46216</x:v>
      </x:c>
      <x:c r="B1354" t="str">
        <x:v>PED-101353</x:v>
      </x:c>
      <x:c r="C1354" t="str">
        <x:v>Cliente 044</x:v>
      </x:c>
      <x:c r="D1354" t="str">
        <x:v>PA</x:v>
      </x:c>
      <x:c r="E1354" t="str">
        <x:v>Norte</x:v>
      </x:c>
      <x:c r="F1354" t="str">
        <x:v>E-commerce</x:v>
      </x:c>
      <x:c r="G1354" t="str">
        <x:v>Escritório</x:v>
      </x:c>
      <x:c r="H1354" t="str">
        <x:v>Luminária LED</x:v>
      </x:c>
      <x:c r="I1354" t="str">
        <x:v>Gabriela</x:v>
      </x:c>
      <x:c r="J1354" s="53" t="n">
        <x:v>3</x:v>
      </x:c>
      <x:c r="K1354" s="54" t="n">
        <x:v>274.29</x:v>
      </x:c>
      <x:c r="L1354" s="54" t="n">
        <x:v>127.96</x:v>
      </x:c>
      <x:c r="M1354" s="55" t="n">
        <x:v>0.059</x:v>
      </x:c>
      <x:c r="N1354" s="54" t="n">
        <x:f>ROUND(J1354*K1354,2)</x:f>
        <x:v>822.87</x:v>
      </x:c>
      <x:c r="O1354" s="54" t="n">
        <x:f>ROUND(N1354*(1-M1354),2)</x:f>
        <x:v>774.32</x:v>
      </x:c>
      <x:c r="P1354" s="54" t="n">
        <x:f>ROUND(J1354*L1354,2)</x:f>
        <x:v>383.88</x:v>
      </x:c>
      <x:c r="Q1354" s="54" t="n">
        <x:f>ROUND(O1354-P1354,2)</x:f>
        <x:v>390.44</x:v>
      </x:c>
      <x:c r="R1354" s="55" t="n">
        <x:f>IF(O1354=0,0,ROUND(Q1354/O1354,4))</x:f>
        <x:v>0.5042</x:v>
      </x:c>
      <x:c r="S1354" s="53" t="n">
        <x:v>5</x:v>
      </x:c>
      <x:c r="T1354" t="str">
        <x:v>Entregue</x:v>
      </x:c>
      <x:c r="U1354" t="n">
        <x:v>3</x:v>
      </x:c>
      <x:c r="V1354" t="str"/>
    </x:row>
    <x:row r="1355">
      <x:c r="A1355" s="52" t="n">
        <x:v>46032</x:v>
      </x:c>
      <x:c r="B1355" t="str">
        <x:v>PED-101354</x:v>
      </x:c>
      <x:c r="C1355" t="str">
        <x:v>Cliente 081</x:v>
      </x:c>
      <x:c r="D1355" t="str">
        <x:v>PE</x:v>
      </x:c>
      <x:c r="E1355" t="str">
        <x:v>Nordeste</x:v>
      </x:c>
      <x:c r="F1355" t="str">
        <x:v>Marketplace</x:v>
      </x:c>
      <x:c r="G1355" t="str">
        <x:v>Tecnologia</x:v>
      </x:c>
      <x:c r="H1355" t="str">
        <x:v>Monitor 27</x:v>
      </x:c>
      <x:c r="I1355" t="str">
        <x:v>Ana</x:v>
      </x:c>
      <x:c r="J1355" s="53" t="n">
        <x:v>1</x:v>
      </x:c>
      <x:c r="K1355" s="54" t="n">
        <x:v>1724.66</x:v>
      </x:c>
      <x:c r="L1355" s="54" t="n">
        <x:v>1131.32</x:v>
      </x:c>
      <x:c r="M1355" s="55" t="n">
        <x:v>0.1448</x:v>
      </x:c>
      <x:c r="N1355" s="54" t="n">
        <x:f>ROUND(J1355*K1355,2)</x:f>
        <x:v>1724.66</x:v>
      </x:c>
      <x:c r="O1355" s="54" t="n">
        <x:f>ROUND(N1355*(1-M1355),2)</x:f>
        <x:v>1474.93</x:v>
      </x:c>
      <x:c r="P1355" s="54" t="n">
        <x:f>ROUND(J1355*L1355,2)</x:f>
        <x:v>1131.32</x:v>
      </x:c>
      <x:c r="Q1355" s="54" t="n">
        <x:f>ROUND(O1355-P1355,2)</x:f>
        <x:v>343.61</x:v>
      </x:c>
      <x:c r="R1355" s="55" t="n">
        <x:f>IF(O1355=0,0,ROUND(Q1355/O1355,4))</x:f>
        <x:v>0.233</x:v>
      </x:c>
      <x:c r="S1355" s="53" t="n">
        <x:v>7</x:v>
      </x:c>
      <x:c r="T1355" t="str">
        <x:v>Entregue</x:v>
      </x:c>
      <x:c r="U1355" t="n">
        <x:v>2</x:v>
      </x:c>
      <x:c r="V1355" t="str"/>
    </x:row>
    <x:row r="1356">
      <x:c r="A1356" s="52" t="n">
        <x:v>46200</x:v>
      </x:c>
      <x:c r="B1356" t="str">
        <x:v>PED-101355</x:v>
      </x:c>
      <x:c r="C1356" t="str">
        <x:v>Cliente 073</x:v>
      </x:c>
      <x:c r="D1356" t="str">
        <x:v>DF</x:v>
      </x:c>
      <x:c r="E1356" t="str">
        <x:v>Centro-Oeste</x:v>
      </x:c>
      <x:c r="F1356" t="str">
        <x:v>E-commerce</x:v>
      </x:c>
      <x:c r="G1356" t="str">
        <x:v>Casa</x:v>
      </x:c>
      <x:c r="H1356" t="str">
        <x:v>Aspirador Robô</x:v>
      </x:c>
      <x:c r="I1356" t="str">
        <x:v>Elaine</x:v>
      </x:c>
      <x:c r="J1356" s="53" t="n">
        <x:v>8</x:v>
      </x:c>
      <x:c r="K1356" s="54" t="n">
        <x:v>1856.51</x:v>
      </x:c>
      <x:c r="L1356" s="54" t="n">
        <x:v>1154.22</x:v>
      </x:c>
      <x:c r="M1356" s="55" t="n">
        <x:v>0.0636</x:v>
      </x:c>
      <x:c r="N1356" s="54" t="n">
        <x:f>ROUND(J1356*K1356,2)</x:f>
        <x:v>14852.08</x:v>
      </x:c>
      <x:c r="O1356" s="54" t="n">
        <x:f>ROUND(N1356*(1-M1356),2)</x:f>
        <x:v>13907.49</x:v>
      </x:c>
      <x:c r="P1356" s="54" t="n">
        <x:f>ROUND(J1356*L1356,2)</x:f>
        <x:v>9233.76</x:v>
      </x:c>
      <x:c r="Q1356" s="54" t="n">
        <x:f>ROUND(O1356-P1356,2)</x:f>
        <x:v>4673.73</x:v>
      </x:c>
      <x:c r="R1356" s="55" t="n">
        <x:f>IF(O1356=0,0,ROUND(Q1356/O1356,4))</x:f>
        <x:v>0.3361</x:v>
      </x:c>
      <x:c r="S1356" s="53" t="n">
        <x:v>9</x:v>
      </x:c>
      <x:c r="T1356" t="str">
        <x:v>Entregue</x:v>
      </x:c>
      <x:c r="U1356" t="n">
        <x:v>3</x:v>
      </x:c>
      <x:c r="V1356" t="str"/>
    </x:row>
    <x:row r="1357">
      <x:c r="A1357" s="52" t="n">
        <x:v>46171</x:v>
      </x:c>
      <x:c r="B1357" t="str">
        <x:v>PED-101356</x:v>
      </x:c>
      <x:c r="C1357" t="str">
        <x:v>Cliente 006</x:v>
      </x:c>
      <x:c r="D1357" t="str">
        <x:v>ES</x:v>
      </x:c>
      <x:c r="E1357" t="str">
        <x:v>Sudeste</x:v>
      </x:c>
      <x:c r="F1357" t="str">
        <x:v>Televendas</x:v>
      </x:c>
      <x:c r="G1357" t="str">
        <x:v>Tecnologia</x:v>
      </x:c>
      <x:c r="H1357" t="str">
        <x:v>Headset Office</x:v>
      </x:c>
      <x:c r="I1357" t="str">
        <x:v>Isabela</x:v>
      </x:c>
      <x:c r="J1357" s="53" t="n">
        <x:v>5</x:v>
      </x:c>
      <x:c r="K1357" s="54" t="n">
        <x:v>386.39</x:v>
      </x:c>
      <x:c r="L1357" s="54" t="n">
        <x:v>203.31</x:v>
      </x:c>
      <x:c r="M1357" s="55" t="n">
        <x:v>0.1078</x:v>
      </x:c>
      <x:c r="N1357" s="54" t="n">
        <x:f>ROUND(J1357*K1357,2)</x:f>
        <x:v>1931.95</x:v>
      </x:c>
      <x:c r="O1357" s="54" t="n">
        <x:f>ROUND(N1357*(1-M1357),2)</x:f>
        <x:v>1723.69</x:v>
      </x:c>
      <x:c r="P1357" s="54" t="n">
        <x:f>ROUND(J1357*L1357,2)</x:f>
        <x:v>1016.55</x:v>
      </x:c>
      <x:c r="Q1357" s="54" t="n">
        <x:f>ROUND(O1357-P1357,2)</x:f>
        <x:v>707.14</x:v>
      </x:c>
      <x:c r="R1357" s="55" t="n">
        <x:f>IF(O1357=0,0,ROUND(Q1357/O1357,4))</x:f>
        <x:v>0.4102</x:v>
      </x:c>
      <x:c r="S1357" s="53" t="n">
        <x:v>14</x:v>
      </x:c>
      <x:c r="T1357" t="str">
        <x:v>Entregue com atraso</x:v>
      </x:c>
      <x:c r="U1357" t="n">
        <x:v>4</x:v>
      </x:c>
      <x:c r="V1357" t="str"/>
    </x:row>
    <x:row r="1358">
      <x:c r="A1358" s="52" t="n">
        <x:v>46104</x:v>
      </x:c>
      <x:c r="B1358" t="str">
        <x:v>PED-101357</x:v>
      </x:c>
      <x:c r="C1358" t="str">
        <x:v>Cliente 022</x:v>
      </x:c>
      <x:c r="D1358" t="str">
        <x:v>SP</x:v>
      </x:c>
      <x:c r="E1358" t="str">
        <x:v>Sudeste</x:v>
      </x:c>
      <x:c r="F1358" t="str">
        <x:v>Loja</x:v>
      </x:c>
      <x:c r="G1358" t="str">
        <x:v>Casa</x:v>
      </x:c>
      <x:c r="H1358" t="str">
        <x:v>Aspirador Robô</x:v>
      </x:c>
      <x:c r="I1358" t="str">
        <x:v>Isabela</x:v>
      </x:c>
      <x:c r="J1358" s="53" t="n">
        <x:v>1</x:v>
      </x:c>
      <x:c r="K1358" s="54" t="n">
        <x:v>1986.24</x:v>
      </x:c>
      <x:c r="L1358" s="54" t="n">
        <x:v>1239.14</x:v>
      </x:c>
      <x:c r="M1358" s="55" t="n">
        <x:v>0.0027</x:v>
      </x:c>
      <x:c r="N1358" s="54" t="n">
        <x:f>ROUND(J1358*K1358,2)</x:f>
        <x:v>1986.24</x:v>
      </x:c>
      <x:c r="O1358" s="54" t="n">
        <x:f>ROUND(N1358*(1-M1358),2)</x:f>
        <x:v>1980.88</x:v>
      </x:c>
      <x:c r="P1358" s="54" t="n">
        <x:f>ROUND(J1358*L1358,2)</x:f>
        <x:v>1239.14</x:v>
      </x:c>
      <x:c r="Q1358" s="54" t="n">
        <x:f>ROUND(O1358-P1358,2)</x:f>
        <x:v>741.74</x:v>
      </x:c>
      <x:c r="R1358" s="55" t="n">
        <x:f>IF(O1358=0,0,ROUND(Q1358/O1358,4))</x:f>
        <x:v>0.3744</x:v>
      </x:c>
      <x:c r="S1358" s="53" t="n">
        <x:v>13</x:v>
      </x:c>
      <x:c r="T1358" t="str">
        <x:v>Entregue com atraso</x:v>
      </x:c>
      <x:c r="U1358" t="n">
        <x:v>2</x:v>
      </x:c>
      <x:c r="V1358" t="str"/>
    </x:row>
    <x:row r="1359">
      <x:c r="A1359" s="52" t="n">
        <x:v>46134</x:v>
      </x:c>
      <x:c r="B1359" t="str">
        <x:v>PED-101358</x:v>
      </x:c>
      <x:c r="C1359" t="str">
        <x:v>Cliente 099</x:v>
      </x:c>
      <x:c r="D1359" t="str">
        <x:v>CE</x:v>
      </x:c>
      <x:c r="E1359" t="str">
        <x:v>Nordeste</x:v>
      </x:c>
      <x:c r="F1359" t="str">
        <x:v>Marketplace</x:v>
      </x:c>
      <x:c r="G1359" t="str">
        <x:v>Tecnologia</x:v>
      </x:c>
      <x:c r="H1359" t="str">
        <x:v>Notebook Pro</x:v>
      </x:c>
      <x:c r="I1359" t="str">
        <x:v>Felipe</x:v>
      </x:c>
      <x:c r="J1359" s="53" t="n">
        <x:v>4</x:v>
      </x:c>
      <x:c r="K1359" s="54" t="n">
        <x:v>5852.7</x:v>
      </x:c>
      <x:c r="L1359" s="54" t="n">
        <x:v>4578.31</x:v>
      </x:c>
      <x:c r="M1359" s="55" t="n">
        <x:v>0.1633</x:v>
      </x:c>
      <x:c r="N1359" s="54" t="n">
        <x:f>ROUND(J1359*K1359,2)</x:f>
        <x:v>23410.8</x:v>
      </x:c>
      <x:c r="O1359" s="54" t="n">
        <x:f>ROUND(N1359*(1-M1359),2)</x:f>
        <x:v>19587.82</x:v>
      </x:c>
      <x:c r="P1359" s="54" t="n">
        <x:f>ROUND(J1359*L1359,2)</x:f>
        <x:v>18313.24</x:v>
      </x:c>
      <x:c r="Q1359" s="54" t="n">
        <x:f>ROUND(O1359-P1359,2)</x:f>
        <x:v>1274.58</x:v>
      </x:c>
      <x:c r="R1359" s="55" t="n">
        <x:f>IF(O1359=0,0,ROUND(Q1359/O1359,4))</x:f>
        <x:v>0.0651</x:v>
      </x:c>
      <x:c r="S1359" s="53" t="n">
        <x:v>7</x:v>
      </x:c>
      <x:c r="T1359" t="str">
        <x:v>Entregue</x:v>
      </x:c>
      <x:c r="U1359" t="n">
        <x:v>3</x:v>
      </x:c>
      <x:c r="V1359" t="str"/>
    </x:row>
    <x:row r="1360">
      <x:c r="A1360" s="52" t="n">
        <x:v>46138</x:v>
      </x:c>
      <x:c r="B1360" t="str">
        <x:v>PED-101359</x:v>
      </x:c>
      <x:c r="C1360" t="str">
        <x:v>Cliente 096</x:v>
      </x:c>
      <x:c r="D1360" t="str">
        <x:v>AM</x:v>
      </x:c>
      <x:c r="E1360" t="str">
        <x:v>Norte</x:v>
      </x:c>
      <x:c r="F1360" t="str">
        <x:v>Televendas</x:v>
      </x:c>
      <x:c r="G1360" t="str">
        <x:v>Tecnologia</x:v>
      </x:c>
      <x:c r="H1360" t="str">
        <x:v>Notebook Pro</x:v>
      </x:c>
      <x:c r="I1360" t="str">
        <x:v>Elaine</x:v>
      </x:c>
      <x:c r="J1360" s="53" t="n">
        <x:v>6</x:v>
      </x:c>
      <x:c r="K1360" s="54" t="n">
        <x:v>5800.34</x:v>
      </x:c>
      <x:c r="L1360" s="54" t="n">
        <x:v>4542.2</x:v>
      </x:c>
      <x:c r="M1360" s="55" t="n">
        <x:v>0.0722</x:v>
      </x:c>
      <x:c r="N1360" s="54" t="n">
        <x:f>ROUND(J1360*K1360,2)</x:f>
        <x:v>34802.04</x:v>
      </x:c>
      <x:c r="O1360" s="54" t="n">
        <x:f>ROUND(N1360*(1-M1360),2)</x:f>
        <x:v>32289.33</x:v>
      </x:c>
      <x:c r="P1360" s="54" t="n">
        <x:f>ROUND(J1360*L1360,2)</x:f>
        <x:v>27253.2</x:v>
      </x:c>
      <x:c r="Q1360" s="54" t="n">
        <x:f>ROUND(O1360-P1360,2)</x:f>
        <x:v>5036.13</x:v>
      </x:c>
      <x:c r="R1360" s="55" t="n">
        <x:f>IF(O1360=0,0,ROUND(Q1360/O1360,4))</x:f>
        <x:v>0.156</x:v>
      </x:c>
      <x:c r="S1360" s="53" t="n">
        <x:v>10</x:v>
      </x:c>
      <x:c r="T1360" t="str">
        <x:v>Entregue</x:v>
      </x:c>
      <x:c r="U1360" t="n">
        <x:v>4</x:v>
      </x:c>
      <x:c r="V1360" t="str"/>
    </x:row>
    <x:row r="1361">
      <x:c r="A1361" s="52" t="n">
        <x:v>46146</x:v>
      </x:c>
      <x:c r="B1361" t="str">
        <x:v>PED-101360</x:v>
      </x:c>
      <x:c r="C1361" t="str">
        <x:v>Cliente 011</x:v>
      </x:c>
      <x:c r="D1361" t="str">
        <x:v>PR</x:v>
      </x:c>
      <x:c r="E1361" t="str">
        <x:v>Sul</x:v>
      </x:c>
      <x:c r="F1361" t="str">
        <x:v>Televendas</x:v>
      </x:c>
      <x:c r="G1361" t="str">
        <x:v>Tecnologia</x:v>
      </x:c>
      <x:c r="H1361" t="str">
        <x:v>Headset Office</x:v>
      </x:c>
      <x:c r="I1361" t="str">
        <x:v>Isabela</x:v>
      </x:c>
      <x:c r="J1361" s="53" t="n">
        <x:v>8</x:v>
      </x:c>
      <x:c r="K1361" s="54" t="n">
        <x:v>373.02</x:v>
      </x:c>
      <x:c r="L1361" s="54" t="n">
        <x:v>219.68</x:v>
      </x:c>
      <x:c r="M1361" s="55" t="n">
        <x:v>0</x:v>
      </x:c>
      <x:c r="N1361" s="54" t="n">
        <x:f>ROUND(J1361*K1361,2)</x:f>
        <x:v>2984.16</x:v>
      </x:c>
      <x:c r="O1361" s="54" t="n">
        <x:f>ROUND(N1361*(1-M1361),2)</x:f>
        <x:v>2984.16</x:v>
      </x:c>
      <x:c r="P1361" s="54" t="n">
        <x:f>ROUND(J1361*L1361,2)</x:f>
        <x:v>1757.44</x:v>
      </x:c>
      <x:c r="Q1361" s="54" t="n">
        <x:f>ROUND(O1361-P1361,2)</x:f>
        <x:v>1226.72</x:v>
      </x:c>
      <x:c r="R1361" s="55" t="n">
        <x:f>IF(O1361=0,0,ROUND(Q1361/O1361,4))</x:f>
        <x:v>0.4111</x:v>
      </x:c>
      <x:c r="S1361" s="53" t="n">
        <x:v>4</x:v>
      </x:c>
      <x:c r="T1361" t="str">
        <x:v>Entregue</x:v>
      </x:c>
      <x:c r="U1361" t="n">
        <x:v>3</x:v>
      </x:c>
      <x:c r="V1361" t="str"/>
    </x:row>
    <x:row r="1362">
      <x:c r="A1362" s="52" t="n">
        <x:v>46114</x:v>
      </x:c>
      <x:c r="B1362" t="str">
        <x:v>PED-101361</x:v>
      </x:c>
      <x:c r="C1362" t="str">
        <x:v>Cliente 110</x:v>
      </x:c>
      <x:c r="D1362" t="str">
        <x:v>RS</x:v>
      </x:c>
      <x:c r="E1362" t="str">
        <x:v>Sul</x:v>
      </x:c>
      <x:c r="F1362" t="str">
        <x:v>Loja</x:v>
      </x:c>
      <x:c r="G1362" t="str">
        <x:v>Tecnologia</x:v>
      </x:c>
      <x:c r="H1362" t="str">
        <x:v>Notebook Pro</x:v>
      </x:c>
      <x:c r="I1362" t="str">
        <x:v>Carla</x:v>
      </x:c>
      <x:c r="J1362" s="53" t="n">
        <x:v>2</x:v>
      </x:c>
      <x:c r="K1362" s="54" t="n">
        <x:v>5884.34</x:v>
      </x:c>
      <x:c r="L1362" s="54" t="n">
        <x:v>4195.05</x:v>
      </x:c>
      <x:c r="M1362" s="55" t="n">
        <x:v>0</x:v>
      </x:c>
      <x:c r="N1362" s="54" t="n">
        <x:f>ROUND(J1362*K1362,2)</x:f>
        <x:v>11768.68</x:v>
      </x:c>
      <x:c r="O1362" s="54" t="n">
        <x:f>ROUND(N1362*(1-M1362),2)</x:f>
        <x:v>11768.68</x:v>
      </x:c>
      <x:c r="P1362" s="54" t="n">
        <x:f>ROUND(J1362*L1362,2)</x:f>
        <x:v>8390.1</x:v>
      </x:c>
      <x:c r="Q1362" s="54" t="n">
        <x:f>ROUND(O1362-P1362,2)</x:f>
        <x:v>3378.58</x:v>
      </x:c>
      <x:c r="R1362" s="55" t="n">
        <x:f>IF(O1362=0,0,ROUND(Q1362/O1362,4))</x:f>
        <x:v>0.2871</x:v>
      </x:c>
      <x:c r="S1362" s="53" t="n">
        <x:v>4</x:v>
      </x:c>
      <x:c r="T1362" t="str">
        <x:v>Cancelado</x:v>
      </x:c>
      <x:c r="U1362"/>
      <x:c r="V1362" t="str"/>
    </x:row>
    <x:row r="1363">
      <x:c r="A1363" s="52" t="n">
        <x:v>46171</x:v>
      </x:c>
      <x:c r="B1363" t="str">
        <x:v>PED-101362</x:v>
      </x:c>
      <x:c r="C1363" t="str">
        <x:v>Cliente 118</x:v>
      </x:c>
      <x:c r="D1363" t="str">
        <x:v>MG</x:v>
      </x:c>
      <x:c r="E1363" t="str">
        <x:v>Sudeste</x:v>
      </x:c>
      <x:c r="F1363" t="str">
        <x:v>E-commerce</x:v>
      </x:c>
      <x:c r="G1363" t="str">
        <x:v>Casa</x:v>
      </x:c>
      <x:c r="H1363" t="str">
        <x:v>Purificador</x:v>
      </x:c>
      <x:c r="I1363" t="str">
        <x:v>Henrique</x:v>
      </x:c>
      <x:c r="J1363" s="53" t="n">
        <x:v>8</x:v>
      </x:c>
      <x:c r="K1363" s="54" t="n">
        <x:v>1228.28</x:v>
      </x:c>
      <x:c r="L1363" s="54" t="n">
        <x:v>772.56</x:v>
      </x:c>
      <x:c r="M1363" s="55" t="n">
        <x:v>0.0334</x:v>
      </x:c>
      <x:c r="N1363" s="54" t="n">
        <x:f>ROUND(J1363*K1363,2)</x:f>
        <x:v>9826.24</x:v>
      </x:c>
      <x:c r="O1363" s="54" t="n">
        <x:f>ROUND(N1363*(1-M1363),2)</x:f>
        <x:v>9498.04</x:v>
      </x:c>
      <x:c r="P1363" s="54" t="n">
        <x:f>ROUND(J1363*L1363,2)</x:f>
        <x:v>6180.48</x:v>
      </x:c>
      <x:c r="Q1363" s="54" t="n">
        <x:f>ROUND(O1363-P1363,2)</x:f>
        <x:v>3317.56</x:v>
      </x:c>
      <x:c r="R1363" s="55" t="n">
        <x:f>IF(O1363=0,0,ROUND(Q1363/O1363,4))</x:f>
        <x:v>0.3493</x:v>
      </x:c>
      <x:c r="S1363" s="53" t="n">
        <x:v>9</x:v>
      </x:c>
      <x:c r="T1363" t="str">
        <x:v>Entregue</x:v>
      </x:c>
      <x:c r="U1363" t="n">
        <x:v>3</x:v>
      </x:c>
      <x:c r="V1363" t="str"/>
    </x:row>
    <x:row r="1364">
      <x:c r="A1364" s="52" t="n">
        <x:v>46090</x:v>
      </x:c>
      <x:c r="B1364" t="str">
        <x:v>PED-101363</x:v>
      </x:c>
      <x:c r="C1364" t="str">
        <x:v>Cliente 071</x:v>
      </x:c>
      <x:c r="D1364" t="str">
        <x:v>RS</x:v>
      </x:c>
      <x:c r="E1364" t="str">
        <x:v>Sul</x:v>
      </x:c>
      <x:c r="F1364" t="str">
        <x:v>Marketplace</x:v>
      </x:c>
      <x:c r="G1364" t="str">
        <x:v>Tecnologia</x:v>
      </x:c>
      <x:c r="H1364" t="str">
        <x:v>Monitor 27</x:v>
      </x:c>
      <x:c r="I1364" t="str">
        <x:v>Bruno</x:v>
      </x:c>
      <x:c r="J1364" s="53" t="n">
        <x:v>5</x:v>
      </x:c>
      <x:c r="K1364" s="54" t="n">
        <x:v>1646.23</x:v>
      </x:c>
      <x:c r="L1364" s="54" t="n">
        <x:v>1059.43</x:v>
      </x:c>
      <x:c r="M1364" s="55" t="n">
        <x:v>0.0849</x:v>
      </x:c>
      <x:c r="N1364" s="54" t="n">
        <x:f>ROUND(J1364*K1364,2)</x:f>
        <x:v>8231.15</x:v>
      </x:c>
      <x:c r="O1364" s="54" t="n">
        <x:f>ROUND(N1364*(1-M1364),2)</x:f>
        <x:v>7532.33</x:v>
      </x:c>
      <x:c r="P1364" s="54" t="n">
        <x:f>ROUND(J1364*L1364,2)</x:f>
        <x:v>5297.15</x:v>
      </x:c>
      <x:c r="Q1364" s="54" t="n">
        <x:f>ROUND(O1364-P1364,2)</x:f>
        <x:v>2235.18</x:v>
      </x:c>
      <x:c r="R1364" s="55" t="n">
        <x:f>IF(O1364=0,0,ROUND(Q1364/O1364,4))</x:f>
        <x:v>0.2967</x:v>
      </x:c>
      <x:c r="S1364" s="53" t="n">
        <x:v>7</x:v>
      </x:c>
      <x:c r="T1364" t="str">
        <x:v>Entregue</x:v>
      </x:c>
      <x:c r="U1364" t="n">
        <x:v>4</x:v>
      </x:c>
      <x:c r="V1364" t="str"/>
    </x:row>
    <x:row r="1365">
      <x:c r="A1365" s="52" t="n">
        <x:v>46157</x:v>
      </x:c>
      <x:c r="B1365" t="str">
        <x:v>PED-101364</x:v>
      </x:c>
      <x:c r="C1365" t="str">
        <x:v>Cliente 069</x:v>
      </x:c>
      <x:c r="D1365" t="str">
        <x:v>PR</x:v>
      </x:c>
      <x:c r="E1365" t="str">
        <x:v>Sul</x:v>
      </x:c>
      <x:c r="F1365" t="str">
        <x:v>Loja</x:v>
      </x:c>
      <x:c r="G1365" t="str">
        <x:v>Acessórios</x:v>
      </x:c>
      <x:c r="H1365" t="str">
        <x:v>Webcam HD</x:v>
      </x:c>
      <x:c r="I1365" t="str">
        <x:v>João</x:v>
      </x:c>
      <x:c r="J1365" s="53" t="n">
        <x:v>2</x:v>
      </x:c>
      <x:c r="K1365" s="54" t="n">
        <x:v>480.73</x:v>
      </x:c>
      <x:c r="L1365" s="54" t="n">
        <x:v>236.97</x:v>
      </x:c>
      <x:c r="M1365" s="55" t="n">
        <x:v>0</x:v>
      </x:c>
      <x:c r="N1365" s="54" t="n">
        <x:f>ROUND(J1365*K1365,2)</x:f>
        <x:v>961.46</x:v>
      </x:c>
      <x:c r="O1365" s="54" t="n">
        <x:f>ROUND(N1365*(1-M1365),2)</x:f>
        <x:v>961.46</x:v>
      </x:c>
      <x:c r="P1365" s="54" t="n">
        <x:f>ROUND(J1365*L1365,2)</x:f>
        <x:v>473.94</x:v>
      </x:c>
      <x:c r="Q1365" s="54" t="n">
        <x:f>ROUND(O1365-P1365,2)</x:f>
        <x:v>487.52</x:v>
      </x:c>
      <x:c r="R1365" s="55" t="n">
        <x:f>IF(O1365=0,0,ROUND(Q1365/O1365,4))</x:f>
        <x:v>0.5071</x:v>
      </x:c>
      <x:c r="S1365" s="53" t="n">
        <x:v>6</x:v>
      </x:c>
      <x:c r="T1365" t="str">
        <x:v>Entregue</x:v>
      </x:c>
      <x:c r="U1365" t="n">
        <x:v>5</x:v>
      </x:c>
      <x:c r="V1365" t="str"/>
    </x:row>
    <x:row r="1366">
      <x:c r="A1366" s="52" t="n">
        <x:v>46207</x:v>
      </x:c>
      <x:c r="B1366" t="str">
        <x:v>PED-101365</x:v>
      </x:c>
      <x:c r="C1366" t="str">
        <x:v>Cliente 015</x:v>
      </x:c>
      <x:c r="D1366" t="str">
        <x:v>MT</x:v>
      </x:c>
      <x:c r="E1366" t="str">
        <x:v>Centro-Oeste</x:v>
      </x:c>
      <x:c r="F1366" t="str">
        <x:v>Televendas</x:v>
      </x:c>
      <x:c r="G1366" t="str">
        <x:v>Tecnologia</x:v>
      </x:c>
      <x:c r="H1366" t="str">
        <x:v>Headset Office</x:v>
      </x:c>
      <x:c r="I1366" t="str">
        <x:v>Ana</x:v>
      </x:c>
      <x:c r="J1366" s="53" t="n">
        <x:v>5</x:v>
      </x:c>
      <x:c r="K1366" s="54" t="n">
        <x:v>383.55</x:v>
      </x:c>
      <x:c r="L1366" s="54" t="n">
        <x:v>204.02</x:v>
      </x:c>
      <x:c r="M1366" s="55" t="n">
        <x:v>0</x:v>
      </x:c>
      <x:c r="N1366" s="54" t="n">
        <x:f>ROUND(J1366*K1366,2)</x:f>
        <x:v>1917.75</x:v>
      </x:c>
      <x:c r="O1366" s="54" t="n">
        <x:f>ROUND(N1366*(1-M1366),2)</x:f>
        <x:v>1917.75</x:v>
      </x:c>
      <x:c r="P1366" s="54" t="n">
        <x:f>ROUND(J1366*L1366,2)</x:f>
        <x:v>1020.1</x:v>
      </x:c>
      <x:c r="Q1366" s="54" t="n">
        <x:f>ROUND(O1366-P1366,2)</x:f>
        <x:v>897.65</x:v>
      </x:c>
      <x:c r="R1366" s="55" t="n">
        <x:f>IF(O1366=0,0,ROUND(Q1366/O1366,4))</x:f>
        <x:v>0.4681</x:v>
      </x:c>
      <x:c r="S1366" s="53" t="n">
        <x:v>13</x:v>
      </x:c>
      <x:c r="T1366" t="str">
        <x:v>Entregue com atraso</x:v>
      </x:c>
      <x:c r="U1366" t="n">
        <x:v>3</x:v>
      </x:c>
      <x:c r="V1366" t="str"/>
    </x:row>
    <x:row r="1367">
      <x:c r="A1367" s="52" t="n">
        <x:v>46203</x:v>
      </x:c>
      <x:c r="B1367" t="str">
        <x:v>PED-101366</x:v>
      </x:c>
      <x:c r="C1367" t="str">
        <x:v>Cliente 112</x:v>
      </x:c>
      <x:c r="D1367" t="str">
        <x:v>MA</x:v>
      </x:c>
      <x:c r="E1367" t="str">
        <x:v>Nordeste</x:v>
      </x:c>
      <x:c r="F1367" t="str">
        <x:v>Marketplace</x:v>
      </x:c>
      <x:c r="G1367" t="str">
        <x:v>Escritório</x:v>
      </x:c>
      <x:c r="H1367" t="str">
        <x:v>Luminária LED</x:v>
      </x:c>
      <x:c r="I1367" t="str">
        <x:v>Henrique</x:v>
      </x:c>
      <x:c r="J1367" s="53" t="n">
        <x:v>6</x:v>
      </x:c>
      <x:c r="K1367" s="54" t="n">
        <x:v>267.56</x:v>
      </x:c>
      <x:c r="L1367" s="54" t="n">
        <x:v>120.04</x:v>
      </x:c>
      <x:c r="M1367" s="55" t="n">
        <x:v>0.035</x:v>
      </x:c>
      <x:c r="N1367" s="54" t="n">
        <x:f>ROUND(J1367*K1367,2)</x:f>
        <x:v>1605.36</x:v>
      </x:c>
      <x:c r="O1367" s="54" t="n">
        <x:f>ROUND(N1367*(1-M1367),2)</x:f>
        <x:v>1549.17</x:v>
      </x:c>
      <x:c r="P1367" s="54" t="n">
        <x:f>ROUND(J1367*L1367,2)</x:f>
        <x:v>720.24</x:v>
      </x:c>
      <x:c r="Q1367" s="54" t="n">
        <x:f>ROUND(O1367-P1367,2)</x:f>
        <x:v>828.93</x:v>
      </x:c>
      <x:c r="R1367" s="55" t="n">
        <x:f>IF(O1367=0,0,ROUND(Q1367/O1367,4))</x:f>
        <x:v>0.5351</x:v>
      </x:c>
      <x:c r="S1367" s="53" t="n">
        <x:v>9</x:v>
      </x:c>
      <x:c r="T1367" t="str">
        <x:v>Entregue</x:v>
      </x:c>
      <x:c r="U1367" t="n">
        <x:v>2</x:v>
      </x:c>
      <x:c r="V1367" t="str"/>
    </x:row>
    <x:row r="1368">
      <x:c r="A1368" s="52" t="n">
        <x:v>46115</x:v>
      </x:c>
      <x:c r="B1368" t="str">
        <x:v>PED-101367</x:v>
      </x:c>
      <x:c r="C1368" t="str">
        <x:v>Cliente 098</x:v>
      </x:c>
      <x:c r="D1368" t="str">
        <x:v>SC</x:v>
      </x:c>
      <x:c r="E1368" t="str">
        <x:v>Sul</x:v>
      </x:c>
      <x:c r="F1368" t="str">
        <x:v>Marketplace</x:v>
      </x:c>
      <x:c r="G1368" t="str">
        <x:v>Escritório</x:v>
      </x:c>
      <x:c r="H1368" t="str">
        <x:v>Mesa Ajustável</x:v>
      </x:c>
      <x:c r="I1368" t="str">
        <x:v>Henrique</x:v>
      </x:c>
      <x:c r="J1368" s="53" t="n">
        <x:v>1</x:v>
      </x:c>
      <x:c r="K1368" s="54" t="n">
        <x:v>2792.8</x:v>
      </x:c>
      <x:c r="L1368" s="54" t="n">
        <x:v>1810.88</x:v>
      </x:c>
      <x:c r="M1368" s="55" t="n">
        <x:v>0.164</x:v>
      </x:c>
      <x:c r="N1368" s="54" t="n">
        <x:f>ROUND(J1368*K1368,2)</x:f>
        <x:v>2792.8</x:v>
      </x:c>
      <x:c r="O1368" s="54" t="n">
        <x:f>ROUND(N1368*(1-M1368),2)</x:f>
        <x:v>2334.78</x:v>
      </x:c>
      <x:c r="P1368" s="54" t="n">
        <x:f>ROUND(J1368*L1368,2)</x:f>
        <x:v>1810.88</x:v>
      </x:c>
      <x:c r="Q1368" s="54" t="n">
        <x:f>ROUND(O1368-P1368,2)</x:f>
        <x:v>523.9</x:v>
      </x:c>
      <x:c r="R1368" s="55" t="n">
        <x:f>IF(O1368=0,0,ROUND(Q1368/O1368,4))</x:f>
        <x:v>0.2244</x:v>
      </x:c>
      <x:c r="S1368" s="53" t="n">
        <x:v>5</x:v>
      </x:c>
      <x:c r="T1368" t="str">
        <x:v>Entregue</x:v>
      </x:c>
      <x:c r="U1368" t="n">
        <x:v>5</x:v>
      </x:c>
      <x:c r="V1368" t="str"/>
    </x:row>
    <x:row r="1369">
      <x:c r="A1369" s="52" t="n">
        <x:v>46225</x:v>
      </x:c>
      <x:c r="B1369" t="str">
        <x:v>PED-101368</x:v>
      </x:c>
      <x:c r="C1369" t="str">
        <x:v>Cliente 076</x:v>
      </x:c>
      <x:c r="D1369" t="str">
        <x:v>MT</x:v>
      </x:c>
      <x:c r="E1369" t="str">
        <x:v>Centro-Oeste</x:v>
      </x:c>
      <x:c r="F1369" t="str">
        <x:v>Marketplace</x:v>
      </x:c>
      <x:c r="G1369" t="str">
        <x:v>Tecnologia</x:v>
      </x:c>
      <x:c r="H1369" t="str">
        <x:v>Monitor 27</x:v>
      </x:c>
      <x:c r="I1369" t="str">
        <x:v>Felipe</x:v>
      </x:c>
      <x:c r="J1369" s="53" t="n">
        <x:v>7</x:v>
      </x:c>
      <x:c r="K1369" s="54" t="n">
        <x:v>1666.73</x:v>
      </x:c>
      <x:c r="L1369" s="54" t="n">
        <x:v>1090.53</x:v>
      </x:c>
      <x:c r="M1369" s="55" t="n">
        <x:v>0.035</x:v>
      </x:c>
      <x:c r="N1369" s="54" t="n">
        <x:f>ROUND(J1369*K1369,2)</x:f>
        <x:v>11667.11</x:v>
      </x:c>
      <x:c r="O1369" s="54" t="n">
        <x:f>ROUND(N1369*(1-M1369),2)</x:f>
        <x:v>11258.76</x:v>
      </x:c>
      <x:c r="P1369" s="54" t="n">
        <x:f>ROUND(J1369*L1369,2)</x:f>
        <x:v>7633.71</x:v>
      </x:c>
      <x:c r="Q1369" s="54" t="n">
        <x:f>ROUND(O1369-P1369,2)</x:f>
        <x:v>3625.05</x:v>
      </x:c>
      <x:c r="R1369" s="55" t="n">
        <x:f>IF(O1369=0,0,ROUND(Q1369/O1369,4))</x:f>
        <x:v>0.322</x:v>
      </x:c>
      <x:c r="S1369" s="53" t="n">
        <x:v>3</x:v>
      </x:c>
      <x:c r="T1369" t="str">
        <x:v>Entregue</x:v>
      </x:c>
      <x:c r="U1369" t="n">
        <x:v>4</x:v>
      </x:c>
      <x:c r="V1369" t="str"/>
    </x:row>
    <x:row r="1370">
      <x:c r="A1370" s="52" t="n">
        <x:v>46221</x:v>
      </x:c>
      <x:c r="B1370" t="str">
        <x:v>PED-101369</x:v>
      </x:c>
      <x:c r="C1370" t="str">
        <x:v>Cliente 092</x:v>
      </x:c>
      <x:c r="D1370" t="str">
        <x:v>SP</x:v>
      </x:c>
      <x:c r="E1370" t="str">
        <x:v>Sudeste</x:v>
      </x:c>
      <x:c r="F1370" t="str">
        <x:v>Loja</x:v>
      </x:c>
      <x:c r="G1370" t="str">
        <x:v>Acessórios</x:v>
      </x:c>
      <x:c r="H1370" t="str">
        <x:v>Webcam HD</x:v>
      </x:c>
      <x:c r="I1370" t="str">
        <x:v>Isabela</x:v>
      </x:c>
      <x:c r="J1370" s="53" t="n">
        <x:v>7</x:v>
      </x:c>
      <x:c r="K1370" s="54" t="n">
        <x:v>525.16</x:v>
      </x:c>
      <x:c r="L1370" s="54" t="n">
        <x:v>239.97</x:v>
      </x:c>
      <x:c r="M1370" s="55" t="n">
        <x:v>0</x:v>
      </x:c>
      <x:c r="N1370" s="54" t="n">
        <x:f>ROUND(J1370*K1370,2)</x:f>
        <x:v>3676.12</x:v>
      </x:c>
      <x:c r="O1370" s="54" t="n">
        <x:f>ROUND(N1370*(1-M1370),2)</x:f>
        <x:v>3676.12</x:v>
      </x:c>
      <x:c r="P1370" s="54" t="n">
        <x:f>ROUND(J1370*L1370,2)</x:f>
        <x:v>1679.79</x:v>
      </x:c>
      <x:c r="Q1370" s="54" t="n">
        <x:f>ROUND(O1370-P1370,2)</x:f>
        <x:v>1996.33</x:v>
      </x:c>
      <x:c r="R1370" s="55" t="n">
        <x:f>IF(O1370=0,0,ROUND(Q1370/O1370,4))</x:f>
        <x:v>0.5431</x:v>
      </x:c>
      <x:c r="S1370" s="53" t="n">
        <x:v>11</x:v>
      </x:c>
      <x:c r="T1370" t="str">
        <x:v>Entregue com atraso</x:v>
      </x:c>
      <x:c r="U1370" t="n">
        <x:v>3</x:v>
      </x:c>
      <x:c r="V1370" t="str"/>
    </x:row>
    <x:row r="1371">
      <x:c r="A1371" s="52" t="n">
        <x:v>46094</x:v>
      </x:c>
      <x:c r="B1371" t="str">
        <x:v>PED-101370</x:v>
      </x:c>
      <x:c r="C1371" t="str">
        <x:v>Cliente 036</x:v>
      </x:c>
      <x:c r="D1371" t="str">
        <x:v>BA</x:v>
      </x:c>
      <x:c r="E1371" t="str">
        <x:v>Nordeste</x:v>
      </x:c>
      <x:c r="F1371" t="str">
        <x:v>Televendas</x:v>
      </x:c>
      <x:c r="G1371" t="str">
        <x:v>Acessórios</x:v>
      </x:c>
      <x:c r="H1371" t="str">
        <x:v>Mochila Executiva</x:v>
      </x:c>
      <x:c r="I1371" t="str">
        <x:v>Diego</x:v>
      </x:c>
      <x:c r="J1371" s="53" t="n">
        <x:v>4</x:v>
      </x:c>
      <x:c r="K1371" s="54" t="n">
        <x:v>408.53</x:v>
      </x:c>
      <x:c r="L1371" s="54" t="n">
        <x:v>202.23</x:v>
      </x:c>
      <x:c r="M1371" s="55" t="n">
        <x:v>0</x:v>
      </x:c>
      <x:c r="N1371" s="54" t="n">
        <x:f>ROUND(J1371*K1371,2)</x:f>
        <x:v>1634.12</x:v>
      </x:c>
      <x:c r="O1371" s="54" t="n">
        <x:f>ROUND(N1371*(1-M1371),2)</x:f>
        <x:v>1634.12</x:v>
      </x:c>
      <x:c r="P1371" s="54" t="n">
        <x:f>ROUND(J1371*L1371,2)</x:f>
        <x:v>808.92</x:v>
      </x:c>
      <x:c r="Q1371" s="54" t="n">
        <x:f>ROUND(O1371-P1371,2)</x:f>
        <x:v>825.2</x:v>
      </x:c>
      <x:c r="R1371" s="55" t="n">
        <x:f>IF(O1371=0,0,ROUND(Q1371/O1371,4))</x:f>
        <x:v>0.505</x:v>
      </x:c>
      <x:c r="S1371" s="53" t="n">
        <x:v>2</x:v>
      </x:c>
      <x:c r="T1371" t="str">
        <x:v>Entregue</x:v>
      </x:c>
      <x:c r="U1371" t="n">
        <x:v>2</x:v>
      </x:c>
      <x:c r="V1371" t="str"/>
    </x:row>
    <x:row r="1372">
      <x:c r="A1372" s="52" t="n">
        <x:v>46106</x:v>
      </x:c>
      <x:c r="B1372" t="str">
        <x:v>PED-101371</x:v>
      </x:c>
      <x:c r="C1372" t="str">
        <x:v>Cliente 069</x:v>
      </x:c>
      <x:c r="D1372" t="str">
        <x:v>PR</x:v>
      </x:c>
      <x:c r="E1372" t="str">
        <x:v>Sul</x:v>
      </x:c>
      <x:c r="F1372" t="str">
        <x:v>E-commerce</x:v>
      </x:c>
      <x:c r="G1372" t="str">
        <x:v>Tecnologia</x:v>
      </x:c>
      <x:c r="H1372" t="str">
        <x:v>Headset Office</x:v>
      </x:c>
      <x:c r="I1372" t="str">
        <x:v>Henrique</x:v>
      </x:c>
      <x:c r="J1372" s="53" t="n">
        <x:v>5</x:v>
      </x:c>
      <x:c r="K1372" s="54" t="n">
        <x:v>410.3</x:v>
      </x:c>
      <x:c r="L1372" s="54" t="n">
        <x:v>207.05</x:v>
      </x:c>
      <x:c r="M1372" s="55" t="n">
        <x:v>0</x:v>
      </x:c>
      <x:c r="N1372" s="54" t="n">
        <x:f>ROUND(J1372*K1372,2)</x:f>
        <x:v>2051.5</x:v>
      </x:c>
      <x:c r="O1372" s="54" t="n">
        <x:f>ROUND(N1372*(1-M1372),2)</x:f>
        <x:v>2051.5</x:v>
      </x:c>
      <x:c r="P1372" s="54" t="n">
        <x:f>ROUND(J1372*L1372,2)</x:f>
        <x:v>1035.25</x:v>
      </x:c>
      <x:c r="Q1372" s="54" t="n">
        <x:f>ROUND(O1372-P1372,2)</x:f>
        <x:v>1016.25</x:v>
      </x:c>
      <x:c r="R1372" s="55" t="n">
        <x:f>IF(O1372=0,0,ROUND(Q1372/O1372,4))</x:f>
        <x:v>0.4954</x:v>
      </x:c>
      <x:c r="S1372" s="53" t="n">
        <x:v>6</x:v>
      </x:c>
      <x:c r="T1372" t="str">
        <x:v>Entregue</x:v>
      </x:c>
      <x:c r="U1372" t="n">
        <x:v>3</x:v>
      </x:c>
      <x:c r="V1372" t="str"/>
    </x:row>
    <x:row r="1373">
      <x:c r="A1373" s="52" t="n">
        <x:v>46151</x:v>
      </x:c>
      <x:c r="B1373" t="str">
        <x:v>PED-101372</x:v>
      </x:c>
      <x:c r="C1373" t="str">
        <x:v>Cliente 082</x:v>
      </x:c>
      <x:c r="D1373" t="str">
        <x:v>CE</x:v>
      </x:c>
      <x:c r="E1373" t="str">
        <x:v>Nordeste</x:v>
      </x:c>
      <x:c r="F1373" t="str">
        <x:v>Loja</x:v>
      </x:c>
      <x:c r="G1373" t="str">
        <x:v>Acessórios</x:v>
      </x:c>
      <x:c r="H1373" t="str">
        <x:v>Mochila Executiva</x:v>
      </x:c>
      <x:c r="I1373" t="str">
        <x:v>Carla</x:v>
      </x:c>
      <x:c r="J1373" s="53" t="n">
        <x:v>3</x:v>
      </x:c>
      <x:c r="K1373" s="54" t="n">
        <x:v>455.1</x:v>
      </x:c>
      <x:c r="L1373" s="54" t="n">
        <x:v>189.28</x:v>
      </x:c>
      <x:c r="M1373" s="55" t="n">
        <x:v>0</x:v>
      </x:c>
      <x:c r="N1373" s="54" t="n">
        <x:f>ROUND(J1373*K1373,2)</x:f>
        <x:v>1365.3</x:v>
      </x:c>
      <x:c r="O1373" s="54" t="n">
        <x:f>ROUND(N1373*(1-M1373),2)</x:f>
        <x:v>1365.3</x:v>
      </x:c>
      <x:c r="P1373" s="54" t="n">
        <x:f>ROUND(J1373*L1373,2)</x:f>
        <x:v>567.84</x:v>
      </x:c>
      <x:c r="Q1373" s="54" t="n">
        <x:f>ROUND(O1373-P1373,2)</x:f>
        <x:v>797.46</x:v>
      </x:c>
      <x:c r="R1373" s="55" t="n">
        <x:f>IF(O1373=0,0,ROUND(Q1373/O1373,4))</x:f>
        <x:v>0.5841</x:v>
      </x:c>
      <x:c r="S1373" s="53" t="n">
        <x:v>9</x:v>
      </x:c>
      <x:c r="T1373" t="str">
        <x:v>Entregue</x:v>
      </x:c>
      <x:c r="U1373" t="n">
        <x:v>4</x:v>
      </x:c>
      <x:c r="V1373" t="str"/>
    </x:row>
    <x:row r="1374">
      <x:c r="A1374" s="52" t="n">
        <x:v>46228</x:v>
      </x:c>
      <x:c r="B1374" t="str">
        <x:v>PED-101373</x:v>
      </x:c>
      <x:c r="C1374" t="str">
        <x:v>Cliente 086</x:v>
      </x:c>
      <x:c r="D1374" t="str">
        <x:v>BA</x:v>
      </x:c>
      <x:c r="E1374" t="str">
        <x:v>Nordeste</x:v>
      </x:c>
      <x:c r="F1374" t="str">
        <x:v>E-commerce</x:v>
      </x:c>
      <x:c r="G1374" t="str">
        <x:v>Tecnologia</x:v>
      </x:c>
      <x:c r="H1374" t="str">
        <x:v>Headset Office</x:v>
      </x:c>
      <x:c r="I1374" t="str">
        <x:v>João</x:v>
      </x:c>
      <x:c r="J1374" s="53" t="n">
        <x:v>2</x:v>
      </x:c>
      <x:c r="K1374" s="54" t="n">
        <x:v>404.17</x:v>
      </x:c>
      <x:c r="L1374" s="54" t="n">
        <x:v>213.39</x:v>
      </x:c>
      <x:c r="M1374" s="55" t="n">
        <x:v>0.1044</x:v>
      </x:c>
      <x:c r="N1374" s="54" t="n">
        <x:f>ROUND(J1374*K1374,2)</x:f>
        <x:v>808.34</x:v>
      </x:c>
      <x:c r="O1374" s="54" t="n">
        <x:f>ROUND(N1374*(1-M1374),2)</x:f>
        <x:v>723.95</x:v>
      </x:c>
      <x:c r="P1374" s="54" t="n">
        <x:f>ROUND(J1374*L1374,2)</x:f>
        <x:v>426.78</x:v>
      </x:c>
      <x:c r="Q1374" s="54" t="n">
        <x:f>ROUND(O1374-P1374,2)</x:f>
        <x:v>297.17</x:v>
      </x:c>
      <x:c r="R1374" s="55" t="n">
        <x:f>IF(O1374=0,0,ROUND(Q1374/O1374,4))</x:f>
        <x:v>0.4105</x:v>
      </x:c>
      <x:c r="S1374" s="53" t="n">
        <x:v>5</x:v>
      </x:c>
      <x:c r="T1374" t="str">
        <x:v>Entregue</x:v>
      </x:c>
      <x:c r="U1374" t="n">
        <x:v>3</x:v>
      </x:c>
      <x:c r="V1374" t="str"/>
    </x:row>
    <x:row r="1375">
      <x:c r="A1375" s="52" t="n">
        <x:v>46023</x:v>
      </x:c>
      <x:c r="B1375" t="str">
        <x:v>PED-101374</x:v>
      </x:c>
      <x:c r="C1375" t="str">
        <x:v>Cliente 099</x:v>
      </x:c>
      <x:c r="D1375" t="str">
        <x:v>PE</x:v>
      </x:c>
      <x:c r="E1375" t="str">
        <x:v>Nordeste</x:v>
      </x:c>
      <x:c r="F1375" t="str">
        <x:v>E-commerce</x:v>
      </x:c>
      <x:c r="G1375" t="str">
        <x:v>Escritório</x:v>
      </x:c>
      <x:c r="H1375" t="str">
        <x:v>Mesa Ajustável</x:v>
      </x:c>
      <x:c r="I1375" t="str">
        <x:v>Bruno</x:v>
      </x:c>
      <x:c r="J1375" s="53" t="n">
        <x:v>8</x:v>
      </x:c>
      <x:c r="K1375" s="54" t="n">
        <x:v>2747.94</x:v>
      </x:c>
      <x:c r="L1375" s="54" t="n">
        <x:v>1932.09</x:v>
      </x:c>
      <x:c r="M1375" s="55" t="n">
        <x:v>0.1058</x:v>
      </x:c>
      <x:c r="N1375" s="54" t="n">
        <x:f>ROUND(J1375*K1375,2)</x:f>
        <x:v>21983.52</x:v>
      </x:c>
      <x:c r="O1375" s="54" t="n">
        <x:f>ROUND(N1375*(1-M1375),2)</x:f>
        <x:v>19657.66</x:v>
      </x:c>
      <x:c r="P1375" s="54" t="n">
        <x:f>ROUND(J1375*L1375,2)</x:f>
        <x:v>15456.72</x:v>
      </x:c>
      <x:c r="Q1375" s="54" t="n">
        <x:f>ROUND(O1375-P1375,2)</x:f>
        <x:v>4200.94</x:v>
      </x:c>
      <x:c r="R1375" s="55" t="n">
        <x:f>IF(O1375=0,0,ROUND(Q1375/O1375,4))</x:f>
        <x:v>0.2137</x:v>
      </x:c>
      <x:c r="S1375" s="53" t="n">
        <x:v>3</x:v>
      </x:c>
      <x:c r="T1375" t="str">
        <x:v>Entregue</x:v>
      </x:c>
      <x:c r="U1375" t="n">
        <x:v>2</x:v>
      </x:c>
      <x:c r="V1375" t="str"/>
    </x:row>
    <x:row r="1376">
      <x:c r="A1376" s="52" t="n">
        <x:v>46038</x:v>
      </x:c>
      <x:c r="B1376" t="str">
        <x:v>PED-101375</x:v>
      </x:c>
      <x:c r="C1376" t="str">
        <x:v>Cliente 061</x:v>
      </x:c>
      <x:c r="D1376" t="str">
        <x:v>MG</x:v>
      </x:c>
      <x:c r="E1376" t="str">
        <x:v>Sudeste</x:v>
      </x:c>
      <x:c r="F1376" t="str">
        <x:v>E-commerce</x:v>
      </x:c>
      <x:c r="G1376" t="str">
        <x:v>Tecnologia</x:v>
      </x:c>
      <x:c r="H1376" t="str">
        <x:v>Monitor 27</x:v>
      </x:c>
      <x:c r="I1376" t="str">
        <x:v>Elaine</x:v>
      </x:c>
      <x:c r="J1376" s="53" t="n">
        <x:v>6</x:v>
      </x:c>
      <x:c r="K1376" s="54" t="n">
        <x:v>1780.65</x:v>
      </x:c>
      <x:c r="L1376" s="54" t="n">
        <x:v>1102.21</x:v>
      </x:c>
      <x:c r="M1376" s="55" t="n">
        <x:v>0.0537</x:v>
      </x:c>
      <x:c r="N1376" s="54" t="n">
        <x:f>ROUND(J1376*K1376,2)</x:f>
        <x:v>10683.9</x:v>
      </x:c>
      <x:c r="O1376" s="54" t="n">
        <x:f>ROUND(N1376*(1-M1376),2)</x:f>
        <x:v>10110.17</x:v>
      </x:c>
      <x:c r="P1376" s="54" t="n">
        <x:f>ROUND(J1376*L1376,2)</x:f>
        <x:v>6613.26</x:v>
      </x:c>
      <x:c r="Q1376" s="54" t="n">
        <x:f>ROUND(O1376-P1376,2)</x:f>
        <x:v>3496.91</x:v>
      </x:c>
      <x:c r="R1376" s="55" t="n">
        <x:f>IF(O1376=0,0,ROUND(Q1376/O1376,4))</x:f>
        <x:v>0.3459</x:v>
      </x:c>
      <x:c r="S1376" s="53" t="n">
        <x:v>9</x:v>
      </x:c>
      <x:c r="T1376" t="str">
        <x:v>Entregue</x:v>
      </x:c>
      <x:c r="U1376" t="n">
        <x:v>2</x:v>
      </x:c>
      <x:c r="V1376" t="str"/>
    </x:row>
    <x:row r="1377">
      <x:c r="A1377" s="52" t="n">
        <x:v>46109</x:v>
      </x:c>
      <x:c r="B1377" t="str">
        <x:v>PED-101376</x:v>
      </x:c>
      <x:c r="C1377" t="str">
        <x:v>Cliente 067</x:v>
      </x:c>
      <x:c r="D1377" t="str">
        <x:v>ES</x:v>
      </x:c>
      <x:c r="E1377" t="str">
        <x:v>Sudeste</x:v>
      </x:c>
      <x:c r="F1377" t="str">
        <x:v>Loja</x:v>
      </x:c>
      <x:c r="G1377" t="str">
        <x:v>Casa</x:v>
      </x:c>
      <x:c r="H1377" t="str">
        <x:v>Aspirador Robô</x:v>
      </x:c>
      <x:c r="I1377" t="str">
        <x:v>Carla</x:v>
      </x:c>
      <x:c r="J1377" s="53" t="n">
        <x:v>3</x:v>
      </x:c>
      <x:c r="K1377" s="54" t="n">
        <x:v>1967.8</x:v>
      </x:c>
      <x:c r="L1377" s="54" t="n">
        <x:v>1172.87</x:v>
      </x:c>
      <x:c r="M1377" s="55" t="n">
        <x:v>0</x:v>
      </x:c>
      <x:c r="N1377" s="54" t="n">
        <x:f>ROUND(J1377*K1377,2)</x:f>
        <x:v>5903.4</x:v>
      </x:c>
      <x:c r="O1377" s="54" t="n">
        <x:f>ROUND(N1377*(1-M1377),2)</x:f>
        <x:v>5903.4</x:v>
      </x:c>
      <x:c r="P1377" s="54" t="n">
        <x:f>ROUND(J1377*L1377,2)</x:f>
        <x:v>3518.61</x:v>
      </x:c>
      <x:c r="Q1377" s="54" t="n">
        <x:f>ROUND(O1377-P1377,2)</x:f>
        <x:v>2384.79</x:v>
      </x:c>
      <x:c r="R1377" s="55" t="n">
        <x:f>IF(O1377=0,0,ROUND(Q1377/O1377,4))</x:f>
        <x:v>0.404</x:v>
      </x:c>
      <x:c r="S1377" s="53" t="n">
        <x:v>14</x:v>
      </x:c>
      <x:c r="T1377" t="str">
        <x:v>Cancelado</x:v>
      </x:c>
      <x:c r="U1377"/>
      <x:c r="V1377" t="str"/>
    </x:row>
    <x:row r="1378">
      <x:c r="A1378" s="52" t="n">
        <x:v>46130</x:v>
      </x:c>
      <x:c r="B1378" t="str">
        <x:v>PED-101377</x:v>
      </x:c>
      <x:c r="C1378" t="str">
        <x:v>Cliente 114</x:v>
      </x:c>
      <x:c r="D1378" t="str">
        <x:v>SC</x:v>
      </x:c>
      <x:c r="E1378" t="str">
        <x:v>Sul</x:v>
      </x:c>
      <x:c r="F1378" t="str">
        <x:v>E-commerce</x:v>
      </x:c>
      <x:c r="G1378" t="str">
        <x:v>Tecnologia</x:v>
      </x:c>
      <x:c r="H1378" t="str">
        <x:v>Monitor 27</x:v>
      </x:c>
      <x:c r="I1378" t="str">
        <x:v>Henrique</x:v>
      </x:c>
      <x:c r="J1378" s="53" t="n">
        <x:v>6</x:v>
      </x:c>
      <x:c r="K1378" s="54" t="n">
        <x:v>1688.64</x:v>
      </x:c>
      <x:c r="L1378" s="54" t="n">
        <x:v>1109.83</x:v>
      </x:c>
      <x:c r="M1378" s="55" t="n">
        <x:v>0.1224</x:v>
      </x:c>
      <x:c r="N1378" s="54" t="n">
        <x:f>ROUND(J1378*K1378,2)</x:f>
        <x:v>10131.84</x:v>
      </x:c>
      <x:c r="O1378" s="54" t="n">
        <x:f>ROUND(N1378*(1-M1378),2)</x:f>
        <x:v>8891.7</x:v>
      </x:c>
      <x:c r="P1378" s="54" t="n">
        <x:f>ROUND(J1378*L1378,2)</x:f>
        <x:v>6658.98</x:v>
      </x:c>
      <x:c r="Q1378" s="54" t="n">
        <x:f>ROUND(O1378-P1378,2)</x:f>
        <x:v>2232.72</x:v>
      </x:c>
      <x:c r="R1378" s="55" t="n">
        <x:f>IF(O1378=0,0,ROUND(Q1378/O1378,4))</x:f>
        <x:v>0.2511</x:v>
      </x:c>
      <x:c r="S1378" s="53" t="n">
        <x:v>7</x:v>
      </x:c>
      <x:c r="T1378" t="str">
        <x:v>Entregue</x:v>
      </x:c>
      <x:c r="U1378" t="n">
        <x:v>3</x:v>
      </x:c>
      <x:c r="V1378" t="str"/>
    </x:row>
    <x:row r="1379">
      <x:c r="A1379" s="52" t="n">
        <x:v>46086</x:v>
      </x:c>
      <x:c r="B1379" t="str">
        <x:v>PED-101378</x:v>
      </x:c>
      <x:c r="C1379" t="str">
        <x:v>Cliente 014</x:v>
      </x:c>
      <x:c r="D1379" t="str">
        <x:v>CE</x:v>
      </x:c>
      <x:c r="E1379" t="str">
        <x:v>Nordeste</x:v>
      </x:c>
      <x:c r="F1379" t="str">
        <x:v>Televendas</x:v>
      </x:c>
      <x:c r="G1379" t="str">
        <x:v>Tecnologia</x:v>
      </x:c>
      <x:c r="H1379" t="str">
        <x:v>Monitor 27</x:v>
      </x:c>
      <x:c r="I1379" t="str">
        <x:v>Elaine</x:v>
      </x:c>
      <x:c r="J1379" s="53" t="n">
        <x:v>1</x:v>
      </x:c>
      <x:c r="K1379" s="54" t="n">
        <x:v>1788.4</x:v>
      </x:c>
      <x:c r="L1379" s="54" t="n">
        <x:v>1100.98</x:v>
      </x:c>
      <x:c r="M1379" s="55" t="n">
        <x:v>0</x:v>
      </x:c>
      <x:c r="N1379" s="54" t="n">
        <x:f>ROUND(J1379*K1379,2)</x:f>
        <x:v>1788.4</x:v>
      </x:c>
      <x:c r="O1379" s="54" t="n">
        <x:f>ROUND(N1379*(1-M1379),2)</x:f>
        <x:v>1788.4</x:v>
      </x:c>
      <x:c r="P1379" s="54" t="n">
        <x:f>ROUND(J1379*L1379,2)</x:f>
        <x:v>1100.98</x:v>
      </x:c>
      <x:c r="Q1379" s="54" t="n">
        <x:f>ROUND(O1379-P1379,2)</x:f>
        <x:v>687.42</x:v>
      </x:c>
      <x:c r="R1379" s="55" t="n">
        <x:f>IF(O1379=0,0,ROUND(Q1379/O1379,4))</x:f>
        <x:v>0.3844</x:v>
      </x:c>
      <x:c r="S1379" s="53" t="n">
        <x:v>4</x:v>
      </x:c>
      <x:c r="T1379" t="str">
        <x:v>Entregue</x:v>
      </x:c>
      <x:c r="U1379" t="n">
        <x:v>2</x:v>
      </x:c>
      <x:c r="V1379" t="str"/>
    </x:row>
    <x:row r="1380">
      <x:c r="A1380" s="52" t="n">
        <x:v>46109</x:v>
      </x:c>
      <x:c r="B1380" t="str">
        <x:v>PED-101379</x:v>
      </x:c>
      <x:c r="C1380" t="str">
        <x:v>Cliente 075</x:v>
      </x:c>
      <x:c r="D1380" t="str">
        <x:v>MA</x:v>
      </x:c>
      <x:c r="E1380" t="str">
        <x:v>Nordeste</x:v>
      </x:c>
      <x:c r="F1380" t="str">
        <x:v>Loja</x:v>
      </x:c>
      <x:c r="G1380" t="str">
        <x:v>Escritório</x:v>
      </x:c>
      <x:c r="H1380" t="str">
        <x:v>Cadeira Ergonômica</x:v>
      </x:c>
      <x:c r="I1380" t="str">
        <x:v>Gabriela</x:v>
      </x:c>
      <x:c r="J1380" s="53" t="n">
        <x:v>5</x:v>
      </x:c>
      <x:c r="K1380" s="54" t="n">
        <x:v>2227.75</x:v>
      </x:c>
      <x:c r="L1380" s="54" t="n">
        <x:v>1438.86</x:v>
      </x:c>
      <x:c r="M1380" s="55" t="n">
        <x:v>0.0745</x:v>
      </x:c>
      <x:c r="N1380" s="54" t="n">
        <x:f>ROUND(J1380*K1380,2)</x:f>
        <x:v>11138.75</x:v>
      </x:c>
      <x:c r="O1380" s="54" t="n">
        <x:f>ROUND(N1380*(1-M1380),2)</x:f>
        <x:v>10308.91</x:v>
      </x:c>
      <x:c r="P1380" s="54" t="n">
        <x:f>ROUND(J1380*L1380,2)</x:f>
        <x:v>7194.3</x:v>
      </x:c>
      <x:c r="Q1380" s="54" t="n">
        <x:f>ROUND(O1380-P1380,2)</x:f>
        <x:v>3114.61</x:v>
      </x:c>
      <x:c r="R1380" s="55" t="n">
        <x:f>IF(O1380=0,0,ROUND(Q1380/O1380,4))</x:f>
        <x:v>0.3021</x:v>
      </x:c>
      <x:c r="S1380" s="53" t="n">
        <x:v>6</x:v>
      </x:c>
      <x:c r="T1380" t="str">
        <x:v>Entregue</x:v>
      </x:c>
      <x:c r="U1380" t="n">
        <x:v>4</x:v>
      </x:c>
      <x:c r="V1380" t="str"/>
    </x:row>
    <x:row r="1381">
      <x:c r="A1381" s="52" t="n">
        <x:v>46176</x:v>
      </x:c>
      <x:c r="B1381" t="str">
        <x:v>PED-101380</x:v>
      </x:c>
      <x:c r="C1381" t="str">
        <x:v>Cliente 014</x:v>
      </x:c>
      <x:c r="D1381" t="str">
        <x:v>BA</x:v>
      </x:c>
      <x:c r="E1381" t="str">
        <x:v>Nordeste</x:v>
      </x:c>
      <x:c r="F1381" t="str">
        <x:v>Loja</x:v>
      </x:c>
      <x:c r="G1381" t="str">
        <x:v>Acessórios</x:v>
      </x:c>
      <x:c r="H1381" t="str">
        <x:v>Mochila Executiva</x:v>
      </x:c>
      <x:c r="I1381" t="str">
        <x:v>Bruno</x:v>
      </x:c>
      <x:c r="J1381" s="53" t="n">
        <x:v>7</x:v>
      </x:c>
      <x:c r="K1381" s="54" t="n">
        <x:v>433.28</x:v>
      </x:c>
      <x:c r="L1381" s="54" t="n">
        <x:v>194.71</x:v>
      </x:c>
      <x:c r="M1381" s="55" t="n">
        <x:v>0.4614</x:v>
      </x:c>
      <x:c r="N1381" s="54" t="n">
        <x:f>ROUND(J1381*K1381,2)</x:f>
        <x:v>3032.96</x:v>
      </x:c>
      <x:c r="O1381" s="54" t="n">
        <x:f>ROUND(N1381*(1-M1381),2)</x:f>
        <x:v>1633.55</x:v>
      </x:c>
      <x:c r="P1381" s="54" t="n">
        <x:f>ROUND(J1381*L1381,2)</x:f>
        <x:v>1362.97</x:v>
      </x:c>
      <x:c r="Q1381" s="54" t="n">
        <x:f>ROUND(O1381-P1381,2)</x:f>
        <x:v>270.58</x:v>
      </x:c>
      <x:c r="R1381" s="55" t="n">
        <x:f>IF(O1381=0,0,ROUND(Q1381/O1381,4))</x:f>
        <x:v>0.1656</x:v>
      </x:c>
      <x:c r="S1381" s="53" t="n">
        <x:v>3</x:v>
      </x:c>
      <x:c r="T1381" t="str">
        <x:v>Entregue</x:v>
      </x:c>
      <x:c r="U1381" t="n">
        <x:v>3</x:v>
      </x:c>
      <x:c r="V1381" t="str">
        <x:v>Desconto autorizado fora da campanha</x:v>
      </x:c>
    </x:row>
    <x:row r="1382">
      <x:c r="A1382" s="52" t="n">
        <x:v>46151</x:v>
      </x:c>
      <x:c r="B1382" t="str">
        <x:v>PED-101381</x:v>
      </x:c>
      <x:c r="C1382" t="str">
        <x:v>Cliente 079</x:v>
      </x:c>
      <x:c r="D1382" t="str">
        <x:v>RJ</x:v>
      </x:c>
      <x:c r="E1382" t="str">
        <x:v>Sudeste</x:v>
      </x:c>
      <x:c r="F1382" t="str">
        <x:v>Televendas</x:v>
      </x:c>
      <x:c r="G1382" t="str">
        <x:v>Casa</x:v>
      </x:c>
      <x:c r="H1382" t="str">
        <x:v>Cafeteira Smart</x:v>
      </x:c>
      <x:c r="I1382" t="str">
        <x:v>Felipe</x:v>
      </x:c>
      <x:c r="J1382" s="53" t="n">
        <x:v>6</x:v>
      </x:c>
      <x:c r="K1382" s="54" t="n">
        <x:v>815.23</x:v>
      </x:c>
      <x:c r="L1382" s="54" t="n">
        <x:v>457.32</x:v>
      </x:c>
      <x:c r="M1382" s="55" t="n">
        <x:v>0</x:v>
      </x:c>
      <x:c r="N1382" s="54" t="n">
        <x:f>ROUND(J1382*K1382,2)</x:f>
        <x:v>4891.38</x:v>
      </x:c>
      <x:c r="O1382" s="54" t="n">
        <x:f>ROUND(N1382*(1-M1382),2)</x:f>
        <x:v>4891.38</x:v>
      </x:c>
      <x:c r="P1382" s="54" t="n">
        <x:f>ROUND(J1382*L1382,2)</x:f>
        <x:v>2743.92</x:v>
      </x:c>
      <x:c r="Q1382" s="54" t="n">
        <x:f>ROUND(O1382-P1382,2)</x:f>
        <x:v>2147.46</x:v>
      </x:c>
      <x:c r="R1382" s="55" t="n">
        <x:f>IF(O1382=0,0,ROUND(Q1382/O1382,4))</x:f>
        <x:v>0.439</x:v>
      </x:c>
      <x:c r="S1382" s="53" t="n">
        <x:v>14</x:v>
      </x:c>
      <x:c r="T1382" t="str">
        <x:v>Entregue com atraso</x:v>
      </x:c>
      <x:c r="U1382" t="n">
        <x:v>4</x:v>
      </x:c>
      <x:c r="V1382" t="str"/>
    </x:row>
    <x:row r="1383">
      <x:c r="A1383" s="52" t="n">
        <x:v>46205</x:v>
      </x:c>
      <x:c r="B1383" t="str">
        <x:v>PED-101382</x:v>
      </x:c>
      <x:c r="C1383" t="str">
        <x:v>Cliente 046</x:v>
      </x:c>
      <x:c r="D1383" t="str">
        <x:v>ES</x:v>
      </x:c>
      <x:c r="E1383" t="str">
        <x:v>Sudeste</x:v>
      </x:c>
      <x:c r="F1383" t="str">
        <x:v>Loja</x:v>
      </x:c>
      <x:c r="G1383" t="str">
        <x:v>Tecnologia</x:v>
      </x:c>
      <x:c r="H1383" t="str">
        <x:v>Notebook Pro</x:v>
      </x:c>
      <x:c r="I1383" t="str">
        <x:v>Diego</x:v>
      </x:c>
      <x:c r="J1383" s="53" t="n">
        <x:v>8</x:v>
      </x:c>
      <x:c r="K1383" s="54" t="n">
        <x:v>5788.94</x:v>
      </x:c>
      <x:c r="L1383" s="54" t="n">
        <x:v>4354.06</x:v>
      </x:c>
      <x:c r="M1383" s="55" t="n">
        <x:v>0</x:v>
      </x:c>
      <x:c r="N1383" s="54" t="n">
        <x:f>ROUND(J1383*K1383,2)</x:f>
        <x:v>46311.52</x:v>
      </x:c>
      <x:c r="O1383" s="54" t="n">
        <x:f>ROUND(N1383*(1-M1383),2)</x:f>
        <x:v>46311.52</x:v>
      </x:c>
      <x:c r="P1383" s="54" t="n">
        <x:f>ROUND(J1383*L1383,2)</x:f>
        <x:v>34832.48</x:v>
      </x:c>
      <x:c r="Q1383" s="54" t="n">
        <x:f>ROUND(O1383-P1383,2)</x:f>
        <x:v>11479.04</x:v>
      </x:c>
      <x:c r="R1383" s="55" t="n">
        <x:f>IF(O1383=0,0,ROUND(Q1383/O1383,4))</x:f>
        <x:v>0.2479</x:v>
      </x:c>
      <x:c r="S1383" s="53" t="n">
        <x:v>14</x:v>
      </x:c>
      <x:c r="T1383" t="str">
        <x:v>Entregue com atraso</x:v>
      </x:c>
      <x:c r="U1383" t="n">
        <x:v>3</x:v>
      </x:c>
      <x:c r="V1383" t="str"/>
    </x:row>
    <x:row r="1384">
      <x:c r="A1384" s="52" t="n">
        <x:v>46063</x:v>
      </x:c>
      <x:c r="B1384" t="str">
        <x:v>PED-101383</x:v>
      </x:c>
      <x:c r="C1384" t="str">
        <x:v>Cliente 014</x:v>
      </x:c>
      <x:c r="D1384" t="str">
        <x:v>AM</x:v>
      </x:c>
      <x:c r="E1384" t="str">
        <x:v>Norte</x:v>
      </x:c>
      <x:c r="F1384" t="str">
        <x:v>Marketplace</x:v>
      </x:c>
      <x:c r="G1384" t="str">
        <x:v>Escritório</x:v>
      </x:c>
      <x:c r="H1384" t="str">
        <x:v>Mesa Ajustável</x:v>
      </x:c>
      <x:c r="I1384" t="str">
        <x:v>Isabela</x:v>
      </x:c>
      <x:c r="J1384" s="53" t="n">
        <x:v>7</x:v>
      </x:c>
      <x:c r="K1384" s="54" t="n">
        <x:v>2849.65</x:v>
      </x:c>
      <x:c r="L1384" s="54" t="n">
        <x:v>1883.99</x:v>
      </x:c>
      <x:c r="M1384" s="55" t="n">
        <x:v>0.035</x:v>
      </x:c>
      <x:c r="N1384" s="54" t="n">
        <x:f>ROUND(J1384*K1384,2)</x:f>
        <x:v>19947.55</x:v>
      </x:c>
      <x:c r="O1384" s="54" t="n">
        <x:f>ROUND(N1384*(1-M1384),2)</x:f>
        <x:v>19249.39</x:v>
      </x:c>
      <x:c r="P1384" s="54" t="n">
        <x:f>ROUND(J1384*L1384,2)</x:f>
        <x:v>13187.93</x:v>
      </x:c>
      <x:c r="Q1384" s="54" t="n">
        <x:f>ROUND(O1384-P1384,2)</x:f>
        <x:v>6061.46</x:v>
      </x:c>
      <x:c r="R1384" s="55" t="n">
        <x:f>IF(O1384=0,0,ROUND(Q1384/O1384,4))</x:f>
        <x:v>0.3149</x:v>
      </x:c>
      <x:c r="S1384" s="53" t="n">
        <x:v>2</x:v>
      </x:c>
      <x:c r="T1384" t="str">
        <x:v>Entregue</x:v>
      </x:c>
      <x:c r="U1384" t="n">
        <x:v>2</x:v>
      </x:c>
      <x:c r="V1384" t="str"/>
    </x:row>
    <x:row r="1385">
      <x:c r="A1385" s="52" t="n">
        <x:v>46195</x:v>
      </x:c>
      <x:c r="B1385" t="str">
        <x:v>PED-101384</x:v>
      </x:c>
      <x:c r="C1385" t="str">
        <x:v>Cliente 108</x:v>
      </x:c>
      <x:c r="D1385" t="str">
        <x:v>DF</x:v>
      </x:c>
      <x:c r="E1385" t="str">
        <x:v>Centro-Oeste</x:v>
      </x:c>
      <x:c r="F1385" t="str">
        <x:v>Marketplace</x:v>
      </x:c>
      <x:c r="G1385" t="str">
        <x:v>Casa</x:v>
      </x:c>
      <x:c r="H1385" t="str">
        <x:v>Aspirador Robô</x:v>
      </x:c>
      <x:c r="I1385" t="str">
        <x:v>Bruno</x:v>
      </x:c>
      <x:c r="J1385" s="53" t="n">
        <x:v>3</x:v>
      </x:c>
      <x:c r="K1385" s="54" t="n">
        <x:v>1826.65</x:v>
      </x:c>
      <x:c r="L1385" s="54" t="n">
        <x:v>1215.81</x:v>
      </x:c>
      <x:c r="M1385" s="55" t="n">
        <x:v>0.1306</x:v>
      </x:c>
      <x:c r="N1385" s="54" t="n">
        <x:f>ROUND(J1385*K1385,2)</x:f>
        <x:v>5479.95</x:v>
      </x:c>
      <x:c r="O1385" s="54" t="n">
        <x:f>ROUND(N1385*(1-M1385),2)</x:f>
        <x:v>4764.27</x:v>
      </x:c>
      <x:c r="P1385" s="54" t="n">
        <x:f>ROUND(J1385*L1385,2)</x:f>
        <x:v>3647.43</x:v>
      </x:c>
      <x:c r="Q1385" s="54" t="n">
        <x:f>ROUND(O1385-P1385,2)</x:f>
        <x:v>1116.84</x:v>
      </x:c>
      <x:c r="R1385" s="55" t="n">
        <x:f>IF(O1385=0,0,ROUND(Q1385/O1385,4))</x:f>
        <x:v>0.2344</x:v>
      </x:c>
      <x:c r="S1385" s="53" t="n">
        <x:v>14</x:v>
      </x:c>
      <x:c r="T1385" t="str">
        <x:v>Entregue com atraso</x:v>
      </x:c>
      <x:c r="U1385" t="n">
        <x:v>2</x:v>
      </x:c>
      <x:c r="V1385" t="str"/>
    </x:row>
    <x:row r="1386">
      <x:c r="A1386" s="52" t="n">
        <x:v>46155</x:v>
      </x:c>
      <x:c r="B1386" t="str">
        <x:v>PED-101385</x:v>
      </x:c>
      <x:c r="C1386" t="str">
        <x:v>Cliente 112</x:v>
      </x:c>
      <x:c r="D1386" t="str">
        <x:v>MG</x:v>
      </x:c>
      <x:c r="E1386" t="str">
        <x:v>Sudeste</x:v>
      </x:c>
      <x:c r="F1386" t="str">
        <x:v>Loja</x:v>
      </x:c>
      <x:c r="G1386" t="str">
        <x:v>Casa</x:v>
      </x:c>
      <x:c r="H1386" t="str">
        <x:v>Aspirador Robô</x:v>
      </x:c>
      <x:c r="I1386" t="str">
        <x:v>João</x:v>
      </x:c>
      <x:c r="J1386" s="53" t="n">
        <x:v>3</x:v>
      </x:c>
      <x:c r="K1386" s="54" t="n">
        <x:v>1815.42</x:v>
      </x:c>
      <x:c r="L1386" s="54" t="n">
        <x:v>1175.22</x:v>
      </x:c>
      <x:c r="M1386" s="55" t="n">
        <x:v>0.064</x:v>
      </x:c>
      <x:c r="N1386" s="54" t="n">
        <x:f>ROUND(J1386*K1386,2)</x:f>
        <x:v>5446.26</x:v>
      </x:c>
      <x:c r="O1386" s="54" t="n">
        <x:f>ROUND(N1386*(1-M1386),2)</x:f>
        <x:v>5097.7</x:v>
      </x:c>
      <x:c r="P1386" s="54" t="n">
        <x:f>ROUND(J1386*L1386,2)</x:f>
        <x:v>3525.66</x:v>
      </x:c>
      <x:c r="Q1386" s="54" t="n">
        <x:f>ROUND(O1386-P1386,2)</x:f>
        <x:v>1572.04</x:v>
      </x:c>
      <x:c r="R1386" s="55" t="n">
        <x:f>IF(O1386=0,0,ROUND(Q1386/O1386,4))</x:f>
        <x:v>0.3084</x:v>
      </x:c>
      <x:c r="S1386" s="53" t="n">
        <x:v>10</x:v>
      </x:c>
      <x:c r="T1386" t="str">
        <x:v>Entregue</x:v>
      </x:c>
      <x:c r="U1386" t="n">
        <x:v>3</x:v>
      </x:c>
      <x:c r="V1386" t="str"/>
    </x:row>
    <x:row r="1387">
      <x:c r="A1387" s="52" t="n">
        <x:v>46086</x:v>
      </x:c>
      <x:c r="B1387" t="str">
        <x:v>PED-101386</x:v>
      </x:c>
      <x:c r="C1387" t="str">
        <x:v>Cliente 070</x:v>
      </x:c>
      <x:c r="D1387" t="str">
        <x:v>RJ</x:v>
      </x:c>
      <x:c r="E1387" t="str">
        <x:v>Sudeste</x:v>
      </x:c>
      <x:c r="F1387" t="str">
        <x:v>Loja</x:v>
      </x:c>
      <x:c r="G1387" t="str">
        <x:v>Casa</x:v>
      </x:c>
      <x:c r="H1387" t="str">
        <x:v>Aspirador Robô</x:v>
      </x:c>
      <x:c r="I1387" t="str">
        <x:v>Carla</x:v>
      </x:c>
      <x:c r="J1387" s="53" t="n">
        <x:v>8</x:v>
      </x:c>
      <x:c r="K1387" s="54" t="n">
        <x:v>1821.98</x:v>
      </x:c>
      <x:c r="L1387" s="54" t="n">
        <x:v>1180.76</x:v>
      </x:c>
      <x:c r="M1387" s="55" t="n">
        <x:v>0</x:v>
      </x:c>
      <x:c r="N1387" s="54" t="n">
        <x:f>ROUND(J1387*K1387,2)</x:f>
        <x:v>14575.84</x:v>
      </x:c>
      <x:c r="O1387" s="54" t="n">
        <x:f>ROUND(N1387*(1-M1387),2)</x:f>
        <x:v>14575.84</x:v>
      </x:c>
      <x:c r="P1387" s="54" t="n">
        <x:f>ROUND(J1387*L1387,2)</x:f>
        <x:v>9446.08</x:v>
      </x:c>
      <x:c r="Q1387" s="54" t="n">
        <x:f>ROUND(O1387-P1387,2)</x:f>
        <x:v>5129.76</x:v>
      </x:c>
      <x:c r="R1387" s="55" t="n">
        <x:f>IF(O1387=0,0,ROUND(Q1387/O1387,4))</x:f>
        <x:v>0.3519</x:v>
      </x:c>
      <x:c r="S1387" s="53" t="n">
        <x:v>5</x:v>
      </x:c>
      <x:c r="T1387" t="str">
        <x:v>Entregue</x:v>
      </x:c>
      <x:c r="U1387" t="n">
        <x:v>3</x:v>
      </x:c>
      <x:c r="V1387" t="str"/>
    </x:row>
    <x:row r="1388">
      <x:c r="A1388" s="52" t="n">
        <x:v>46220</x:v>
      </x:c>
      <x:c r="B1388" t="str">
        <x:v>PED-101387</x:v>
      </x:c>
      <x:c r="C1388" t="str">
        <x:v>Cliente 112</x:v>
      </x:c>
      <x:c r="D1388" t="str">
        <x:v>PR</x:v>
      </x:c>
      <x:c r="E1388" t="str">
        <x:v>Sul</x:v>
      </x:c>
      <x:c r="F1388" t="str">
        <x:v>Marketplace</x:v>
      </x:c>
      <x:c r="G1388" t="str">
        <x:v>Escritório</x:v>
      </x:c>
      <x:c r="H1388" t="str">
        <x:v>Mesa Ajustável</x:v>
      </x:c>
      <x:c r="I1388" t="str">
        <x:v>Diego</x:v>
      </x:c>
      <x:c r="J1388" s="53" t="n">
        <x:v>7</x:v>
      </x:c>
      <x:c r="K1388" s="54" t="n">
        <x:v>2921.13</x:v>
      </x:c>
      <x:c r="L1388" s="54" t="n">
        <x:v>1802.75</x:v>
      </x:c>
      <x:c r="M1388" s="55" t="n">
        <x:v>0.035</x:v>
      </x:c>
      <x:c r="N1388" s="54" t="n">
        <x:f>ROUND(J1388*K1388,2)</x:f>
        <x:v>20447.91</x:v>
      </x:c>
      <x:c r="O1388" s="54" t="n">
        <x:f>ROUND(N1388*(1-M1388),2)</x:f>
        <x:v>19732.23</x:v>
      </x:c>
      <x:c r="P1388" s="54" t="n">
        <x:f>ROUND(J1388*L1388,2)</x:f>
        <x:v>12619.25</x:v>
      </x:c>
      <x:c r="Q1388" s="54" t="n">
        <x:f>ROUND(O1388-P1388,2)</x:f>
        <x:v>7112.98</x:v>
      </x:c>
      <x:c r="R1388" s="55" t="n">
        <x:f>IF(O1388=0,0,ROUND(Q1388/O1388,4))</x:f>
        <x:v>0.3605</x:v>
      </x:c>
      <x:c r="S1388" s="53" t="n">
        <x:v>5</x:v>
      </x:c>
      <x:c r="T1388" t="str">
        <x:v>Entregue</x:v>
      </x:c>
      <x:c r="U1388" t="n">
        <x:v>4</x:v>
      </x:c>
      <x:c r="V1388" t="str"/>
    </x:row>
    <x:row r="1389">
      <x:c r="A1389" s="52" t="n">
        <x:v>46190</x:v>
      </x:c>
      <x:c r="B1389" t="str">
        <x:v>PED-101388</x:v>
      </x:c>
      <x:c r="C1389" t="str">
        <x:v>Cliente 023</x:v>
      </x:c>
      <x:c r="D1389" t="str">
        <x:v>SC</x:v>
      </x:c>
      <x:c r="E1389" t="str">
        <x:v>Sul</x:v>
      </x:c>
      <x:c r="F1389" t="str">
        <x:v>Televendas</x:v>
      </x:c>
      <x:c r="G1389" t="str">
        <x:v>Tecnologia</x:v>
      </x:c>
      <x:c r="H1389" t="str">
        <x:v>Notebook Pro</x:v>
      </x:c>
      <x:c r="I1389" t="str">
        <x:v>João</x:v>
      </x:c>
      <x:c r="J1389" s="53" t="n">
        <x:v>8</x:v>
      </x:c>
      <x:c r="K1389" s="54" t="n">
        <x:v>6157.98</x:v>
      </x:c>
      <x:c r="L1389" s="54" t="n">
        <x:v>4523.05</x:v>
      </x:c>
      <x:c r="M1389" s="55" t="n">
        <x:v>0.1019</x:v>
      </x:c>
      <x:c r="N1389" s="54" t="n">
        <x:f>ROUND(J1389*K1389,2)</x:f>
        <x:v>49263.84</x:v>
      </x:c>
      <x:c r="O1389" s="54" t="n">
        <x:f>ROUND(N1389*(1-M1389),2)</x:f>
        <x:v>44243.85</x:v>
      </x:c>
      <x:c r="P1389" s="54" t="n">
        <x:f>ROUND(J1389*L1389,2)</x:f>
        <x:v>36184.4</x:v>
      </x:c>
      <x:c r="Q1389" s="54" t="n">
        <x:f>ROUND(O1389-P1389,2)</x:f>
        <x:v>8059.45</x:v>
      </x:c>
      <x:c r="R1389" s="55" t="n">
        <x:f>IF(O1389=0,0,ROUND(Q1389/O1389,4))</x:f>
        <x:v>0.1822</x:v>
      </x:c>
      <x:c r="S1389" s="53" t="n">
        <x:v>19</x:v>
      </x:c>
      <x:c r="T1389" t="str">
        <x:v>Entregue com atraso</x:v>
      </x:c>
      <x:c r="U1389" t="n">
        <x:v>2</x:v>
      </x:c>
      <x:c r="V1389" t="str">
        <x:v>Ocorrência logística</x:v>
      </x:c>
    </x:row>
    <x:row r="1390">
      <x:c r="A1390" s="52" t="n">
        <x:v>46059</x:v>
      </x:c>
      <x:c r="B1390" t="str">
        <x:v>PED-101389</x:v>
      </x:c>
      <x:c r="C1390" t="str">
        <x:v>Cliente 012</x:v>
      </x:c>
      <x:c r="D1390" t="str">
        <x:v>ES</x:v>
      </x:c>
      <x:c r="E1390" t="str">
        <x:v>Sudeste</x:v>
      </x:c>
      <x:c r="F1390" t="str">
        <x:v>E-commerce</x:v>
      </x:c>
      <x:c r="G1390" t="str">
        <x:v>Acessórios</x:v>
      </x:c>
      <x:c r="H1390" t="str">
        <x:v>Webcam HD</x:v>
      </x:c>
      <x:c r="I1390" t="str">
        <x:v>Diego</x:v>
      </x:c>
      <x:c r="J1390" s="53" t="n">
        <x:v>7</x:v>
      </x:c>
      <x:c r="K1390" s="54" t="n">
        <x:v>491.77</x:v>
      </x:c>
      <x:c r="L1390" s="54" t="n">
        <x:v>250.29</x:v>
      </x:c>
      <x:c r="M1390" s="55" t="n">
        <x:v>0.0675</x:v>
      </x:c>
      <x:c r="N1390" s="54" t="n">
        <x:f>ROUND(J1390*K1390,2)</x:f>
        <x:v>3442.39</x:v>
      </x:c>
      <x:c r="O1390" s="54" t="n">
        <x:f>ROUND(N1390*(1-M1390),2)</x:f>
        <x:v>3210.03</x:v>
      </x:c>
      <x:c r="P1390" s="54" t="n">
        <x:f>ROUND(J1390*L1390,2)</x:f>
        <x:v>1752.03</x:v>
      </x:c>
      <x:c r="Q1390" s="54" t="n">
        <x:f>ROUND(O1390-P1390,2)</x:f>
        <x:v>1458</x:v>
      </x:c>
      <x:c r="R1390" s="55" t="n">
        <x:f>IF(O1390=0,0,ROUND(Q1390/O1390,4))</x:f>
        <x:v>0.4542</x:v>
      </x:c>
      <x:c r="S1390" s="53" t="n">
        <x:v>10</x:v>
      </x:c>
      <x:c r="T1390" t="str">
        <x:v>Entregue</x:v>
      </x:c>
      <x:c r="U1390" t="n">
        <x:v>4</x:v>
      </x:c>
      <x:c r="V1390" t="str"/>
    </x:row>
    <x:row r="1391">
      <x:c r="A1391" s="52" t="n">
        <x:v>46059</x:v>
      </x:c>
      <x:c r="B1391" t="str">
        <x:v>PED-101390</x:v>
      </x:c>
      <x:c r="C1391" t="str">
        <x:v>Cliente 043</x:v>
      </x:c>
      <x:c r="D1391" t="str">
        <x:v>MA</x:v>
      </x:c>
      <x:c r="E1391" t="str">
        <x:v>Nordeste</x:v>
      </x:c>
      <x:c r="F1391" t="str">
        <x:v>Loja</x:v>
      </x:c>
      <x:c r="G1391" t="str">
        <x:v>Tecnologia</x:v>
      </x:c>
      <x:c r="H1391" t="str">
        <x:v>Monitor 27</x:v>
      </x:c>
      <x:c r="I1391" t="str">
        <x:v>Felipe</x:v>
      </x:c>
      <x:c r="J1391" s="53" t="n">
        <x:v>3</x:v>
      </x:c>
      <x:c r="K1391" s="54" t="n">
        <x:v>1603.29</x:v>
      </x:c>
      <x:c r="L1391" s="54" t="n">
        <x:v>1089.54</x:v>
      </x:c>
      <x:c r="M1391" s="55" t="n">
        <x:v>0</x:v>
      </x:c>
      <x:c r="N1391" s="54" t="n">
        <x:f>ROUND(J1391*K1391,2)</x:f>
        <x:v>4809.87</x:v>
      </x:c>
      <x:c r="O1391" s="54" t="n">
        <x:f>ROUND(N1391*(1-M1391),2)</x:f>
        <x:v>4809.87</x:v>
      </x:c>
      <x:c r="P1391" s="54" t="n">
        <x:f>ROUND(J1391*L1391,2)</x:f>
        <x:v>3268.62</x:v>
      </x:c>
      <x:c r="Q1391" s="54" t="n">
        <x:f>ROUND(O1391-P1391,2)</x:f>
        <x:v>1541.25</x:v>
      </x:c>
      <x:c r="R1391" s="55" t="n">
        <x:f>IF(O1391=0,0,ROUND(Q1391/O1391,4))</x:f>
        <x:v>0.3204</x:v>
      </x:c>
      <x:c r="S1391" s="53" t="n">
        <x:v>2</x:v>
      </x:c>
      <x:c r="T1391" t="str">
        <x:v>Entregue</x:v>
      </x:c>
      <x:c r="U1391" t="n">
        <x:v>4</x:v>
      </x:c>
      <x:c r="V1391" t="str"/>
    </x:row>
    <x:row r="1392">
      <x:c r="A1392" s="52" t="n">
        <x:v>46102</x:v>
      </x:c>
      <x:c r="B1392" t="str">
        <x:v>PED-101391</x:v>
      </x:c>
      <x:c r="C1392" t="str">
        <x:v>Cliente 030</x:v>
      </x:c>
      <x:c r="D1392" t="str">
        <x:v>SC</x:v>
      </x:c>
      <x:c r="E1392" t="str">
        <x:v>Sul</x:v>
      </x:c>
      <x:c r="F1392" t="str">
        <x:v>Marketplace</x:v>
      </x:c>
      <x:c r="G1392" t="str">
        <x:v>Acessórios</x:v>
      </x:c>
      <x:c r="H1392" t="str">
        <x:v>Hub USB-C</x:v>
      </x:c>
      <x:c r="I1392" t="str">
        <x:v>Diego</x:v>
      </x:c>
      <x:c r="J1392" s="53" t="n">
        <x:v>5</x:v>
      </x:c>
      <x:c r="K1392" s="54" t="n">
        <x:v>308.75</x:v>
      </x:c>
      <x:c r="L1392" s="54" t="n">
        <x:v>135.16</x:v>
      </x:c>
      <x:c r="M1392" s="55" t="n">
        <x:v>0.0866</x:v>
      </x:c>
      <x:c r="N1392" s="54" t="n">
        <x:f>ROUND(J1392*K1392,2)</x:f>
        <x:v>1543.75</x:v>
      </x:c>
      <x:c r="O1392" s="54" t="n">
        <x:f>ROUND(N1392*(1-M1392),2)</x:f>
        <x:v>1410.06</x:v>
      </x:c>
      <x:c r="P1392" s="54" t="n">
        <x:f>ROUND(J1392*L1392,2)</x:f>
        <x:v>675.8</x:v>
      </x:c>
      <x:c r="Q1392" s="54" t="n">
        <x:f>ROUND(O1392-P1392,2)</x:f>
        <x:v>734.26</x:v>
      </x:c>
      <x:c r="R1392" s="55" t="n">
        <x:f>IF(O1392=0,0,ROUND(Q1392/O1392,4))</x:f>
        <x:v>0.5207</x:v>
      </x:c>
      <x:c r="S1392" s="53" t="n">
        <x:v>9</x:v>
      </x:c>
      <x:c r="T1392" t="str">
        <x:v>Entregue</x:v>
      </x:c>
      <x:c r="U1392" t="n">
        <x:v>5</x:v>
      </x:c>
      <x:c r="V1392" t="str"/>
    </x:row>
    <x:row r="1393">
      <x:c r="A1393" s="52" t="n">
        <x:v>46096</x:v>
      </x:c>
      <x:c r="B1393" t="str">
        <x:v>PED-101392</x:v>
      </x:c>
      <x:c r="C1393" t="str">
        <x:v>Cliente 014</x:v>
      </x:c>
      <x:c r="D1393" t="str">
        <x:v>CE</x:v>
      </x:c>
      <x:c r="E1393" t="str">
        <x:v>Nordeste</x:v>
      </x:c>
      <x:c r="F1393" t="str">
        <x:v>Marketplace</x:v>
      </x:c>
      <x:c r="G1393" t="str">
        <x:v>Escritório</x:v>
      </x:c>
      <x:c r="H1393" t="str">
        <x:v>Mesa Ajustável</x:v>
      </x:c>
      <x:c r="I1393" t="str">
        <x:v>Bruno</x:v>
      </x:c>
      <x:c r="J1393" s="53" t="n">
        <x:v>6</x:v>
      </x:c>
      <x:c r="K1393" s="54" t="n">
        <x:v>2776.16</x:v>
      </x:c>
      <x:c r="L1393" s="54" t="n">
        <x:v>1861.63</x:v>
      </x:c>
      <x:c r="M1393" s="55" t="n">
        <x:v>0.035</x:v>
      </x:c>
      <x:c r="N1393" s="54" t="n">
        <x:f>ROUND(J1393*K1393,2)</x:f>
        <x:v>16656.96</x:v>
      </x:c>
      <x:c r="O1393" s="54" t="n">
        <x:f>ROUND(N1393*(1-M1393),2)</x:f>
        <x:v>16073.97</x:v>
      </x:c>
      <x:c r="P1393" s="54" t="n">
        <x:f>ROUND(J1393*L1393,2)</x:f>
        <x:v>11169.78</x:v>
      </x:c>
      <x:c r="Q1393" s="54" t="n">
        <x:f>ROUND(O1393-P1393,2)</x:f>
        <x:v>4904.19</x:v>
      </x:c>
      <x:c r="R1393" s="55" t="n">
        <x:f>IF(O1393=0,0,ROUND(Q1393/O1393,4))</x:f>
        <x:v>0.3051</x:v>
      </x:c>
      <x:c r="S1393" s="53" t="n">
        <x:v>4</x:v>
      </x:c>
      <x:c r="T1393" t="str">
        <x:v>Entregue</x:v>
      </x:c>
      <x:c r="U1393" t="n">
        <x:v>5</x:v>
      </x:c>
      <x:c r="V1393" t="str"/>
    </x:row>
    <x:row r="1394">
      <x:c r="A1394" s="52" t="n">
        <x:v>46095</x:v>
      </x:c>
      <x:c r="B1394" t="str">
        <x:v>PED-101393</x:v>
      </x:c>
      <x:c r="C1394" t="str">
        <x:v>Cliente 010</x:v>
      </x:c>
      <x:c r="D1394" t="str">
        <x:v>ES</x:v>
      </x:c>
      <x:c r="E1394" t="str">
        <x:v>Sudeste</x:v>
      </x:c>
      <x:c r="F1394" t="str">
        <x:v>Marketplace</x:v>
      </x:c>
      <x:c r="G1394" t="str">
        <x:v>Acessórios</x:v>
      </x:c>
      <x:c r="H1394" t="str">
        <x:v>Mochila Executiva</x:v>
      </x:c>
      <x:c r="I1394" t="str">
        <x:v>Carla</x:v>
      </x:c>
      <x:c r="J1394" s="53" t="n">
        <x:v>1</x:v>
      </x:c>
      <x:c r="K1394" s="54" t="n">
        <x:v>442.65</x:v>
      </x:c>
      <x:c r="L1394" s="54" t="n">
        <x:v>198.73</x:v>
      </x:c>
      <x:c r="M1394" s="55" t="n">
        <x:v>0.1228</x:v>
      </x:c>
      <x:c r="N1394" s="54" t="n">
        <x:f>ROUND(J1394*K1394,2)</x:f>
        <x:v>442.65</x:v>
      </x:c>
      <x:c r="O1394" s="54" t="n">
        <x:f>ROUND(N1394*(1-M1394),2)</x:f>
        <x:v>388.29</x:v>
      </x:c>
      <x:c r="P1394" s="54" t="n">
        <x:f>ROUND(J1394*L1394,2)</x:f>
        <x:v>198.73</x:v>
      </x:c>
      <x:c r="Q1394" s="54" t="n">
        <x:f>ROUND(O1394-P1394,2)</x:f>
        <x:v>189.56</x:v>
      </x:c>
      <x:c r="R1394" s="55" t="n">
        <x:f>IF(O1394=0,0,ROUND(Q1394/O1394,4))</x:f>
        <x:v>0.4882</x:v>
      </x:c>
      <x:c r="S1394" s="53" t="n">
        <x:v>12</x:v>
      </x:c>
      <x:c r="T1394" t="str">
        <x:v>Entregue com atraso</x:v>
      </x:c>
      <x:c r="U1394" t="n">
        <x:v>5</x:v>
      </x:c>
      <x:c r="V1394" t="str"/>
    </x:row>
    <x:row r="1395">
      <x:c r="A1395" s="52" t="n">
        <x:v>46115</x:v>
      </x:c>
      <x:c r="B1395" t="str">
        <x:v>PED-101394</x:v>
      </x:c>
      <x:c r="C1395" t="str">
        <x:v>Cliente 038</x:v>
      </x:c>
      <x:c r="D1395" t="str">
        <x:v>PA</x:v>
      </x:c>
      <x:c r="E1395" t="str">
        <x:v>Norte</x:v>
      </x:c>
      <x:c r="F1395" t="str">
        <x:v>Marketplace</x:v>
      </x:c>
      <x:c r="G1395" t="str">
        <x:v>Escritório</x:v>
      </x:c>
      <x:c r="H1395" t="str">
        <x:v>Luminária LED</x:v>
      </x:c>
      <x:c r="I1395" t="str">
        <x:v>Gabriela</x:v>
      </x:c>
      <x:c r="J1395" s="53" t="n">
        <x:v>5</x:v>
      </x:c>
      <x:c r="K1395" s="54" t="n">
        <x:v>248.59</x:v>
      </x:c>
      <x:c r="L1395" s="54" t="n">
        <x:v>120.16</x:v>
      </x:c>
      <x:c r="M1395" s="55" t="n">
        <x:v>0.112</x:v>
      </x:c>
      <x:c r="N1395" s="54" t="n">
        <x:f>ROUND(J1395*K1395,2)</x:f>
        <x:v>1242.95</x:v>
      </x:c>
      <x:c r="O1395" s="54" t="n">
        <x:f>ROUND(N1395*(1-M1395),2)</x:f>
        <x:v>1103.74</x:v>
      </x:c>
      <x:c r="P1395" s="54" t="n">
        <x:f>ROUND(J1395*L1395,2)</x:f>
        <x:v>600.8</x:v>
      </x:c>
      <x:c r="Q1395" s="54" t="n">
        <x:f>ROUND(O1395-P1395,2)</x:f>
        <x:v>502.94</x:v>
      </x:c>
      <x:c r="R1395" s="55" t="n">
        <x:f>IF(O1395=0,0,ROUND(Q1395/O1395,4))</x:f>
        <x:v>0.4557</x:v>
      </x:c>
      <x:c r="S1395" s="53" t="n">
        <x:v>12</x:v>
      </x:c>
      <x:c r="T1395" t="str">
        <x:v>Entregue com atraso</x:v>
      </x:c>
      <x:c r="U1395" t="n">
        <x:v>2</x:v>
      </x:c>
      <x:c r="V1395" t="str"/>
    </x:row>
    <x:row r="1396">
      <x:c r="A1396" s="52" t="n">
        <x:v>46118</x:v>
      </x:c>
      <x:c r="B1396" t="str">
        <x:v>PED-101395</x:v>
      </x:c>
      <x:c r="C1396" t="str">
        <x:v>Cliente 110</x:v>
      </x:c>
      <x:c r="D1396" t="str">
        <x:v>BA</x:v>
      </x:c>
      <x:c r="E1396" t="str">
        <x:v>Nordeste</x:v>
      </x:c>
      <x:c r="F1396" t="str">
        <x:v>Marketplace</x:v>
      </x:c>
      <x:c r="G1396" t="str">
        <x:v>Casa</x:v>
      </x:c>
      <x:c r="H1396" t="str">
        <x:v>Purificador</x:v>
      </x:c>
      <x:c r="I1396" t="str">
        <x:v>Diego</x:v>
      </x:c>
      <x:c r="J1396" s="53" t="n">
        <x:v>4</x:v>
      </x:c>
      <x:c r="K1396" s="54" t="n">
        <x:v>1214.51</x:v>
      </x:c>
      <x:c r="L1396" s="54" t="n">
        <x:v>781.06</x:v>
      </x:c>
      <x:c r="M1396" s="55" t="n">
        <x:v>0.1433</x:v>
      </x:c>
      <x:c r="N1396" s="54" t="n">
        <x:f>ROUND(J1396*K1396,2)</x:f>
        <x:v>4858.04</x:v>
      </x:c>
      <x:c r="O1396" s="54" t="n">
        <x:f>ROUND(N1396*(1-M1396),2)</x:f>
        <x:v>4161.88</x:v>
      </x:c>
      <x:c r="P1396" s="54" t="n">
        <x:f>ROUND(J1396*L1396,2)</x:f>
        <x:v>3124.24</x:v>
      </x:c>
      <x:c r="Q1396" s="54" t="n">
        <x:f>ROUND(O1396-P1396,2)</x:f>
        <x:v>1037.64</x:v>
      </x:c>
      <x:c r="R1396" s="55" t="n">
        <x:f>IF(O1396=0,0,ROUND(Q1396/O1396,4))</x:f>
        <x:v>0.2493</x:v>
      </x:c>
      <x:c r="S1396" s="53" t="n">
        <x:v>7</x:v>
      </x:c>
      <x:c r="T1396" t="str">
        <x:v>Entregue</x:v>
      </x:c>
      <x:c r="U1396" t="n">
        <x:v>4</x:v>
      </x:c>
      <x:c r="V1396" t="str"/>
    </x:row>
    <x:row r="1397">
      <x:c r="A1397" s="52" t="n">
        <x:v>46050</x:v>
      </x:c>
      <x:c r="B1397" t="str">
        <x:v>PED-101396</x:v>
      </x:c>
      <x:c r="C1397" t="str">
        <x:v>Cliente 087</x:v>
      </x:c>
      <x:c r="D1397" t="str">
        <x:v>SC</x:v>
      </x:c>
      <x:c r="E1397" t="str">
        <x:v>Sul</x:v>
      </x:c>
      <x:c r="F1397" t="str">
        <x:v>Televendas</x:v>
      </x:c>
      <x:c r="G1397" t="str">
        <x:v>Casa</x:v>
      </x:c>
      <x:c r="H1397" t="str">
        <x:v>Cafeteira Smart</x:v>
      </x:c>
      <x:c r="I1397" t="str">
        <x:v>Elaine</x:v>
      </x:c>
      <x:c r="J1397" s="53" t="n">
        <x:v>4</x:v>
      </x:c>
      <x:c r="K1397" s="54" t="n">
        <x:v>833.29</x:v>
      </x:c>
      <x:c r="L1397" s="54" t="n">
        <x:v>444.38</x:v>
      </x:c>
      <x:c r="M1397" s="55" t="n">
        <x:v>0.0145</x:v>
      </x:c>
      <x:c r="N1397" s="54" t="n">
        <x:f>ROUND(J1397*K1397,2)</x:f>
        <x:v>3333.16</x:v>
      </x:c>
      <x:c r="O1397" s="54" t="n">
        <x:f>ROUND(N1397*(1-M1397),2)</x:f>
        <x:v>3284.83</x:v>
      </x:c>
      <x:c r="P1397" s="54" t="n">
        <x:f>ROUND(J1397*L1397,2)</x:f>
        <x:v>1777.52</x:v>
      </x:c>
      <x:c r="Q1397" s="54" t="n">
        <x:f>ROUND(O1397-P1397,2)</x:f>
        <x:v>1507.31</x:v>
      </x:c>
      <x:c r="R1397" s="55" t="n">
        <x:f>IF(O1397=0,0,ROUND(Q1397/O1397,4))</x:f>
        <x:v>0.4589</x:v>
      </x:c>
      <x:c r="S1397" s="53" t="n">
        <x:v>8</x:v>
      </x:c>
      <x:c r="T1397" t="str">
        <x:v>Entregue</x:v>
      </x:c>
      <x:c r="U1397" t="n">
        <x:v>2</x:v>
      </x:c>
      <x:c r="V1397" t="str"/>
    </x:row>
    <x:row r="1398">
      <x:c r="A1398" s="52" t="n">
        <x:v>46173</x:v>
      </x:c>
      <x:c r="B1398" t="str">
        <x:v>PED-101397</x:v>
      </x:c>
      <x:c r="C1398" t="str">
        <x:v>Cliente 003</x:v>
      </x:c>
      <x:c r="D1398" t="str">
        <x:v>DF</x:v>
      </x:c>
      <x:c r="E1398" t="str">
        <x:v>Centro-Oeste</x:v>
      </x:c>
      <x:c r="F1398" t="str">
        <x:v>E-commerce</x:v>
      </x:c>
      <x:c r="G1398" t="str">
        <x:v>Acessórios</x:v>
      </x:c>
      <x:c r="H1398" t="str">
        <x:v>Webcam HD</x:v>
      </x:c>
      <x:c r="I1398" t="str">
        <x:v>Isabela</x:v>
      </x:c>
      <x:c r="J1398" s="53" t="n">
        <x:v>3</x:v>
      </x:c>
      <x:c r="K1398" s="54" t="n">
        <x:v>519.05</x:v>
      </x:c>
      <x:c r="L1398" s="54" t="n">
        <x:v>230.85</x:v>
      </x:c>
      <x:c r="M1398" s="55" t="n">
        <x:v>0</x:v>
      </x:c>
      <x:c r="N1398" s="54" t="n">
        <x:f>ROUND(J1398*K1398,2)</x:f>
        <x:v>1557.15</x:v>
      </x:c>
      <x:c r="O1398" s="54" t="n">
        <x:f>ROUND(N1398*(1-M1398),2)</x:f>
        <x:v>1557.15</x:v>
      </x:c>
      <x:c r="P1398" s="54" t="n">
        <x:f>ROUND(J1398*L1398,2)</x:f>
        <x:v>692.55</x:v>
      </x:c>
      <x:c r="Q1398" s="54" t="n">
        <x:f>ROUND(O1398-P1398,2)</x:f>
        <x:v>864.6</x:v>
      </x:c>
      <x:c r="R1398" s="55" t="n">
        <x:f>IF(O1398=0,0,ROUND(Q1398/O1398,4))</x:f>
        <x:v>0.5552</x:v>
      </x:c>
      <x:c r="S1398" s="53" t="n">
        <x:v>4</x:v>
      </x:c>
      <x:c r="T1398" t="str">
        <x:v>Entregue</x:v>
      </x:c>
      <x:c r="U1398" t="n">
        <x:v>2</x:v>
      </x:c>
      <x:c r="V1398" t="str"/>
    </x:row>
    <x:row r="1399">
      <x:c r="A1399" s="52" t="n">
        <x:v>46030</x:v>
      </x:c>
      <x:c r="B1399" t="str">
        <x:v>PED-101398</x:v>
      </x:c>
      <x:c r="C1399" t="str">
        <x:v>Cliente 055</x:v>
      </x:c>
      <x:c r="D1399" t="str">
        <x:v>GO</x:v>
      </x:c>
      <x:c r="E1399" t="str">
        <x:v>Centro-Oeste</x:v>
      </x:c>
      <x:c r="F1399" t="str">
        <x:v>E-commerce</x:v>
      </x:c>
      <x:c r="G1399" t="str">
        <x:v>Escritório</x:v>
      </x:c>
      <x:c r="H1399" t="str">
        <x:v>Cadeira Ergonômica</x:v>
      </x:c>
      <x:c r="I1399" t="str">
        <x:v>Bruno</x:v>
      </x:c>
      <x:c r="J1399" s="53" t="n">
        <x:v>2</x:v>
      </x:c>
      <x:c r="K1399" s="54" t="n">
        <x:v>2208.47</x:v>
      </x:c>
      <x:c r="L1399" s="54" t="n">
        <x:v>1399.74</x:v>
      </x:c>
      <x:c r="M1399" s="55" t="n">
        <x:v>0</x:v>
      </x:c>
      <x:c r="N1399" s="54" t="n">
        <x:f>ROUND(J1399*K1399,2)</x:f>
        <x:v>4416.94</x:v>
      </x:c>
      <x:c r="O1399" s="54" t="n">
        <x:f>ROUND(N1399*(1-M1399),2)</x:f>
        <x:v>4416.94</x:v>
      </x:c>
      <x:c r="P1399" s="54" t="n">
        <x:f>ROUND(J1399*L1399,2)</x:f>
        <x:v>2799.48</x:v>
      </x:c>
      <x:c r="Q1399" s="54" t="n">
        <x:f>ROUND(O1399-P1399,2)</x:f>
        <x:v>1617.46</x:v>
      </x:c>
      <x:c r="R1399" s="55" t="n">
        <x:f>IF(O1399=0,0,ROUND(Q1399/O1399,4))</x:f>
        <x:v>0.3662</x:v>
      </x:c>
      <x:c r="S1399" s="53" t="n">
        <x:v>14</x:v>
      </x:c>
      <x:c r="T1399" t="str">
        <x:v>Entregue com atraso</x:v>
      </x:c>
      <x:c r="U1399" t="n">
        <x:v>3</x:v>
      </x:c>
      <x:c r="V1399" t="str"/>
    </x:row>
    <x:row r="1400">
      <x:c r="A1400" s="52" t="n">
        <x:v>46168</x:v>
      </x:c>
      <x:c r="B1400" t="str">
        <x:v>PED-101399</x:v>
      </x:c>
      <x:c r="C1400" t="str">
        <x:v>Cliente 007</x:v>
      </x:c>
      <x:c r="D1400" t="str">
        <x:v>PE</x:v>
      </x:c>
      <x:c r="E1400" t="str">
        <x:v>Nordeste</x:v>
      </x:c>
      <x:c r="F1400" t="str">
        <x:v>Marketplace</x:v>
      </x:c>
      <x:c r="G1400" t="str">
        <x:v>Tecnologia</x:v>
      </x:c>
      <x:c r="H1400" t="str">
        <x:v>Monitor 27</x:v>
      </x:c>
      <x:c r="I1400" t="str">
        <x:v>Bruno</x:v>
      </x:c>
      <x:c r="J1400" s="53" t="n">
        <x:v>4</x:v>
      </x:c>
      <x:c r="K1400" s="54" t="n">
        <x:v>1668.46</x:v>
      </x:c>
      <x:c r="L1400" s="54" t="n">
        <x:v>1156.79</x:v>
      </x:c>
      <x:c r="M1400" s="55" t="n">
        <x:v>0.035</x:v>
      </x:c>
      <x:c r="N1400" s="54" t="n">
        <x:f>ROUND(J1400*K1400,2)</x:f>
        <x:v>6673.84</x:v>
      </x:c>
      <x:c r="O1400" s="54" t="n">
        <x:f>ROUND(N1400*(1-M1400),2)</x:f>
        <x:v>6440.26</x:v>
      </x:c>
      <x:c r="P1400" s="54" t="n">
        <x:f>ROUND(J1400*L1400,2)</x:f>
        <x:v>4627.16</x:v>
      </x:c>
      <x:c r="Q1400" s="54" t="n">
        <x:f>ROUND(O1400-P1400,2)</x:f>
        <x:v>1813.1</x:v>
      </x:c>
      <x:c r="R1400" s="55" t="n">
        <x:f>IF(O1400=0,0,ROUND(Q1400/O1400,4))</x:f>
        <x:v>0.2815</x:v>
      </x:c>
      <x:c r="S1400" s="53" t="n">
        <x:v>8</x:v>
      </x:c>
      <x:c r="T1400" t="str">
        <x:v>Entregue</x:v>
      </x:c>
      <x:c r="U1400" t="n">
        <x:v>4</x:v>
      </x:c>
      <x:c r="V1400" t="str"/>
    </x:row>
    <x:row r="1401">
      <x:c r="A1401" s="52" t="n">
        <x:v>46133</x:v>
      </x:c>
      <x:c r="B1401" t="str">
        <x:v>PED-101400</x:v>
      </x:c>
      <x:c r="C1401" t="str">
        <x:v>Cliente 078</x:v>
      </x:c>
      <x:c r="D1401" t="str">
        <x:v>RJ</x:v>
      </x:c>
      <x:c r="E1401" t="str">
        <x:v>Sudeste</x:v>
      </x:c>
      <x:c r="F1401" t="str">
        <x:v>Televendas</x:v>
      </x:c>
      <x:c r="G1401" t="str">
        <x:v>Tecnologia</x:v>
      </x:c>
      <x:c r="H1401" t="str">
        <x:v>Notebook Pro</x:v>
      </x:c>
      <x:c r="I1401" t="str">
        <x:v>Bruno</x:v>
      </x:c>
      <x:c r="J1401" s="53" t="n">
        <x:v>8</x:v>
      </x:c>
      <x:c r="K1401" s="54" t="n">
        <x:v>5798.09</x:v>
      </x:c>
      <x:c r="L1401" s="54" t="n">
        <x:v>4357.64</x:v>
      </x:c>
      <x:c r="M1401" s="55" t="n">
        <x:v>0.0848</x:v>
      </x:c>
      <x:c r="N1401" s="54" t="n">
        <x:f>ROUND(J1401*K1401,2)</x:f>
        <x:v>46384.72</x:v>
      </x:c>
      <x:c r="O1401" s="54" t="n">
        <x:f>ROUND(N1401*(1-M1401),2)</x:f>
        <x:v>42451.3</x:v>
      </x:c>
      <x:c r="P1401" s="54" t="n">
        <x:f>ROUND(J1401*L1401,2)</x:f>
        <x:v>34861.12</x:v>
      </x:c>
      <x:c r="Q1401" s="54" t="n">
        <x:f>ROUND(O1401-P1401,2)</x:f>
        <x:v>7590.18</x:v>
      </x:c>
      <x:c r="R1401" s="55" t="n">
        <x:f>IF(O1401=0,0,ROUND(Q1401/O1401,4))</x:f>
        <x:v>0.1788</x:v>
      </x:c>
      <x:c r="S1401" s="53" t="n">
        <x:v>14</x:v>
      </x:c>
      <x:c r="T1401" t="str">
        <x:v>Entregue com atraso</x:v>
      </x:c>
      <x:c r="U1401" t="n">
        <x:v>2</x:v>
      </x:c>
      <x:c r="V1401" t="str"/>
    </x:row>
    <x:row r="1402">
      <x:c r="A1402" s="52" t="n">
        <x:v>46031</x:v>
      </x:c>
      <x:c r="B1402" t="str">
        <x:v>PED-101401</x:v>
      </x:c>
      <x:c r="C1402" t="str">
        <x:v>Cliente 004</x:v>
      </x:c>
      <x:c r="D1402" t="str">
        <x:v>MG</x:v>
      </x:c>
      <x:c r="E1402" t="str">
        <x:v>Sudeste</x:v>
      </x:c>
      <x:c r="F1402" t="str">
        <x:v>Marketplace</x:v>
      </x:c>
      <x:c r="G1402" t="str">
        <x:v>Escritório</x:v>
      </x:c>
      <x:c r="H1402" t="str">
        <x:v>Luminária LED</x:v>
      </x:c>
      <x:c r="I1402" t="str">
        <x:v>Carla</x:v>
      </x:c>
      <x:c r="J1402" s="53" t="n">
        <x:v>4</x:v>
      </x:c>
      <x:c r="K1402" s="54" t="n">
        <x:v>264.66</x:v>
      </x:c>
      <x:c r="L1402" s="54" t="n">
        <x:v>122.54</x:v>
      </x:c>
      <x:c r="M1402" s="55" t="n">
        <x:v>0.0575</x:v>
      </x:c>
      <x:c r="N1402" s="54" t="n">
        <x:f>ROUND(J1402*K1402,2)</x:f>
        <x:v>1058.64</x:v>
      </x:c>
      <x:c r="O1402" s="54" t="n">
        <x:f>ROUND(N1402*(1-M1402),2)</x:f>
        <x:v>997.77</x:v>
      </x:c>
      <x:c r="P1402" s="54" t="n">
        <x:f>ROUND(J1402*L1402,2)</x:f>
        <x:v>490.16</x:v>
      </x:c>
      <x:c r="Q1402" s="54" t="n">
        <x:f>ROUND(O1402-P1402,2)</x:f>
        <x:v>507.61</x:v>
      </x:c>
      <x:c r="R1402" s="55" t="n">
        <x:f>IF(O1402=0,0,ROUND(Q1402/O1402,4))</x:f>
        <x:v>0.5087</x:v>
      </x:c>
      <x:c r="S1402" s="53" t="n">
        <x:v>7</x:v>
      </x:c>
      <x:c r="T1402" t="str">
        <x:v>Cancelado</x:v>
      </x:c>
      <x:c r="U1402"/>
      <x:c r="V1402" t="str"/>
    </x:row>
    <x:row r="1403">
      <x:c r="A1403" s="52" t="n">
        <x:v>46168</x:v>
      </x:c>
      <x:c r="B1403" t="str">
        <x:v>PED-101402</x:v>
      </x:c>
      <x:c r="C1403" t="str">
        <x:v>Cliente 120</x:v>
      </x:c>
      <x:c r="D1403" t="str">
        <x:v>MG</x:v>
      </x:c>
      <x:c r="E1403" t="str">
        <x:v>Sudeste</x:v>
      </x:c>
      <x:c r="F1403" t="str">
        <x:v>Loja</x:v>
      </x:c>
      <x:c r="G1403" t="str">
        <x:v>Acessórios</x:v>
      </x:c>
      <x:c r="H1403" t="str">
        <x:v>Webcam HD</x:v>
      </x:c>
      <x:c r="I1403" t="str">
        <x:v>Ana</x:v>
      </x:c>
      <x:c r="J1403" s="53" t="n">
        <x:v>1</x:v>
      </x:c>
      <x:c r="K1403" s="54" t="n">
        <x:v>509.78</x:v>
      </x:c>
      <x:c r="L1403" s="54" t="n">
        <x:v>249.24</x:v>
      </x:c>
      <x:c r="M1403" s="55" t="n">
        <x:v>0.1236</x:v>
      </x:c>
      <x:c r="N1403" s="54" t="n">
        <x:f>ROUND(J1403*K1403,2)</x:f>
        <x:v>509.78</x:v>
      </x:c>
      <x:c r="O1403" s="54" t="n">
        <x:f>ROUND(N1403*(1-M1403),2)</x:f>
        <x:v>446.77</x:v>
      </x:c>
      <x:c r="P1403" s="54" t="n">
        <x:f>ROUND(J1403*L1403,2)</x:f>
        <x:v>249.24</x:v>
      </x:c>
      <x:c r="Q1403" s="54" t="n">
        <x:f>ROUND(O1403-P1403,2)</x:f>
        <x:v>197.53</x:v>
      </x:c>
      <x:c r="R1403" s="55" t="n">
        <x:f>IF(O1403=0,0,ROUND(Q1403/O1403,4))</x:f>
        <x:v>0.4421</x:v>
      </x:c>
      <x:c r="S1403" s="53" t="n">
        <x:v>10</x:v>
      </x:c>
      <x:c r="T1403" t="str">
        <x:v>Entregue</x:v>
      </x:c>
      <x:c r="U1403" t="n">
        <x:v>2</x:v>
      </x:c>
      <x:c r="V1403" t="str"/>
    </x:row>
    <x:row r="1404">
      <x:c r="A1404" s="52" t="n">
        <x:v>46196</x:v>
      </x:c>
      <x:c r="B1404" t="str">
        <x:v>PED-101403</x:v>
      </x:c>
      <x:c r="C1404" t="str">
        <x:v>Cliente 036</x:v>
      </x:c>
      <x:c r="D1404" t="str">
        <x:v>BA</x:v>
      </x:c>
      <x:c r="E1404" t="str">
        <x:v>Nordeste</x:v>
      </x:c>
      <x:c r="F1404" t="str">
        <x:v>Loja</x:v>
      </x:c>
      <x:c r="G1404" t="str">
        <x:v>Tecnologia</x:v>
      </x:c>
      <x:c r="H1404" t="str">
        <x:v>Monitor 27</x:v>
      </x:c>
      <x:c r="I1404" t="str">
        <x:v>Carla</x:v>
      </x:c>
      <x:c r="J1404" s="53" t="n">
        <x:v>3</x:v>
      </x:c>
      <x:c r="K1404" s="54" t="n">
        <x:v>1718.68</x:v>
      </x:c>
      <x:c r="L1404" s="54" t="n">
        <x:v>1162.66</x:v>
      </x:c>
      <x:c r="M1404" s="55" t="n">
        <x:v>0.1107</x:v>
      </x:c>
      <x:c r="N1404" s="54" t="n">
        <x:f>ROUND(J1404*K1404,2)</x:f>
        <x:v>5156.04</x:v>
      </x:c>
      <x:c r="O1404" s="54" t="n">
        <x:f>ROUND(N1404*(1-M1404),2)</x:f>
        <x:v>4585.27</x:v>
      </x:c>
      <x:c r="P1404" s="54" t="n">
        <x:f>ROUND(J1404*L1404,2)</x:f>
        <x:v>3487.98</x:v>
      </x:c>
      <x:c r="Q1404" s="54" t="n">
        <x:f>ROUND(O1404-P1404,2)</x:f>
        <x:v>1097.29</x:v>
      </x:c>
      <x:c r="R1404" s="55" t="n">
        <x:f>IF(O1404=0,0,ROUND(Q1404/O1404,4))</x:f>
        <x:v>0.2393</x:v>
      </x:c>
      <x:c r="S1404" s="53" t="n">
        <x:v>14</x:v>
      </x:c>
      <x:c r="T1404" t="str">
        <x:v>Entregue com atraso</x:v>
      </x:c>
      <x:c r="U1404" t="n">
        <x:v>4</x:v>
      </x:c>
      <x:c r="V1404" t="str"/>
    </x:row>
    <x:row r="1405">
      <x:c r="A1405" s="52" t="n">
        <x:v>46137</x:v>
      </x:c>
      <x:c r="B1405" t="str">
        <x:v>PED-101404</x:v>
      </x:c>
      <x:c r="C1405" t="str">
        <x:v>Cliente 083</x:v>
      </x:c>
      <x:c r="D1405" t="str">
        <x:v>CE</x:v>
      </x:c>
      <x:c r="E1405" t="str">
        <x:v>Nordeste</x:v>
      </x:c>
      <x:c r="F1405" t="str">
        <x:v>E-commerce</x:v>
      </x:c>
      <x:c r="G1405" t="str">
        <x:v>Acessórios</x:v>
      </x:c>
      <x:c r="H1405" t="str">
        <x:v>Hub USB-C</x:v>
      </x:c>
      <x:c r="I1405" t="str">
        <x:v>Elaine</x:v>
      </x:c>
      <x:c r="J1405" s="53" t="n">
        <x:v>7</x:v>
      </x:c>
      <x:c r="K1405" s="54" t="n">
        <x:v>303.61</x:v>
      </x:c>
      <x:c r="L1405" s="54" t="n">
        <x:v>145.83</x:v>
      </x:c>
      <x:c r="M1405" s="55" t="n">
        <x:v>0</x:v>
      </x:c>
      <x:c r="N1405" s="54" t="n">
        <x:f>ROUND(J1405*K1405,2)</x:f>
        <x:v>2125.27</x:v>
      </x:c>
      <x:c r="O1405" s="54" t="n">
        <x:f>ROUND(N1405*(1-M1405),2)</x:f>
        <x:v>2125.27</x:v>
      </x:c>
      <x:c r="P1405" s="54" t="n">
        <x:f>ROUND(J1405*L1405,2)</x:f>
        <x:v>1020.81</x:v>
      </x:c>
      <x:c r="Q1405" s="54" t="n">
        <x:f>ROUND(O1405-P1405,2)</x:f>
        <x:v>1104.46</x:v>
      </x:c>
      <x:c r="R1405" s="55" t="n">
        <x:f>IF(O1405=0,0,ROUND(Q1405/O1405,4))</x:f>
        <x:v>0.5197</x:v>
      </x:c>
      <x:c r="S1405" s="53" t="n">
        <x:v>7</x:v>
      </x:c>
      <x:c r="T1405" t="str">
        <x:v>Entregue</x:v>
      </x:c>
      <x:c r="U1405" t="n">
        <x:v>5</x:v>
      </x:c>
      <x:c r="V1405" t="str"/>
    </x:row>
    <x:row r="1406">
      <x:c r="A1406" s="52" t="n">
        <x:v>46194</x:v>
      </x:c>
      <x:c r="B1406" t="str">
        <x:v>PED-101405</x:v>
      </x:c>
      <x:c r="C1406" t="str">
        <x:v>Cliente 053</x:v>
      </x:c>
      <x:c r="D1406" t="str">
        <x:v>GO</x:v>
      </x:c>
      <x:c r="E1406" t="str">
        <x:v>Centro-Oeste</x:v>
      </x:c>
      <x:c r="F1406" t="str">
        <x:v>Marketplace</x:v>
      </x:c>
      <x:c r="G1406" t="str">
        <x:v>Acessórios</x:v>
      </x:c>
      <x:c r="H1406" t="str">
        <x:v>Hub USB-C</x:v>
      </x:c>
      <x:c r="I1406" t="str">
        <x:v>Isabela</x:v>
      </x:c>
      <x:c r="J1406" s="53" t="n">
        <x:v>3</x:v>
      </x:c>
      <x:c r="K1406" s="54" t="n">
        <x:v>331.98</x:v>
      </x:c>
      <x:c r="L1406" s="54" t="n">
        <x:v>134.92</x:v>
      </x:c>
      <x:c r="M1406" s="55" t="n">
        <x:v>0.035</x:v>
      </x:c>
      <x:c r="N1406" s="54" t="n">
        <x:f>ROUND(J1406*K1406,2)</x:f>
        <x:v>995.94</x:v>
      </x:c>
      <x:c r="O1406" s="54" t="n">
        <x:f>ROUND(N1406*(1-M1406),2)</x:f>
        <x:v>961.08</x:v>
      </x:c>
      <x:c r="P1406" s="54" t="n">
        <x:f>ROUND(J1406*L1406,2)</x:f>
        <x:v>404.76</x:v>
      </x:c>
      <x:c r="Q1406" s="54" t="n">
        <x:f>ROUND(O1406-P1406,2)</x:f>
        <x:v>556.32</x:v>
      </x:c>
      <x:c r="R1406" s="55" t="n">
        <x:f>IF(O1406=0,0,ROUND(Q1406/O1406,4))</x:f>
        <x:v>0.5788</x:v>
      </x:c>
      <x:c r="S1406" s="53" t="n">
        <x:v>2</x:v>
      </x:c>
      <x:c r="T1406" t="str">
        <x:v>Entregue</x:v>
      </x:c>
      <x:c r="U1406" t="n">
        <x:v>5</x:v>
      </x:c>
      <x:c r="V1406" t="str"/>
    </x:row>
    <x:row r="1407">
      <x:c r="A1407" s="52" t="n">
        <x:v>46206</x:v>
      </x:c>
      <x:c r="B1407" t="str">
        <x:v>PED-101406</x:v>
      </x:c>
      <x:c r="C1407" t="str">
        <x:v>Cliente 007</x:v>
      </x:c>
      <x:c r="D1407" t="str">
        <x:v>SP</x:v>
      </x:c>
      <x:c r="E1407" t="str">
        <x:v>Sudeste</x:v>
      </x:c>
      <x:c r="F1407" t="str">
        <x:v>E-commerce</x:v>
      </x:c>
      <x:c r="G1407" t="str">
        <x:v>Casa</x:v>
      </x:c>
      <x:c r="H1407" t="str">
        <x:v>Purificador</x:v>
      </x:c>
      <x:c r="I1407" t="str">
        <x:v>João</x:v>
      </x:c>
      <x:c r="J1407" s="53" t="n">
        <x:v>2</x:v>
      </x:c>
      <x:c r="K1407" s="54" t="n">
        <x:v>1223.61</x:v>
      </x:c>
      <x:c r="L1407" s="54" t="n">
        <x:v>776.39</x:v>
      </x:c>
      <x:c r="M1407" s="55" t="n">
        <x:v>0.1243</x:v>
      </x:c>
      <x:c r="N1407" s="54" t="n">
        <x:f>ROUND(J1407*K1407,2)</x:f>
        <x:v>2447.22</x:v>
      </x:c>
      <x:c r="O1407" s="54" t="n">
        <x:f>ROUND(N1407*(1-M1407),2)</x:f>
        <x:v>2143.03</x:v>
      </x:c>
      <x:c r="P1407" s="54" t="n">
        <x:f>ROUND(J1407*L1407,2)</x:f>
        <x:v>1552.78</x:v>
      </x:c>
      <x:c r="Q1407" s="54" t="n">
        <x:f>ROUND(O1407-P1407,2)</x:f>
        <x:v>590.25</x:v>
      </x:c>
      <x:c r="R1407" s="55" t="n">
        <x:f>IF(O1407=0,0,ROUND(Q1407/O1407,4))</x:f>
        <x:v>0.2754</x:v>
      </x:c>
      <x:c r="S1407" s="53" t="n">
        <x:v>2</x:v>
      </x:c>
      <x:c r="T1407" t="str">
        <x:v>Entregue</x:v>
      </x:c>
      <x:c r="U1407" t="n">
        <x:v>4</x:v>
      </x:c>
      <x:c r="V1407" t="str"/>
    </x:row>
    <x:row r="1408">
      <x:c r="A1408" s="52" t="n">
        <x:v>46074</x:v>
      </x:c>
      <x:c r="B1408" t="str">
        <x:v>PED-101407</x:v>
      </x:c>
      <x:c r="C1408" t="str">
        <x:v>Cliente 082</x:v>
      </x:c>
      <x:c r="D1408" t="str">
        <x:v>GO</x:v>
      </x:c>
      <x:c r="E1408" t="str">
        <x:v>Centro-Oeste</x:v>
      </x:c>
      <x:c r="F1408" t="str">
        <x:v>E-commerce</x:v>
      </x:c>
      <x:c r="G1408" t="str">
        <x:v>Casa</x:v>
      </x:c>
      <x:c r="H1408" t="str">
        <x:v>Purificador</x:v>
      </x:c>
      <x:c r="I1408" t="str">
        <x:v>Elaine</x:v>
      </x:c>
      <x:c r="J1408" s="53" t="n">
        <x:v>5</x:v>
      </x:c>
      <x:c r="K1408" s="54" t="n">
        <x:v>1241.89</x:v>
      </x:c>
      <x:c r="L1408" s="54" t="n">
        <x:v>750.07</x:v>
      </x:c>
      <x:c r="M1408" s="55" t="n">
        <x:v>0.041</x:v>
      </x:c>
      <x:c r="N1408" s="54" t="n">
        <x:f>ROUND(J1408*K1408,2)</x:f>
        <x:v>6209.45</x:v>
      </x:c>
      <x:c r="O1408" s="54" t="n">
        <x:f>ROUND(N1408*(1-M1408),2)</x:f>
        <x:v>5954.86</x:v>
      </x:c>
      <x:c r="P1408" s="54" t="n">
        <x:f>ROUND(J1408*L1408,2)</x:f>
        <x:v>3750.35</x:v>
      </x:c>
      <x:c r="Q1408" s="54" t="n">
        <x:f>ROUND(O1408-P1408,2)</x:f>
        <x:v>2204.51</x:v>
      </x:c>
      <x:c r="R1408" s="55" t="n">
        <x:f>IF(O1408=0,0,ROUND(Q1408/O1408,4))</x:f>
        <x:v>0.3702</x:v>
      </x:c>
      <x:c r="S1408" s="53" t="n">
        <x:v>5</x:v>
      </x:c>
      <x:c r="T1408" t="str">
        <x:v>Cancelado</x:v>
      </x:c>
      <x:c r="U1408"/>
      <x:c r="V1408" t="str"/>
    </x:row>
    <x:row r="1409">
      <x:c r="A1409" s="52" t="n">
        <x:v>46153</x:v>
      </x:c>
      <x:c r="B1409" t="str">
        <x:v>PED-101408</x:v>
      </x:c>
      <x:c r="C1409" t="str">
        <x:v>Cliente 112</x:v>
      </x:c>
      <x:c r="D1409" t="str">
        <x:v>MG</x:v>
      </x:c>
      <x:c r="E1409" t="str">
        <x:v>Sudeste</x:v>
      </x:c>
      <x:c r="F1409" t="str">
        <x:v>E-commerce</x:v>
      </x:c>
      <x:c r="G1409" t="str">
        <x:v>Escritório</x:v>
      </x:c>
      <x:c r="H1409" t="str">
        <x:v>Mesa Ajustável</x:v>
      </x:c>
      <x:c r="I1409" t="str">
        <x:v>Henrique</x:v>
      </x:c>
      <x:c r="J1409" s="53" t="n">
        <x:v>8</x:v>
      </x:c>
      <x:c r="K1409" s="54" t="n">
        <x:v>2876.81</x:v>
      </x:c>
      <x:c r="L1409" s="54" t="n">
        <x:v>1754.99</x:v>
      </x:c>
      <x:c r="M1409" s="55" t="n">
        <x:v>0</x:v>
      </x:c>
      <x:c r="N1409" s="54" t="n">
        <x:f>ROUND(J1409*K1409,2)</x:f>
        <x:v>23014.48</x:v>
      </x:c>
      <x:c r="O1409" s="54" t="n">
        <x:f>ROUND(N1409*(1-M1409),2)</x:f>
        <x:v>23014.48</x:v>
      </x:c>
      <x:c r="P1409" s="54" t="n">
        <x:f>ROUND(J1409*L1409,2)</x:f>
        <x:v>14039.92</x:v>
      </x:c>
      <x:c r="Q1409" s="54" t="n">
        <x:f>ROUND(O1409-P1409,2)</x:f>
        <x:v>8974.56</x:v>
      </x:c>
      <x:c r="R1409" s="55" t="n">
        <x:f>IF(O1409=0,0,ROUND(Q1409/O1409,4))</x:f>
        <x:v>0.39</x:v>
      </x:c>
      <x:c r="S1409" s="53" t="n">
        <x:v>6</x:v>
      </x:c>
      <x:c r="T1409" t="str">
        <x:v>Entregue</x:v>
      </x:c>
      <x:c r="U1409" t="n">
        <x:v>3</x:v>
      </x:c>
      <x:c r="V1409" t="str"/>
    </x:row>
    <x:row r="1410">
      <x:c r="A1410" s="52" t="n">
        <x:v>46144</x:v>
      </x:c>
      <x:c r="B1410" t="str">
        <x:v>PED-101409</x:v>
      </x:c>
      <x:c r="C1410" t="str">
        <x:v>Cliente 085</x:v>
      </x:c>
      <x:c r="D1410" t="str">
        <x:v>MA</x:v>
      </x:c>
      <x:c r="E1410" t="str">
        <x:v>Nordeste</x:v>
      </x:c>
      <x:c r="F1410" t="str">
        <x:v>Televendas</x:v>
      </x:c>
      <x:c r="G1410" t="str">
        <x:v>Casa</x:v>
      </x:c>
      <x:c r="H1410" t="str">
        <x:v>Aspirador Robô</x:v>
      </x:c>
      <x:c r="I1410" t="str">
        <x:v>Carla</x:v>
      </x:c>
      <x:c r="J1410" s="53" t="n">
        <x:v>6</x:v>
      </x:c>
      <x:c r="K1410" s="54" t="n">
        <x:v>1883.1</x:v>
      </x:c>
      <x:c r="L1410" s="54" t="n">
        <x:v>1202.01</x:v>
      </x:c>
      <x:c r="M1410" s="55" t="n">
        <x:v>0.0923</x:v>
      </x:c>
      <x:c r="N1410" s="54" t="n">
        <x:f>ROUND(J1410*K1410,2)</x:f>
        <x:v>11298.6</x:v>
      </x:c>
      <x:c r="O1410" s="54" t="n">
        <x:f>ROUND(N1410*(1-M1410),2)</x:f>
        <x:v>10255.74</x:v>
      </x:c>
      <x:c r="P1410" s="54" t="n">
        <x:f>ROUND(J1410*L1410,2)</x:f>
        <x:v>7212.06</x:v>
      </x:c>
      <x:c r="Q1410" s="54" t="n">
        <x:f>ROUND(O1410-P1410,2)</x:f>
        <x:v>3043.68</x:v>
      </x:c>
      <x:c r="R1410" s="55" t="n">
        <x:f>IF(O1410=0,0,ROUND(Q1410/O1410,4))</x:f>
        <x:v>0.2968</x:v>
      </x:c>
      <x:c r="S1410" s="53" t="n">
        <x:v>8</x:v>
      </x:c>
      <x:c r="T1410" t="str">
        <x:v>Entregue</x:v>
      </x:c>
      <x:c r="U1410" t="n">
        <x:v>2</x:v>
      </x:c>
      <x:c r="V1410" t="str"/>
    </x:row>
    <x:row r="1411">
      <x:c r="A1411" s="52" t="n">
        <x:v>46160</x:v>
      </x:c>
      <x:c r="B1411" t="str">
        <x:v>PED-101410</x:v>
      </x:c>
      <x:c r="C1411" t="str">
        <x:v>Cliente 078</x:v>
      </x:c>
      <x:c r="D1411" t="str">
        <x:v>RJ</x:v>
      </x:c>
      <x:c r="E1411" t="str">
        <x:v>Sudeste</x:v>
      </x:c>
      <x:c r="F1411" t="str">
        <x:v>Loja</x:v>
      </x:c>
      <x:c r="G1411" t="str">
        <x:v>Tecnologia</x:v>
      </x:c>
      <x:c r="H1411" t="str">
        <x:v>Monitor 27</x:v>
      </x:c>
      <x:c r="I1411" t="str">
        <x:v>João</x:v>
      </x:c>
      <x:c r="J1411" s="53" t="n">
        <x:v>1</x:v>
      </x:c>
      <x:c r="K1411" s="54" t="n">
        <x:v>1772.51</x:v>
      </x:c>
      <x:c r="L1411" s="54" t="n">
        <x:v>1074.6</x:v>
      </x:c>
      <x:c r="M1411" s="55" t="n">
        <x:v>0.0613</x:v>
      </x:c>
      <x:c r="N1411" s="54" t="n">
        <x:f>ROUND(J1411*K1411,2)</x:f>
        <x:v>1772.51</x:v>
      </x:c>
      <x:c r="O1411" s="54" t="n">
        <x:f>ROUND(N1411*(1-M1411),2)</x:f>
        <x:v>1663.86</x:v>
      </x:c>
      <x:c r="P1411" s="54" t="n">
        <x:f>ROUND(J1411*L1411,2)</x:f>
        <x:v>1074.6</x:v>
      </x:c>
      <x:c r="Q1411" s="54" t="n">
        <x:f>ROUND(O1411-P1411,2)</x:f>
        <x:v>589.26</x:v>
      </x:c>
      <x:c r="R1411" s="55" t="n">
        <x:f>IF(O1411=0,0,ROUND(Q1411/O1411,4))</x:f>
        <x:v>0.3542</x:v>
      </x:c>
      <x:c r="S1411" s="53" t="n">
        <x:v>11</x:v>
      </x:c>
      <x:c r="T1411" t="str">
        <x:v>Entregue com atraso</x:v>
      </x:c>
      <x:c r="U1411" t="n">
        <x:v>5</x:v>
      </x:c>
      <x:c r="V1411" t="str"/>
    </x:row>
    <x:row r="1412">
      <x:c r="A1412" s="52" t="n">
        <x:v>46044</x:v>
      </x:c>
      <x:c r="B1412" t="str">
        <x:v>PED-101411</x:v>
      </x:c>
      <x:c r="C1412" t="str">
        <x:v>Cliente 039</x:v>
      </x:c>
      <x:c r="D1412" t="str">
        <x:v>RJ</x:v>
      </x:c>
      <x:c r="E1412" t="str">
        <x:v>Sudeste</x:v>
      </x:c>
      <x:c r="F1412" t="str">
        <x:v>Marketplace</x:v>
      </x:c>
      <x:c r="G1412" t="str">
        <x:v>Casa</x:v>
      </x:c>
      <x:c r="H1412" t="str">
        <x:v>Aspirador Robô</x:v>
      </x:c>
      <x:c r="I1412" t="str">
        <x:v>Henrique</x:v>
      </x:c>
      <x:c r="J1412" s="53" t="n">
        <x:v>5</x:v>
      </x:c>
      <x:c r="K1412" s="54" t="n">
        <x:v>1902.12</x:v>
      </x:c>
      <x:c r="L1412" s="54" t="n">
        <x:v>1211.9</x:v>
      </x:c>
      <x:c r="M1412" s="55" t="n">
        <x:v>0.035</x:v>
      </x:c>
      <x:c r="N1412" s="54" t="n">
        <x:f>ROUND(J1412*K1412,2)</x:f>
        <x:v>9510.6</x:v>
      </x:c>
      <x:c r="O1412" s="54" t="n">
        <x:f>ROUND(N1412*(1-M1412),2)</x:f>
        <x:v>9177.73</x:v>
      </x:c>
      <x:c r="P1412" s="54" t="n">
        <x:f>ROUND(J1412*L1412,2)</x:f>
        <x:v>6059.5</x:v>
      </x:c>
      <x:c r="Q1412" s="54" t="n">
        <x:f>ROUND(O1412-P1412,2)</x:f>
        <x:v>3118.23</x:v>
      </x:c>
      <x:c r="R1412" s="55" t="n">
        <x:f>IF(O1412=0,0,ROUND(Q1412/O1412,4))</x:f>
        <x:v>0.3398</x:v>
      </x:c>
      <x:c r="S1412" s="53" t="n">
        <x:v>7</x:v>
      </x:c>
      <x:c r="T1412" t="str">
        <x:v>Entregue</x:v>
      </x:c>
      <x:c r="U1412" t="n">
        <x:v>2</x:v>
      </x:c>
      <x:c r="V1412" t="str"/>
    </x:row>
    <x:row r="1413">
      <x:c r="A1413" s="52" t="n">
        <x:v>46102</x:v>
      </x:c>
      <x:c r="B1413" t="str">
        <x:v>PED-101412</x:v>
      </x:c>
      <x:c r="C1413" t="str">
        <x:v>Cliente 058</x:v>
      </x:c>
      <x:c r="D1413" t="str">
        <x:v>MG</x:v>
      </x:c>
      <x:c r="E1413" t="str">
        <x:v>Sudeste</x:v>
      </x:c>
      <x:c r="F1413" t="str">
        <x:v>Televendas</x:v>
      </x:c>
      <x:c r="G1413" t="str">
        <x:v>Tecnologia</x:v>
      </x:c>
      <x:c r="H1413" t="str">
        <x:v>Monitor 27</x:v>
      </x:c>
      <x:c r="I1413" t="str">
        <x:v>João</x:v>
      </x:c>
      <x:c r="J1413" s="53" t="n">
        <x:v>8</x:v>
      </x:c>
      <x:c r="K1413" s="54" t="n">
        <x:v>1711.09</x:v>
      </x:c>
      <x:c r="L1413" s="54" t="n">
        <x:v>1121.07</x:v>
      </x:c>
      <x:c r="M1413" s="55" t="n">
        <x:v>0.0151</x:v>
      </x:c>
      <x:c r="N1413" s="54" t="n">
        <x:f>ROUND(J1413*K1413,2)</x:f>
        <x:v>13688.72</x:v>
      </x:c>
      <x:c r="O1413" s="54" t="n">
        <x:f>ROUND(N1413*(1-M1413),2)</x:f>
        <x:v>13482.02</x:v>
      </x:c>
      <x:c r="P1413" s="54" t="n">
        <x:f>ROUND(J1413*L1413,2)</x:f>
        <x:v>8968.56</x:v>
      </x:c>
      <x:c r="Q1413" s="54" t="n">
        <x:f>ROUND(O1413-P1413,2)</x:f>
        <x:v>4513.46</x:v>
      </x:c>
      <x:c r="R1413" s="55" t="n">
        <x:f>IF(O1413=0,0,ROUND(Q1413/O1413,4))</x:f>
        <x:v>0.3348</x:v>
      </x:c>
      <x:c r="S1413" s="53" t="n">
        <x:v>10</x:v>
      </x:c>
      <x:c r="T1413" t="str">
        <x:v>Entregue</x:v>
      </x:c>
      <x:c r="U1413" t="n">
        <x:v>5</x:v>
      </x:c>
      <x:c r="V1413" t="str"/>
    </x:row>
    <x:row r="1414">
      <x:c r="A1414" s="52" t="n">
        <x:v>46153</x:v>
      </x:c>
      <x:c r="B1414" t="str">
        <x:v>PED-101413</x:v>
      </x:c>
      <x:c r="C1414" t="str">
        <x:v>Cliente 057</x:v>
      </x:c>
      <x:c r="D1414" t="str">
        <x:v>MA</x:v>
      </x:c>
      <x:c r="E1414" t="str">
        <x:v>Nordeste</x:v>
      </x:c>
      <x:c r="F1414" t="str">
        <x:v>Loja</x:v>
      </x:c>
      <x:c r="G1414" t="str">
        <x:v>Tecnologia</x:v>
      </x:c>
      <x:c r="H1414" t="str">
        <x:v>Notebook Pro</x:v>
      </x:c>
      <x:c r="I1414" t="str">
        <x:v>Felipe</x:v>
      </x:c>
      <x:c r="J1414" s="53" t="n">
        <x:v>6</x:v>
      </x:c>
      <x:c r="K1414" s="54" t="n">
        <x:v>5587.78</x:v>
      </x:c>
      <x:c r="L1414" s="54" t="n">
        <x:v>4624.37</x:v>
      </x:c>
      <x:c r="M1414" s="55" t="n">
        <x:v>0.0162</x:v>
      </x:c>
      <x:c r="N1414" s="54" t="n">
        <x:f>ROUND(J1414*K1414,2)</x:f>
        <x:v>33526.68</x:v>
      </x:c>
      <x:c r="O1414" s="54" t="n">
        <x:f>ROUND(N1414*(1-M1414),2)</x:f>
        <x:v>32983.55</x:v>
      </x:c>
      <x:c r="P1414" s="54" t="n">
        <x:f>ROUND(J1414*L1414,2)</x:f>
        <x:v>27746.22</x:v>
      </x:c>
      <x:c r="Q1414" s="54" t="n">
        <x:f>ROUND(O1414-P1414,2)</x:f>
        <x:v>5237.33</x:v>
      </x:c>
      <x:c r="R1414" s="55" t="n">
        <x:f>IF(O1414=0,0,ROUND(Q1414/O1414,4))</x:f>
        <x:v>0.1588</x:v>
      </x:c>
      <x:c r="S1414" s="53" t="n">
        <x:v>9</x:v>
      </x:c>
      <x:c r="T1414" t="str">
        <x:v>Entregue</x:v>
      </x:c>
      <x:c r="U1414" t="n">
        <x:v>4</x:v>
      </x:c>
      <x:c r="V1414" t="str"/>
    </x:row>
    <x:row r="1415">
      <x:c r="A1415" s="52" t="n">
        <x:v>46073</x:v>
      </x:c>
      <x:c r="B1415" t="str">
        <x:v>PED-101414</x:v>
      </x:c>
      <x:c r="C1415" t="str">
        <x:v>Cliente 067</x:v>
      </x:c>
      <x:c r="D1415" t="str">
        <x:v>PA</x:v>
      </x:c>
      <x:c r="E1415" t="str">
        <x:v>Norte</x:v>
      </x:c>
      <x:c r="F1415" t="str">
        <x:v>Marketplace</x:v>
      </x:c>
      <x:c r="G1415" t="str">
        <x:v>Escritório</x:v>
      </x:c>
      <x:c r="H1415" t="str">
        <x:v>Cadeira Ergonômica</x:v>
      </x:c>
      <x:c r="I1415" t="str">
        <x:v>Henrique</x:v>
      </x:c>
      <x:c r="J1415" s="53" t="n">
        <x:v>6</x:v>
      </x:c>
      <x:c r="K1415" s="54" t="n">
        <x:v>2175.16</x:v>
      </x:c>
      <x:c r="L1415" s="54" t="n">
        <x:v>1422.35</x:v>
      </x:c>
      <x:c r="M1415" s="55" t="n">
        <x:v>0.0415</x:v>
      </x:c>
      <x:c r="N1415" s="54" t="n">
        <x:f>ROUND(J1415*K1415,2)</x:f>
        <x:v>13050.96</x:v>
      </x:c>
      <x:c r="O1415" s="54" t="n">
        <x:f>ROUND(N1415*(1-M1415),2)</x:f>
        <x:v>12509.35</x:v>
      </x:c>
      <x:c r="P1415" s="54" t="n">
        <x:f>ROUND(J1415*L1415,2)</x:f>
        <x:v>8534.1</x:v>
      </x:c>
      <x:c r="Q1415" s="54" t="n">
        <x:f>ROUND(O1415-P1415,2)</x:f>
        <x:v>3975.25</x:v>
      </x:c>
      <x:c r="R1415" s="55" t="n">
        <x:f>IF(O1415=0,0,ROUND(Q1415/O1415,4))</x:f>
        <x:v>0.3178</x:v>
      </x:c>
      <x:c r="S1415" s="53" t="n">
        <x:v>10</x:v>
      </x:c>
      <x:c r="T1415" t="str">
        <x:v>Entregue</x:v>
      </x:c>
      <x:c r="U1415" t="n">
        <x:v>5</x:v>
      </x:c>
      <x:c r="V1415" t="str"/>
    </x:row>
    <x:row r="1416">
      <x:c r="A1416" s="52" t="n">
        <x:v>46084</x:v>
      </x:c>
      <x:c r="B1416" t="str">
        <x:v>PED-101415</x:v>
      </x:c>
      <x:c r="C1416" t="str">
        <x:v>Cliente 017</x:v>
      </x:c>
      <x:c r="D1416" t="str">
        <x:v>SP</x:v>
      </x:c>
      <x:c r="E1416" t="str">
        <x:v>Sudeste</x:v>
      </x:c>
      <x:c r="F1416" t="str">
        <x:v>Marketplace</x:v>
      </x:c>
      <x:c r="G1416" t="str">
        <x:v>Casa</x:v>
      </x:c>
      <x:c r="H1416" t="str">
        <x:v>Aspirador Robô</x:v>
      </x:c>
      <x:c r="I1416" t="str">
        <x:v>João</x:v>
      </x:c>
      <x:c r="J1416" s="53" t="n">
        <x:v>3</x:v>
      </x:c>
      <x:c r="K1416" s="54" t="n">
        <x:v>1944.61</x:v>
      </x:c>
      <x:c r="L1416" s="54" t="n">
        <x:v>1172.85</x:v>
      </x:c>
      <x:c r="M1416" s="55" t="n">
        <x:v>0.035</x:v>
      </x:c>
      <x:c r="N1416" s="54" t="n">
        <x:f>ROUND(J1416*K1416,2)</x:f>
        <x:v>5833.83</x:v>
      </x:c>
      <x:c r="O1416" s="54" t="n">
        <x:f>ROUND(N1416*(1-M1416),2)</x:f>
        <x:v>5629.65</x:v>
      </x:c>
      <x:c r="P1416" s="54" t="n">
        <x:f>ROUND(J1416*L1416,2)</x:f>
        <x:v>3518.55</x:v>
      </x:c>
      <x:c r="Q1416" s="54" t="n">
        <x:f>ROUND(O1416-P1416,2)</x:f>
        <x:v>2111.1</x:v>
      </x:c>
      <x:c r="R1416" s="55" t="n">
        <x:f>IF(O1416=0,0,ROUND(Q1416/O1416,4))</x:f>
        <x:v>0.375</x:v>
      </x:c>
      <x:c r="S1416" s="53" t="n">
        <x:v>6</x:v>
      </x:c>
      <x:c r="T1416" t="str">
        <x:v>Entregue</x:v>
      </x:c>
      <x:c r="U1416" t="n">
        <x:v>3</x:v>
      </x:c>
      <x:c r="V1416" t="str"/>
    </x:row>
    <x:row r="1417">
      <x:c r="A1417" s="52" t="n">
        <x:v>46044</x:v>
      </x:c>
      <x:c r="B1417" t="str">
        <x:v>PED-101416</x:v>
      </x:c>
      <x:c r="C1417" t="str">
        <x:v>Cliente 045</x:v>
      </x:c>
      <x:c r="D1417" t="str">
        <x:v>ES</x:v>
      </x:c>
      <x:c r="E1417" t="str">
        <x:v>Sudeste</x:v>
      </x:c>
      <x:c r="F1417" t="str">
        <x:v>Marketplace</x:v>
      </x:c>
      <x:c r="G1417" t="str">
        <x:v>Acessórios</x:v>
      </x:c>
      <x:c r="H1417" t="str">
        <x:v>Webcam HD</x:v>
      </x:c>
      <x:c r="I1417" t="str">
        <x:v>João</x:v>
      </x:c>
      <x:c r="J1417" s="53" t="n">
        <x:v>2</x:v>
      </x:c>
      <x:c r="K1417" s="54" t="n">
        <x:v>503.88</x:v>
      </x:c>
      <x:c r="L1417" s="54" t="n">
        <x:v>235.05</x:v>
      </x:c>
      <x:c r="M1417" s="55" t="n">
        <x:v>0.1422</x:v>
      </x:c>
      <x:c r="N1417" s="54" t="n">
        <x:f>ROUND(J1417*K1417,2)</x:f>
        <x:v>1007.76</x:v>
      </x:c>
      <x:c r="O1417" s="54" t="n">
        <x:f>ROUND(N1417*(1-M1417),2)</x:f>
        <x:v>864.46</x:v>
      </x:c>
      <x:c r="P1417" s="54" t="n">
        <x:f>ROUND(J1417*L1417,2)</x:f>
        <x:v>470.1</x:v>
      </x:c>
      <x:c r="Q1417" s="54" t="n">
        <x:f>ROUND(O1417-P1417,2)</x:f>
        <x:v>394.36</x:v>
      </x:c>
      <x:c r="R1417" s="55" t="n">
        <x:f>IF(O1417=0,0,ROUND(Q1417/O1417,4))</x:f>
        <x:v>0.4562</x:v>
      </x:c>
      <x:c r="S1417" s="53" t="n">
        <x:v>13</x:v>
      </x:c>
      <x:c r="T1417" t="str">
        <x:v>Entregue com atraso</x:v>
      </x:c>
      <x:c r="U1417" t="n">
        <x:v>2</x:v>
      </x:c>
      <x:c r="V1417" t="str"/>
    </x:row>
    <x:row r="1418">
      <x:c r="A1418" s="52" t="n">
        <x:v>46120</x:v>
      </x:c>
      <x:c r="B1418" t="str">
        <x:v>PED-101417</x:v>
      </x:c>
      <x:c r="C1418" t="str">
        <x:v>Cliente 035</x:v>
      </x:c>
      <x:c r="D1418" t="str">
        <x:v>RS</x:v>
      </x:c>
      <x:c r="E1418" t="str">
        <x:v>Sul</x:v>
      </x:c>
      <x:c r="F1418" t="str">
        <x:v>Marketplace</x:v>
      </x:c>
      <x:c r="G1418" t="str">
        <x:v>Tecnologia</x:v>
      </x:c>
      <x:c r="H1418" t="str">
        <x:v>Headset Office</x:v>
      </x:c>
      <x:c r="I1418" t="str">
        <x:v>João</x:v>
      </x:c>
      <x:c r="J1418" s="53" t="n">
        <x:v>6</x:v>
      </x:c>
      <x:c r="K1418" s="54" t="n">
        <x:v>391.85</x:v>
      </x:c>
      <x:c r="L1418" s="54" t="n">
        <x:v>215.58</x:v>
      </x:c>
      <x:c r="M1418" s="55" t="n">
        <x:v>0.035</x:v>
      </x:c>
      <x:c r="N1418" s="54" t="n">
        <x:f>ROUND(J1418*K1418,2)</x:f>
        <x:v>2351.1</x:v>
      </x:c>
      <x:c r="O1418" s="54" t="n">
        <x:f>ROUND(N1418*(1-M1418),2)</x:f>
        <x:v>2268.81</x:v>
      </x:c>
      <x:c r="P1418" s="54" t="n">
        <x:f>ROUND(J1418*L1418,2)</x:f>
        <x:v>1293.48</x:v>
      </x:c>
      <x:c r="Q1418" s="54" t="n">
        <x:f>ROUND(O1418-P1418,2)</x:f>
        <x:v>975.33</x:v>
      </x:c>
      <x:c r="R1418" s="55" t="n">
        <x:f>IF(O1418=0,0,ROUND(Q1418/O1418,4))</x:f>
        <x:v>0.4299</x:v>
      </x:c>
      <x:c r="S1418" s="53" t="n">
        <x:v>9</x:v>
      </x:c>
      <x:c r="T1418" t="str">
        <x:v>Entregue</x:v>
      </x:c>
      <x:c r="U1418" t="n">
        <x:v>3</x:v>
      </x:c>
      <x:c r="V1418" t="str"/>
    </x:row>
    <x:row r="1419">
      <x:c r="A1419" s="52" t="n">
        <x:v>46084</x:v>
      </x:c>
      <x:c r="B1419" t="str">
        <x:v>PED-101418</x:v>
      </x:c>
      <x:c r="C1419" t="str">
        <x:v>Cliente 057</x:v>
      </x:c>
      <x:c r="D1419" t="str">
        <x:v>MA</x:v>
      </x:c>
      <x:c r="E1419" t="str">
        <x:v>Nordeste</x:v>
      </x:c>
      <x:c r="F1419" t="str">
        <x:v>Loja</x:v>
      </x:c>
      <x:c r="G1419" t="str">
        <x:v>Tecnologia</x:v>
      </x:c>
      <x:c r="H1419" t="str">
        <x:v>Monitor 27</x:v>
      </x:c>
      <x:c r="I1419" t="str">
        <x:v>Gabriela</x:v>
      </x:c>
      <x:c r="J1419" s="53" t="n">
        <x:v>8</x:v>
      </x:c>
      <x:c r="K1419" s="54" t="n">
        <x:v>1606.57</x:v>
      </x:c>
      <x:c r="L1419" s="54" t="n">
        <x:v>1084.59</x:v>
      </x:c>
      <x:c r="M1419" s="55" t="n">
        <x:v>0</x:v>
      </x:c>
      <x:c r="N1419" s="54" t="n">
        <x:f>ROUND(J1419*K1419,2)</x:f>
        <x:v>12852.56</x:v>
      </x:c>
      <x:c r="O1419" s="54" t="n">
        <x:f>ROUND(N1419*(1-M1419),2)</x:f>
        <x:v>12852.56</x:v>
      </x:c>
      <x:c r="P1419" s="54" t="n">
        <x:f>ROUND(J1419*L1419,2)</x:f>
        <x:v>8676.72</x:v>
      </x:c>
      <x:c r="Q1419" s="54" t="n">
        <x:f>ROUND(O1419-P1419,2)</x:f>
        <x:v>4175.84</x:v>
      </x:c>
      <x:c r="R1419" s="55" t="n">
        <x:f>IF(O1419=0,0,ROUND(Q1419/O1419,4))</x:f>
        <x:v>0.3249</x:v>
      </x:c>
      <x:c r="S1419" s="53" t="n">
        <x:v>7</x:v>
      </x:c>
      <x:c r="T1419" t="str">
        <x:v>Entregue</x:v>
      </x:c>
      <x:c r="U1419" t="n">
        <x:v>5</x:v>
      </x:c>
      <x:c r="V1419" t="str"/>
    </x:row>
    <x:row r="1420">
      <x:c r="A1420" s="52" t="n">
        <x:v>46175</x:v>
      </x:c>
      <x:c r="B1420" t="str">
        <x:v>PED-101419</x:v>
      </x:c>
      <x:c r="C1420" t="str">
        <x:v>Cliente 120</x:v>
      </x:c>
      <x:c r="D1420" t="str">
        <x:v>SP</x:v>
      </x:c>
      <x:c r="E1420" t="str">
        <x:v>Sudeste</x:v>
      </x:c>
      <x:c r="F1420" t="str">
        <x:v>Televendas</x:v>
      </x:c>
      <x:c r="G1420" t="str">
        <x:v>Casa</x:v>
      </x:c>
      <x:c r="H1420" t="str">
        <x:v>Purificador</x:v>
      </x:c>
      <x:c r="I1420" t="str">
        <x:v>João</x:v>
      </x:c>
      <x:c r="J1420" s="53" t="n">
        <x:v>5</x:v>
      </x:c>
      <x:c r="K1420" s="54" t="n">
        <x:v>1335.1</x:v>
      </x:c>
      <x:c r="L1420" s="54" t="n">
        <x:v>762.16</x:v>
      </x:c>
      <x:c r="M1420" s="55" t="n">
        <x:v>0.0205</x:v>
      </x:c>
      <x:c r="N1420" s="54" t="n">
        <x:f>ROUND(J1420*K1420,2)</x:f>
        <x:v>6675.5</x:v>
      </x:c>
      <x:c r="O1420" s="54" t="n">
        <x:f>ROUND(N1420*(1-M1420),2)</x:f>
        <x:v>6538.65</x:v>
      </x:c>
      <x:c r="P1420" s="54" t="n">
        <x:f>ROUND(J1420*L1420,2)</x:f>
        <x:v>3810.8</x:v>
      </x:c>
      <x:c r="Q1420" s="54" t="n">
        <x:f>ROUND(O1420-P1420,2)</x:f>
        <x:v>2727.85</x:v>
      </x:c>
      <x:c r="R1420" s="55" t="n">
        <x:f>IF(O1420=0,0,ROUND(Q1420/O1420,4))</x:f>
        <x:v>0.4172</x:v>
      </x:c>
      <x:c r="S1420" s="53" t="n">
        <x:v>14</x:v>
      </x:c>
      <x:c r="T1420" t="str">
        <x:v>Entregue com atraso</x:v>
      </x:c>
      <x:c r="U1420" t="n">
        <x:v>2</x:v>
      </x:c>
      <x:c r="V1420" t="str"/>
    </x:row>
    <x:row r="1421">
      <x:c r="A1421" s="52" t="n">
        <x:v>46151</x:v>
      </x:c>
      <x:c r="B1421" t="str">
        <x:v>PED-101420</x:v>
      </x:c>
      <x:c r="C1421" t="str">
        <x:v>Cliente 049</x:v>
      </x:c>
      <x:c r="D1421" t="str">
        <x:v>CE</x:v>
      </x:c>
      <x:c r="E1421" t="str">
        <x:v>Nordeste</x:v>
      </x:c>
      <x:c r="F1421" t="str">
        <x:v>E-commerce</x:v>
      </x:c>
      <x:c r="G1421" t="str">
        <x:v>Escritório</x:v>
      </x:c>
      <x:c r="H1421" t="str">
        <x:v>Luminária LED</x:v>
      </x:c>
      <x:c r="I1421" t="str">
        <x:v>Felipe</x:v>
      </x:c>
      <x:c r="J1421" s="53" t="n">
        <x:v>6</x:v>
      </x:c>
      <x:c r="K1421" s="54" t="n">
        <x:v>249.35</x:v>
      </x:c>
      <x:c r="L1421" s="54" t="n">
        <x:v>119.34</x:v>
      </x:c>
      <x:c r="M1421" s="55" t="n">
        <x:v>0</x:v>
      </x:c>
      <x:c r="N1421" s="54" t="n">
        <x:f>ROUND(J1421*K1421,2)</x:f>
        <x:v>1496.1</x:v>
      </x:c>
      <x:c r="O1421" s="54" t="n">
        <x:f>ROUND(N1421*(1-M1421),2)</x:f>
        <x:v>1496.1</x:v>
      </x:c>
      <x:c r="P1421" s="54" t="n">
        <x:f>ROUND(J1421*L1421,2)</x:f>
        <x:v>716.04</x:v>
      </x:c>
      <x:c r="Q1421" s="54" t="n">
        <x:f>ROUND(O1421-P1421,2)</x:f>
        <x:v>780.06</x:v>
      </x:c>
      <x:c r="R1421" s="55" t="n">
        <x:f>IF(O1421=0,0,ROUND(Q1421/O1421,4))</x:f>
        <x:v>0.5214</x:v>
      </x:c>
      <x:c r="S1421" s="53" t="n">
        <x:v>12</x:v>
      </x:c>
      <x:c r="T1421" t="str">
        <x:v>Entregue com atraso</x:v>
      </x:c>
      <x:c r="U1421" t="n">
        <x:v>2</x:v>
      </x:c>
      <x:c r="V1421" t="str"/>
    </x:row>
    <x:row r="1422">
      <x:c r="A1422" s="52" t="n">
        <x:v>46098</x:v>
      </x:c>
      <x:c r="B1422" t="str">
        <x:v>PED-101421</x:v>
      </x:c>
      <x:c r="C1422" t="str">
        <x:v>Cliente 001</x:v>
      </x:c>
      <x:c r="D1422" t="str">
        <x:v>MA</x:v>
      </x:c>
      <x:c r="E1422" t="str">
        <x:v>Nordeste</x:v>
      </x:c>
      <x:c r="F1422" t="str">
        <x:v>Televendas</x:v>
      </x:c>
      <x:c r="G1422" t="str">
        <x:v>Casa</x:v>
      </x:c>
      <x:c r="H1422" t="str">
        <x:v>Purificador</x:v>
      </x:c>
      <x:c r="I1422" t="str">
        <x:v>Henrique</x:v>
      </x:c>
      <x:c r="J1422" s="53" t="n">
        <x:v>4</x:v>
      </x:c>
      <x:c r="K1422" s="54" t="n">
        <x:v>1218.92</x:v>
      </x:c>
      <x:c r="L1422" s="54" t="n">
        <x:v>771.79</x:v>
      </x:c>
      <x:c r="M1422" s="55" t="n">
        <x:v>0</x:v>
      </x:c>
      <x:c r="N1422" s="54" t="n">
        <x:f>ROUND(J1422*K1422,2)</x:f>
        <x:v>4875.68</x:v>
      </x:c>
      <x:c r="O1422" s="54" t="n">
        <x:f>ROUND(N1422*(1-M1422),2)</x:f>
        <x:v>4875.68</x:v>
      </x:c>
      <x:c r="P1422" s="54" t="n">
        <x:f>ROUND(J1422*L1422,2)</x:f>
        <x:v>3087.16</x:v>
      </x:c>
      <x:c r="Q1422" s="54" t="n">
        <x:f>ROUND(O1422-P1422,2)</x:f>
        <x:v>1788.52</x:v>
      </x:c>
      <x:c r="R1422" s="55" t="n">
        <x:f>IF(O1422=0,0,ROUND(Q1422/O1422,4))</x:f>
        <x:v>0.3668</x:v>
      </x:c>
      <x:c r="S1422" s="53" t="n">
        <x:v>14</x:v>
      </x:c>
      <x:c r="T1422" t="str">
        <x:v>Entregue com atraso</x:v>
      </x:c>
      <x:c r="U1422" t="n">
        <x:v>4</x:v>
      </x:c>
      <x:c r="V1422" t="str"/>
    </x:row>
    <x:row r="1423">
      <x:c r="A1423" s="52" t="n">
        <x:v>46207</x:v>
      </x:c>
      <x:c r="B1423" t="str">
        <x:v>PED-101422</x:v>
      </x:c>
      <x:c r="C1423" t="str">
        <x:v>Cliente 025</x:v>
      </x:c>
      <x:c r="D1423" t="str">
        <x:v>PR</x:v>
      </x:c>
      <x:c r="E1423" t="str">
        <x:v>Sul</x:v>
      </x:c>
      <x:c r="F1423" t="str">
        <x:v>Loja</x:v>
      </x:c>
      <x:c r="G1423" t="str">
        <x:v>Tecnologia</x:v>
      </x:c>
      <x:c r="H1423" t="str">
        <x:v>Monitor 27</x:v>
      </x:c>
      <x:c r="I1423" t="str">
        <x:v>Felipe</x:v>
      </x:c>
      <x:c r="J1423" s="53" t="n">
        <x:v>1</x:v>
      </x:c>
      <x:c r="K1423" s="54" t="n">
        <x:v>1700.94</x:v>
      </x:c>
      <x:c r="L1423" s="54" t="n">
        <x:v>1089.17</x:v>
      </x:c>
      <x:c r="M1423" s="55" t="n">
        <x:v>0.0188</x:v>
      </x:c>
      <x:c r="N1423" s="54" t="n">
        <x:f>ROUND(J1423*K1423,2)</x:f>
        <x:v>1700.94</x:v>
      </x:c>
      <x:c r="O1423" s="54" t="n">
        <x:f>ROUND(N1423*(1-M1423),2)</x:f>
        <x:v>1668.96</x:v>
      </x:c>
      <x:c r="P1423" s="54" t="n">
        <x:f>ROUND(J1423*L1423,2)</x:f>
        <x:v>1089.17</x:v>
      </x:c>
      <x:c r="Q1423" s="54" t="n">
        <x:f>ROUND(O1423-P1423,2)</x:f>
        <x:v>579.79</x:v>
      </x:c>
      <x:c r="R1423" s="55" t="n">
        <x:f>IF(O1423=0,0,ROUND(Q1423/O1423,4))</x:f>
        <x:v>0.3474</x:v>
      </x:c>
      <x:c r="S1423" s="53" t="n">
        <x:v>11</x:v>
      </x:c>
      <x:c r="T1423" t="str">
        <x:v>Entregue com atraso</x:v>
      </x:c>
      <x:c r="U1423" t="n">
        <x:v>5</x:v>
      </x:c>
      <x:c r="V1423" t="str"/>
    </x:row>
    <x:row r="1424">
      <x:c r="A1424" s="52" t="n">
        <x:v>46153</x:v>
      </x:c>
      <x:c r="B1424" t="str">
        <x:v>PED-101423</x:v>
      </x:c>
      <x:c r="C1424" t="str">
        <x:v>Cliente 021</x:v>
      </x:c>
      <x:c r="D1424" t="str">
        <x:v>MG</x:v>
      </x:c>
      <x:c r="E1424" t="str">
        <x:v>Sudeste</x:v>
      </x:c>
      <x:c r="F1424" t="str">
        <x:v>Televendas</x:v>
      </x:c>
      <x:c r="G1424" t="str">
        <x:v>Tecnologia</x:v>
      </x:c>
      <x:c r="H1424" t="str">
        <x:v>Monitor 27</x:v>
      </x:c>
      <x:c r="I1424" t="str">
        <x:v>Ana</x:v>
      </x:c>
      <x:c r="J1424" s="53" t="n">
        <x:v>5</x:v>
      </x:c>
      <x:c r="K1424" s="54" t="n">
        <x:v>1624.31</x:v>
      </x:c>
      <x:c r="L1424" s="54" t="n">
        <x:v>1072.61</x:v>
      </x:c>
      <x:c r="M1424" s="55" t="n">
        <x:v>0.1199</x:v>
      </x:c>
      <x:c r="N1424" s="54" t="n">
        <x:f>ROUND(J1424*K1424,2)</x:f>
        <x:v>8121.55</x:v>
      </x:c>
      <x:c r="O1424" s="54" t="n">
        <x:f>ROUND(N1424*(1-M1424),2)</x:f>
        <x:v>7147.78</x:v>
      </x:c>
      <x:c r="P1424" s="54" t="n">
        <x:f>ROUND(J1424*L1424,2)</x:f>
        <x:v>5363.05</x:v>
      </x:c>
      <x:c r="Q1424" s="54" t="n">
        <x:f>ROUND(O1424-P1424,2)</x:f>
        <x:v>1784.73</x:v>
      </x:c>
      <x:c r="R1424" s="55" t="n">
        <x:f>IF(O1424=0,0,ROUND(Q1424/O1424,4))</x:f>
        <x:v>0.2497</x:v>
      </x:c>
      <x:c r="S1424" s="53" t="n">
        <x:v>3</x:v>
      </x:c>
      <x:c r="T1424" t="str">
        <x:v>Entregue</x:v>
      </x:c>
      <x:c r="U1424" t="n">
        <x:v>3</x:v>
      </x:c>
      <x:c r="V1424" t="str"/>
    </x:row>
    <x:row r="1425">
      <x:c r="A1425" s="52" t="n">
        <x:v>46150</x:v>
      </x:c>
      <x:c r="B1425" t="str">
        <x:v>PED-101424</x:v>
      </x:c>
      <x:c r="C1425" t="str">
        <x:v>Cliente 070</x:v>
      </x:c>
      <x:c r="D1425" t="str">
        <x:v>MT</x:v>
      </x:c>
      <x:c r="E1425" t="str">
        <x:v>Centro-Oeste</x:v>
      </x:c>
      <x:c r="F1425" t="str">
        <x:v>Loja</x:v>
      </x:c>
      <x:c r="G1425" t="str">
        <x:v>Escritório</x:v>
      </x:c>
      <x:c r="H1425" t="str">
        <x:v>Mesa Ajustável</x:v>
      </x:c>
      <x:c r="I1425" t="str">
        <x:v>Isabela</x:v>
      </x:c>
      <x:c r="J1425" s="53" t="n">
        <x:v>3</x:v>
      </x:c>
      <x:c r="K1425" s="54" t="n">
        <x:v>2809.41</x:v>
      </x:c>
      <x:c r="L1425" s="54" t="n">
        <x:v>1834.65</x:v>
      </x:c>
      <x:c r="M1425" s="55" t="n">
        <x:v>0.062</x:v>
      </x:c>
      <x:c r="N1425" s="54" t="n">
        <x:f>ROUND(J1425*K1425,2)</x:f>
        <x:v>8428.23</x:v>
      </x:c>
      <x:c r="O1425" s="54" t="n">
        <x:f>ROUND(N1425*(1-M1425),2)</x:f>
        <x:v>7905.68</x:v>
      </x:c>
      <x:c r="P1425" s="54" t="n">
        <x:f>ROUND(J1425*L1425,2)</x:f>
        <x:v>5503.95</x:v>
      </x:c>
      <x:c r="Q1425" s="54" t="n">
        <x:f>ROUND(O1425-P1425,2)</x:f>
        <x:v>2401.73</x:v>
      </x:c>
      <x:c r="R1425" s="55" t="n">
        <x:f>IF(O1425=0,0,ROUND(Q1425/O1425,4))</x:f>
        <x:v>0.3038</x:v>
      </x:c>
      <x:c r="S1425" s="53" t="n">
        <x:v>10</x:v>
      </x:c>
      <x:c r="T1425" t="str">
        <x:v>Entregue</x:v>
      </x:c>
      <x:c r="U1425" t="n">
        <x:v>4</x:v>
      </x:c>
      <x:c r="V1425" t="str"/>
    </x:row>
    <x:row r="1426">
      <x:c r="A1426" s="52" t="n">
        <x:v>46229</x:v>
      </x:c>
      <x:c r="B1426" t="str">
        <x:v>PED-101425</x:v>
      </x:c>
      <x:c r="C1426" t="str">
        <x:v>Cliente 065</x:v>
      </x:c>
      <x:c r="D1426" t="str">
        <x:v>BA</x:v>
      </x:c>
      <x:c r="E1426" t="str">
        <x:v>Nordeste</x:v>
      </x:c>
      <x:c r="F1426" t="str">
        <x:v>Loja</x:v>
      </x:c>
      <x:c r="G1426" t="str">
        <x:v>Escritório</x:v>
      </x:c>
      <x:c r="H1426" t="str">
        <x:v>Cadeira Ergonômica</x:v>
      </x:c>
      <x:c r="I1426" t="str">
        <x:v>Gabriela</x:v>
      </x:c>
      <x:c r="J1426" s="53" t="n">
        <x:v>5</x:v>
      </x:c>
      <x:c r="K1426" s="54" t="n">
        <x:v>2124.47</x:v>
      </x:c>
      <x:c r="L1426" s="54" t="n">
        <x:v>1484.05</x:v>
      </x:c>
      <x:c r="M1426" s="55" t="n">
        <x:v>0</x:v>
      </x:c>
      <x:c r="N1426" s="54" t="n">
        <x:f>ROUND(J1426*K1426,2)</x:f>
        <x:v>10622.35</x:v>
      </x:c>
      <x:c r="O1426" s="54" t="n">
        <x:f>ROUND(N1426*(1-M1426),2)</x:f>
        <x:v>10622.35</x:v>
      </x:c>
      <x:c r="P1426" s="54" t="n">
        <x:f>ROUND(J1426*L1426,2)</x:f>
        <x:v>7420.25</x:v>
      </x:c>
      <x:c r="Q1426" s="54" t="n">
        <x:f>ROUND(O1426-P1426,2)</x:f>
        <x:v>3202.1</x:v>
      </x:c>
      <x:c r="R1426" s="55" t="n">
        <x:f>IF(O1426=0,0,ROUND(Q1426/O1426,4))</x:f>
        <x:v>0.3014</x:v>
      </x:c>
      <x:c r="S1426" s="53" t="n">
        <x:v>13</x:v>
      </x:c>
      <x:c r="T1426" t="str">
        <x:v>Entregue com atraso</x:v>
      </x:c>
      <x:c r="U1426" t="n">
        <x:v>2</x:v>
      </x:c>
      <x:c r="V1426" t="str"/>
    </x:row>
    <x:row r="1427">
      <x:c r="A1427" s="52" t="n">
        <x:v>46178</x:v>
      </x:c>
      <x:c r="B1427" t="str">
        <x:v>PED-101426</x:v>
      </x:c>
      <x:c r="C1427" t="str">
        <x:v>Cliente 040</x:v>
      </x:c>
      <x:c r="D1427" t="str">
        <x:v>MA</x:v>
      </x:c>
      <x:c r="E1427" t="str">
        <x:v>Nordeste</x:v>
      </x:c>
      <x:c r="F1427" t="str">
        <x:v>Loja</x:v>
      </x:c>
      <x:c r="G1427" t="str">
        <x:v>Casa</x:v>
      </x:c>
      <x:c r="H1427" t="str">
        <x:v>Aspirador Robô</x:v>
      </x:c>
      <x:c r="I1427" t="str">
        <x:v>Carla</x:v>
      </x:c>
      <x:c r="J1427" s="53" t="n">
        <x:v>1</x:v>
      </x:c>
      <x:c r="K1427" s="54" t="n">
        <x:v>1968.96</x:v>
      </x:c>
      <x:c r="L1427" s="54" t="n">
        <x:v>1207.73</x:v>
      </x:c>
      <x:c r="M1427" s="55" t="n">
        <x:v>0.0719</x:v>
      </x:c>
      <x:c r="N1427" s="54" t="n">
        <x:f>ROUND(J1427*K1427,2)</x:f>
        <x:v>1968.96</x:v>
      </x:c>
      <x:c r="O1427" s="54" t="n">
        <x:f>ROUND(N1427*(1-M1427),2)</x:f>
        <x:v>1827.39</x:v>
      </x:c>
      <x:c r="P1427" s="54" t="n">
        <x:f>ROUND(J1427*L1427,2)</x:f>
        <x:v>1207.73</x:v>
      </x:c>
      <x:c r="Q1427" s="54" t="n">
        <x:f>ROUND(O1427-P1427,2)</x:f>
        <x:v>619.66</x:v>
      </x:c>
      <x:c r="R1427" s="55" t="n">
        <x:f>IF(O1427=0,0,ROUND(Q1427/O1427,4))</x:f>
        <x:v>0.3391</x:v>
      </x:c>
      <x:c r="S1427" s="53" t="n">
        <x:v>3</x:v>
      </x:c>
      <x:c r="T1427" t="str">
        <x:v>Entregue</x:v>
      </x:c>
      <x:c r="U1427" t="n">
        <x:v>3</x:v>
      </x:c>
      <x:c r="V1427" t="str"/>
    </x:row>
    <x:row r="1428">
      <x:c r="A1428" s="52" t="n">
        <x:v>46039</x:v>
      </x:c>
      <x:c r="B1428" t="str">
        <x:v>PED-101427</x:v>
      </x:c>
      <x:c r="C1428" t="str">
        <x:v>Cliente 118</x:v>
      </x:c>
      <x:c r="D1428" t="str">
        <x:v>MG</x:v>
      </x:c>
      <x:c r="E1428" t="str">
        <x:v>Sudeste</x:v>
      </x:c>
      <x:c r="F1428" t="str">
        <x:v>Televendas</x:v>
      </x:c>
      <x:c r="G1428" t="str">
        <x:v>Tecnologia</x:v>
      </x:c>
      <x:c r="H1428" t="str">
        <x:v>Headset Office</x:v>
      </x:c>
      <x:c r="I1428" t="str">
        <x:v>Felipe</x:v>
      </x:c>
      <x:c r="J1428" s="53" t="n">
        <x:v>3</x:v>
      </x:c>
      <x:c r="K1428" s="54" t="n">
        <x:v>390.52</x:v>
      </x:c>
      <x:c r="L1428" s="54" t="n">
        <x:v>214.9</x:v>
      </x:c>
      <x:c r="M1428" s="55" t="n">
        <x:v>0.0943</x:v>
      </x:c>
      <x:c r="N1428" s="54" t="n">
        <x:f>ROUND(J1428*K1428,2)</x:f>
        <x:v>1171.56</x:v>
      </x:c>
      <x:c r="O1428" s="54" t="n">
        <x:f>ROUND(N1428*(1-M1428),2)</x:f>
        <x:v>1061.08</x:v>
      </x:c>
      <x:c r="P1428" s="54" t="n">
        <x:f>ROUND(J1428*L1428,2)</x:f>
        <x:v>644.7</x:v>
      </x:c>
      <x:c r="Q1428" s="54" t="n">
        <x:f>ROUND(O1428-P1428,2)</x:f>
        <x:v>416.38</x:v>
      </x:c>
      <x:c r="R1428" s="55" t="n">
        <x:f>IF(O1428=0,0,ROUND(Q1428/O1428,4))</x:f>
        <x:v>0.3924</x:v>
      </x:c>
      <x:c r="S1428" s="53" t="n">
        <x:v>6</x:v>
      </x:c>
      <x:c r="T1428" t="str">
        <x:v>Entregue</x:v>
      </x:c>
      <x:c r="U1428" t="n">
        <x:v>2</x:v>
      </x:c>
      <x:c r="V1428" t="str"/>
    </x:row>
    <x:row r="1429">
      <x:c r="A1429" s="52" t="n">
        <x:v>46109</x:v>
      </x:c>
      <x:c r="B1429" t="str">
        <x:v>PED-101428</x:v>
      </x:c>
      <x:c r="C1429" t="str">
        <x:v>Cliente 056</x:v>
      </x:c>
      <x:c r="D1429" t="str">
        <x:v>GO</x:v>
      </x:c>
      <x:c r="E1429" t="str">
        <x:v>Centro-Oeste</x:v>
      </x:c>
      <x:c r="F1429" t="str">
        <x:v>Loja</x:v>
      </x:c>
      <x:c r="G1429" t="str">
        <x:v>Acessórios</x:v>
      </x:c>
      <x:c r="H1429" t="str">
        <x:v>Hub USB-C</x:v>
      </x:c>
      <x:c r="I1429" t="str">
        <x:v>Ana</x:v>
      </x:c>
      <x:c r="J1429" s="53" t="n">
        <x:v>6</x:v>
      </x:c>
      <x:c r="K1429" s="54" t="n">
        <x:v>320.12</x:v>
      </x:c>
      <x:c r="L1429" s="54" t="n">
        <x:v>131.74</x:v>
      </x:c>
      <x:c r="M1429" s="55" t="n">
        <x:v>0</x:v>
      </x:c>
      <x:c r="N1429" s="54" t="n">
        <x:f>ROUND(J1429*K1429,2)</x:f>
        <x:v>1920.72</x:v>
      </x:c>
      <x:c r="O1429" s="54" t="n">
        <x:f>ROUND(N1429*(1-M1429),2)</x:f>
        <x:v>1920.72</x:v>
      </x:c>
      <x:c r="P1429" s="54" t="n">
        <x:f>ROUND(J1429*L1429,2)</x:f>
        <x:v>790.44</x:v>
      </x:c>
      <x:c r="Q1429" s="54" t="n">
        <x:f>ROUND(O1429-P1429,2)</x:f>
        <x:v>1130.28</x:v>
      </x:c>
      <x:c r="R1429" s="55" t="n">
        <x:f>IF(O1429=0,0,ROUND(Q1429/O1429,4))</x:f>
        <x:v>0.5885</x:v>
      </x:c>
      <x:c r="S1429" s="53" t="n">
        <x:v>4</x:v>
      </x:c>
      <x:c r="T1429" t="str">
        <x:v>Entregue</x:v>
      </x:c>
      <x:c r="U1429" t="n">
        <x:v>2</x:v>
      </x:c>
      <x:c r="V1429" t="str"/>
    </x:row>
    <x:row r="1430">
      <x:c r="A1430" s="52" t="n">
        <x:v>46042</x:v>
      </x:c>
      <x:c r="B1430" t="str">
        <x:v>PED-101429</x:v>
      </x:c>
      <x:c r="C1430" t="str">
        <x:v>Cliente 050</x:v>
      </x:c>
      <x:c r="D1430" t="str">
        <x:v>GO</x:v>
      </x:c>
      <x:c r="E1430" t="str">
        <x:v>Centro-Oeste</x:v>
      </x:c>
      <x:c r="F1430" t="str">
        <x:v>Marketplace</x:v>
      </x:c>
      <x:c r="G1430" t="str">
        <x:v>Escritório</x:v>
      </x:c>
      <x:c r="H1430" t="str">
        <x:v>Cadeira Ergonômica</x:v>
      </x:c>
      <x:c r="I1430" t="str">
        <x:v>Ana</x:v>
      </x:c>
      <x:c r="J1430" s="53" t="n">
        <x:v>8</x:v>
      </x:c>
      <x:c r="K1430" s="54" t="n">
        <x:v>2072.87</x:v>
      </x:c>
      <x:c r="L1430" s="54" t="n">
        <x:v>1434.18</x:v>
      </x:c>
      <x:c r="M1430" s="55" t="n">
        <x:v>0.1182</x:v>
      </x:c>
      <x:c r="N1430" s="54" t="n">
        <x:f>ROUND(J1430*K1430,2)</x:f>
        <x:v>16582.96</x:v>
      </x:c>
      <x:c r="O1430" s="54" t="n">
        <x:f>ROUND(N1430*(1-M1430),2)</x:f>
        <x:v>14622.85</x:v>
      </x:c>
      <x:c r="P1430" s="54" t="n">
        <x:f>ROUND(J1430*L1430,2)</x:f>
        <x:v>11473.44</x:v>
      </x:c>
      <x:c r="Q1430" s="54" t="n">
        <x:f>ROUND(O1430-P1430,2)</x:f>
        <x:v>3149.41</x:v>
      </x:c>
      <x:c r="R1430" s="55" t="n">
        <x:f>IF(O1430=0,0,ROUND(Q1430/O1430,4))</x:f>
        <x:v>0.2154</x:v>
      </x:c>
      <x:c r="S1430" s="53" t="n">
        <x:v>4</x:v>
      </x:c>
      <x:c r="T1430" t="str">
        <x:v>Entregue</x:v>
      </x:c>
      <x:c r="U1430" t="n">
        <x:v>2</x:v>
      </x:c>
      <x:c r="V1430" t="str"/>
    </x:row>
    <x:row r="1431">
      <x:c r="A1431" s="52" t="n">
        <x:v>46154</x:v>
      </x:c>
      <x:c r="B1431" t="str">
        <x:v>PED-101430</x:v>
      </x:c>
      <x:c r="C1431" t="str">
        <x:v>Cliente 010</x:v>
      </x:c>
      <x:c r="D1431" t="str">
        <x:v>SP</x:v>
      </x:c>
      <x:c r="E1431" t="str">
        <x:v>Sudeste</x:v>
      </x:c>
      <x:c r="F1431" t="str">
        <x:v>E-commerce</x:v>
      </x:c>
      <x:c r="G1431" t="str">
        <x:v>Acessórios</x:v>
      </x:c>
      <x:c r="H1431" t="str">
        <x:v>Mochila Executiva</x:v>
      </x:c>
      <x:c r="I1431" t="str">
        <x:v>Bruno</x:v>
      </x:c>
      <x:c r="J1431" s="53" t="n">
        <x:v>1</x:v>
      </x:c>
      <x:c r="K1431" s="54" t="n">
        <x:v>443.75</x:v>
      </x:c>
      <x:c r="L1431" s="54" t="n">
        <x:v>196.22</x:v>
      </x:c>
      <x:c r="M1431" s="55" t="n">
        <x:v>0.0838</x:v>
      </x:c>
      <x:c r="N1431" s="54" t="n">
        <x:f>ROUND(J1431*K1431,2)</x:f>
        <x:v>443.75</x:v>
      </x:c>
      <x:c r="O1431" s="54" t="n">
        <x:f>ROUND(N1431*(1-M1431),2)</x:f>
        <x:v>406.56</x:v>
      </x:c>
      <x:c r="P1431" s="54" t="n">
        <x:f>ROUND(J1431*L1431,2)</x:f>
        <x:v>196.22</x:v>
      </x:c>
      <x:c r="Q1431" s="54" t="n">
        <x:f>ROUND(O1431-P1431,2)</x:f>
        <x:v>210.34</x:v>
      </x:c>
      <x:c r="R1431" s="55" t="n">
        <x:f>IF(O1431=0,0,ROUND(Q1431/O1431,4))</x:f>
        <x:v>0.5174</x:v>
      </x:c>
      <x:c r="S1431" s="53" t="n">
        <x:v>5</x:v>
      </x:c>
      <x:c r="T1431" t="str">
        <x:v>Entregue</x:v>
      </x:c>
      <x:c r="U1431" t="n">
        <x:v>3</x:v>
      </x:c>
      <x:c r="V1431" t="str"/>
    </x:row>
    <x:row r="1432">
      <x:c r="A1432" s="52" t="n">
        <x:v>46141</x:v>
      </x:c>
      <x:c r="B1432" t="str">
        <x:v>PED-101431</x:v>
      </x:c>
      <x:c r="C1432" t="str">
        <x:v>Cliente 086</x:v>
      </x:c>
      <x:c r="D1432" t="str">
        <x:v>ES</x:v>
      </x:c>
      <x:c r="E1432" t="str">
        <x:v>Sudeste</x:v>
      </x:c>
      <x:c r="F1432" t="str">
        <x:v>E-commerce</x:v>
      </x:c>
      <x:c r="G1432" t="str">
        <x:v>Acessórios</x:v>
      </x:c>
      <x:c r="H1432" t="str">
        <x:v>Mochila Executiva</x:v>
      </x:c>
      <x:c r="I1432" t="str">
        <x:v>João</x:v>
      </x:c>
      <x:c r="J1432" s="53" t="n">
        <x:v>4</x:v>
      </x:c>
      <x:c r="K1432" s="54" t="n">
        <x:v>427.5</x:v>
      </x:c>
      <x:c r="L1432" s="54" t="n">
        <x:v>198.85</x:v>
      </x:c>
      <x:c r="M1432" s="55" t="n">
        <x:v>0.0497</x:v>
      </x:c>
      <x:c r="N1432" s="54" t="n">
        <x:f>ROUND(J1432*K1432,2)</x:f>
        <x:v>1710</x:v>
      </x:c>
      <x:c r="O1432" s="54" t="n">
        <x:f>ROUND(N1432*(1-M1432),2)</x:f>
        <x:v>1625.01</x:v>
      </x:c>
      <x:c r="P1432" s="54" t="n">
        <x:f>ROUND(J1432*L1432,2)</x:f>
        <x:v>795.4</x:v>
      </x:c>
      <x:c r="Q1432" s="54" t="n">
        <x:f>ROUND(O1432-P1432,2)</x:f>
        <x:v>829.61</x:v>
      </x:c>
      <x:c r="R1432" s="55" t="n">
        <x:f>IF(O1432=0,0,ROUND(Q1432/O1432,4))</x:f>
        <x:v>0.5105</x:v>
      </x:c>
      <x:c r="S1432" s="53" t="n">
        <x:v>2</x:v>
      </x:c>
      <x:c r="T1432" t="str">
        <x:v>Entregue</x:v>
      </x:c>
      <x:c r="U1432" t="n">
        <x:v>2</x:v>
      </x:c>
      <x:c r="V1432" t="str"/>
    </x:row>
    <x:row r="1433">
      <x:c r="A1433" s="52" t="n">
        <x:v>46198</x:v>
      </x:c>
      <x:c r="B1433" t="str">
        <x:v>PED-101432</x:v>
      </x:c>
      <x:c r="C1433" t="str">
        <x:v>Cliente 061</x:v>
      </x:c>
      <x:c r="D1433" t="str">
        <x:v>RS</x:v>
      </x:c>
      <x:c r="E1433" t="str">
        <x:v>Sul</x:v>
      </x:c>
      <x:c r="F1433" t="str">
        <x:v>Marketplace</x:v>
      </x:c>
      <x:c r="G1433" t="str">
        <x:v>Tecnologia</x:v>
      </x:c>
      <x:c r="H1433" t="str">
        <x:v>Headset Office</x:v>
      </x:c>
      <x:c r="I1433" t="str">
        <x:v>Henrique</x:v>
      </x:c>
      <x:c r="J1433" s="53" t="n">
        <x:v>5</x:v>
      </x:c>
      <x:c r="K1433" s="54" t="n">
        <x:v>402.65</x:v>
      </x:c>
      <x:c r="L1433" s="54" t="n">
        <x:v>201.69</x:v>
      </x:c>
      <x:c r="M1433" s="55" t="n">
        <x:v>0.1086</x:v>
      </x:c>
      <x:c r="N1433" s="54" t="n">
        <x:f>ROUND(J1433*K1433,2)</x:f>
        <x:v>2013.25</x:v>
      </x:c>
      <x:c r="O1433" s="54" t="n">
        <x:f>ROUND(N1433*(1-M1433),2)</x:f>
        <x:v>1794.61</x:v>
      </x:c>
      <x:c r="P1433" s="54" t="n">
        <x:f>ROUND(J1433*L1433,2)</x:f>
        <x:v>1008.45</x:v>
      </x:c>
      <x:c r="Q1433" s="54" t="n">
        <x:f>ROUND(O1433-P1433,2)</x:f>
        <x:v>786.16</x:v>
      </x:c>
      <x:c r="R1433" s="55" t="n">
        <x:f>IF(O1433=0,0,ROUND(Q1433/O1433,4))</x:f>
        <x:v>0.4381</x:v>
      </x:c>
      <x:c r="S1433" s="53" t="n">
        <x:v>14</x:v>
      </x:c>
      <x:c r="T1433" t="str">
        <x:v>Entregue com atraso</x:v>
      </x:c>
      <x:c r="U1433" t="n">
        <x:v>2</x:v>
      </x:c>
      <x:c r="V1433" t="str"/>
    </x:row>
    <x:row r="1434">
      <x:c r="A1434" s="52" t="n">
        <x:v>46175</x:v>
      </x:c>
      <x:c r="B1434" t="str">
        <x:v>PED-101433</x:v>
      </x:c>
      <x:c r="C1434" t="str">
        <x:v>Cliente 113</x:v>
      </x:c>
      <x:c r="D1434" t="str">
        <x:v>AM</x:v>
      </x:c>
      <x:c r="E1434" t="str">
        <x:v>Norte</x:v>
      </x:c>
      <x:c r="F1434" t="str">
        <x:v>E-commerce</x:v>
      </x:c>
      <x:c r="G1434" t="str">
        <x:v>Escritório</x:v>
      </x:c>
      <x:c r="H1434" t="str">
        <x:v>Luminária LED</x:v>
      </x:c>
      <x:c r="I1434" t="str">
        <x:v>Bruno</x:v>
      </x:c>
      <x:c r="J1434" s="53" t="n">
        <x:v>5</x:v>
      </x:c>
      <x:c r="K1434" s="54" t="n">
        <x:v>274.44</x:v>
      </x:c>
      <x:c r="L1434" s="54" t="n">
        <x:v>124.11</x:v>
      </x:c>
      <x:c r="M1434" s="55" t="n">
        <x:v>0.082</x:v>
      </x:c>
      <x:c r="N1434" s="54" t="n">
        <x:f>ROUND(J1434*K1434,2)</x:f>
        <x:v>1372.2</x:v>
      </x:c>
      <x:c r="O1434" s="54" t="n">
        <x:f>ROUND(N1434*(1-M1434),2)</x:f>
        <x:v>1259.68</x:v>
      </x:c>
      <x:c r="P1434" s="54" t="n">
        <x:f>ROUND(J1434*L1434,2)</x:f>
        <x:v>620.55</x:v>
      </x:c>
      <x:c r="Q1434" s="54" t="n">
        <x:f>ROUND(O1434-P1434,2)</x:f>
        <x:v>639.13</x:v>
      </x:c>
      <x:c r="R1434" s="55" t="n">
        <x:f>IF(O1434=0,0,ROUND(Q1434/O1434,4))</x:f>
        <x:v>0.5074</x:v>
      </x:c>
      <x:c r="S1434" s="53" t="n">
        <x:v>8</x:v>
      </x:c>
      <x:c r="T1434" t="str">
        <x:v>Entregue</x:v>
      </x:c>
      <x:c r="U1434" t="n">
        <x:v>5</x:v>
      </x:c>
      <x:c r="V1434" t="str"/>
    </x:row>
    <x:row r="1435">
      <x:c r="A1435" s="52" t="n">
        <x:v>46158</x:v>
      </x:c>
      <x:c r="B1435" t="str">
        <x:v>PED-101434</x:v>
      </x:c>
      <x:c r="C1435" t="str">
        <x:v>Cliente 009</x:v>
      </x:c>
      <x:c r="D1435" t="str">
        <x:v>SP</x:v>
      </x:c>
      <x:c r="E1435" t="str">
        <x:v>Sudeste</x:v>
      </x:c>
      <x:c r="F1435" t="str">
        <x:v>Marketplace</x:v>
      </x:c>
      <x:c r="G1435" t="str">
        <x:v>Acessórios</x:v>
      </x:c>
      <x:c r="H1435" t="str">
        <x:v>Mochila Executiva</x:v>
      </x:c>
      <x:c r="I1435" t="str">
        <x:v>Isabela</x:v>
      </x:c>
      <x:c r="J1435" s="53" t="n">
        <x:v>6</x:v>
      </x:c>
      <x:c r="K1435" s="54" t="n">
        <x:v>421.91</x:v>
      </x:c>
      <x:c r="L1435" s="54" t="n">
        <x:v>195.82</x:v>
      </x:c>
      <x:c r="M1435" s="55" t="n">
        <x:v>0.035</x:v>
      </x:c>
      <x:c r="N1435" s="54" t="n">
        <x:f>ROUND(J1435*K1435,2)</x:f>
        <x:v>2531.46</x:v>
      </x:c>
      <x:c r="O1435" s="54" t="n">
        <x:f>ROUND(N1435*(1-M1435),2)</x:f>
        <x:v>2442.86</x:v>
      </x:c>
      <x:c r="P1435" s="54" t="n">
        <x:f>ROUND(J1435*L1435,2)</x:f>
        <x:v>1174.92</x:v>
      </x:c>
      <x:c r="Q1435" s="54" t="n">
        <x:f>ROUND(O1435-P1435,2)</x:f>
        <x:v>1267.94</x:v>
      </x:c>
      <x:c r="R1435" s="55" t="n">
        <x:f>IF(O1435=0,0,ROUND(Q1435/O1435,4))</x:f>
        <x:v>0.519</x:v>
      </x:c>
      <x:c r="S1435" s="53" t="n">
        <x:v>8</x:v>
      </x:c>
      <x:c r="T1435" t="str">
        <x:v>Entregue</x:v>
      </x:c>
      <x:c r="U1435" t="n">
        <x:v>4</x:v>
      </x:c>
      <x:c r="V1435" t="str"/>
    </x:row>
    <x:row r="1436">
      <x:c r="A1436" s="52" t="n">
        <x:v>46122</x:v>
      </x:c>
      <x:c r="B1436" t="str">
        <x:v>PED-101435</x:v>
      </x:c>
      <x:c r="C1436" t="str">
        <x:v>Cliente 076</x:v>
      </x:c>
      <x:c r="D1436" t="str">
        <x:v>PA</x:v>
      </x:c>
      <x:c r="E1436" t="str">
        <x:v>Norte</x:v>
      </x:c>
      <x:c r="F1436" t="str">
        <x:v>Loja</x:v>
      </x:c>
      <x:c r="G1436" t="str">
        <x:v>Tecnologia</x:v>
      </x:c>
      <x:c r="H1436" t="str">
        <x:v>Notebook Pro</x:v>
      </x:c>
      <x:c r="I1436" t="str">
        <x:v>Ana</x:v>
      </x:c>
      <x:c r="J1436" s="53" t="n">
        <x:v>7</x:v>
      </x:c>
      <x:c r="K1436" s="54" t="n">
        <x:v>5580.23</x:v>
      </x:c>
      <x:c r="L1436" s="54" t="n">
        <x:v>4501.28</x:v>
      </x:c>
      <x:c r="M1436" s="55" t="n">
        <x:v>0.0509</x:v>
      </x:c>
      <x:c r="N1436" s="54" t="n">
        <x:f>ROUND(J1436*K1436,2)</x:f>
        <x:v>39061.61</x:v>
      </x:c>
      <x:c r="O1436" s="54" t="n">
        <x:f>ROUND(N1436*(1-M1436),2)</x:f>
        <x:v>37073.37</x:v>
      </x:c>
      <x:c r="P1436" s="54" t="n">
        <x:f>ROUND(J1436*L1436,2)</x:f>
        <x:v>31508.96</x:v>
      </x:c>
      <x:c r="Q1436" s="54" t="n">
        <x:f>ROUND(O1436-P1436,2)</x:f>
        <x:v>5564.41</x:v>
      </x:c>
      <x:c r="R1436" s="55" t="n">
        <x:f>IF(O1436=0,0,ROUND(Q1436/O1436,4))</x:f>
        <x:v>0.1501</x:v>
      </x:c>
      <x:c r="S1436" s="53" t="n">
        <x:v>9</x:v>
      </x:c>
      <x:c r="T1436" t="str">
        <x:v>Entregue</x:v>
      </x:c>
      <x:c r="U1436" t="n">
        <x:v>3</x:v>
      </x:c>
      <x:c r="V1436" t="str"/>
    </x:row>
    <x:row r="1437">
      <x:c r="A1437" s="52" t="n">
        <x:v>46097</x:v>
      </x:c>
      <x:c r="B1437" t="str">
        <x:v>PED-101436</x:v>
      </x:c>
      <x:c r="C1437" t="str">
        <x:v>Cliente 004</x:v>
      </x:c>
      <x:c r="D1437" t="str">
        <x:v>RJ</x:v>
      </x:c>
      <x:c r="E1437" t="str">
        <x:v>Sudeste</x:v>
      </x:c>
      <x:c r="F1437" t="str">
        <x:v>Loja</x:v>
      </x:c>
      <x:c r="G1437" t="str">
        <x:v>Casa</x:v>
      </x:c>
      <x:c r="H1437" t="str">
        <x:v>Aspirador Robô</x:v>
      </x:c>
      <x:c r="I1437" t="str">
        <x:v>Elaine</x:v>
      </x:c>
      <x:c r="J1437" s="53" t="n">
        <x:v>6</x:v>
      </x:c>
      <x:c r="K1437" s="54" t="n">
        <x:v>1842.91</x:v>
      </x:c>
      <x:c r="L1437" s="54" t="n">
        <x:v>1178.42</x:v>
      </x:c>
      <x:c r="M1437" s="55" t="n">
        <x:v>0.0948</x:v>
      </x:c>
      <x:c r="N1437" s="54" t="n">
        <x:f>ROUND(J1437*K1437,2)</x:f>
        <x:v>11057.46</x:v>
      </x:c>
      <x:c r="O1437" s="54" t="n">
        <x:f>ROUND(N1437*(1-M1437),2)</x:f>
        <x:v>10009.21</x:v>
      </x:c>
      <x:c r="P1437" s="54" t="n">
        <x:f>ROUND(J1437*L1437,2)</x:f>
        <x:v>7070.52</x:v>
      </x:c>
      <x:c r="Q1437" s="54" t="n">
        <x:f>ROUND(O1437-P1437,2)</x:f>
        <x:v>2938.69</x:v>
      </x:c>
      <x:c r="R1437" s="55" t="n">
        <x:f>IF(O1437=0,0,ROUND(Q1437/O1437,4))</x:f>
        <x:v>0.2936</x:v>
      </x:c>
      <x:c r="S1437" s="53" t="n">
        <x:v>7</x:v>
      </x:c>
      <x:c r="T1437" t="str">
        <x:v>Entregue</x:v>
      </x:c>
      <x:c r="U1437" t="n">
        <x:v>4</x:v>
      </x:c>
      <x:c r="V1437" t="str"/>
    </x:row>
    <x:row r="1438">
      <x:c r="A1438" s="52" t="n">
        <x:v>46128</x:v>
      </x:c>
      <x:c r="B1438" t="str">
        <x:v>PED-101437</x:v>
      </x:c>
      <x:c r="C1438" t="str">
        <x:v>Cliente 082</x:v>
      </x:c>
      <x:c r="D1438" t="str">
        <x:v>PA</x:v>
      </x:c>
      <x:c r="E1438" t="str">
        <x:v>Norte</x:v>
      </x:c>
      <x:c r="F1438" t="str">
        <x:v>Marketplace</x:v>
      </x:c>
      <x:c r="G1438" t="str">
        <x:v>Escritório</x:v>
      </x:c>
      <x:c r="H1438" t="str">
        <x:v>Cadeira Ergonômica</x:v>
      </x:c>
      <x:c r="I1438" t="str">
        <x:v>Gabriela</x:v>
      </x:c>
      <x:c r="J1438" s="53" t="n">
        <x:v>3</x:v>
      </x:c>
      <x:c r="K1438" s="54" t="n">
        <x:v>2210.76</x:v>
      </x:c>
      <x:c r="L1438" s="54" t="n">
        <x:v>1494.83</x:v>
      </x:c>
      <x:c r="M1438" s="55" t="n">
        <x:v>0.035</x:v>
      </x:c>
      <x:c r="N1438" s="54" t="n">
        <x:f>ROUND(J1438*K1438,2)</x:f>
        <x:v>6632.28</x:v>
      </x:c>
      <x:c r="O1438" s="54" t="n">
        <x:f>ROUND(N1438*(1-M1438),2)</x:f>
        <x:v>6400.15</x:v>
      </x:c>
      <x:c r="P1438" s="54" t="n">
        <x:f>ROUND(J1438*L1438,2)</x:f>
        <x:v>4484.49</x:v>
      </x:c>
      <x:c r="Q1438" s="54" t="n">
        <x:f>ROUND(O1438-P1438,2)</x:f>
        <x:v>1915.66</x:v>
      </x:c>
      <x:c r="R1438" s="55" t="n">
        <x:f>IF(O1438=0,0,ROUND(Q1438/O1438,4))</x:f>
        <x:v>0.2993</x:v>
      </x:c>
      <x:c r="S1438" s="53" t="n">
        <x:v>7</x:v>
      </x:c>
      <x:c r="T1438" t="str">
        <x:v>Entregue</x:v>
      </x:c>
      <x:c r="U1438" t="n">
        <x:v>3</x:v>
      </x:c>
      <x:c r="V1438" t="str"/>
    </x:row>
    <x:row r="1439">
      <x:c r="A1439" s="52" t="n">
        <x:v>46165</x:v>
      </x:c>
      <x:c r="B1439" t="str">
        <x:v>PED-100689</x:v>
      </x:c>
      <x:c r="C1439" t="str">
        <x:v>Cliente 038</x:v>
      </x:c>
      <x:c r="D1439" t="str">
        <x:v>AM</x:v>
      </x:c>
      <x:c r="E1439" t="str">
        <x:v>Norte</x:v>
      </x:c>
      <x:c r="F1439" t="str">
        <x:v>Marketplace</x:v>
      </x:c>
      <x:c r="G1439" t="str">
        <x:v>Acessórios</x:v>
      </x:c>
      <x:c r="H1439" t="str">
        <x:v>Mochila Executiva</x:v>
      </x:c>
      <x:c r="I1439" t="str">
        <x:v>Bruno</x:v>
      </x:c>
      <x:c r="J1439" s="53" t="n">
        <x:v>2</x:v>
      </x:c>
      <x:c r="K1439" s="54" t="n">
        <x:v>431.91</x:v>
      </x:c>
      <x:c r="L1439" s="54" t="n">
        <x:v>190.58</x:v>
      </x:c>
      <x:c r="M1439" s="55" t="n">
        <x:v>0.035</x:v>
      </x:c>
      <x:c r="N1439" s="54" t="n">
        <x:f>ROUND(J1439*K1439,2)</x:f>
        <x:v>863.82</x:v>
      </x:c>
      <x:c r="O1439" s="54" t="n">
        <x:f>ROUND(N1439*(1-M1439),2)</x:f>
        <x:v>833.59</x:v>
      </x:c>
      <x:c r="P1439" s="54" t="n">
        <x:f>ROUND(J1439*L1439,2)</x:f>
        <x:v>381.16</x:v>
      </x:c>
      <x:c r="Q1439" s="54" t="n">
        <x:f>ROUND(O1439-P1439,2)</x:f>
        <x:v>452.43</x:v>
      </x:c>
      <x:c r="R1439" s="55" t="n">
        <x:f>IF(O1439=0,0,ROUND(Q1439/O1439,4))</x:f>
        <x:v>0.5427</x:v>
      </x:c>
      <x:c r="S1439" s="53" t="n">
        <x:v>8</x:v>
      </x:c>
      <x:c r="T1439" t="str">
        <x:v>Entregue</x:v>
      </x:c>
      <x:c r="U1439" t="n">
        <x:v>3</x:v>
      </x:c>
      <x:c r="V1439" t="str"/>
    </x:row>
    <x:row r="1440">
      <x:c r="A1440" s="52" t="n">
        <x:v>46229</x:v>
      </x:c>
      <x:c r="B1440" t="str">
        <x:v>PED-101439</x:v>
      </x:c>
      <x:c r="C1440" t="str">
        <x:v>Cliente 064</x:v>
      </x:c>
      <x:c r="D1440" t="str">
        <x:v>CE</x:v>
      </x:c>
      <x:c r="E1440" t="str">
        <x:v>Nordeste</x:v>
      </x:c>
      <x:c r="F1440" t="str">
        <x:v>Loja</x:v>
      </x:c>
      <x:c r="G1440" t="str">
        <x:v>Tecnologia</x:v>
      </x:c>
      <x:c r="H1440" t="str">
        <x:v>Monitor 27</x:v>
      </x:c>
      <x:c r="I1440" t="str">
        <x:v>Gabriela</x:v>
      </x:c>
      <x:c r="J1440" s="53" t="n">
        <x:v>8</x:v>
      </x:c>
      <x:c r="K1440" s="54" t="n">
        <x:v>1779.34</x:v>
      </x:c>
      <x:c r="L1440" s="54" t="n">
        <x:v>1103.6</x:v>
      </x:c>
      <x:c r="M1440" s="55" t="n">
        <x:v>0.1044</x:v>
      </x:c>
      <x:c r="N1440" s="54" t="n">
        <x:f>ROUND(J1440*K1440,2)</x:f>
        <x:v>14234.72</x:v>
      </x:c>
      <x:c r="O1440" s="54" t="n">
        <x:f>ROUND(N1440*(1-M1440),2)</x:f>
        <x:v>12748.62</x:v>
      </x:c>
      <x:c r="P1440" s="54" t="n">
        <x:f>ROUND(J1440*L1440,2)</x:f>
        <x:v>8828.8</x:v>
      </x:c>
      <x:c r="Q1440" s="54" t="n">
        <x:f>ROUND(O1440-P1440,2)</x:f>
        <x:v>3919.82</x:v>
      </x:c>
      <x:c r="R1440" s="55" t="n">
        <x:f>IF(O1440=0,0,ROUND(Q1440/O1440,4))</x:f>
        <x:v>0.3075</x:v>
      </x:c>
      <x:c r="S1440" s="53" t="n">
        <x:v>9</x:v>
      </x:c>
      <x:c r="T1440" t="str">
        <x:v>Entregue</x:v>
      </x:c>
      <x:c r="U1440" t="n">
        <x:v>5</x:v>
      </x:c>
      <x:c r="V1440" t="str"/>
    </x:row>
    <x:row r="1441">
      <x:c r="A1441" s="52" t="n">
        <x:v>46029</x:v>
      </x:c>
      <x:c r="B1441" t="str">
        <x:v>PED-101440</x:v>
      </x:c>
      <x:c r="C1441" t="str">
        <x:v>Cliente 039</x:v>
      </x:c>
      <x:c r="D1441" t="str">
        <x:v>PA</x:v>
      </x:c>
      <x:c r="E1441" t="str">
        <x:v>Norte</x:v>
      </x:c>
      <x:c r="F1441" t="str">
        <x:v>E-commerce</x:v>
      </x:c>
      <x:c r="G1441" t="str">
        <x:v>Acessórios</x:v>
      </x:c>
      <x:c r="H1441" t="str">
        <x:v>Webcam HD</x:v>
      </x:c>
      <x:c r="I1441" t="str">
        <x:v>Felipe</x:v>
      </x:c>
      <x:c r="J1441" s="53" t="n">
        <x:v>7</x:v>
      </x:c>
      <x:c r="K1441" s="54" t="n">
        <x:v>508.1</x:v>
      </x:c>
      <x:c r="L1441" s="54" t="n">
        <x:v>244.68</x:v>
      </x:c>
      <x:c r="M1441" s="55" t="n">
        <x:v>0</x:v>
      </x:c>
      <x:c r="N1441" s="54" t="n">
        <x:f>ROUND(J1441*K1441,2)</x:f>
        <x:v>3556.7</x:v>
      </x:c>
      <x:c r="O1441" s="54" t="n">
        <x:f>ROUND(N1441*(1-M1441),2)</x:f>
        <x:v>3556.7</x:v>
      </x:c>
      <x:c r="P1441" s="54" t="n">
        <x:f>ROUND(J1441*L1441,2)</x:f>
        <x:v>1712.76</x:v>
      </x:c>
      <x:c r="Q1441" s="54" t="n">
        <x:f>ROUND(O1441-P1441,2)</x:f>
        <x:v>1843.94</x:v>
      </x:c>
      <x:c r="R1441" s="55" t="n">
        <x:f>IF(O1441=0,0,ROUND(Q1441/O1441,4))</x:f>
        <x:v>0.5184</x:v>
      </x:c>
      <x:c r="S1441" s="53" t="n">
        <x:v>12</x:v>
      </x:c>
      <x:c r="T1441" t="str">
        <x:v>Entregue com atraso</x:v>
      </x:c>
      <x:c r="U1441" t="n">
        <x:v>3</x:v>
      </x:c>
      <x:c r="V1441" t="str"/>
    </x:row>
    <x:row r="1442">
      <x:c r="A1442" s="52" t="n">
        <x:v>46076</x:v>
      </x:c>
      <x:c r="B1442" t="str">
        <x:v>PED-101441</x:v>
      </x:c>
      <x:c r="C1442" t="str">
        <x:v>Cliente 071</x:v>
      </x:c>
      <x:c r="D1442" t="str">
        <x:v>AM</x:v>
      </x:c>
      <x:c r="E1442" t="str">
        <x:v>Norte</x:v>
      </x:c>
      <x:c r="F1442" t="str">
        <x:v>Televendas</x:v>
      </x:c>
      <x:c r="G1442" t="str">
        <x:v>Escritório</x:v>
      </x:c>
      <x:c r="H1442" t="str">
        <x:v>Cadeira Ergonômica</x:v>
      </x:c>
      <x:c r="I1442" t="str">
        <x:v>Diego</x:v>
      </x:c>
      <x:c r="J1442" s="53" t="n">
        <x:v>5</x:v>
      </x:c>
      <x:c r="K1442" s="54" t="n">
        <x:v>2294.62</x:v>
      </x:c>
      <x:c r="L1442" s="54" t="n">
        <x:v>1433.08</x:v>
      </x:c>
      <x:c r="M1442" s="55" t="n">
        <x:v>0.0059</x:v>
      </x:c>
      <x:c r="N1442" s="54" t="n">
        <x:f>ROUND(J1442*K1442,2)</x:f>
        <x:v>11473.1</x:v>
      </x:c>
      <x:c r="O1442" s="54" t="n">
        <x:f>ROUND(N1442*(1-M1442),2)</x:f>
        <x:v>11405.41</x:v>
      </x:c>
      <x:c r="P1442" s="54" t="n">
        <x:f>ROUND(J1442*L1442,2)</x:f>
        <x:v>7165.4</x:v>
      </x:c>
      <x:c r="Q1442" s="54" t="n">
        <x:f>ROUND(O1442-P1442,2)</x:f>
        <x:v>4240.01</x:v>
      </x:c>
      <x:c r="R1442" s="55" t="n">
        <x:f>IF(O1442=0,0,ROUND(Q1442/O1442,4))</x:f>
        <x:v>0.3718</x:v>
      </x:c>
      <x:c r="S1442" s="53" t="n">
        <x:v>4</x:v>
      </x:c>
      <x:c r="T1442" t="str">
        <x:v>Entregue</x:v>
      </x:c>
      <x:c r="U1442" t="n">
        <x:v>5</x:v>
      </x:c>
      <x:c r="V1442" t="str"/>
    </x:row>
    <x:row r="1443">
      <x:c r="A1443" s="52" t="n">
        <x:v>46087</x:v>
      </x:c>
      <x:c r="B1443" t="str">
        <x:v>PED-101442</x:v>
      </x:c>
      <x:c r="C1443" t="str">
        <x:v>Cliente 006</x:v>
      </x:c>
      <x:c r="D1443" t="str">
        <x:v>ES</x:v>
      </x:c>
      <x:c r="E1443" t="str">
        <x:v>Sudeste</x:v>
      </x:c>
      <x:c r="F1443" t="str">
        <x:v>Loja</x:v>
      </x:c>
      <x:c r="G1443" t="str">
        <x:v>Escritório</x:v>
      </x:c>
      <x:c r="H1443" t="str">
        <x:v>Cadeira Ergonômica</x:v>
      </x:c>
      <x:c r="I1443" t="str">
        <x:v>Diego</x:v>
      </x:c>
      <x:c r="J1443" s="53" t="n">
        <x:v>4</x:v>
      </x:c>
      <x:c r="K1443" s="54" t="n">
        <x:v>2192.28</x:v>
      </x:c>
      <x:c r="L1443" s="54" t="n">
        <x:v>1366.05</x:v>
      </x:c>
      <x:c r="M1443" s="55" t="n">
        <x:v>0.0696</x:v>
      </x:c>
      <x:c r="N1443" s="54" t="n">
        <x:f>ROUND(J1443*K1443,2)</x:f>
        <x:v>8769.12</x:v>
      </x:c>
      <x:c r="O1443" s="54" t="n">
        <x:f>ROUND(N1443*(1-M1443),2)</x:f>
        <x:v>8158.79</x:v>
      </x:c>
      <x:c r="P1443" s="54" t="n">
        <x:f>ROUND(J1443*L1443,2)</x:f>
        <x:v>5464.2</x:v>
      </x:c>
      <x:c r="Q1443" s="54" t="n">
        <x:f>ROUND(O1443-P1443,2)</x:f>
        <x:v>2694.59</x:v>
      </x:c>
      <x:c r="R1443" s="55" t="n">
        <x:f>IF(O1443=0,0,ROUND(Q1443/O1443,4))</x:f>
        <x:v>0.3303</x:v>
      </x:c>
      <x:c r="S1443" s="53" t="n">
        <x:v>14</x:v>
      </x:c>
      <x:c r="T1443" t="str">
        <x:v>Entregue com atraso</x:v>
      </x:c>
      <x:c r="U1443" t="n">
        <x:v>2</x:v>
      </x:c>
      <x:c r="V1443" t="str"/>
    </x:row>
    <x:row r="1444">
      <x:c r="A1444" s="52" t="n">
        <x:v>46043</x:v>
      </x:c>
      <x:c r="B1444" t="str">
        <x:v>PED-101443</x:v>
      </x:c>
      <x:c r="C1444" t="str">
        <x:v>Cliente 061</x:v>
      </x:c>
      <x:c r="D1444" t="str">
        <x:v>SP</x:v>
      </x:c>
      <x:c r="E1444" t="str">
        <x:v>Sudeste</x:v>
      </x:c>
      <x:c r="F1444" t="str">
        <x:v>Loja</x:v>
      </x:c>
      <x:c r="G1444" t="str">
        <x:v>Escritório</x:v>
      </x:c>
      <x:c r="H1444" t="str">
        <x:v>Cadeira Ergonômica</x:v>
      </x:c>
      <x:c r="I1444" t="str">
        <x:v>Bruno</x:v>
      </x:c>
      <x:c r="J1444" s="53" t="n">
        <x:v>8</x:v>
      </x:c>
      <x:c r="K1444" s="54" t="n">
        <x:v>2258.25</x:v>
      </x:c>
      <x:c r="L1444" s="54" t="n">
        <x:v>1455.44</x:v>
      </x:c>
      <x:c r="M1444" s="55" t="n">
        <x:v>0</x:v>
      </x:c>
      <x:c r="N1444" s="54" t="n">
        <x:f>ROUND(J1444*K1444,2)</x:f>
        <x:v>18066</x:v>
      </x:c>
      <x:c r="O1444" s="54" t="n">
        <x:f>ROUND(N1444*(1-M1444),2)</x:f>
        <x:v>18066</x:v>
      </x:c>
      <x:c r="P1444" s="54" t="n">
        <x:f>ROUND(J1444*L1444,2)</x:f>
        <x:v>11643.52</x:v>
      </x:c>
      <x:c r="Q1444" s="54" t="n">
        <x:f>ROUND(O1444-P1444,2)</x:f>
        <x:v>6422.48</x:v>
      </x:c>
      <x:c r="R1444" s="55" t="n">
        <x:f>IF(O1444=0,0,ROUND(Q1444/O1444,4))</x:f>
        <x:v>0.3555</x:v>
      </x:c>
      <x:c r="S1444" s="53" t="n">
        <x:v>6</x:v>
      </x:c>
      <x:c r="T1444" t="str">
        <x:v>Entregue</x:v>
      </x:c>
      <x:c r="U1444" t="n">
        <x:v>4</x:v>
      </x:c>
      <x:c r="V1444" t="str"/>
    </x:row>
    <x:row r="1445">
      <x:c r="A1445" s="52" t="n">
        <x:v>46070</x:v>
      </x:c>
      <x:c r="B1445" t="str">
        <x:v>PED-101444</x:v>
      </x:c>
      <x:c r="C1445" t="str">
        <x:v>Cliente 034</x:v>
      </x:c>
      <x:c r="D1445" t="str">
        <x:v>MA</x:v>
      </x:c>
      <x:c r="E1445" t="str">
        <x:v>Nordeste</x:v>
      </x:c>
      <x:c r="F1445" t="str">
        <x:v>Loja</x:v>
      </x:c>
      <x:c r="G1445" t="str">
        <x:v>Escritório</x:v>
      </x:c>
      <x:c r="H1445" t="str">
        <x:v>Luminária LED</x:v>
      </x:c>
      <x:c r="I1445" t="str">
        <x:v>Diego</x:v>
      </x:c>
      <x:c r="J1445" s="53" t="n">
        <x:v>6</x:v>
      </x:c>
      <x:c r="K1445" s="54" t="n">
        <x:v>273.35</x:v>
      </x:c>
      <x:c r="L1445" s="54" t="n">
        <x:v>117.35</x:v>
      </x:c>
      <x:c r="M1445" s="55" t="n">
        <x:v>0</x:v>
      </x:c>
      <x:c r="N1445" s="54" t="n">
        <x:f>ROUND(J1445*K1445,2)</x:f>
        <x:v>1640.1</x:v>
      </x:c>
      <x:c r="O1445" s="54" t="n">
        <x:f>ROUND(N1445*(1-M1445),2)</x:f>
        <x:v>1640.1</x:v>
      </x:c>
      <x:c r="P1445" s="54" t="n">
        <x:f>ROUND(J1445*L1445,2)</x:f>
        <x:v>704.1</x:v>
      </x:c>
      <x:c r="Q1445" s="54" t="n">
        <x:f>ROUND(O1445-P1445,2)</x:f>
        <x:v>936</x:v>
      </x:c>
      <x:c r="R1445" s="55" t="n">
        <x:f>IF(O1445=0,0,ROUND(Q1445/O1445,4))</x:f>
        <x:v>0.5707</x:v>
      </x:c>
      <x:c r="S1445" s="53" t="n">
        <x:v>7</x:v>
      </x:c>
      <x:c r="T1445" t="str">
        <x:v>Entregue</x:v>
      </x:c>
      <x:c r="U1445" t="n">
        <x:v>3</x:v>
      </x:c>
      <x:c r="V1445" t="str"/>
    </x:row>
    <x:row r="1446">
      <x:c r="A1446" s="52" t="n">
        <x:v>46027</x:v>
      </x:c>
      <x:c r="B1446" t="str">
        <x:v>PED-101445</x:v>
      </x:c>
      <x:c r="C1446" t="str">
        <x:v>Cliente 102</x:v>
      </x:c>
      <x:c r="D1446" t="str">
        <x:v>GO</x:v>
      </x:c>
      <x:c r="E1446" t="str">
        <x:v>Centro-Oeste</x:v>
      </x:c>
      <x:c r="F1446" t="str">
        <x:v>E-commerce</x:v>
      </x:c>
      <x:c r="G1446" t="str">
        <x:v>Acessórios</x:v>
      </x:c>
      <x:c r="H1446" t="str">
        <x:v>Hub USB-C</x:v>
      </x:c>
      <x:c r="I1446" t="str">
        <x:v>Henrique</x:v>
      </x:c>
      <x:c r="J1446" s="53" t="n">
        <x:v>7</x:v>
      </x:c>
      <x:c r="K1446" s="54" t="n">
        <x:v>319.74</x:v>
      </x:c>
      <x:c r="L1446" s="54" t="n">
        <x:v>136.06</x:v>
      </x:c>
      <x:c r="M1446" s="55" t="n">
        <x:v>0.0084</x:v>
      </x:c>
      <x:c r="N1446" s="54" t="n">
        <x:f>ROUND(J1446*K1446,2)</x:f>
        <x:v>2238.18</x:v>
      </x:c>
      <x:c r="O1446" s="54" t="n">
        <x:f>ROUND(N1446*(1-M1446),2)</x:f>
        <x:v>2219.38</x:v>
      </x:c>
      <x:c r="P1446" s="54" t="n">
        <x:f>ROUND(J1446*L1446,2)</x:f>
        <x:v>952.42</x:v>
      </x:c>
      <x:c r="Q1446" s="54" t="n">
        <x:f>ROUND(O1446-P1446,2)</x:f>
        <x:v>1266.96</x:v>
      </x:c>
      <x:c r="R1446" s="55" t="n">
        <x:f>IF(O1446=0,0,ROUND(Q1446/O1446,4))</x:f>
        <x:v>0.5709</x:v>
      </x:c>
      <x:c r="S1446" s="53" t="n">
        <x:v>2</x:v>
      </x:c>
      <x:c r="T1446" t="str">
        <x:v>Entregue</x:v>
      </x:c>
      <x:c r="U1446" t="n">
        <x:v>2</x:v>
      </x:c>
      <x:c r="V1446" t="str"/>
    </x:row>
    <x:row r="1447">
      <x:c r="A1447" s="52" t="n">
        <x:v>46108</x:v>
      </x:c>
      <x:c r="B1447" t="str">
        <x:v>PED-101446</x:v>
      </x:c>
      <x:c r="C1447" t="str">
        <x:v>Cliente 090</x:v>
      </x:c>
      <x:c r="D1447" t="str">
        <x:v>AM</x:v>
      </x:c>
      <x:c r="E1447" t="str">
        <x:v>Norte</x:v>
      </x:c>
      <x:c r="F1447" t="str">
        <x:v>E-commerce</x:v>
      </x:c>
      <x:c r="G1447" t="str">
        <x:v>Tecnologia</x:v>
      </x:c>
      <x:c r="H1447" t="str">
        <x:v>Notebook Pro</x:v>
      </x:c>
      <x:c r="I1447" t="str">
        <x:v>Felipe</x:v>
      </x:c>
      <x:c r="J1447" s="53" t="n">
        <x:v>6</x:v>
      </x:c>
      <x:c r="K1447" s="54" t="n">
        <x:v>5872.87</x:v>
      </x:c>
      <x:c r="L1447" s="54" t="n">
        <x:v>4405.97</x:v>
      </x:c>
      <x:c r="M1447" s="55" t="n">
        <x:v>0.0964</x:v>
      </x:c>
      <x:c r="N1447" s="54" t="n">
        <x:f>ROUND(J1447*K1447,2)</x:f>
        <x:v>35237.22</x:v>
      </x:c>
      <x:c r="O1447" s="54" t="n">
        <x:f>ROUND(N1447*(1-M1447),2)</x:f>
        <x:v>31840.35</x:v>
      </x:c>
      <x:c r="P1447" s="54" t="n">
        <x:f>ROUND(J1447*L1447,2)</x:f>
        <x:v>26435.82</x:v>
      </x:c>
      <x:c r="Q1447" s="54" t="n">
        <x:f>ROUND(O1447-P1447,2)</x:f>
        <x:v>5404.53</x:v>
      </x:c>
      <x:c r="R1447" s="55" t="n">
        <x:f>IF(O1447=0,0,ROUND(Q1447/O1447,4))</x:f>
        <x:v>0.1697</x:v>
      </x:c>
      <x:c r="S1447" s="53" t="n">
        <x:v>12</x:v>
      </x:c>
      <x:c r="T1447" t="str">
        <x:v>Entregue com atraso</x:v>
      </x:c>
      <x:c r="U1447" t="n">
        <x:v>5</x:v>
      </x:c>
      <x:c r="V1447" t="str"/>
    </x:row>
    <x:row r="1448">
      <x:c r="A1448" s="52" t="n">
        <x:v>46122</x:v>
      </x:c>
      <x:c r="B1448" t="str">
        <x:v>PED-101447</x:v>
      </x:c>
      <x:c r="C1448" t="str">
        <x:v>Cliente 106</x:v>
      </x:c>
      <x:c r="D1448" t="str">
        <x:v>ES</x:v>
      </x:c>
      <x:c r="E1448" t="str">
        <x:v>Sudeste</x:v>
      </x:c>
      <x:c r="F1448" t="str">
        <x:v>Televendas</x:v>
      </x:c>
      <x:c r="G1448" t="str">
        <x:v>Acessórios</x:v>
      </x:c>
      <x:c r="H1448" t="str">
        <x:v>Hub USB-C</x:v>
      </x:c>
      <x:c r="I1448" t="str">
        <x:v>Gabriela</x:v>
      </x:c>
      <x:c r="J1448" s="53" t="n">
        <x:v>4</x:v>
      </x:c>
      <x:c r="K1448" s="54" t="n">
        <x:v>324.47</x:v>
      </x:c>
      <x:c r="L1448" s="54" t="n">
        <x:v>130.07</x:v>
      </x:c>
      <x:c r="M1448" s="55" t="n">
        <x:v>0.0776</x:v>
      </x:c>
      <x:c r="N1448" s="54" t="n">
        <x:f>ROUND(J1448*K1448,2)</x:f>
        <x:v>1297.88</x:v>
      </x:c>
      <x:c r="O1448" s="54" t="n">
        <x:f>ROUND(N1448*(1-M1448),2)</x:f>
        <x:v>1197.16</x:v>
      </x:c>
      <x:c r="P1448" s="54" t="n">
        <x:f>ROUND(J1448*L1448,2)</x:f>
        <x:v>520.28</x:v>
      </x:c>
      <x:c r="Q1448" s="54" t="n">
        <x:f>ROUND(O1448-P1448,2)</x:f>
        <x:v>676.88</x:v>
      </x:c>
      <x:c r="R1448" s="55" t="n">
        <x:f>IF(O1448=0,0,ROUND(Q1448/O1448,4))</x:f>
        <x:v>0.5654</x:v>
      </x:c>
      <x:c r="S1448" s="53" t="n">
        <x:v>6</x:v>
      </x:c>
      <x:c r="T1448" t="str">
        <x:v>Entregue</x:v>
      </x:c>
      <x:c r="U1448" t="n">
        <x:v>2</x:v>
      </x:c>
      <x:c r="V1448" t="str"/>
    </x:row>
    <x:row r="1449">
      <x:c r="A1449" s="52" t="n">
        <x:v>46113</x:v>
      </x:c>
      <x:c r="B1449" t="str">
        <x:v>PED-101448</x:v>
      </x:c>
      <x:c r="C1449" t="str">
        <x:v>Cliente 017</x:v>
      </x:c>
      <x:c r="D1449" t="str">
        <x:v>GO</x:v>
      </x:c>
      <x:c r="E1449" t="str">
        <x:v>Centro-Oeste</x:v>
      </x:c>
      <x:c r="F1449" t="str">
        <x:v>Loja</x:v>
      </x:c>
      <x:c r="G1449" t="str">
        <x:v>Casa</x:v>
      </x:c>
      <x:c r="H1449" t="str">
        <x:v>Purificador</x:v>
      </x:c>
      <x:c r="I1449" t="str">
        <x:v>Bruno</x:v>
      </x:c>
      <x:c r="J1449" s="53" t="n">
        <x:v>1</x:v>
      </x:c>
      <x:c r="K1449" s="54" t="n">
        <x:v>1334.05</x:v>
      </x:c>
      <x:c r="L1449" s="54" t="n">
        <x:v>798.09</x:v>
      </x:c>
      <x:c r="M1449" s="55" t="n">
        <x:v>0.0862</x:v>
      </x:c>
      <x:c r="N1449" s="54" t="n">
        <x:f>ROUND(J1449*K1449,2)</x:f>
        <x:v>1334.05</x:v>
      </x:c>
      <x:c r="O1449" s="54" t="n">
        <x:f>ROUND(N1449*(1-M1449),2)</x:f>
        <x:v>1219.05</x:v>
      </x:c>
      <x:c r="P1449" s="54" t="n">
        <x:f>ROUND(J1449*L1449,2)</x:f>
        <x:v>798.09</x:v>
      </x:c>
      <x:c r="Q1449" s="54" t="n">
        <x:f>ROUND(O1449-P1449,2)</x:f>
        <x:v>420.96</x:v>
      </x:c>
      <x:c r="R1449" s="55" t="n">
        <x:f>IF(O1449=0,0,ROUND(Q1449/O1449,4))</x:f>
        <x:v>0.3453</x:v>
      </x:c>
      <x:c r="S1449" s="53" t="n">
        <x:v>9</x:v>
      </x:c>
      <x:c r="T1449" t="str">
        <x:v>Entregue</x:v>
      </x:c>
      <x:c r="U1449" t="n">
        <x:v>5</x:v>
      </x:c>
      <x:c r="V1449" t="str"/>
    </x:row>
    <x:row r="1450">
      <x:c r="A1450" s="52" t="n">
        <x:v>46105</x:v>
      </x:c>
      <x:c r="B1450" t="str">
        <x:v>PED-101449</x:v>
      </x:c>
      <x:c r="C1450" t="str">
        <x:v>Cliente 106</x:v>
      </x:c>
      <x:c r="D1450" t="str">
        <x:v>BA</x:v>
      </x:c>
      <x:c r="E1450" t="str">
        <x:v>Nordeste</x:v>
      </x:c>
      <x:c r="F1450" t="str">
        <x:v>Televendas</x:v>
      </x:c>
      <x:c r="G1450" t="str">
        <x:v>Acessórios</x:v>
      </x:c>
      <x:c r="H1450" t="str">
        <x:v>Hub USB-C</x:v>
      </x:c>
      <x:c r="I1450" t="str">
        <x:v>Elaine</x:v>
      </x:c>
      <x:c r="J1450" s="53" t="n">
        <x:v>5</x:v>
      </x:c>
      <x:c r="K1450" s="54" t="n">
        <x:v>306.21</x:v>
      </x:c>
      <x:c r="L1450" s="54" t="n">
        <x:v>146.41</x:v>
      </x:c>
      <x:c r="M1450" s="55" t="n">
        <x:v>0.0858</x:v>
      </x:c>
      <x:c r="N1450" s="54" t="n">
        <x:f>ROUND(J1450*K1450,2)</x:f>
        <x:v>1531.05</x:v>
      </x:c>
      <x:c r="O1450" s="54" t="n">
        <x:f>ROUND(N1450*(1-M1450),2)</x:f>
        <x:v>1399.69</x:v>
      </x:c>
      <x:c r="P1450" s="54" t="n">
        <x:f>ROUND(J1450*L1450,2)</x:f>
        <x:v>732.05</x:v>
      </x:c>
      <x:c r="Q1450" s="54" t="n">
        <x:f>ROUND(O1450-P1450,2)</x:f>
        <x:v>667.64</x:v>
      </x:c>
      <x:c r="R1450" s="55" t="n">
        <x:f>IF(O1450=0,0,ROUND(Q1450/O1450,4))</x:f>
        <x:v>0.477</x:v>
      </x:c>
      <x:c r="S1450" s="53" t="n">
        <x:v>5</x:v>
      </x:c>
      <x:c r="T1450" t="str">
        <x:v>Entregue</x:v>
      </x:c>
      <x:c r="U1450" t="n">
        <x:v>3</x:v>
      </x:c>
      <x:c r="V1450" t="str"/>
    </x:row>
    <x:row r="1451">
      <x:c r="A1451" s="52" t="n">
        <x:v>46120</x:v>
      </x:c>
      <x:c r="B1451" t="str">
        <x:v>PED-101450</x:v>
      </x:c>
      <x:c r="C1451" t="str">
        <x:v>Cliente 095</x:v>
      </x:c>
      <x:c r="D1451" t="str">
        <x:v>PE</x:v>
      </x:c>
      <x:c r="E1451" t="str">
        <x:v>Nordeste</x:v>
      </x:c>
      <x:c r="F1451" t="str">
        <x:v>Televendas</x:v>
      </x:c>
      <x:c r="G1451" t="str">
        <x:v>Escritório</x:v>
      </x:c>
      <x:c r="H1451" t="str">
        <x:v>Mesa Ajustável</x:v>
      </x:c>
      <x:c r="I1451" t="str">
        <x:v>João</x:v>
      </x:c>
      <x:c r="J1451" s="53" t="n">
        <x:v>6</x:v>
      </x:c>
      <x:c r="K1451" s="54" t="n">
        <x:v>2926.16</x:v>
      </x:c>
      <x:c r="L1451" s="54" t="n">
        <x:v>1847.4</x:v>
      </x:c>
      <x:c r="M1451" s="55" t="n">
        <x:v>0.0777</x:v>
      </x:c>
      <x:c r="N1451" s="54" t="n">
        <x:f>ROUND(J1451*K1451,2)</x:f>
        <x:v>17556.96</x:v>
      </x:c>
      <x:c r="O1451" s="54" t="n">
        <x:f>ROUND(N1451*(1-M1451),2)</x:f>
        <x:v>16192.78</x:v>
      </x:c>
      <x:c r="P1451" s="54" t="n">
        <x:f>ROUND(J1451*L1451,2)</x:f>
        <x:v>11084.4</x:v>
      </x:c>
      <x:c r="Q1451" s="54" t="n">
        <x:f>ROUND(O1451-P1451,2)</x:f>
        <x:v>5108.38</x:v>
      </x:c>
      <x:c r="R1451" s="55" t="n">
        <x:f>IF(O1451=0,0,ROUND(Q1451/O1451,4))</x:f>
        <x:v>0.3155</x:v>
      </x:c>
      <x:c r="S1451" s="53" t="n">
        <x:v>9</x:v>
      </x:c>
      <x:c r="T1451" t="str">
        <x:v>Entregue</x:v>
      </x:c>
      <x:c r="U1451" t="n">
        <x:v>4</x:v>
      </x:c>
      <x:c r="V1451" t="str"/>
    </x:row>
    <x:row r="1452">
      <x:c r="A1452" s="52" t="n">
        <x:v>46124</x:v>
      </x:c>
      <x:c r="B1452" t="str">
        <x:v>PED-101451</x:v>
      </x:c>
      <x:c r="C1452" t="str">
        <x:v>Cliente 096</x:v>
      </x:c>
      <x:c r="D1452" t="str">
        <x:v>PE</x:v>
      </x:c>
      <x:c r="E1452" t="str">
        <x:v>Nordeste</x:v>
      </x:c>
      <x:c r="F1452" t="str">
        <x:v>E-commerce</x:v>
      </x:c>
      <x:c r="G1452" t="str">
        <x:v>Acessórios</x:v>
      </x:c>
      <x:c r="H1452" t="str">
        <x:v>Webcam HD</x:v>
      </x:c>
      <x:c r="I1452" t="str">
        <x:v>Diego</x:v>
      </x:c>
      <x:c r="J1452" s="53" t="n">
        <x:v>1</x:v>
      </x:c>
      <x:c r="K1452" s="54" t="n">
        <x:v>509.57</x:v>
      </x:c>
      <x:c r="L1452" s="54" t="n">
        <x:v>259.9</x:v>
      </x:c>
      <x:c r="M1452" s="55" t="n">
        <x:v>0</x:v>
      </x:c>
      <x:c r="N1452" s="54" t="n">
        <x:f>ROUND(J1452*K1452,2)</x:f>
        <x:v>509.57</x:v>
      </x:c>
      <x:c r="O1452" s="54" t="n">
        <x:f>ROUND(N1452*(1-M1452),2)</x:f>
        <x:v>509.57</x:v>
      </x:c>
      <x:c r="P1452" s="54" t="n">
        <x:f>ROUND(J1452*L1452,2)</x:f>
        <x:v>259.9</x:v>
      </x:c>
      <x:c r="Q1452" s="54" t="n">
        <x:f>ROUND(O1452-P1452,2)</x:f>
        <x:v>249.67</x:v>
      </x:c>
      <x:c r="R1452" s="55" t="n">
        <x:f>IF(O1452=0,0,ROUND(Q1452/O1452,4))</x:f>
        <x:v>0.49</x:v>
      </x:c>
      <x:c r="S1452" s="53" t="n">
        <x:v>12</x:v>
      </x:c>
      <x:c r="T1452" t="str">
        <x:v>Entregue com atraso</x:v>
      </x:c>
      <x:c r="U1452" t="n">
        <x:v>4</x:v>
      </x:c>
      <x:c r="V1452" t="str"/>
    </x:row>
    <x:row r="1453">
      <x:c r="A1453" s="52" t="n">
        <x:v>46161</x:v>
      </x:c>
      <x:c r="B1453" t="str">
        <x:v>PED-101452</x:v>
      </x:c>
      <x:c r="C1453" t="str">
        <x:v>Cliente 089</x:v>
      </x:c>
      <x:c r="D1453" t="str">
        <x:v>PR</x:v>
      </x:c>
      <x:c r="E1453" t="str">
        <x:v>Sul</x:v>
      </x:c>
      <x:c r="F1453" t="str">
        <x:v>Loja</x:v>
      </x:c>
      <x:c r="G1453" t="str">
        <x:v>Casa</x:v>
      </x:c>
      <x:c r="H1453" t="str">
        <x:v>Purificador</x:v>
      </x:c>
      <x:c r="I1453" t="str">
        <x:v>Ana</x:v>
      </x:c>
      <x:c r="J1453" s="53" t="n">
        <x:v>8</x:v>
      </x:c>
      <x:c r="K1453" s="54" t="n">
        <x:v>1301.85</x:v>
      </x:c>
      <x:c r="L1453" s="54" t="n">
        <x:v>744.92</x:v>
      </x:c>
      <x:c r="M1453" s="55" t="n">
        <x:v>0</x:v>
      </x:c>
      <x:c r="N1453" s="54" t="n">
        <x:f>ROUND(J1453*K1453,2)</x:f>
        <x:v>10414.8</x:v>
      </x:c>
      <x:c r="O1453" s="54" t="n">
        <x:f>ROUND(N1453*(1-M1453),2)</x:f>
        <x:v>10414.8</x:v>
      </x:c>
      <x:c r="P1453" s="54" t="n">
        <x:f>ROUND(J1453*L1453,2)</x:f>
        <x:v>5959.36</x:v>
      </x:c>
      <x:c r="Q1453" s="54" t="n">
        <x:f>ROUND(O1453-P1453,2)</x:f>
        <x:v>4455.44</x:v>
      </x:c>
      <x:c r="R1453" s="55" t="n">
        <x:f>IF(O1453=0,0,ROUND(Q1453/O1453,4))</x:f>
        <x:v>0.4278</x:v>
      </x:c>
      <x:c r="S1453" s="53" t="n">
        <x:v>2</x:v>
      </x:c>
      <x:c r="T1453" t="str">
        <x:v>Entregue</x:v>
      </x:c>
      <x:c r="U1453" t="n">
        <x:v>3</x:v>
      </x:c>
      <x:c r="V1453" t="str"/>
    </x:row>
    <x:row r="1454">
      <x:c r="A1454" s="52" t="n">
        <x:v>46197</x:v>
      </x:c>
      <x:c r="B1454" t="str">
        <x:v>PED-101453</x:v>
      </x:c>
      <x:c r="C1454" t="str">
        <x:v>Cliente 100</x:v>
      </x:c>
      <x:c r="D1454" t="str">
        <x:v>RS</x:v>
      </x:c>
      <x:c r="E1454" t="str">
        <x:v>Sul</x:v>
      </x:c>
      <x:c r="F1454" t="str">
        <x:v>Loja</x:v>
      </x:c>
      <x:c r="G1454" t="str">
        <x:v>Casa</x:v>
      </x:c>
      <x:c r="H1454" t="str">
        <x:v>Purificador</x:v>
      </x:c>
      <x:c r="I1454" t="str">
        <x:v>Diego</x:v>
      </x:c>
      <x:c r="J1454" s="53" t="n">
        <x:v>1</x:v>
      </x:c>
      <x:c r="K1454" s="54" t="n">
        <x:v>1285.83</x:v>
      </x:c>
      <x:c r="L1454" s="54" t="n">
        <x:v>753.02</x:v>
      </x:c>
      <x:c r="M1454" s="55" t="n">
        <x:v>0.0571</x:v>
      </x:c>
      <x:c r="N1454" s="54" t="n">
        <x:f>ROUND(J1454*K1454,2)</x:f>
        <x:v>1285.83</x:v>
      </x:c>
      <x:c r="O1454" s="54" t="n">
        <x:f>ROUND(N1454*(1-M1454),2)</x:f>
        <x:v>1212.41</x:v>
      </x:c>
      <x:c r="P1454" s="54" t="n">
        <x:f>ROUND(J1454*L1454,2)</x:f>
        <x:v>753.02</x:v>
      </x:c>
      <x:c r="Q1454" s="54" t="n">
        <x:f>ROUND(O1454-P1454,2)</x:f>
        <x:v>459.39</x:v>
      </x:c>
      <x:c r="R1454" s="55" t="n">
        <x:f>IF(O1454=0,0,ROUND(Q1454/O1454,4))</x:f>
        <x:v>0.3789</x:v>
      </x:c>
      <x:c r="S1454" s="53" t="n">
        <x:v>3</x:v>
      </x:c>
      <x:c r="T1454" t="str">
        <x:v>Entregue</x:v>
      </x:c>
      <x:c r="U1454" t="n">
        <x:v>2</x:v>
      </x:c>
      <x:c r="V1454" t="str"/>
    </x:row>
    <x:row r="1455">
      <x:c r="A1455" s="52" t="n">
        <x:v>46218</x:v>
      </x:c>
      <x:c r="B1455" t="str">
        <x:v>PED-101454</x:v>
      </x:c>
      <x:c r="C1455" t="str">
        <x:v>Cliente 080</x:v>
      </x:c>
      <x:c r="D1455" t="str">
        <x:v>MG</x:v>
      </x:c>
      <x:c r="E1455" t="str">
        <x:v>Sudeste</x:v>
      </x:c>
      <x:c r="F1455" t="str">
        <x:v>E-commerce</x:v>
      </x:c>
      <x:c r="G1455" t="str">
        <x:v>Escritório</x:v>
      </x:c>
      <x:c r="H1455" t="str">
        <x:v>Cadeira Ergonômica</x:v>
      </x:c>
      <x:c r="I1455" t="str">
        <x:v>Henrique</x:v>
      </x:c>
      <x:c r="J1455" s="53" t="n">
        <x:v>6</x:v>
      </x:c>
      <x:c r="K1455" s="54" t="n">
        <x:v>2059.25</x:v>
      </x:c>
      <x:c r="L1455" s="54" t="n">
        <x:v>1447.79</x:v>
      </x:c>
      <x:c r="M1455" s="55" t="n">
        <x:v>0.0159</x:v>
      </x:c>
      <x:c r="N1455" s="54" t="n">
        <x:f>ROUND(J1455*K1455,2)</x:f>
        <x:v>12355.5</x:v>
      </x:c>
      <x:c r="O1455" s="54" t="n">
        <x:f>ROUND(N1455*(1-M1455),2)</x:f>
        <x:v>12159.05</x:v>
      </x:c>
      <x:c r="P1455" s="54" t="n">
        <x:f>ROUND(J1455*L1455,2)</x:f>
        <x:v>8686.74</x:v>
      </x:c>
      <x:c r="Q1455" s="54" t="n">
        <x:f>ROUND(O1455-P1455,2)</x:f>
        <x:v>3472.31</x:v>
      </x:c>
      <x:c r="R1455" s="55" t="n">
        <x:f>IF(O1455=0,0,ROUND(Q1455/O1455,4))</x:f>
        <x:v>0.2856</x:v>
      </x:c>
      <x:c r="S1455" s="53" t="n">
        <x:v>5</x:v>
      </x:c>
      <x:c r="T1455" t="str">
        <x:v>Entregue</x:v>
      </x:c>
      <x:c r="U1455" t="n">
        <x:v>5</x:v>
      </x:c>
      <x:c r="V1455" t="str"/>
    </x:row>
    <x:row r="1456">
      <x:c r="A1456" s="52" t="n">
        <x:v>46049</x:v>
      </x:c>
      <x:c r="B1456" t="str">
        <x:v>PED-101455</x:v>
      </x:c>
      <x:c r="C1456" t="str">
        <x:v>Cliente 069</x:v>
      </x:c>
      <x:c r="D1456" t="str">
        <x:v>ES</x:v>
      </x:c>
      <x:c r="E1456" t="str">
        <x:v>Sudeste</x:v>
      </x:c>
      <x:c r="F1456" t="str">
        <x:v>Loja</x:v>
      </x:c>
      <x:c r="G1456" t="str">
        <x:v>Acessórios</x:v>
      </x:c>
      <x:c r="H1456" t="str">
        <x:v>Hub USB-C</x:v>
      </x:c>
      <x:c r="I1456" t="str">
        <x:v>Felipe</x:v>
      </x:c>
      <x:c r="J1456" s="53" t="n">
        <x:v>3</x:v>
      </x:c>
      <x:c r="K1456" s="54" t="n">
        <x:v>326.33</x:v>
      </x:c>
      <x:c r="L1456" s="54" t="n">
        <x:v>136.76</x:v>
      </x:c>
      <x:c r="M1456" s="55" t="n">
        <x:v>0.0844</x:v>
      </x:c>
      <x:c r="N1456" s="54" t="n">
        <x:f>ROUND(J1456*K1456,2)</x:f>
        <x:v>978.99</x:v>
      </x:c>
      <x:c r="O1456" s="54" t="n">
        <x:f>ROUND(N1456*(1-M1456),2)</x:f>
        <x:v>896.36</x:v>
      </x:c>
      <x:c r="P1456" s="54" t="n">
        <x:f>ROUND(J1456*L1456,2)</x:f>
        <x:v>410.28</x:v>
      </x:c>
      <x:c r="Q1456" s="54" t="n">
        <x:f>ROUND(O1456-P1456,2)</x:f>
        <x:v>486.08</x:v>
      </x:c>
      <x:c r="R1456" s="55" t="n">
        <x:f>IF(O1456=0,0,ROUND(Q1456/O1456,4))</x:f>
        <x:v>0.5423</x:v>
      </x:c>
      <x:c r="S1456" s="53" t="n">
        <x:v>2</x:v>
      </x:c>
      <x:c r="T1456" t="str">
        <x:v>Entregue</x:v>
      </x:c>
      <x:c r="U1456" t="n">
        <x:v>5</x:v>
      </x:c>
      <x:c r="V1456" t="str"/>
    </x:row>
    <x:row r="1457">
      <x:c r="A1457" s="52" t="n">
        <x:v>46102</x:v>
      </x:c>
      <x:c r="B1457" t="str">
        <x:v>PED-101456</x:v>
      </x:c>
      <x:c r="C1457" t="str">
        <x:v>Cliente 002</x:v>
      </x:c>
      <x:c r="D1457" t="str">
        <x:v>PR</x:v>
      </x:c>
      <x:c r="E1457" t="str">
        <x:v>Sul</x:v>
      </x:c>
      <x:c r="F1457" t="str">
        <x:v>E-commerce</x:v>
      </x:c>
      <x:c r="G1457" t="str">
        <x:v>Casa</x:v>
      </x:c>
      <x:c r="H1457" t="str">
        <x:v>Purificador</x:v>
      </x:c>
      <x:c r="I1457" t="str">
        <x:v>Diego</x:v>
      </x:c>
      <x:c r="J1457" s="53" t="n">
        <x:v>5</x:v>
      </x:c>
      <x:c r="K1457" s="54" t="n">
        <x:v>1312.03</x:v>
      </x:c>
      <x:c r="L1457" s="54" t="n">
        <x:v>801.04</x:v>
      </x:c>
      <x:c r="M1457" s="55" t="n">
        <x:v>0.1211</x:v>
      </x:c>
      <x:c r="N1457" s="54" t="n">
        <x:f>ROUND(J1457*K1457,2)</x:f>
        <x:v>6560.15</x:v>
      </x:c>
      <x:c r="O1457" s="54" t="n">
        <x:f>ROUND(N1457*(1-M1457),2)</x:f>
        <x:v>5765.72</x:v>
      </x:c>
      <x:c r="P1457" s="54" t="n">
        <x:f>ROUND(J1457*L1457,2)</x:f>
        <x:v>4005.2</x:v>
      </x:c>
      <x:c r="Q1457" s="54" t="n">
        <x:f>ROUND(O1457-P1457,2)</x:f>
        <x:v>1760.52</x:v>
      </x:c>
      <x:c r="R1457" s="55" t="n">
        <x:f>IF(O1457=0,0,ROUND(Q1457/O1457,4))</x:f>
        <x:v>0.3053</x:v>
      </x:c>
      <x:c r="S1457" s="53" t="n">
        <x:v>11</x:v>
      </x:c>
      <x:c r="T1457" t="str">
        <x:v>Entregue com atraso</x:v>
      </x:c>
      <x:c r="U1457" t="n">
        <x:v>3</x:v>
      </x:c>
      <x:c r="V1457" t="str"/>
    </x:row>
    <x:row r="1458">
      <x:c r="A1458" s="52" t="n">
        <x:v>46094</x:v>
      </x:c>
      <x:c r="B1458" t="str">
        <x:v>PED-101457</x:v>
      </x:c>
      <x:c r="C1458" t="str">
        <x:v>Cliente 054</x:v>
      </x:c>
      <x:c r="D1458" t="str">
        <x:v>MG</x:v>
      </x:c>
      <x:c r="E1458" t="str">
        <x:v>Sudeste</x:v>
      </x:c>
      <x:c r="F1458" t="str">
        <x:v>Marketplace</x:v>
      </x:c>
      <x:c r="G1458" t="str">
        <x:v>Casa</x:v>
      </x:c>
      <x:c r="H1458" t="str">
        <x:v>Cafeteira Smart</x:v>
      </x:c>
      <x:c r="I1458" t="str">
        <x:v>Elaine</x:v>
      </x:c>
      <x:c r="J1458" s="53" t="n">
        <x:v>3</x:v>
      </x:c>
      <x:c r="K1458" s="54" t="n">
        <x:v>791.49</x:v>
      </x:c>
      <x:c r="L1458" s="54" t="n">
        <x:v>463.13</x:v>
      </x:c>
      <x:c r="M1458" s="55" t="n">
        <x:v>0.035</x:v>
      </x:c>
      <x:c r="N1458" s="54" t="n">
        <x:f>ROUND(J1458*K1458,2)</x:f>
        <x:v>2374.47</x:v>
      </x:c>
      <x:c r="O1458" s="54" t="n">
        <x:f>ROUND(N1458*(1-M1458),2)</x:f>
        <x:v>2291.36</x:v>
      </x:c>
      <x:c r="P1458" s="54" t="n">
        <x:f>ROUND(J1458*L1458,2)</x:f>
        <x:v>1389.39</x:v>
      </x:c>
      <x:c r="Q1458" s="54" t="n">
        <x:f>ROUND(O1458-P1458,2)</x:f>
        <x:v>901.97</x:v>
      </x:c>
      <x:c r="R1458" s="55" t="n">
        <x:f>IF(O1458=0,0,ROUND(Q1458/O1458,4))</x:f>
        <x:v>0.3936</x:v>
      </x:c>
      <x:c r="S1458" s="53" t="n">
        <x:v>4</x:v>
      </x:c>
      <x:c r="T1458" t="str">
        <x:v>Entregue</x:v>
      </x:c>
      <x:c r="U1458" t="n">
        <x:v>5</x:v>
      </x:c>
      <x:c r="V1458" t="str"/>
    </x:row>
    <x:row r="1459">
      <x:c r="A1459" s="52" t="n">
        <x:v>46120</x:v>
      </x:c>
      <x:c r="B1459" t="str">
        <x:v>PED-101458</x:v>
      </x:c>
      <x:c r="C1459" t="str">
        <x:v>Cliente 018</x:v>
      </x:c>
      <x:c r="D1459" t="str">
        <x:v>RJ</x:v>
      </x:c>
      <x:c r="E1459" t="str">
        <x:v>Sudeste</x:v>
      </x:c>
      <x:c r="F1459" t="str">
        <x:v>E-commerce</x:v>
      </x:c>
      <x:c r="G1459" t="str">
        <x:v>Escritório</x:v>
      </x:c>
      <x:c r="H1459" t="str">
        <x:v>Luminária LED</x:v>
      </x:c>
      <x:c r="I1459" t="str">
        <x:v>Felipe</x:v>
      </x:c>
      <x:c r="J1459" s="53" t="n">
        <x:v>7</x:v>
      </x:c>
      <x:c r="K1459" s="54" t="n">
        <x:v>256.35</x:v>
      </x:c>
      <x:c r="L1459" s="54" t="n">
        <x:v>121.36</x:v>
      </x:c>
      <x:c r="M1459" s="55" t="n">
        <x:v>0.0828</x:v>
      </x:c>
      <x:c r="N1459" s="54" t="n">
        <x:f>ROUND(J1459*K1459,2)</x:f>
        <x:v>1794.45</x:v>
      </x:c>
      <x:c r="O1459" s="54" t="n">
        <x:f>ROUND(N1459*(1-M1459),2)</x:f>
        <x:v>1645.87</x:v>
      </x:c>
      <x:c r="P1459" s="54" t="n">
        <x:f>ROUND(J1459*L1459,2)</x:f>
        <x:v>849.52</x:v>
      </x:c>
      <x:c r="Q1459" s="54" t="n">
        <x:f>ROUND(O1459-P1459,2)</x:f>
        <x:v>796.35</x:v>
      </x:c>
      <x:c r="R1459" s="55" t="n">
        <x:f>IF(O1459=0,0,ROUND(Q1459/O1459,4))</x:f>
        <x:v>0.4838</x:v>
      </x:c>
      <x:c r="S1459" s="53" t="n">
        <x:v>3</x:v>
      </x:c>
      <x:c r="T1459" t="str">
        <x:v>Entregue</x:v>
      </x:c>
      <x:c r="U1459" t="n">
        <x:v>2</x:v>
      </x:c>
      <x:c r="V1459" t="str"/>
    </x:row>
    <x:row r="1460">
      <x:c r="A1460" s="52" t="n">
        <x:v>46077</x:v>
      </x:c>
      <x:c r="B1460" t="str">
        <x:v>PED-101459</x:v>
      </x:c>
      <x:c r="C1460" t="str">
        <x:v>Cliente 038</x:v>
      </x:c>
      <x:c r="D1460" t="str">
        <x:v>GO</x:v>
      </x:c>
      <x:c r="E1460" t="str">
        <x:v>Centro-Oeste</x:v>
      </x:c>
      <x:c r="F1460" t="str">
        <x:v>Marketplace</x:v>
      </x:c>
      <x:c r="G1460" t="str">
        <x:v>Acessórios</x:v>
      </x:c>
      <x:c r="H1460" t="str">
        <x:v>Webcam HD</x:v>
      </x:c>
      <x:c r="I1460" t="str">
        <x:v>Felipe</x:v>
      </x:c>
      <x:c r="J1460" s="53" t="n">
        <x:v>2</x:v>
      </x:c>
      <x:c r="K1460" s="54" t="n">
        <x:v>518.25</x:v>
      </x:c>
      <x:c r="L1460" s="54" t="n">
        <x:v>244.43</x:v>
      </x:c>
      <x:c r="M1460" s="55" t="n">
        <x:v>0.035</x:v>
      </x:c>
      <x:c r="N1460" s="54" t="n">
        <x:f>ROUND(J1460*K1460,2)</x:f>
        <x:v>1036.5</x:v>
      </x:c>
      <x:c r="O1460" s="54" t="n">
        <x:f>ROUND(N1460*(1-M1460),2)</x:f>
        <x:v>1000.22</x:v>
      </x:c>
      <x:c r="P1460" s="54" t="n">
        <x:f>ROUND(J1460*L1460,2)</x:f>
        <x:v>488.86</x:v>
      </x:c>
      <x:c r="Q1460" s="54" t="n">
        <x:f>ROUND(O1460-P1460,2)</x:f>
        <x:v>511.36</x:v>
      </x:c>
      <x:c r="R1460" s="55" t="n">
        <x:f>IF(O1460=0,0,ROUND(Q1460/O1460,4))</x:f>
        <x:v>0.5112</x:v>
      </x:c>
      <x:c r="S1460" s="53" t="n">
        <x:v>11</x:v>
      </x:c>
      <x:c r="T1460" t="str">
        <x:v>Entregue com atraso</x:v>
      </x:c>
      <x:c r="U1460" t="n">
        <x:v>5</x:v>
      </x:c>
      <x:c r="V1460" t="str"/>
    </x:row>
    <x:row r="1461">
      <x:c r="A1461" s="52" t="n">
        <x:v>46224</x:v>
      </x:c>
      <x:c r="B1461" t="str">
        <x:v>PED-101460</x:v>
      </x:c>
      <x:c r="C1461" t="str">
        <x:v>Cliente 097</x:v>
      </x:c>
      <x:c r="D1461" t="str">
        <x:v>SP</x:v>
      </x:c>
      <x:c r="E1461" t="str">
        <x:v>Sudeste</x:v>
      </x:c>
      <x:c r="F1461" t="str">
        <x:v>Marketplace</x:v>
      </x:c>
      <x:c r="G1461" t="str">
        <x:v>Tecnologia</x:v>
      </x:c>
      <x:c r="H1461" t="str">
        <x:v>Monitor 27</x:v>
      </x:c>
      <x:c r="I1461" t="str">
        <x:v>Felipe</x:v>
      </x:c>
      <x:c r="J1461" s="53" t="n">
        <x:v>8</x:v>
      </x:c>
      <x:c r="K1461" s="54" t="n">
        <x:v>1630.41</x:v>
      </x:c>
      <x:c r="L1461" s="54" t="n">
        <x:v>1121.86</x:v>
      </x:c>
      <x:c r="M1461" s="55" t="n">
        <x:v>0.0676</x:v>
      </x:c>
      <x:c r="N1461" s="54" t="n">
        <x:f>ROUND(J1461*K1461,2)</x:f>
        <x:v>13043.28</x:v>
      </x:c>
      <x:c r="O1461" s="54" t="n">
        <x:f>ROUND(N1461*(1-M1461),2)</x:f>
        <x:v>12161.55</x:v>
      </x:c>
      <x:c r="P1461" s="54" t="n">
        <x:f>ROUND(J1461*L1461,2)</x:f>
        <x:v>8974.88</x:v>
      </x:c>
      <x:c r="Q1461" s="54" t="n">
        <x:f>ROUND(O1461-P1461,2)</x:f>
        <x:v>3186.67</x:v>
      </x:c>
      <x:c r="R1461" s="55" t="n">
        <x:f>IF(O1461=0,0,ROUND(Q1461/O1461,4))</x:f>
        <x:v>0.262</x:v>
      </x:c>
      <x:c r="S1461" s="53" t="n">
        <x:v>6</x:v>
      </x:c>
      <x:c r="T1461" t="str">
        <x:v>Cancelado</x:v>
      </x:c>
      <x:c r="U1461"/>
      <x:c r="V1461" t="str"/>
    </x:row>
    <x:row r="1462">
      <x:c r="A1462" s="52" t="n">
        <x:v>46130</x:v>
      </x:c>
      <x:c r="B1462" t="str">
        <x:v>PED-101461</x:v>
      </x:c>
      <x:c r="C1462" t="str">
        <x:v>Cliente 093</x:v>
      </x:c>
      <x:c r="D1462" t="str">
        <x:v>PR</x:v>
      </x:c>
      <x:c r="E1462" t="str">
        <x:v>Sul</x:v>
      </x:c>
      <x:c r="F1462" t="str">
        <x:v>Loja</x:v>
      </x:c>
      <x:c r="G1462" t="str">
        <x:v>Tecnologia</x:v>
      </x:c>
      <x:c r="H1462" t="str">
        <x:v>Monitor 27</x:v>
      </x:c>
      <x:c r="I1462" t="str">
        <x:v>Isabela</x:v>
      </x:c>
      <x:c r="J1462" s="53" t="n">
        <x:v>2</x:v>
      </x:c>
      <x:c r="K1462" s="54" t="n">
        <x:v>1763.27</x:v>
      </x:c>
      <x:c r="L1462" s="54" t="n">
        <x:v>1133.78</x:v>
      </x:c>
      <x:c r="M1462" s="55" t="n">
        <x:v>0.0915</x:v>
      </x:c>
      <x:c r="N1462" s="54" t="n">
        <x:f>ROUND(J1462*K1462,2)</x:f>
        <x:v>3526.54</x:v>
      </x:c>
      <x:c r="O1462" s="54" t="n">
        <x:f>ROUND(N1462*(1-M1462),2)</x:f>
        <x:v>3203.86</x:v>
      </x:c>
      <x:c r="P1462" s="54" t="n">
        <x:f>ROUND(J1462*L1462,2)</x:f>
        <x:v>2267.56</x:v>
      </x:c>
      <x:c r="Q1462" s="54" t="n">
        <x:f>ROUND(O1462-P1462,2)</x:f>
        <x:v>936.3</x:v>
      </x:c>
      <x:c r="R1462" s="55" t="n">
        <x:f>IF(O1462=0,0,ROUND(Q1462/O1462,4))</x:f>
        <x:v>0.2922</x:v>
      </x:c>
      <x:c r="S1462" s="53" t="n">
        <x:v>31</x:v>
      </x:c>
      <x:c r="T1462" t="str">
        <x:v>Entregue com atraso</x:v>
      </x:c>
      <x:c r="U1462" t="n">
        <x:v>2</x:v>
      </x:c>
      <x:c r="V1462" t="str">
        <x:v>Ocorrência logística</x:v>
      </x:c>
    </x:row>
    <x:row r="1463">
      <x:c r="A1463" s="52" t="n">
        <x:v>46089</x:v>
      </x:c>
      <x:c r="B1463" t="str">
        <x:v>PED-101462</x:v>
      </x:c>
      <x:c r="C1463" t="str">
        <x:v>Cliente 042</x:v>
      </x:c>
      <x:c r="D1463" t="str">
        <x:v>RS</x:v>
      </x:c>
      <x:c r="E1463" t="str">
        <x:v>Sul</x:v>
      </x:c>
      <x:c r="F1463" t="str">
        <x:v>Loja</x:v>
      </x:c>
      <x:c r="G1463" t="str">
        <x:v>Casa</x:v>
      </x:c>
      <x:c r="H1463" t="str">
        <x:v>Cafeteira Smart</x:v>
      </x:c>
      <x:c r="I1463" t="str">
        <x:v>Bruno</x:v>
      </x:c>
      <x:c r="J1463" s="53" t="n">
        <x:v>6</x:v>
      </x:c>
      <x:c r="K1463" s="54" t="n">
        <x:v>750.45</x:v>
      </x:c>
      <x:c r="L1463" s="54" t="n">
        <x:v>467.89</x:v>
      </x:c>
      <x:c r="M1463" s="55" t="n">
        <x:v>0.0987</x:v>
      </x:c>
      <x:c r="N1463" s="54" t="n">
        <x:f>ROUND(J1463*K1463,2)</x:f>
        <x:v>4502.7</x:v>
      </x:c>
      <x:c r="O1463" s="54" t="n">
        <x:f>ROUND(N1463*(1-M1463),2)</x:f>
        <x:v>4058.28</x:v>
      </x:c>
      <x:c r="P1463" s="54" t="n">
        <x:f>ROUND(J1463*L1463,2)</x:f>
        <x:v>2807.34</x:v>
      </x:c>
      <x:c r="Q1463" s="54" t="n">
        <x:f>ROUND(O1463-P1463,2)</x:f>
        <x:v>1250.94</x:v>
      </x:c>
      <x:c r="R1463" s="55" t="n">
        <x:f>IF(O1463=0,0,ROUND(Q1463/O1463,4))</x:f>
        <x:v>0.3082</x:v>
      </x:c>
      <x:c r="S1463" s="53" t="n">
        <x:v>14</x:v>
      </x:c>
      <x:c r="T1463" t="str">
        <x:v>Entregue com atraso</x:v>
      </x:c>
      <x:c r="U1463" t="n">
        <x:v>4</x:v>
      </x:c>
      <x:c r="V1463" t="str"/>
    </x:row>
    <x:row r="1464">
      <x:c r="A1464" s="52" t="n">
        <x:v>46138</x:v>
      </x:c>
      <x:c r="B1464" t="str">
        <x:v>PED-101463</x:v>
      </x:c>
      <x:c r="C1464" t="str">
        <x:v>Cliente 025</x:v>
      </x:c>
      <x:c r="D1464" t="str">
        <x:v>CE</x:v>
      </x:c>
      <x:c r="E1464" t="str">
        <x:v>Nordeste</x:v>
      </x:c>
      <x:c r="F1464" t="str">
        <x:v>Marketplace</x:v>
      </x:c>
      <x:c r="G1464" t="str">
        <x:v>Casa</x:v>
      </x:c>
      <x:c r="H1464" t="str">
        <x:v>Cafeteira Smart</x:v>
      </x:c>
      <x:c r="I1464" t="str">
        <x:v>Bruno</x:v>
      </x:c>
      <x:c r="J1464" s="53" t="n">
        <x:v>8</x:v>
      </x:c>
      <x:c r="K1464" s="54" t="n">
        <x:v>752.99</x:v>
      </x:c>
      <x:c r="L1464" s="54" t="n">
        <x:v>452.99</x:v>
      </x:c>
      <x:c r="M1464" s="55" t="n">
        <x:v>0.1325</x:v>
      </x:c>
      <x:c r="N1464" s="54" t="n">
        <x:f>ROUND(J1464*K1464,2)</x:f>
        <x:v>6023.92</x:v>
      </x:c>
      <x:c r="O1464" s="54" t="n">
        <x:f>ROUND(N1464*(1-M1464),2)</x:f>
        <x:v>5225.75</x:v>
      </x:c>
      <x:c r="P1464" s="54" t="n">
        <x:f>ROUND(J1464*L1464,2)</x:f>
        <x:v>3623.92</x:v>
      </x:c>
      <x:c r="Q1464" s="54" t="n">
        <x:f>ROUND(O1464-P1464,2)</x:f>
        <x:v>1601.83</x:v>
      </x:c>
      <x:c r="R1464" s="55" t="n">
        <x:f>IF(O1464=0,0,ROUND(Q1464/O1464,4))</x:f>
        <x:v>0.3065</x:v>
      </x:c>
      <x:c r="S1464" s="53" t="n">
        <x:v>12</x:v>
      </x:c>
      <x:c r="T1464" t="str">
        <x:v>Entregue com atraso</x:v>
      </x:c>
      <x:c r="U1464" t="n">
        <x:v>5</x:v>
      </x:c>
      <x:c r="V1464" t="str"/>
    </x:row>
    <x:row r="1465">
      <x:c r="A1465" s="52" t="n">
        <x:v>46078</x:v>
      </x:c>
      <x:c r="B1465" t="str">
        <x:v>PED-101464</x:v>
      </x:c>
      <x:c r="C1465" t="str">
        <x:v>Cliente 014</x:v>
      </x:c>
      <x:c r="D1465" t="str">
        <x:v>DF</x:v>
      </x:c>
      <x:c r="E1465" t="str">
        <x:v>Centro-Oeste</x:v>
      </x:c>
      <x:c r="F1465" t="str">
        <x:v>Loja</x:v>
      </x:c>
      <x:c r="G1465" t="str">
        <x:v>Acessórios</x:v>
      </x:c>
      <x:c r="H1465" t="str">
        <x:v>Mochila Executiva</x:v>
      </x:c>
      <x:c r="I1465" t="str">
        <x:v>Isabela</x:v>
      </x:c>
      <x:c r="J1465" s="53" t="n">
        <x:v>2</x:v>
      </x:c>
      <x:c r="K1465" s="54" t="n">
        <x:v>425.2</x:v>
      </x:c>
      <x:c r="L1465" s="54" t="n">
        <x:v>190.76</x:v>
      </x:c>
      <x:c r="M1465" s="55" t="n">
        <x:v>0.0754</x:v>
      </x:c>
      <x:c r="N1465" s="54" t="n">
        <x:f>ROUND(J1465*K1465,2)</x:f>
        <x:v>850.4</x:v>
      </x:c>
      <x:c r="O1465" s="54" t="n">
        <x:f>ROUND(N1465*(1-M1465),2)</x:f>
        <x:v>786.28</x:v>
      </x:c>
      <x:c r="P1465" s="54" t="n">
        <x:f>ROUND(J1465*L1465,2)</x:f>
        <x:v>381.52</x:v>
      </x:c>
      <x:c r="Q1465" s="54" t="n">
        <x:f>ROUND(O1465-P1465,2)</x:f>
        <x:v>404.76</x:v>
      </x:c>
      <x:c r="R1465" s="55" t="n">
        <x:f>IF(O1465=0,0,ROUND(Q1465/O1465,4))</x:f>
        <x:v>0.5148</x:v>
      </x:c>
      <x:c r="S1465" s="53" t="n">
        <x:v>11</x:v>
      </x:c>
      <x:c r="T1465" t="str">
        <x:v>Entregue com atraso</x:v>
      </x:c>
      <x:c r="U1465" t="n">
        <x:v>2</x:v>
      </x:c>
      <x:c r="V1465" t="str"/>
    </x:row>
    <x:row r="1466">
      <x:c r="A1466" s="52" t="n">
        <x:v>46050</x:v>
      </x:c>
      <x:c r="B1466" t="str">
        <x:v>PED-101465</x:v>
      </x:c>
      <x:c r="C1466" t="str">
        <x:v>Cliente 020</x:v>
      </x:c>
      <x:c r="D1466" t="str">
        <x:v>PE</x:v>
      </x:c>
      <x:c r="E1466" t="str">
        <x:v>Nordeste</x:v>
      </x:c>
      <x:c r="F1466" t="str">
        <x:v>Televendas</x:v>
      </x:c>
      <x:c r="G1466" t="str">
        <x:v>Casa</x:v>
      </x:c>
      <x:c r="H1466" t="str">
        <x:v>Purificador</x:v>
      </x:c>
      <x:c r="I1466" t="str">
        <x:v>Isabela</x:v>
      </x:c>
      <x:c r="J1466" s="53" t="n">
        <x:v>1</x:v>
      </x:c>
      <x:c r="K1466" s="54" t="n">
        <x:v>1247.9</x:v>
      </x:c>
      <x:c r="L1466" s="54" t="n">
        <x:v>819.78</x:v>
      </x:c>
      <x:c r="M1466" s="55" t="n">
        <x:v>0</x:v>
      </x:c>
      <x:c r="N1466" s="54" t="n">
        <x:f>ROUND(J1466*K1466,2)</x:f>
        <x:v>1247.9</x:v>
      </x:c>
      <x:c r="O1466" s="54" t="n">
        <x:f>ROUND(N1466*(1-M1466),2)</x:f>
        <x:v>1247.9</x:v>
      </x:c>
      <x:c r="P1466" s="54" t="n">
        <x:f>ROUND(J1466*L1466,2)</x:f>
        <x:v>819.78</x:v>
      </x:c>
      <x:c r="Q1466" s="54" t="n">
        <x:f>ROUND(O1466-P1466,2)</x:f>
        <x:v>428.12</x:v>
      </x:c>
      <x:c r="R1466" s="55" t="n">
        <x:f>IF(O1466=0,0,ROUND(Q1466/O1466,4))</x:f>
        <x:v>0.3431</x:v>
      </x:c>
      <x:c r="S1466" s="53" t="n">
        <x:v>13</x:v>
      </x:c>
      <x:c r="T1466" t="str">
        <x:v>Entregue com atraso</x:v>
      </x:c>
      <x:c r="U1466" t="n">
        <x:v>5</x:v>
      </x:c>
      <x:c r="V1466" t="str"/>
    </x:row>
    <x:row r="1467">
      <x:c r="A1467" s="52" t="n">
        <x:v>46136</x:v>
      </x:c>
      <x:c r="B1467" t="str">
        <x:v>PED-101466</x:v>
      </x:c>
      <x:c r="C1467" t="str">
        <x:v>Cliente 047</x:v>
      </x:c>
      <x:c r="D1467" t="str">
        <x:v>MT</x:v>
      </x:c>
      <x:c r="E1467" t="str">
        <x:v>Centro-Oeste</x:v>
      </x:c>
      <x:c r="F1467" t="str">
        <x:v>E-commerce</x:v>
      </x:c>
      <x:c r="G1467" t="str">
        <x:v>Escritório</x:v>
      </x:c>
      <x:c r="H1467" t="str">
        <x:v>Cadeira Ergonômica</x:v>
      </x:c>
      <x:c r="I1467" t="str">
        <x:v>Isabela</x:v>
      </x:c>
      <x:c r="J1467" s="53" t="n">
        <x:v>8</x:v>
      </x:c>
      <x:c r="K1467" s="54" t="n">
        <x:v>2315.69</x:v>
      </x:c>
      <x:c r="L1467" s="54" t="n">
        <x:v>1471.5</x:v>
      </x:c>
      <x:c r="M1467" s="55" t="n">
        <x:v>0.0963</x:v>
      </x:c>
      <x:c r="N1467" s="54" t="n">
        <x:f>ROUND(J1467*K1467,2)</x:f>
        <x:v>18525.52</x:v>
      </x:c>
      <x:c r="O1467" s="54" t="n">
        <x:f>ROUND(N1467*(1-M1467),2)</x:f>
        <x:v>16741.51</x:v>
      </x:c>
      <x:c r="P1467" s="54" t="n">
        <x:f>ROUND(J1467*L1467,2)</x:f>
        <x:v>11772</x:v>
      </x:c>
      <x:c r="Q1467" s="54" t="n">
        <x:f>ROUND(O1467-P1467,2)</x:f>
        <x:v>4969.51</x:v>
      </x:c>
      <x:c r="R1467" s="55" t="n">
        <x:f>IF(O1467=0,0,ROUND(Q1467/O1467,4))</x:f>
        <x:v>0.2968</x:v>
      </x:c>
      <x:c r="S1467" s="53" t="n">
        <x:v>6</x:v>
      </x:c>
      <x:c r="T1467" t="str">
        <x:v>Entregue</x:v>
      </x:c>
      <x:c r="U1467" t="n">
        <x:v>3</x:v>
      </x:c>
      <x:c r="V1467" t="str"/>
    </x:row>
    <x:row r="1468">
      <x:c r="A1468" s="52" t="n">
        <x:v>46231</x:v>
      </x:c>
      <x:c r="B1468" t="str">
        <x:v>PED-101467</x:v>
      </x:c>
      <x:c r="C1468" t="str">
        <x:v>Cliente 107</x:v>
      </x:c>
      <x:c r="D1468" t="str">
        <x:v>ES</x:v>
      </x:c>
      <x:c r="E1468" t="str">
        <x:v>Sudeste</x:v>
      </x:c>
      <x:c r="F1468" t="str">
        <x:v>E-commerce</x:v>
      </x:c>
      <x:c r="G1468" t="str">
        <x:v>Tecnologia</x:v>
      </x:c>
      <x:c r="H1468" t="str">
        <x:v>Notebook Pro</x:v>
      </x:c>
      <x:c r="I1468" t="str">
        <x:v>Isabela</x:v>
      </x:c>
      <x:c r="J1468" s="53" t="n">
        <x:v>7</x:v>
      </x:c>
      <x:c r="K1468" s="54" t="n">
        <x:v>5694.85</x:v>
      </x:c>
      <x:c r="L1468" s="54" t="n">
        <x:v>4365.12</x:v>
      </x:c>
      <x:c r="M1468" s="55" t="n">
        <x:v>0.0823</x:v>
      </x:c>
      <x:c r="N1468" s="54" t="n">
        <x:f>ROUND(J1468*K1468,2)</x:f>
        <x:v>39863.95</x:v>
      </x:c>
      <x:c r="O1468" s="54" t="n">
        <x:f>ROUND(N1468*(1-M1468),2)</x:f>
        <x:v>36583.15</x:v>
      </x:c>
      <x:c r="P1468" s="54" t="n">
        <x:f>ROUND(J1468*L1468,2)</x:f>
        <x:v>30555.84</x:v>
      </x:c>
      <x:c r="Q1468" s="54" t="n">
        <x:f>ROUND(O1468-P1468,2)</x:f>
        <x:v>6027.31</x:v>
      </x:c>
      <x:c r="R1468" s="55" t="n">
        <x:f>IF(O1468=0,0,ROUND(Q1468/O1468,4))</x:f>
        <x:v>0.1648</x:v>
      </x:c>
      <x:c r="S1468" s="53" t="n">
        <x:v>9</x:v>
      </x:c>
      <x:c r="T1468" t="str">
        <x:v>Entregue</x:v>
      </x:c>
      <x:c r="U1468" t="n">
        <x:v>4</x:v>
      </x:c>
      <x:c r="V1468" t="str"/>
    </x:row>
    <x:row r="1469">
      <x:c r="A1469" s="52" t="n">
        <x:v>46190</x:v>
      </x:c>
      <x:c r="B1469" t="str">
        <x:v>PED-101468</x:v>
      </x:c>
      <x:c r="C1469" t="str">
        <x:v>Cliente 108</x:v>
      </x:c>
      <x:c r="D1469" t="str">
        <x:v>PA</x:v>
      </x:c>
      <x:c r="E1469" t="str">
        <x:v>Norte</x:v>
      </x:c>
      <x:c r="F1469" t="str">
        <x:v>Televendas</x:v>
      </x:c>
      <x:c r="G1469" t="str">
        <x:v>Tecnologia</x:v>
      </x:c>
      <x:c r="H1469" t="str">
        <x:v>Notebook Pro</x:v>
      </x:c>
      <x:c r="I1469" t="str">
        <x:v>João</x:v>
      </x:c>
      <x:c r="J1469" s="53" t="n">
        <x:v>4</x:v>
      </x:c>
      <x:c r="K1469" s="54" t="n">
        <x:v>6084.34</x:v>
      </x:c>
      <x:c r="L1469" s="54" t="n">
        <x:v>4333.55</x:v>
      </x:c>
      <x:c r="M1469" s="55" t="n">
        <x:v>0</x:v>
      </x:c>
      <x:c r="N1469" s="54" t="n">
        <x:f>ROUND(J1469*K1469,2)</x:f>
        <x:v>24337.36</x:v>
      </x:c>
      <x:c r="O1469" s="54" t="n">
        <x:f>ROUND(N1469*(1-M1469),2)</x:f>
        <x:v>24337.36</x:v>
      </x:c>
      <x:c r="P1469" s="54" t="n">
        <x:f>ROUND(J1469*L1469,2)</x:f>
        <x:v>17334.2</x:v>
      </x:c>
      <x:c r="Q1469" s="54" t="n">
        <x:f>ROUND(O1469-P1469,2)</x:f>
        <x:v>7003.16</x:v>
      </x:c>
      <x:c r="R1469" s="55" t="n">
        <x:f>IF(O1469=0,0,ROUND(Q1469/O1469,4))</x:f>
        <x:v>0.2878</x:v>
      </x:c>
      <x:c r="S1469" s="53" t="n">
        <x:v>9</x:v>
      </x:c>
      <x:c r="T1469" t="str">
        <x:v>Entregue</x:v>
      </x:c>
      <x:c r="U1469" t="n">
        <x:v>3</x:v>
      </x:c>
      <x:c r="V1469" t="str"/>
    </x:row>
    <x:row r="1470">
      <x:c r="A1470" s="52" t="n">
        <x:v>46142</x:v>
      </x:c>
      <x:c r="B1470" t="str">
        <x:v>PED-101469</x:v>
      </x:c>
      <x:c r="C1470" t="str">
        <x:v>Cliente 075</x:v>
      </x:c>
      <x:c r="D1470" t="str">
        <x:v>MT</x:v>
      </x:c>
      <x:c r="E1470" t="str">
        <x:v>Centro-Oeste</x:v>
      </x:c>
      <x:c r="F1470" t="str">
        <x:v>E-commerce</x:v>
      </x:c>
      <x:c r="G1470" t="str">
        <x:v>Tecnologia</x:v>
      </x:c>
      <x:c r="H1470" t="str">
        <x:v>Headset Office</x:v>
      </x:c>
      <x:c r="I1470" t="str">
        <x:v>João</x:v>
      </x:c>
      <x:c r="J1470" s="53" t="n">
        <x:v>1</x:v>
      </x:c>
      <x:c r="K1470" s="54" t="n">
        <x:v>374.29</x:v>
      </x:c>
      <x:c r="L1470" s="54" t="n">
        <x:v>215.89</x:v>
      </x:c>
      <x:c r="M1470" s="55" t="n">
        <x:v>0</x:v>
      </x:c>
      <x:c r="N1470" s="54" t="n">
        <x:f>ROUND(J1470*K1470,2)</x:f>
        <x:v>374.29</x:v>
      </x:c>
      <x:c r="O1470" s="54" t="n">
        <x:f>ROUND(N1470*(1-M1470),2)</x:f>
        <x:v>374.29</x:v>
      </x:c>
      <x:c r="P1470" s="54" t="n">
        <x:f>ROUND(J1470*L1470,2)</x:f>
        <x:v>215.89</x:v>
      </x:c>
      <x:c r="Q1470" s="54" t="n">
        <x:f>ROUND(O1470-P1470,2)</x:f>
        <x:v>158.4</x:v>
      </x:c>
      <x:c r="R1470" s="55" t="n">
        <x:f>IF(O1470=0,0,ROUND(Q1470/O1470,4))</x:f>
        <x:v>0.4232</x:v>
      </x:c>
      <x:c r="S1470" s="53" t="n">
        <x:v>12</x:v>
      </x:c>
      <x:c r="T1470" t="str">
        <x:v>Entregue com atraso</x:v>
      </x:c>
      <x:c r="U1470" t="n">
        <x:v>5</x:v>
      </x:c>
      <x:c r="V1470" t="str"/>
    </x:row>
    <x:row r="1471">
      <x:c r="A1471" s="52" t="n">
        <x:v>46210</x:v>
      </x:c>
      <x:c r="B1471" t="str">
        <x:v>PED-101470</x:v>
      </x:c>
      <x:c r="C1471" t="str">
        <x:v>Cliente 078</x:v>
      </x:c>
      <x:c r="D1471" t="str">
        <x:v>SP</x:v>
      </x:c>
      <x:c r="E1471" t="str">
        <x:v>Sudeste</x:v>
      </x:c>
      <x:c r="F1471" t="str">
        <x:v>E-commerce</x:v>
      </x:c>
      <x:c r="G1471" t="str">
        <x:v>Tecnologia</x:v>
      </x:c>
      <x:c r="H1471" t="str">
        <x:v>Headset Office</x:v>
      </x:c>
      <x:c r="I1471" t="str">
        <x:v>Diego</x:v>
      </x:c>
      <x:c r="J1471" s="53" t="n">
        <x:v>8</x:v>
      </x:c>
      <x:c r="K1471" s="54" t="n">
        <x:v>376.68</x:v>
      </x:c>
      <x:c r="L1471" s="54" t="n">
        <x:v>205.7</x:v>
      </x:c>
      <x:c r="M1471" s="55" t="n">
        <x:v>0</x:v>
      </x:c>
      <x:c r="N1471" s="54" t="n">
        <x:f>ROUND(J1471*K1471,2)</x:f>
        <x:v>3013.44</x:v>
      </x:c>
      <x:c r="O1471" s="54" t="n">
        <x:f>ROUND(N1471*(1-M1471),2)</x:f>
        <x:v>3013.44</x:v>
      </x:c>
      <x:c r="P1471" s="54" t="n">
        <x:f>ROUND(J1471*L1471,2)</x:f>
        <x:v>1645.6</x:v>
      </x:c>
      <x:c r="Q1471" s="54" t="n">
        <x:f>ROUND(O1471-P1471,2)</x:f>
        <x:v>1367.84</x:v>
      </x:c>
      <x:c r="R1471" s="55" t="n">
        <x:f>IF(O1471=0,0,ROUND(Q1471/O1471,4))</x:f>
        <x:v>0.4539</x:v>
      </x:c>
      <x:c r="S1471" s="53" t="n">
        <x:v>3</x:v>
      </x:c>
      <x:c r="T1471" t="str">
        <x:v>Entregue</x:v>
      </x:c>
      <x:c r="U1471" t="n">
        <x:v>2</x:v>
      </x:c>
      <x:c r="V1471" t="str"/>
    </x:row>
    <x:row r="1472">
      <x:c r="A1472" s="52" t="n">
        <x:v>46059</x:v>
      </x:c>
      <x:c r="B1472" t="str">
        <x:v>PED-101471</x:v>
      </x:c>
      <x:c r="C1472" t="str">
        <x:v>Cliente 049</x:v>
      </x:c>
      <x:c r="D1472" t="str">
        <x:v>RS</x:v>
      </x:c>
      <x:c r="E1472" t="str">
        <x:v>Sul</x:v>
      </x:c>
      <x:c r="F1472" t="str">
        <x:v>E-commerce</x:v>
      </x:c>
      <x:c r="G1472" t="str">
        <x:v>Acessórios</x:v>
      </x:c>
      <x:c r="H1472" t="str">
        <x:v>Webcam HD</x:v>
      </x:c>
      <x:c r="I1472" t="str">
        <x:v>Felipe</x:v>
      </x:c>
      <x:c r="J1472" s="53" t="n">
        <x:v>5</x:v>
      </x:c>
      <x:c r="K1472" s="54" t="n">
        <x:v>514.2</x:v>
      </x:c>
      <x:c r="L1472" s="54" t="n">
        <x:v>236.14</x:v>
      </x:c>
      <x:c r="M1472" s="55" t="n">
        <x:v>0.0608</x:v>
      </x:c>
      <x:c r="N1472" s="54" t="n">
        <x:f>ROUND(J1472*K1472,2)</x:f>
        <x:v>2571</x:v>
      </x:c>
      <x:c r="O1472" s="54" t="n">
        <x:f>ROUND(N1472*(1-M1472),2)</x:f>
        <x:v>2414.68</x:v>
      </x:c>
      <x:c r="P1472" s="54" t="n">
        <x:f>ROUND(J1472*L1472,2)</x:f>
        <x:v>1180.7</x:v>
      </x:c>
      <x:c r="Q1472" s="54" t="n">
        <x:f>ROUND(O1472-P1472,2)</x:f>
        <x:v>1233.98</x:v>
      </x:c>
      <x:c r="R1472" s="55" t="n">
        <x:f>IF(O1472=0,0,ROUND(Q1472/O1472,4))</x:f>
        <x:v>0.511</x:v>
      </x:c>
      <x:c r="S1472" s="53" t="n">
        <x:v>8</x:v>
      </x:c>
      <x:c r="T1472" t="str">
        <x:v>Entregue</x:v>
      </x:c>
      <x:c r="U1472" t="n">
        <x:v>5</x:v>
      </x:c>
      <x:c r="V1472" t="str"/>
    </x:row>
    <x:row r="1473">
      <x:c r="A1473" s="52" t="n">
        <x:v>46152</x:v>
      </x:c>
      <x:c r="B1473" t="str">
        <x:v>PED-101472</x:v>
      </x:c>
      <x:c r="C1473" t="str">
        <x:v>Cliente 077</x:v>
      </x:c>
      <x:c r="D1473" t="str">
        <x:v>BA</x:v>
      </x:c>
      <x:c r="E1473" t="str">
        <x:v>Nordeste</x:v>
      </x:c>
      <x:c r="F1473" t="str">
        <x:v>Televendas</x:v>
      </x:c>
      <x:c r="G1473" t="str">
        <x:v>Acessórios</x:v>
      </x:c>
      <x:c r="H1473" t="str">
        <x:v>Mochila Executiva</x:v>
      </x:c>
      <x:c r="I1473" t="str">
        <x:v>Bruno</x:v>
      </x:c>
      <x:c r="J1473" s="53" t="n">
        <x:v>8</x:v>
      </x:c>
      <x:c r="K1473" s="54" t="n">
        <x:v>452.22</x:v>
      </x:c>
      <x:c r="L1473" s="54" t="n">
        <x:v>204.15</x:v>
      </x:c>
      <x:c r="M1473" s="55" t="n">
        <x:v>0.0524</x:v>
      </x:c>
      <x:c r="N1473" s="54" t="n">
        <x:f>ROUND(J1473*K1473,2)</x:f>
        <x:v>3617.76</x:v>
      </x:c>
      <x:c r="O1473" s="54" t="n">
        <x:f>ROUND(N1473*(1-M1473),2)</x:f>
        <x:v>3428.19</x:v>
      </x:c>
      <x:c r="P1473" s="54" t="n">
        <x:f>ROUND(J1473*L1473,2)</x:f>
        <x:v>1633.2</x:v>
      </x:c>
      <x:c r="Q1473" s="54" t="n">
        <x:f>ROUND(O1473-P1473,2)</x:f>
        <x:v>1794.99</x:v>
      </x:c>
      <x:c r="R1473" s="55" t="n">
        <x:f>IF(O1473=0,0,ROUND(Q1473/O1473,4))</x:f>
        <x:v>0.5236</x:v>
      </x:c>
      <x:c r="S1473" s="53" t="n">
        <x:v>11</x:v>
      </x:c>
      <x:c r="T1473" t="str">
        <x:v>Entregue com atraso</x:v>
      </x:c>
      <x:c r="U1473" t="n">
        <x:v>3</x:v>
      </x:c>
      <x:c r="V1473" t="str"/>
    </x:row>
    <x:row r="1474">
      <x:c r="A1474" s="52" t="n">
        <x:v>46202</x:v>
      </x:c>
      <x:c r="B1474" t="str">
        <x:v>PED-101473</x:v>
      </x:c>
      <x:c r="C1474" t="str">
        <x:v>Cliente 069</x:v>
      </x:c>
      <x:c r="D1474" t="str">
        <x:v>RJ</x:v>
      </x:c>
      <x:c r="E1474" t="str">
        <x:v>Sudeste</x:v>
      </x:c>
      <x:c r="F1474" t="str">
        <x:v>Loja</x:v>
      </x:c>
      <x:c r="G1474" t="str">
        <x:v>Casa</x:v>
      </x:c>
      <x:c r="H1474" t="str">
        <x:v>Cafeteira Smart</x:v>
      </x:c>
      <x:c r="I1474" t="str">
        <x:v>Felipe</x:v>
      </x:c>
      <x:c r="J1474" s="53" t="n">
        <x:v>8</x:v>
      </x:c>
      <x:c r="K1474" s="54" t="n">
        <x:v>774.94</x:v>
      </x:c>
      <x:c r="L1474" s="54" t="n">
        <x:v>444.7</x:v>
      </x:c>
      <x:c r="M1474" s="55" t="n">
        <x:v>0.0372</x:v>
      </x:c>
      <x:c r="N1474" s="54" t="n">
        <x:f>ROUND(J1474*K1474,2)</x:f>
        <x:v>6199.52</x:v>
      </x:c>
      <x:c r="O1474" s="54" t="n">
        <x:f>ROUND(N1474*(1-M1474),2)</x:f>
        <x:v>5968.9</x:v>
      </x:c>
      <x:c r="P1474" s="54" t="n">
        <x:f>ROUND(J1474*L1474,2)</x:f>
        <x:v>3557.6</x:v>
      </x:c>
      <x:c r="Q1474" s="54" t="n">
        <x:f>ROUND(O1474-P1474,2)</x:f>
        <x:v>2411.3</x:v>
      </x:c>
      <x:c r="R1474" s="55" t="n">
        <x:f>IF(O1474=0,0,ROUND(Q1474/O1474,4))</x:f>
        <x:v>0.404</x:v>
      </x:c>
      <x:c r="S1474" s="53" t="n">
        <x:v>12</x:v>
      </x:c>
      <x:c r="T1474" t="str">
        <x:v>Entregue com atraso</x:v>
      </x:c>
      <x:c r="U1474" t="n">
        <x:v>4</x:v>
      </x:c>
      <x:c r="V1474" t="str"/>
    </x:row>
    <x:row r="1475">
      <x:c r="A1475" s="52" t="n">
        <x:v>46188</x:v>
      </x:c>
      <x:c r="B1475" t="str">
        <x:v>PED-101474</x:v>
      </x:c>
      <x:c r="C1475" t="str">
        <x:v>Cliente 004</x:v>
      </x:c>
      <x:c r="D1475" t="str">
        <x:v>PE</x:v>
      </x:c>
      <x:c r="E1475" t="str">
        <x:v>Nordeste</x:v>
      </x:c>
      <x:c r="F1475" t="str">
        <x:v>E-commerce</x:v>
      </x:c>
      <x:c r="G1475" t="str">
        <x:v>Casa</x:v>
      </x:c>
      <x:c r="H1475" t="str">
        <x:v>Cafeteira Smart</x:v>
      </x:c>
      <x:c r="I1475" t="str">
        <x:v>Ana</x:v>
      </x:c>
      <x:c r="J1475" s="53" t="n">
        <x:v>6</x:v>
      </x:c>
      <x:c r="K1475" s="54" t="n">
        <x:v>794.54</x:v>
      </x:c>
      <x:c r="L1475" s="54" t="n">
        <x:v>473.66</x:v>
      </x:c>
      <x:c r="M1475" s="55" t="n">
        <x:v>0.0703</x:v>
      </x:c>
      <x:c r="N1475" s="54" t="n">
        <x:f>ROUND(J1475*K1475,2)</x:f>
        <x:v>4767.24</x:v>
      </x:c>
      <x:c r="O1475" s="54" t="n">
        <x:f>ROUND(N1475*(1-M1475),2)</x:f>
        <x:v>4432.1</x:v>
      </x:c>
      <x:c r="P1475" s="54" t="n">
        <x:f>ROUND(J1475*L1475,2)</x:f>
        <x:v>2841.96</x:v>
      </x:c>
      <x:c r="Q1475" s="54" t="n">
        <x:f>ROUND(O1475-P1475,2)</x:f>
        <x:v>1590.14</x:v>
      </x:c>
      <x:c r="R1475" s="55" t="n">
        <x:f>IF(O1475=0,0,ROUND(Q1475/O1475,4))</x:f>
        <x:v>0.3588</x:v>
      </x:c>
      <x:c r="S1475" s="53" t="n">
        <x:v>8</x:v>
      </x:c>
      <x:c r="T1475" t="str">
        <x:v>Entregue</x:v>
      </x:c>
      <x:c r="U1475" t="n">
        <x:v>2</x:v>
      </x:c>
      <x:c r="V1475" t="str"/>
    </x:row>
    <x:row r="1476">
      <x:c r="A1476" s="52" t="n">
        <x:v>46101</x:v>
      </x:c>
      <x:c r="B1476" t="str">
        <x:v>PED-101475</x:v>
      </x:c>
      <x:c r="C1476" t="str">
        <x:v>Cliente 062</x:v>
      </x:c>
      <x:c r="D1476" t="str">
        <x:v>RJ</x:v>
      </x:c>
      <x:c r="E1476" t="str">
        <x:v>Sudeste</x:v>
      </x:c>
      <x:c r="F1476" t="str">
        <x:v>Marketplace</x:v>
      </x:c>
      <x:c r="G1476" t="str">
        <x:v>Acessórios</x:v>
      </x:c>
      <x:c r="H1476" t="str">
        <x:v>Mochila Executiva</x:v>
      </x:c>
      <x:c r="I1476" t="str">
        <x:v>Felipe</x:v>
      </x:c>
      <x:c r="J1476" s="53" t="n">
        <x:v>5</x:v>
      </x:c>
      <x:c r="K1476" s="54" t="n">
        <x:v>407.24</x:v>
      </x:c>
      <x:c r="L1476" s="54" t="n">
        <x:v>183.7</x:v>
      </x:c>
      <x:c r="M1476" s="55" t="n">
        <x:v>0.035</x:v>
      </x:c>
      <x:c r="N1476" s="54" t="n">
        <x:f>ROUND(J1476*K1476,2)</x:f>
        <x:v>2036.2</x:v>
      </x:c>
      <x:c r="O1476" s="54" t="n">
        <x:f>ROUND(N1476*(1-M1476),2)</x:f>
        <x:v>1964.93</x:v>
      </x:c>
      <x:c r="P1476" s="54" t="n">
        <x:f>ROUND(J1476*L1476,2)</x:f>
        <x:v>918.5</x:v>
      </x:c>
      <x:c r="Q1476" s="54" t="n">
        <x:f>ROUND(O1476-P1476,2)</x:f>
        <x:v>1046.43</x:v>
      </x:c>
      <x:c r="R1476" s="55" t="n">
        <x:f>IF(O1476=0,0,ROUND(Q1476/O1476,4))</x:f>
        <x:v>0.5326</x:v>
      </x:c>
      <x:c r="S1476" s="53" t="n">
        <x:v>7</x:v>
      </x:c>
      <x:c r="T1476" t="str">
        <x:v>Entregue</x:v>
      </x:c>
      <x:c r="U1476" t="n">
        <x:v>4</x:v>
      </x:c>
      <x:c r="V1476" t="str"/>
    </x:row>
    <x:row r="1477">
      <x:c r="A1477" s="52" t="n">
        <x:v>46111</x:v>
      </x:c>
      <x:c r="B1477" t="str">
        <x:v>PED-101476</x:v>
      </x:c>
      <x:c r="C1477" t="str">
        <x:v>Cliente 056</x:v>
      </x:c>
      <x:c r="D1477" t="str">
        <x:v>MT</x:v>
      </x:c>
      <x:c r="E1477" t="str">
        <x:v>Centro-Oeste</x:v>
      </x:c>
      <x:c r="F1477" t="str">
        <x:v>Loja</x:v>
      </x:c>
      <x:c r="G1477" t="str">
        <x:v>Acessórios</x:v>
      </x:c>
      <x:c r="H1477" t="str">
        <x:v>Mochila Executiva</x:v>
      </x:c>
      <x:c r="I1477" t="str">
        <x:v>Ana</x:v>
      </x:c>
      <x:c r="J1477" s="53" t="n">
        <x:v>6</x:v>
      </x:c>
      <x:c r="K1477" s="54" t="n">
        <x:v>432.76</x:v>
      </x:c>
      <x:c r="L1477" s="54" t="n">
        <x:v>191.37</x:v>
      </x:c>
      <x:c r="M1477" s="55" t="n">
        <x:v>0</x:v>
      </x:c>
      <x:c r="N1477" s="54" t="n">
        <x:f>ROUND(J1477*K1477,2)</x:f>
        <x:v>2596.56</x:v>
      </x:c>
      <x:c r="O1477" s="54" t="n">
        <x:f>ROUND(N1477*(1-M1477),2)</x:f>
        <x:v>2596.56</x:v>
      </x:c>
      <x:c r="P1477" s="54" t="n">
        <x:f>ROUND(J1477*L1477,2)</x:f>
        <x:v>1148.22</x:v>
      </x:c>
      <x:c r="Q1477" s="54" t="n">
        <x:f>ROUND(O1477-P1477,2)</x:f>
        <x:v>1448.34</x:v>
      </x:c>
      <x:c r="R1477" s="55" t="n">
        <x:f>IF(O1477=0,0,ROUND(Q1477/O1477,4))</x:f>
        <x:v>0.5578</x:v>
      </x:c>
      <x:c r="S1477" s="53" t="n">
        <x:v>13</x:v>
      </x:c>
      <x:c r="T1477" t="str">
        <x:v>Entregue com atraso</x:v>
      </x:c>
      <x:c r="U1477" t="n">
        <x:v>3</x:v>
      </x:c>
      <x:c r="V1477" t="str"/>
    </x:row>
    <x:row r="1478">
      <x:c r="A1478" s="52" t="n">
        <x:v>46048</x:v>
      </x:c>
      <x:c r="B1478" t="str">
        <x:v>PED-101477</x:v>
      </x:c>
      <x:c r="C1478" t="str">
        <x:v>Cliente 115</x:v>
      </x:c>
      <x:c r="D1478" t="str">
        <x:v>PE</x:v>
      </x:c>
      <x:c r="E1478" t="str">
        <x:v>Nordeste</x:v>
      </x:c>
      <x:c r="F1478" t="str">
        <x:v>Loja</x:v>
      </x:c>
      <x:c r="G1478" t="str">
        <x:v>Acessórios</x:v>
      </x:c>
      <x:c r="H1478" t="str">
        <x:v>Webcam HD</x:v>
      </x:c>
      <x:c r="I1478" t="str">
        <x:v>Carla</x:v>
      </x:c>
      <x:c r="J1478" s="53" t="n">
        <x:v>7</x:v>
      </x:c>
      <x:c r="K1478" s="54" t="n">
        <x:v>534.65</x:v>
      </x:c>
      <x:c r="L1478" s="54" t="n">
        <x:v>254.87</x:v>
      </x:c>
      <x:c r="M1478" s="55" t="n">
        <x:v>0</x:v>
      </x:c>
      <x:c r="N1478" s="54" t="n">
        <x:f>ROUND(J1478*K1478,2)</x:f>
        <x:v>3742.55</x:v>
      </x:c>
      <x:c r="O1478" s="54" t="n">
        <x:f>ROUND(N1478*(1-M1478),2)</x:f>
        <x:v>3742.55</x:v>
      </x:c>
      <x:c r="P1478" s="54" t="n">
        <x:f>ROUND(J1478*L1478,2)</x:f>
        <x:v>1784.09</x:v>
      </x:c>
      <x:c r="Q1478" s="54" t="n">
        <x:f>ROUND(O1478-P1478,2)</x:f>
        <x:v>1958.46</x:v>
      </x:c>
      <x:c r="R1478" s="55" t="n">
        <x:f>IF(O1478=0,0,ROUND(Q1478/O1478,4))</x:f>
        <x:v>0.5233</x:v>
      </x:c>
      <x:c r="S1478" s="53" t="n">
        <x:v>2</x:v>
      </x:c>
      <x:c r="T1478" t="str">
        <x:v>Entregue</x:v>
      </x:c>
      <x:c r="U1478" t="n">
        <x:v>4</x:v>
      </x:c>
      <x:c r="V1478" t="str"/>
    </x:row>
    <x:row r="1479">
      <x:c r="A1479" s="52" t="n">
        <x:v>46198</x:v>
      </x:c>
      <x:c r="B1479" t="str">
        <x:v>PED-101478</x:v>
      </x:c>
      <x:c r="C1479" t="str">
        <x:v>Cliente 090</x:v>
      </x:c>
      <x:c r="D1479" t="str">
        <x:v>CE</x:v>
      </x:c>
      <x:c r="E1479" t="str">
        <x:v>Nordeste</x:v>
      </x:c>
      <x:c r="F1479" t="str">
        <x:v>E-commerce</x:v>
      </x:c>
      <x:c r="G1479" t="str">
        <x:v>Tecnologia</x:v>
      </x:c>
      <x:c r="H1479" t="str">
        <x:v>Monitor 27</x:v>
      </x:c>
      <x:c r="I1479" t="str">
        <x:v>Bruno</x:v>
      </x:c>
      <x:c r="J1479" s="53" t="n">
        <x:v>4</x:v>
      </x:c>
      <x:c r="K1479" s="54" t="n">
        <x:v>1597.23</x:v>
      </x:c>
      <x:c r="L1479" s="54" t="n">
        <x:v>1785.72</x:v>
      </x:c>
      <x:c r="M1479" s="55" t="n">
        <x:v>0.1015</x:v>
      </x:c>
      <x:c r="N1479" s="54" t="n">
        <x:f>ROUND(J1479*K1479,2)</x:f>
        <x:v>6388.92</x:v>
      </x:c>
      <x:c r="O1479" s="54" t="n">
        <x:f>ROUND(N1479*(1-M1479),2)</x:f>
        <x:v>5740.44</x:v>
      </x:c>
      <x:c r="P1479" s="54" t="n">
        <x:f>ROUND(J1479*L1479,2)</x:f>
        <x:v>7142.88</x:v>
      </x:c>
      <x:c r="Q1479" s="54" t="n">
        <x:f>ROUND(O1479-P1479,2)</x:f>
        <x:v>-1402.44</x:v>
      </x:c>
      <x:c r="R1479" s="55" t="n">
        <x:f>IF(O1479=0,0,ROUND(Q1479/O1479,4))</x:f>
        <x:v>-0.2443</x:v>
      </x:c>
      <x:c r="S1479" s="53" t="n">
        <x:v>6</x:v>
      </x:c>
      <x:c r="T1479" t="str">
        <x:v>Entregue</x:v>
      </x:c>
      <x:c r="U1479" t="n">
        <x:v>3</x:v>
      </x:c>
      <x:c r="V1479" t="str">
        <x:v>Custo revisado após fechamento</x:v>
      </x:c>
    </x:row>
    <x:row r="1480">
      <x:c r="A1480" s="52" t="n">
        <x:v>46126</x:v>
      </x:c>
      <x:c r="B1480" t="str">
        <x:v>PED-101479</x:v>
      </x:c>
      <x:c r="C1480" t="str">
        <x:v>Cliente 030</x:v>
      </x:c>
      <x:c r="D1480" t="str">
        <x:v>ES</x:v>
      </x:c>
      <x:c r="E1480" t="str">
        <x:v>Sudeste</x:v>
      </x:c>
      <x:c r="F1480" t="str">
        <x:v>E-commerce</x:v>
      </x:c>
      <x:c r="G1480" t="str">
        <x:v>Escritório</x:v>
      </x:c>
      <x:c r="H1480" t="str">
        <x:v>Luminária LED</x:v>
      </x:c>
      <x:c r="I1480" t="str">
        <x:v>Elaine</x:v>
      </x:c>
      <x:c r="J1480" s="53" t="n">
        <x:v>5</x:v>
      </x:c>
      <x:c r="K1480" s="54" t="n">
        <x:v>244.95</x:v>
      </x:c>
      <x:c r="L1480" s="54" t="n">
        <x:v>117.92</x:v>
      </x:c>
      <x:c r="M1480" s="55" t="n">
        <x:v>0.0637</x:v>
      </x:c>
      <x:c r="N1480" s="54" t="n">
        <x:f>ROUND(J1480*K1480,2)</x:f>
        <x:v>1224.75</x:v>
      </x:c>
      <x:c r="O1480" s="54" t="n">
        <x:f>ROUND(N1480*(1-M1480),2)</x:f>
        <x:v>1146.73</x:v>
      </x:c>
      <x:c r="P1480" s="54" t="n">
        <x:f>ROUND(J1480*L1480,2)</x:f>
        <x:v>589.6</x:v>
      </x:c>
      <x:c r="Q1480" s="54" t="n">
        <x:f>ROUND(O1480-P1480,2)</x:f>
        <x:v>557.13</x:v>
      </x:c>
      <x:c r="R1480" s="55" t="n">
        <x:f>IF(O1480=0,0,ROUND(Q1480/O1480,4))</x:f>
        <x:v>0.4858</x:v>
      </x:c>
      <x:c r="S1480" s="53" t="n">
        <x:v>7</x:v>
      </x:c>
      <x:c r="T1480" t="str">
        <x:v>Entregue</x:v>
      </x:c>
      <x:c r="U1480" t="n">
        <x:v>5</x:v>
      </x:c>
      <x:c r="V1480" t="str"/>
    </x:row>
    <x:row r="1481">
      <x:c r="A1481" s="52" t="n">
        <x:v>46201</x:v>
      </x:c>
      <x:c r="B1481" t="str">
        <x:v>PED-101480</x:v>
      </x:c>
      <x:c r="C1481" t="str">
        <x:v>Cliente 115</x:v>
      </x:c>
      <x:c r="D1481" t="str">
        <x:v>MT</x:v>
      </x:c>
      <x:c r="E1481" t="str">
        <x:v>Centro-Oeste</x:v>
      </x:c>
      <x:c r="F1481" t="str">
        <x:v>E-commerce</x:v>
      </x:c>
      <x:c r="G1481" t="str">
        <x:v>Tecnologia</x:v>
      </x:c>
      <x:c r="H1481" t="str">
        <x:v>Monitor 27</x:v>
      </x:c>
      <x:c r="I1481" t="str">
        <x:v>Isabela</x:v>
      </x:c>
      <x:c r="J1481" s="53" t="n">
        <x:v>6</x:v>
      </x:c>
      <x:c r="K1481" s="54" t="n">
        <x:v>1725.64</x:v>
      </x:c>
      <x:c r="L1481" s="54" t="n">
        <x:v>1096.86</x:v>
      </x:c>
      <x:c r="M1481" s="55" t="n">
        <x:v>0</x:v>
      </x:c>
      <x:c r="N1481" s="54" t="n">
        <x:f>ROUND(J1481*K1481,2)</x:f>
        <x:v>10353.84</x:v>
      </x:c>
      <x:c r="O1481" s="54" t="n">
        <x:f>ROUND(N1481*(1-M1481),2)</x:f>
        <x:v>10353.84</x:v>
      </x:c>
      <x:c r="P1481" s="54" t="n">
        <x:f>ROUND(J1481*L1481,2)</x:f>
        <x:v>6581.16</x:v>
      </x:c>
      <x:c r="Q1481" s="54" t="n">
        <x:f>ROUND(O1481-P1481,2)</x:f>
        <x:v>3772.68</x:v>
      </x:c>
      <x:c r="R1481" s="55" t="n">
        <x:f>IF(O1481=0,0,ROUND(Q1481/O1481,4))</x:f>
        <x:v>0.3644</x:v>
      </x:c>
      <x:c r="S1481" s="53" t="n">
        <x:v>3</x:v>
      </x:c>
      <x:c r="T1481" t="str">
        <x:v>Entregue</x:v>
      </x:c>
      <x:c r="U1481" t="n">
        <x:v>4</x:v>
      </x:c>
      <x:c r="V1481" t="str"/>
    </x:row>
    <x:row r="1482">
      <x:c r="A1482" s="52" t="n">
        <x:v>46024</x:v>
      </x:c>
      <x:c r="B1482" t="str">
        <x:v>PED-101481</x:v>
      </x:c>
      <x:c r="C1482" t="str">
        <x:v>Cliente 105</x:v>
      </x:c>
      <x:c r="D1482" t="str">
        <x:v>MT</x:v>
      </x:c>
      <x:c r="E1482" t="str">
        <x:v>Centro-Oeste</x:v>
      </x:c>
      <x:c r="F1482" t="str">
        <x:v>E-commerce</x:v>
      </x:c>
      <x:c r="G1482" t="str">
        <x:v>Casa</x:v>
      </x:c>
      <x:c r="H1482" t="str">
        <x:v>Aspirador Robô</x:v>
      </x:c>
      <x:c r="I1482" t="str">
        <x:v>Henrique</x:v>
      </x:c>
      <x:c r="J1482" s="53" t="n">
        <x:v>5</x:v>
      </x:c>
      <x:c r="K1482" s="54" t="n">
        <x:v>1964.97</x:v>
      </x:c>
      <x:c r="L1482" s="54" t="n">
        <x:v>1204.35</x:v>
      </x:c>
      <x:c r="M1482" s="55" t="n">
        <x:v>0.0788</x:v>
      </x:c>
      <x:c r="N1482" s="54" t="n">
        <x:f>ROUND(J1482*K1482,2)</x:f>
        <x:v>9824.85</x:v>
      </x:c>
      <x:c r="O1482" s="54" t="n">
        <x:f>ROUND(N1482*(1-M1482),2)</x:f>
        <x:v>9050.65</x:v>
      </x:c>
      <x:c r="P1482" s="54" t="n">
        <x:f>ROUND(J1482*L1482,2)</x:f>
        <x:v>6021.75</x:v>
      </x:c>
      <x:c r="Q1482" s="54" t="n">
        <x:f>ROUND(O1482-P1482,2)</x:f>
        <x:v>3028.9</x:v>
      </x:c>
      <x:c r="R1482" s="55" t="n">
        <x:f>IF(O1482=0,0,ROUND(Q1482/O1482,4))</x:f>
        <x:v>0.3347</x:v>
      </x:c>
      <x:c r="S1482" s="53" t="n">
        <x:v>8</x:v>
      </x:c>
      <x:c r="T1482" t="str">
        <x:v>Entregue</x:v>
      </x:c>
      <x:c r="U1482" t="n">
        <x:v>4</x:v>
      </x:c>
      <x:c r="V1482" t="str"/>
    </x:row>
    <x:row r="1483">
      <x:c r="A1483" s="52" t="n">
        <x:v>46089</x:v>
      </x:c>
      <x:c r="B1483" t="str">
        <x:v>PED-101482</x:v>
      </x:c>
      <x:c r="C1483" t="str">
        <x:v>Cliente 049</x:v>
      </x:c>
      <x:c r="D1483" t="str">
        <x:v>DF</x:v>
      </x:c>
      <x:c r="E1483" t="str">
        <x:v>Centro-Oeste</x:v>
      </x:c>
      <x:c r="F1483" t="str">
        <x:v>Marketplace</x:v>
      </x:c>
      <x:c r="G1483" t="str">
        <x:v>Casa</x:v>
      </x:c>
      <x:c r="H1483" t="str">
        <x:v>Aspirador Robô</x:v>
      </x:c>
      <x:c r="I1483" t="str">
        <x:v>Gabriela</x:v>
      </x:c>
      <x:c r="J1483" s="53" t="n">
        <x:v>6</x:v>
      </x:c>
      <x:c r="K1483" s="54" t="n">
        <x:v>1984.33</x:v>
      </x:c>
      <x:c r="L1483" s="54" t="n">
        <x:v>1196.11</x:v>
      </x:c>
      <x:c r="M1483" s="55" t="n">
        <x:v>0.035</x:v>
      </x:c>
      <x:c r="N1483" s="54" t="n">
        <x:f>ROUND(J1483*K1483,2)</x:f>
        <x:v>11905.98</x:v>
      </x:c>
      <x:c r="O1483" s="54" t="n">
        <x:f>ROUND(N1483*(1-M1483),2)</x:f>
        <x:v>11489.27</x:v>
      </x:c>
      <x:c r="P1483" s="54" t="n">
        <x:f>ROUND(J1483*L1483,2)</x:f>
        <x:v>7176.66</x:v>
      </x:c>
      <x:c r="Q1483" s="54" t="n">
        <x:f>ROUND(O1483-P1483,2)</x:f>
        <x:v>4312.61</x:v>
      </x:c>
      <x:c r="R1483" s="55" t="n">
        <x:f>IF(O1483=0,0,ROUND(Q1483/O1483,4))</x:f>
        <x:v>0.3754</x:v>
      </x:c>
      <x:c r="S1483" s="53" t="n">
        <x:v>13</x:v>
      </x:c>
      <x:c r="T1483" t="str">
        <x:v>Entregue com atraso</x:v>
      </x:c>
      <x:c r="U1483" t="n">
        <x:v>4</x:v>
      </x:c>
      <x:c r="V1483" t="str"/>
    </x:row>
    <x:row r="1484">
      <x:c r="A1484" s="52" t="n">
        <x:v>46058</x:v>
      </x:c>
      <x:c r="B1484" t="str">
        <x:v>PED-101483</x:v>
      </x:c>
      <x:c r="C1484" t="str">
        <x:v>Cliente 030</x:v>
      </x:c>
      <x:c r="D1484" t="str">
        <x:v>DF</x:v>
      </x:c>
      <x:c r="E1484" t="str">
        <x:v>Centro-Oeste</x:v>
      </x:c>
      <x:c r="F1484" t="str">
        <x:v>Marketplace</x:v>
      </x:c>
      <x:c r="G1484" t="str">
        <x:v>Tecnologia</x:v>
      </x:c>
      <x:c r="H1484" t="str">
        <x:v>Notebook Pro</x:v>
      </x:c>
      <x:c r="I1484" t="str">
        <x:v>Felipe</x:v>
      </x:c>
      <x:c r="J1484" s="53" t="n">
        <x:v>3</x:v>
      </x:c>
      <x:c r="K1484" s="54" t="n">
        <x:v>5687.28</x:v>
      </x:c>
      <x:c r="L1484" s="54" t="n">
        <x:v>4148.02</x:v>
      </x:c>
      <x:c r="M1484" s="55" t="n">
        <x:v>0.0825</x:v>
      </x:c>
      <x:c r="N1484" s="54" t="n">
        <x:f>ROUND(J1484*K1484,2)</x:f>
        <x:v>17061.84</x:v>
      </x:c>
      <x:c r="O1484" s="54" t="n">
        <x:f>ROUND(N1484*(1-M1484),2)</x:f>
        <x:v>15654.24</x:v>
      </x:c>
      <x:c r="P1484" s="54" t="n">
        <x:f>ROUND(J1484*L1484,2)</x:f>
        <x:v>12444.06</x:v>
      </x:c>
      <x:c r="Q1484" s="54" t="n">
        <x:f>ROUND(O1484-P1484,2)</x:f>
        <x:v>3210.18</x:v>
      </x:c>
      <x:c r="R1484" s="55" t="n">
        <x:f>IF(O1484=0,0,ROUND(Q1484/O1484,4))</x:f>
        <x:v>0.2051</x:v>
      </x:c>
      <x:c r="S1484" s="53" t="n">
        <x:v>12</x:v>
      </x:c>
      <x:c r="T1484" t="str">
        <x:v>Entregue com atraso</x:v>
      </x:c>
      <x:c r="U1484" t="n">
        <x:v>3</x:v>
      </x:c>
      <x:c r="V1484" t="str"/>
    </x:row>
    <x:row r="1485">
      <x:c r="A1485" s="52" t="n">
        <x:v>46182</x:v>
      </x:c>
      <x:c r="B1485" t="str">
        <x:v>PED-101484</x:v>
      </x:c>
      <x:c r="C1485" t="str">
        <x:v>Cliente 085</x:v>
      </x:c>
      <x:c r="D1485" t="str">
        <x:v>AM</x:v>
      </x:c>
      <x:c r="E1485" t="str">
        <x:v>Norte</x:v>
      </x:c>
      <x:c r="F1485" t="str">
        <x:v>E-commerce</x:v>
      </x:c>
      <x:c r="G1485" t="str">
        <x:v>Acessórios</x:v>
      </x:c>
      <x:c r="H1485" t="str">
        <x:v>Hub USB-C</x:v>
      </x:c>
      <x:c r="I1485" t="str">
        <x:v>Elaine</x:v>
      </x:c>
      <x:c r="J1485" s="53" t="n">
        <x:v>5</x:v>
      </x:c>
      <x:c r="K1485" s="54" t="n">
        <x:v>316.92</x:v>
      </x:c>
      <x:c r="L1485" s="54" t="n">
        <x:v>139.8</x:v>
      </x:c>
      <x:c r="M1485" s="55" t="n">
        <x:v>0</x:v>
      </x:c>
      <x:c r="N1485" s="54" t="n">
        <x:f>ROUND(J1485*K1485,2)</x:f>
        <x:v>1584.6</x:v>
      </x:c>
      <x:c r="O1485" s="54" t="n">
        <x:f>ROUND(N1485*(1-M1485),2)</x:f>
        <x:v>1584.6</x:v>
      </x:c>
      <x:c r="P1485" s="54" t="n">
        <x:f>ROUND(J1485*L1485,2)</x:f>
        <x:v>699</x:v>
      </x:c>
      <x:c r="Q1485" s="54" t="n">
        <x:f>ROUND(O1485-P1485,2)</x:f>
        <x:v>885.6</x:v>
      </x:c>
      <x:c r="R1485" s="55" t="n">
        <x:f>IF(O1485=0,0,ROUND(Q1485/O1485,4))</x:f>
        <x:v>0.5589</x:v>
      </x:c>
      <x:c r="S1485" s="53" t="n">
        <x:v>2</x:v>
      </x:c>
      <x:c r="T1485" t="str">
        <x:v>Entregue</x:v>
      </x:c>
      <x:c r="U1485" t="n">
        <x:v>5</x:v>
      </x:c>
      <x:c r="V1485" t="str"/>
    </x:row>
    <x:row r="1486">
      <x:c r="A1486" s="52" t="n">
        <x:v>46217</x:v>
      </x:c>
      <x:c r="B1486" t="str">
        <x:v>PED-101485</x:v>
      </x:c>
      <x:c r="C1486" t="str">
        <x:v>Cliente 068</x:v>
      </x:c>
      <x:c r="D1486" t="str">
        <x:v>BA</x:v>
      </x:c>
      <x:c r="E1486" t="str">
        <x:v>Nordeste</x:v>
      </x:c>
      <x:c r="F1486" t="str">
        <x:v>E-commerce</x:v>
      </x:c>
      <x:c r="G1486" t="str">
        <x:v>Escritório</x:v>
      </x:c>
      <x:c r="H1486" t="str">
        <x:v>Cadeira Ergonômica</x:v>
      </x:c>
      <x:c r="I1486" t="str">
        <x:v>Carla</x:v>
      </x:c>
      <x:c r="J1486" s="53" t="n">
        <x:v>5</x:v>
      </x:c>
      <x:c r="K1486" s="54" t="n">
        <x:v>2273.47</x:v>
      </x:c>
      <x:c r="L1486" s="54" t="n">
        <x:v>1428.68</x:v>
      </x:c>
      <x:c r="M1486" s="55" t="n">
        <x:v>0.1136</x:v>
      </x:c>
      <x:c r="N1486" s="54" t="n">
        <x:f>ROUND(J1486*K1486,2)</x:f>
        <x:v>11367.35</x:v>
      </x:c>
      <x:c r="O1486" s="54" t="n">
        <x:f>ROUND(N1486*(1-M1486),2)</x:f>
        <x:v>10076.02</x:v>
      </x:c>
      <x:c r="P1486" s="54" t="n">
        <x:f>ROUND(J1486*L1486,2)</x:f>
        <x:v>7143.4</x:v>
      </x:c>
      <x:c r="Q1486" s="54" t="n">
        <x:f>ROUND(O1486-P1486,2)</x:f>
        <x:v>2932.62</x:v>
      </x:c>
      <x:c r="R1486" s="55" t="n">
        <x:f>IF(O1486=0,0,ROUND(Q1486/O1486,4))</x:f>
        <x:v>0.291</x:v>
      </x:c>
      <x:c r="S1486" s="53" t="n">
        <x:v>5</x:v>
      </x:c>
      <x:c r="T1486" t="str">
        <x:v>Entregue</x:v>
      </x:c>
      <x:c r="U1486" t="n">
        <x:v>5</x:v>
      </x:c>
      <x:c r="V1486" t="str"/>
    </x:row>
    <x:row r="1487">
      <x:c r="A1487" s="52" t="n">
        <x:v>46047</x:v>
      </x:c>
      <x:c r="B1487" t="str">
        <x:v>PED-101486</x:v>
      </x:c>
      <x:c r="C1487" t="str">
        <x:v>Cliente 005</x:v>
      </x:c>
      <x:c r="D1487" t="str">
        <x:v>MT</x:v>
      </x:c>
      <x:c r="E1487" t="str">
        <x:v>Centro-Oeste</x:v>
      </x:c>
      <x:c r="F1487" t="str">
        <x:v>Marketplace</x:v>
      </x:c>
      <x:c r="G1487" t="str">
        <x:v>Tecnologia</x:v>
      </x:c>
      <x:c r="H1487" t="str">
        <x:v>Headset Office</x:v>
      </x:c>
      <x:c r="I1487" t="str">
        <x:v>Carla</x:v>
      </x:c>
      <x:c r="J1487" s="53" t="n">
        <x:v>3</x:v>
      </x:c>
      <x:c r="K1487" s="54" t="n">
        <x:v>405.88</x:v>
      </x:c>
      <x:c r="L1487" s="54" t="n">
        <x:v>203.6</x:v>
      </x:c>
      <x:c r="M1487" s="55" t="n">
        <x:v>0.035</x:v>
      </x:c>
      <x:c r="N1487" s="54" t="n">
        <x:f>ROUND(J1487*K1487,2)</x:f>
        <x:v>1217.64</x:v>
      </x:c>
      <x:c r="O1487" s="54" t="n">
        <x:f>ROUND(N1487*(1-M1487),2)</x:f>
        <x:v>1175.02</x:v>
      </x:c>
      <x:c r="P1487" s="54" t="n">
        <x:f>ROUND(J1487*L1487,2)</x:f>
        <x:v>610.8</x:v>
      </x:c>
      <x:c r="Q1487" s="54" t="n">
        <x:f>ROUND(O1487-P1487,2)</x:f>
        <x:v>564.22</x:v>
      </x:c>
      <x:c r="R1487" s="55" t="n">
        <x:f>IF(O1487=0,0,ROUND(Q1487/O1487,4))</x:f>
        <x:v>0.4802</x:v>
      </x:c>
      <x:c r="S1487" s="53" t="n">
        <x:v>5</x:v>
      </x:c>
      <x:c r="T1487" t="str">
        <x:v>Entregue</x:v>
      </x:c>
      <x:c r="U1487" t="n">
        <x:v>3</x:v>
      </x:c>
      <x:c r="V1487" t="str"/>
    </x:row>
    <x:row r="1488">
      <x:c r="A1488" s="52" t="n">
        <x:v>46221</x:v>
      </x:c>
      <x:c r="B1488" t="str">
        <x:v>PED-101487</x:v>
      </x:c>
      <x:c r="C1488" t="str">
        <x:v>Cliente 062</x:v>
      </x:c>
      <x:c r="D1488" t="str">
        <x:v>CE</x:v>
      </x:c>
      <x:c r="E1488" t="str">
        <x:v>Nordeste</x:v>
      </x:c>
      <x:c r="F1488" t="str">
        <x:v>E-commerce</x:v>
      </x:c>
      <x:c r="G1488" t="str">
        <x:v>Casa</x:v>
      </x:c>
      <x:c r="H1488" t="str">
        <x:v>Cafeteira Smart</x:v>
      </x:c>
      <x:c r="I1488" t="str">
        <x:v>Bruno</x:v>
      </x:c>
      <x:c r="J1488" s="53" t="n">
        <x:v>4</x:v>
      </x:c>
      <x:c r="K1488" s="54" t="n">
        <x:v>768.59</x:v>
      </x:c>
      <x:c r="L1488" s="54" t="n">
        <x:v>466.08</x:v>
      </x:c>
      <x:c r="M1488" s="55" t="n">
        <x:v>0.0216</x:v>
      </x:c>
      <x:c r="N1488" s="54" t="n">
        <x:f>ROUND(J1488*K1488,2)</x:f>
        <x:v>3074.36</x:v>
      </x:c>
      <x:c r="O1488" s="54" t="n">
        <x:f>ROUND(N1488*(1-M1488),2)</x:f>
        <x:v>3007.95</x:v>
      </x:c>
      <x:c r="P1488" s="54" t="n">
        <x:f>ROUND(J1488*L1488,2)</x:f>
        <x:v>1864.32</x:v>
      </x:c>
      <x:c r="Q1488" s="54" t="n">
        <x:f>ROUND(O1488-P1488,2)</x:f>
        <x:v>1143.63</x:v>
      </x:c>
      <x:c r="R1488" s="55" t="n">
        <x:f>IF(O1488=0,0,ROUND(Q1488/O1488,4))</x:f>
        <x:v>0.3802</x:v>
      </x:c>
      <x:c r="S1488" s="53" t="n">
        <x:v>8</x:v>
      </x:c>
      <x:c r="T1488" t="str">
        <x:v>Entregue</x:v>
      </x:c>
      <x:c r="U1488" t="n">
        <x:v>4</x:v>
      </x:c>
      <x:c r="V1488" t="str"/>
    </x:row>
    <x:row r="1489">
      <x:c r="A1489" s="52" t="n">
        <x:v>46198</x:v>
      </x:c>
      <x:c r="B1489" t="str">
        <x:v>PED-101488</x:v>
      </x:c>
      <x:c r="C1489" t="str">
        <x:v>Cliente 104</x:v>
      </x:c>
      <x:c r="D1489" t="str">
        <x:v>SC</x:v>
      </x:c>
      <x:c r="E1489" t="str">
        <x:v>Sul</x:v>
      </x:c>
      <x:c r="F1489" t="str">
        <x:v>Marketplace</x:v>
      </x:c>
      <x:c r="G1489" t="str">
        <x:v>Casa</x:v>
      </x:c>
      <x:c r="H1489" t="str">
        <x:v>Purificador</x:v>
      </x:c>
      <x:c r="I1489" t="str">
        <x:v>Diego</x:v>
      </x:c>
      <x:c r="J1489" s="53" t="n">
        <x:v>7</x:v>
      </x:c>
      <x:c r="K1489" s="54" t="n">
        <x:v>1299.45</x:v>
      </x:c>
      <x:c r="L1489" s="54" t="n">
        <x:v>791.14</x:v>
      </x:c>
      <x:c r="M1489" s="55" t="n">
        <x:v>0.035</x:v>
      </x:c>
      <x:c r="N1489" s="54" t="n">
        <x:f>ROUND(J1489*K1489,2)</x:f>
        <x:v>9096.15</x:v>
      </x:c>
      <x:c r="O1489" s="54" t="n">
        <x:f>ROUND(N1489*(1-M1489),2)</x:f>
        <x:v>8777.78</x:v>
      </x:c>
      <x:c r="P1489" s="54" t="n">
        <x:f>ROUND(J1489*L1489,2)</x:f>
        <x:v>5537.98</x:v>
      </x:c>
      <x:c r="Q1489" s="54" t="n">
        <x:f>ROUND(O1489-P1489,2)</x:f>
        <x:v>3239.8</x:v>
      </x:c>
      <x:c r="R1489" s="55" t="n">
        <x:f>IF(O1489=0,0,ROUND(Q1489/O1489,4))</x:f>
        <x:v>0.3691</x:v>
      </x:c>
      <x:c r="S1489" s="53" t="n">
        <x:v>10</x:v>
      </x:c>
      <x:c r="T1489" t="str">
        <x:v>Cancelado</x:v>
      </x:c>
      <x:c r="U1489"/>
      <x:c r="V1489" t="str"/>
    </x:row>
    <x:row r="1490">
      <x:c r="A1490" s="52" t="n">
        <x:v>46100</x:v>
      </x:c>
      <x:c r="B1490" t="str">
        <x:v>PED-101489</x:v>
      </x:c>
      <x:c r="C1490" t="str">
        <x:v>Cliente 047</x:v>
      </x:c>
      <x:c r="D1490" t="str">
        <x:v>SC</x:v>
      </x:c>
      <x:c r="E1490" t="str">
        <x:v>Sul</x:v>
      </x:c>
      <x:c r="F1490" t="str">
        <x:v>Televendas</x:v>
      </x:c>
      <x:c r="G1490" t="str">
        <x:v>Acessórios</x:v>
      </x:c>
      <x:c r="H1490" t="str">
        <x:v>Mochila Executiva</x:v>
      </x:c>
      <x:c r="I1490" t="str">
        <x:v>Bruno</x:v>
      </x:c>
      <x:c r="J1490" s="53" t="n">
        <x:v>1</x:v>
      </x:c>
      <x:c r="K1490" s="54" t="n">
        <x:v>448.77</x:v>
      </x:c>
      <x:c r="L1490" s="54" t="n">
        <x:v>192.02</x:v>
      </x:c>
      <x:c r="M1490" s="55" t="n">
        <x:v>0</x:v>
      </x:c>
      <x:c r="N1490" s="54" t="n">
        <x:f>ROUND(J1490*K1490,2)</x:f>
        <x:v>448.77</x:v>
      </x:c>
      <x:c r="O1490" s="54" t="n">
        <x:f>ROUND(N1490*(1-M1490),2)</x:f>
        <x:v>448.77</x:v>
      </x:c>
      <x:c r="P1490" s="54" t="n">
        <x:f>ROUND(J1490*L1490,2)</x:f>
        <x:v>192.02</x:v>
      </x:c>
      <x:c r="Q1490" s="54" t="n">
        <x:f>ROUND(O1490-P1490,2)</x:f>
        <x:v>256.75</x:v>
      </x:c>
      <x:c r="R1490" s="55" t="n">
        <x:f>IF(O1490=0,0,ROUND(Q1490/O1490,4))</x:f>
        <x:v>0.5721</x:v>
      </x:c>
      <x:c r="S1490" s="53" t="n">
        <x:v>2</x:v>
      </x:c>
      <x:c r="T1490" t="str">
        <x:v>Entregue</x:v>
      </x:c>
      <x:c r="U1490" t="n">
        <x:v>3</x:v>
      </x:c>
      <x:c r="V1490" t="str"/>
    </x:row>
    <x:row r="1491">
      <x:c r="A1491" s="52" t="n">
        <x:v>46127</x:v>
      </x:c>
      <x:c r="B1491" t="str">
        <x:v>PED-101490</x:v>
      </x:c>
      <x:c r="C1491" t="str">
        <x:v>Cliente 104</x:v>
      </x:c>
      <x:c r="D1491" t="str">
        <x:v>RS</x:v>
      </x:c>
      <x:c r="E1491" t="str">
        <x:v>Sul</x:v>
      </x:c>
      <x:c r="F1491" t="str">
        <x:v>Marketplace</x:v>
      </x:c>
      <x:c r="G1491" t="str">
        <x:v>Acessórios</x:v>
      </x:c>
      <x:c r="H1491" t="str">
        <x:v>Hub USB-C</x:v>
      </x:c>
      <x:c r="I1491" t="str">
        <x:v>Elaine</x:v>
      </x:c>
      <x:c r="J1491" s="53" t="n">
        <x:v>5</x:v>
      </x:c>
      <x:c r="K1491" s="54" t="n">
        <x:v>310.1</x:v>
      </x:c>
      <x:c r="L1491" s="54" t="n">
        <x:v>139.36</x:v>
      </x:c>
      <x:c r="M1491" s="55" t="n">
        <x:v>0.1331</x:v>
      </x:c>
      <x:c r="N1491" s="54" t="n">
        <x:f>ROUND(J1491*K1491,2)</x:f>
        <x:v>1550.5</x:v>
      </x:c>
      <x:c r="O1491" s="54" t="n">
        <x:f>ROUND(N1491*(1-M1491),2)</x:f>
        <x:v>1344.13</x:v>
      </x:c>
      <x:c r="P1491" s="54" t="n">
        <x:f>ROUND(J1491*L1491,2)</x:f>
        <x:v>696.8</x:v>
      </x:c>
      <x:c r="Q1491" s="54" t="n">
        <x:f>ROUND(O1491-P1491,2)</x:f>
        <x:v>647.33</x:v>
      </x:c>
      <x:c r="R1491" s="55" t="n">
        <x:f>IF(O1491=0,0,ROUND(Q1491/O1491,4))</x:f>
        <x:v>0.4816</x:v>
      </x:c>
      <x:c r="S1491" s="53" t="n">
        <x:v>14</x:v>
      </x:c>
      <x:c r="T1491" t="str">
        <x:v>Entregue com atraso</x:v>
      </x:c>
      <x:c r="U1491" t="n">
        <x:v>4</x:v>
      </x:c>
      <x:c r="V1491" t="str"/>
    </x:row>
    <x:row r="1492">
      <x:c r="A1492" s="52" t="n">
        <x:v>46125</x:v>
      </x:c>
      <x:c r="B1492" t="str">
        <x:v>PED-101491</x:v>
      </x:c>
      <x:c r="C1492" t="str">
        <x:v>Cliente 095</x:v>
      </x:c>
      <x:c r="D1492" t="str">
        <x:v>SC</x:v>
      </x:c>
      <x:c r="E1492" t="str">
        <x:v>Sul</x:v>
      </x:c>
      <x:c r="F1492" t="str">
        <x:v>E-commerce</x:v>
      </x:c>
      <x:c r="G1492" t="str">
        <x:v>Casa</x:v>
      </x:c>
      <x:c r="H1492" t="str">
        <x:v>Cafeteira Smart</x:v>
      </x:c>
      <x:c r="I1492" t="str">
        <x:v>João</x:v>
      </x:c>
      <x:c r="J1492" s="53" t="n">
        <x:v>6</x:v>
      </x:c>
      <x:c r="K1492" s="54" t="n">
        <x:v>829.06</x:v>
      </x:c>
      <x:c r="L1492" s="54" t="n">
        <x:v>438.6</x:v>
      </x:c>
      <x:c r="M1492" s="55" t="n">
        <x:v>0.1173</x:v>
      </x:c>
      <x:c r="N1492" s="54" t="n">
        <x:f>ROUND(J1492*K1492,2)</x:f>
        <x:v>4974.36</x:v>
      </x:c>
      <x:c r="O1492" s="54" t="n">
        <x:f>ROUND(N1492*(1-M1492),2)</x:f>
        <x:v>4390.87</x:v>
      </x:c>
      <x:c r="P1492" s="54" t="n">
        <x:f>ROUND(J1492*L1492,2)</x:f>
        <x:v>2631.6</x:v>
      </x:c>
      <x:c r="Q1492" s="54" t="n">
        <x:f>ROUND(O1492-P1492,2)</x:f>
        <x:v>1759.27</x:v>
      </x:c>
      <x:c r="R1492" s="55" t="n">
        <x:f>IF(O1492=0,0,ROUND(Q1492/O1492,4))</x:f>
        <x:v>0.4007</x:v>
      </x:c>
      <x:c r="S1492" s="53" t="n">
        <x:v>11</x:v>
      </x:c>
      <x:c r="T1492" t="str">
        <x:v>Entregue com atraso</x:v>
      </x:c>
      <x:c r="U1492" t="n">
        <x:v>5</x:v>
      </x:c>
      <x:c r="V1492" t="str"/>
    </x:row>
    <x:row r="1493">
      <x:c r="A1493" s="52" t="n">
        <x:v>46121</x:v>
      </x:c>
      <x:c r="B1493" t="str">
        <x:v>PED-101492</x:v>
      </x:c>
      <x:c r="C1493" t="str">
        <x:v>Cliente 027</x:v>
      </x:c>
      <x:c r="D1493" t="str">
        <x:v>MA</x:v>
      </x:c>
      <x:c r="E1493" t="str">
        <x:v>Nordeste</x:v>
      </x:c>
      <x:c r="F1493" t="str">
        <x:v>E-commerce</x:v>
      </x:c>
      <x:c r="G1493" t="str">
        <x:v>Tecnologia</x:v>
      </x:c>
      <x:c r="H1493" t="str">
        <x:v>Monitor 27</x:v>
      </x:c>
      <x:c r="I1493" t="str">
        <x:v>Henrique</x:v>
      </x:c>
      <x:c r="J1493" s="53" t="n">
        <x:v>7</x:v>
      </x:c>
      <x:c r="K1493" s="54" t="n">
        <x:v>1767.82</x:v>
      </x:c>
      <x:c r="L1493" s="54" t="n">
        <x:v>1154.88</x:v>
      </x:c>
      <x:c r="M1493" s="55" t="n">
        <x:v>0.0821</x:v>
      </x:c>
      <x:c r="N1493" s="54" t="n">
        <x:f>ROUND(J1493*K1493,2)</x:f>
        <x:v>12374.74</x:v>
      </x:c>
      <x:c r="O1493" s="54" t="n">
        <x:f>ROUND(N1493*(1-M1493),2)</x:f>
        <x:v>11358.77</x:v>
      </x:c>
      <x:c r="P1493" s="54" t="n">
        <x:f>ROUND(J1493*L1493,2)</x:f>
        <x:v>8084.16</x:v>
      </x:c>
      <x:c r="Q1493" s="54" t="n">
        <x:f>ROUND(O1493-P1493,2)</x:f>
        <x:v>3274.61</x:v>
      </x:c>
      <x:c r="R1493" s="55" t="n">
        <x:f>IF(O1493=0,0,ROUND(Q1493/O1493,4))</x:f>
        <x:v>0.2883</x:v>
      </x:c>
      <x:c r="S1493" s="53" t="n">
        <x:v>12</x:v>
      </x:c>
      <x:c r="T1493" t="str">
        <x:v>Entregue com atraso</x:v>
      </x:c>
      <x:c r="U1493" t="n">
        <x:v>3</x:v>
      </x:c>
      <x:c r="V1493" t="str"/>
    </x:row>
    <x:row r="1494">
      <x:c r="A1494" s="52" t="n">
        <x:v>46067</x:v>
      </x:c>
      <x:c r="B1494" t="str">
        <x:v>PED-101493</x:v>
      </x:c>
      <x:c r="C1494" t="str">
        <x:v>Cliente 062</x:v>
      </x:c>
      <x:c r="D1494" t="str">
        <x:v>MT</x:v>
      </x:c>
      <x:c r="E1494" t="str">
        <x:v>Centro-Oeste</x:v>
      </x:c>
      <x:c r="F1494" t="str">
        <x:v>Televendas</x:v>
      </x:c>
      <x:c r="G1494" t="str">
        <x:v>Casa</x:v>
      </x:c>
      <x:c r="H1494" t="str">
        <x:v>Purificador</x:v>
      </x:c>
      <x:c r="I1494" t="str">
        <x:v>Bruno</x:v>
      </x:c>
      <x:c r="J1494" s="53" t="n">
        <x:v>5</x:v>
      </x:c>
      <x:c r="K1494" s="54" t="n">
        <x:v>1341.94</x:v>
      </x:c>
      <x:c r="L1494" s="54" t="n">
        <x:v>790.44</x:v>
      </x:c>
      <x:c r="M1494" s="55" t="n">
        <x:v>0</x:v>
      </x:c>
      <x:c r="N1494" s="54" t="n">
        <x:f>ROUND(J1494*K1494,2)</x:f>
        <x:v>6709.7</x:v>
      </x:c>
      <x:c r="O1494" s="54" t="n">
        <x:f>ROUND(N1494*(1-M1494),2)</x:f>
        <x:v>6709.7</x:v>
      </x:c>
      <x:c r="P1494" s="54" t="n">
        <x:f>ROUND(J1494*L1494,2)</x:f>
        <x:v>3952.2</x:v>
      </x:c>
      <x:c r="Q1494" s="54" t="n">
        <x:f>ROUND(O1494-P1494,2)</x:f>
        <x:v>2757.5</x:v>
      </x:c>
      <x:c r="R1494" s="55" t="n">
        <x:f>IF(O1494=0,0,ROUND(Q1494/O1494,4))</x:f>
        <x:v>0.411</x:v>
      </x:c>
      <x:c r="S1494" s="53" t="n">
        <x:v>6</x:v>
      </x:c>
      <x:c r="T1494" t="str">
        <x:v>Entregue</x:v>
      </x:c>
      <x:c r="U1494" t="n">
        <x:v>4</x:v>
      </x:c>
      <x:c r="V1494" t="str"/>
    </x:row>
    <x:row r="1495">
      <x:c r="A1495" s="52" t="n">
        <x:v>46195</x:v>
      </x:c>
      <x:c r="B1495" t="str">
        <x:v>PED-101494</x:v>
      </x:c>
      <x:c r="C1495" t="str">
        <x:v>Cliente 032</x:v>
      </x:c>
      <x:c r="D1495" t="str">
        <x:v>PE</x:v>
      </x:c>
      <x:c r="E1495" t="str">
        <x:v>Nordeste</x:v>
      </x:c>
      <x:c r="F1495" t="str">
        <x:v>Marketplace</x:v>
      </x:c>
      <x:c r="G1495" t="str">
        <x:v>Tecnologia</x:v>
      </x:c>
      <x:c r="H1495" t="str">
        <x:v>Headset Office</x:v>
      </x:c>
      <x:c r="I1495" t="str">
        <x:v>Ana</x:v>
      </x:c>
      <x:c r="J1495" s="53" t="n">
        <x:v>8</x:v>
      </x:c>
      <x:c r="K1495" s="54" t="n">
        <x:v>371.51</x:v>
      </x:c>
      <x:c r="L1495" s="54" t="n">
        <x:v>216.38</x:v>
      </x:c>
      <x:c r="M1495" s="55" t="n">
        <x:v>0.035</x:v>
      </x:c>
      <x:c r="N1495" s="54" t="n">
        <x:f>ROUND(J1495*K1495,2)</x:f>
        <x:v>2972.08</x:v>
      </x:c>
      <x:c r="O1495" s="54" t="n">
        <x:f>ROUND(N1495*(1-M1495),2)</x:f>
        <x:v>2868.06</x:v>
      </x:c>
      <x:c r="P1495" s="54" t="n">
        <x:f>ROUND(J1495*L1495,2)</x:f>
        <x:v>1731.04</x:v>
      </x:c>
      <x:c r="Q1495" s="54" t="n">
        <x:f>ROUND(O1495-P1495,2)</x:f>
        <x:v>1137.02</x:v>
      </x:c>
      <x:c r="R1495" s="55" t="n">
        <x:f>IF(O1495=0,0,ROUND(Q1495/O1495,4))</x:f>
        <x:v>0.3964</x:v>
      </x:c>
      <x:c r="S1495" s="53" t="n">
        <x:v>2</x:v>
      </x:c>
      <x:c r="T1495" t="str">
        <x:v>Cancelado</x:v>
      </x:c>
      <x:c r="U1495"/>
      <x:c r="V1495" t="str"/>
    </x:row>
    <x:row r="1496">
      <x:c r="A1496" s="52" t="n">
        <x:v>46091</x:v>
      </x:c>
      <x:c r="B1496" t="str">
        <x:v>PED-101495</x:v>
      </x:c>
      <x:c r="C1496" t="str">
        <x:v>Cliente 083</x:v>
      </x:c>
      <x:c r="D1496" t="str">
        <x:v>RJ</x:v>
      </x:c>
      <x:c r="E1496" t="str">
        <x:v>Sudeste</x:v>
      </x:c>
      <x:c r="F1496" t="str">
        <x:v>Loja</x:v>
      </x:c>
      <x:c r="G1496" t="str">
        <x:v>Tecnologia</x:v>
      </x:c>
      <x:c r="H1496" t="str">
        <x:v>Monitor 27</x:v>
      </x:c>
      <x:c r="I1496" t="str">
        <x:v>Carla</x:v>
      </x:c>
      <x:c r="J1496" s="53" t="n">
        <x:v>4</x:v>
      </x:c>
      <x:c r="K1496" s="54" t="n">
        <x:v>1657.33</x:v>
      </x:c>
      <x:c r="L1496" s="54" t="n">
        <x:v>1083</x:v>
      </x:c>
      <x:c r="M1496" s="55" t="n">
        <x:v>0</x:v>
      </x:c>
      <x:c r="N1496" s="54" t="n">
        <x:f>ROUND(J1496*K1496,2)</x:f>
        <x:v>6629.32</x:v>
      </x:c>
      <x:c r="O1496" s="54" t="n">
        <x:f>ROUND(N1496*(1-M1496),2)</x:f>
        <x:v>6629.32</x:v>
      </x:c>
      <x:c r="P1496" s="54" t="n">
        <x:f>ROUND(J1496*L1496,2)</x:f>
        <x:v>4332</x:v>
      </x:c>
      <x:c r="Q1496" s="54" t="n">
        <x:f>ROUND(O1496-P1496,2)</x:f>
        <x:v>2297.32</x:v>
      </x:c>
      <x:c r="R1496" s="55" t="n">
        <x:f>IF(O1496=0,0,ROUND(Q1496/O1496,4))</x:f>
        <x:v>0.3465</x:v>
      </x:c>
      <x:c r="S1496" s="53" t="n">
        <x:v>8</x:v>
      </x:c>
      <x:c r="T1496" t="str">
        <x:v>Entregue</x:v>
      </x:c>
      <x:c r="U1496" t="n">
        <x:v>3</x:v>
      </x:c>
      <x:c r="V1496" t="str"/>
    </x:row>
    <x:row r="1497">
      <x:c r="A1497" s="52" t="n">
        <x:v>46099</x:v>
      </x:c>
      <x:c r="B1497" t="str">
        <x:v>PED-101496</x:v>
      </x:c>
      <x:c r="C1497" t="str">
        <x:v>Cliente 080</x:v>
      </x:c>
      <x:c r="D1497" t="str">
        <x:v>BA</x:v>
      </x:c>
      <x:c r="E1497" t="str">
        <x:v>Nordeste</x:v>
      </x:c>
      <x:c r="F1497" t="str">
        <x:v>Televendas</x:v>
      </x:c>
      <x:c r="G1497" t="str">
        <x:v>Casa</x:v>
      </x:c>
      <x:c r="H1497" t="str">
        <x:v>Cafeteira Smart</x:v>
      </x:c>
      <x:c r="I1497" t="str">
        <x:v>João</x:v>
      </x:c>
      <x:c r="J1497" s="53" t="n">
        <x:v>2</x:v>
      </x:c>
      <x:c r="K1497" s="54" t="n">
        <x:v>825.81</x:v>
      </x:c>
      <x:c r="L1497" s="54" t="n">
        <x:v>493.98</x:v>
      </x:c>
      <x:c r="M1497" s="55" t="n">
        <x:v>0</x:v>
      </x:c>
      <x:c r="N1497" s="54" t="n">
        <x:f>ROUND(J1497*K1497,2)</x:f>
        <x:v>1651.62</x:v>
      </x:c>
      <x:c r="O1497" s="54" t="n">
        <x:f>ROUND(N1497*(1-M1497),2)</x:f>
        <x:v>1651.62</x:v>
      </x:c>
      <x:c r="P1497" s="54" t="n">
        <x:f>ROUND(J1497*L1497,2)</x:f>
        <x:v>987.96</x:v>
      </x:c>
      <x:c r="Q1497" s="54" t="n">
        <x:f>ROUND(O1497-P1497,2)</x:f>
        <x:v>663.66</x:v>
      </x:c>
      <x:c r="R1497" s="55" t="n">
        <x:f>IF(O1497=0,0,ROUND(Q1497/O1497,4))</x:f>
        <x:v>0.4018</x:v>
      </x:c>
      <x:c r="S1497" s="53" t="n">
        <x:v>8</x:v>
      </x:c>
      <x:c r="T1497" t="str">
        <x:v>Entregue</x:v>
      </x:c>
      <x:c r="U1497" t="n">
        <x:v>5</x:v>
      </x:c>
      <x:c r="V1497" t="str"/>
    </x:row>
    <x:row r="1498">
      <x:c r="A1498" s="52" t="n">
        <x:v>46098</x:v>
      </x:c>
      <x:c r="B1498" t="str">
        <x:v>PED-101497</x:v>
      </x:c>
      <x:c r="C1498" t="str">
        <x:v>Cliente 007</x:v>
      </x:c>
      <x:c r="D1498" t="str">
        <x:v>MG</x:v>
      </x:c>
      <x:c r="E1498" t="str">
        <x:v>Sudeste</x:v>
      </x:c>
      <x:c r="F1498" t="str">
        <x:v>Marketplace</x:v>
      </x:c>
      <x:c r="G1498" t="str">
        <x:v>Tecnologia</x:v>
      </x:c>
      <x:c r="H1498" t="str">
        <x:v>Notebook Pro</x:v>
      </x:c>
      <x:c r="I1498" t="str">
        <x:v>Diego</x:v>
      </x:c>
      <x:c r="J1498" s="53" t="n">
        <x:v>2</x:v>
      </x:c>
      <x:c r="K1498" s="54" t="n">
        <x:v>6029.89</x:v>
      </x:c>
      <x:c r="L1498" s="54" t="n">
        <x:v>4500.73</x:v>
      </x:c>
      <x:c r="M1498" s="55" t="n">
        <x:v>0.1588</x:v>
      </x:c>
      <x:c r="N1498" s="54" t="n">
        <x:f>ROUND(J1498*K1498,2)</x:f>
        <x:v>12059.78</x:v>
      </x:c>
      <x:c r="O1498" s="54" t="n">
        <x:f>ROUND(N1498*(1-M1498),2)</x:f>
        <x:v>10144.69</x:v>
      </x:c>
      <x:c r="P1498" s="54" t="n">
        <x:f>ROUND(J1498*L1498,2)</x:f>
        <x:v>9001.46</x:v>
      </x:c>
      <x:c r="Q1498" s="54" t="n">
        <x:f>ROUND(O1498-P1498,2)</x:f>
        <x:v>1143.23</x:v>
      </x:c>
      <x:c r="R1498" s="55" t="n">
        <x:f>IF(O1498=0,0,ROUND(Q1498/O1498,4))</x:f>
        <x:v>0.1127</x:v>
      </x:c>
      <x:c r="S1498" s="53" t="n">
        <x:v>8</x:v>
      </x:c>
      <x:c r="T1498" t="str">
        <x:v>Entregue</x:v>
      </x:c>
      <x:c r="U1498" t="n">
        <x:v>4</x:v>
      </x:c>
      <x:c r="V1498" t="str"/>
    </x:row>
    <x:row r="1499">
      <x:c r="A1499" s="52" t="n">
        <x:v>46097</x:v>
      </x:c>
      <x:c r="B1499" t="str">
        <x:v>PED-101498</x:v>
      </x:c>
      <x:c r="C1499" t="str">
        <x:v>Cliente 014</x:v>
      </x:c>
      <x:c r="D1499" t="str">
        <x:v>MT</x:v>
      </x:c>
      <x:c r="E1499" t="str">
        <x:v>Centro-Oeste</x:v>
      </x:c>
      <x:c r="F1499" t="str">
        <x:v>Marketplace</x:v>
      </x:c>
      <x:c r="G1499" t="str">
        <x:v>Tecnologia</x:v>
      </x:c>
      <x:c r="H1499" t="str">
        <x:v>Headset Office</x:v>
      </x:c>
      <x:c r="I1499" t="str">
        <x:v>Ana</x:v>
      </x:c>
      <x:c r="J1499" s="53" t="n">
        <x:v>6</x:v>
      </x:c>
      <x:c r="K1499" s="54" t="n">
        <x:v>403.46</x:v>
      </x:c>
      <x:c r="L1499" s="54" t="n">
        <x:v>219.04</x:v>
      </x:c>
      <x:c r="M1499" s="55" t="n">
        <x:v>0.035</x:v>
      </x:c>
      <x:c r="N1499" s="54" t="n">
        <x:f>ROUND(J1499*K1499,2)</x:f>
        <x:v>2420.76</x:v>
      </x:c>
      <x:c r="O1499" s="54" t="n">
        <x:f>ROUND(N1499*(1-M1499),2)</x:f>
        <x:v>2336.03</x:v>
      </x:c>
      <x:c r="P1499" s="54" t="n">
        <x:f>ROUND(J1499*L1499,2)</x:f>
        <x:v>1314.24</x:v>
      </x:c>
      <x:c r="Q1499" s="54" t="n">
        <x:f>ROUND(O1499-P1499,2)</x:f>
        <x:v>1021.79</x:v>
      </x:c>
      <x:c r="R1499" s="55" t="n">
        <x:f>IF(O1499=0,0,ROUND(Q1499/O1499,4))</x:f>
        <x:v>0.4374</x:v>
      </x:c>
      <x:c r="S1499" s="53" t="n">
        <x:v>4</x:v>
      </x:c>
      <x:c r="T1499" t="str">
        <x:v>Entregue</x:v>
      </x:c>
      <x:c r="U1499" t="n">
        <x:v>3</x:v>
      </x:c>
      <x:c r="V1499" t="str"/>
    </x:row>
    <x:row r="1500">
      <x:c r="A1500" s="52" t="n">
        <x:v>46158</x:v>
      </x:c>
      <x:c r="B1500" t="str">
        <x:v>PED-101499</x:v>
      </x:c>
      <x:c r="C1500" t="str">
        <x:v>Cliente 093</x:v>
      </x:c>
      <x:c r="D1500" t="str">
        <x:v>PA</x:v>
      </x:c>
      <x:c r="E1500" t="str">
        <x:v>Norte</x:v>
      </x:c>
      <x:c r="F1500" t="str">
        <x:v>Loja</x:v>
      </x:c>
      <x:c r="G1500" t="str">
        <x:v>Escritório</x:v>
      </x:c>
      <x:c r="H1500" t="str">
        <x:v>Cadeira Ergonômica</x:v>
      </x:c>
      <x:c r="I1500" t="str">
        <x:v>Bruno</x:v>
      </x:c>
      <x:c r="J1500" s="53" t="n">
        <x:v>1</x:v>
      </x:c>
      <x:c r="K1500" s="54" t="n">
        <x:v>2231.55</x:v>
      </x:c>
      <x:c r="L1500" s="54" t="n">
        <x:v>1412.95</x:v>
      </x:c>
      <x:c r="M1500" s="55" t="n">
        <x:v>0.053</x:v>
      </x:c>
      <x:c r="N1500" s="54" t="n">
        <x:f>ROUND(J1500*K1500,2)</x:f>
        <x:v>2231.55</x:v>
      </x:c>
      <x:c r="O1500" s="54" t="n">
        <x:f>ROUND(N1500*(1-M1500),2)</x:f>
        <x:v>2113.28</x:v>
      </x:c>
      <x:c r="P1500" s="54" t="n">
        <x:f>ROUND(J1500*L1500,2)</x:f>
        <x:v>1412.95</x:v>
      </x:c>
      <x:c r="Q1500" s="54" t="n">
        <x:f>ROUND(O1500-P1500,2)</x:f>
        <x:v>700.33</x:v>
      </x:c>
      <x:c r="R1500" s="55" t="n">
        <x:f>IF(O1500=0,0,ROUND(Q1500/O1500,4))</x:f>
        <x:v>0.3314</x:v>
      </x:c>
      <x:c r="S1500" s="53" t="n">
        <x:v>3</x:v>
      </x:c>
      <x:c r="T1500" t="str">
        <x:v>Entregue</x:v>
      </x:c>
      <x:c r="U1500" t="n">
        <x:v>3</x:v>
      </x:c>
      <x:c r="V1500" t="str"/>
    </x:row>
    <x:row r="1501">
      <x:c r="A1501" s="52" t="n">
        <x:v>46207</x:v>
      </x:c>
      <x:c r="B1501" t="str">
        <x:v>PED-101500</x:v>
      </x:c>
      <x:c r="C1501" t="str">
        <x:v>Cliente 041</x:v>
      </x:c>
      <x:c r="D1501" t="str">
        <x:v>PR</x:v>
      </x:c>
      <x:c r="E1501" t="str">
        <x:v>Sul</x:v>
      </x:c>
      <x:c r="F1501" t="str">
        <x:v>Televendas</x:v>
      </x:c>
      <x:c r="G1501" t="str">
        <x:v>Casa</x:v>
      </x:c>
      <x:c r="H1501" t="str">
        <x:v>Aspirador Robô</x:v>
      </x:c>
      <x:c r="I1501" t="str">
        <x:v>Elaine</x:v>
      </x:c>
      <x:c r="J1501" s="53" t="n">
        <x:v>3</x:v>
      </x:c>
      <x:c r="K1501" s="54" t="n">
        <x:v>1894.26</x:v>
      </x:c>
      <x:c r="L1501" s="54" t="n">
        <x:v>1148.52</x:v>
      </x:c>
      <x:c r="M1501" s="55" t="n">
        <x:v>0</x:v>
      </x:c>
      <x:c r="N1501" s="54" t="n">
        <x:f>ROUND(J1501*K1501,2)</x:f>
        <x:v>5682.78</x:v>
      </x:c>
      <x:c r="O1501" s="54" t="n">
        <x:f>ROUND(N1501*(1-M1501),2)</x:f>
        <x:v>5682.78</x:v>
      </x:c>
      <x:c r="P1501" s="54" t="n">
        <x:f>ROUND(J1501*L1501,2)</x:f>
        <x:v>3445.56</x:v>
      </x:c>
      <x:c r="Q1501" s="54" t="n">
        <x:f>ROUND(O1501-P1501,2)</x:f>
        <x:v>2237.22</x:v>
      </x:c>
      <x:c r="R1501" s="55" t="n">
        <x:f>IF(O1501=0,0,ROUND(Q1501/O1501,4))</x:f>
        <x:v>0.3937</x:v>
      </x:c>
      <x:c r="S1501" s="53" t="n">
        <x:v>7</x:v>
      </x:c>
      <x:c r="T1501" t="str">
        <x:v>Entregue</x:v>
      </x:c>
      <x:c r="U1501" t="n">
        <x:v>3</x:v>
      </x:c>
      <x:c r="V1501" t="str"/>
    </x:row>
    <x:row r="1502">
      <x:c r="A1502" s="52" t="n">
        <x:v>46032</x:v>
      </x:c>
      <x:c r="B1502" t="str">
        <x:v>PED-101501</x:v>
      </x:c>
      <x:c r="C1502" t="str">
        <x:v>Cliente 067</x:v>
      </x:c>
      <x:c r="D1502" t="str">
        <x:v>RS</x:v>
      </x:c>
      <x:c r="E1502" t="str">
        <x:v>Sul</x:v>
      </x:c>
      <x:c r="F1502" t="str">
        <x:v>E-commerce</x:v>
      </x:c>
      <x:c r="G1502" t="str">
        <x:v>Tecnologia</x:v>
      </x:c>
      <x:c r="H1502" t="str">
        <x:v>Headset Office</x:v>
      </x:c>
      <x:c r="I1502" t="str">
        <x:v>Ana</x:v>
      </x:c>
      <x:c r="J1502" s="53" t="n">
        <x:v>6</x:v>
      </x:c>
      <x:c r="K1502" s="54" t="n">
        <x:v>406.3</x:v>
      </x:c>
      <x:c r="L1502" s="54" t="n">
        <x:v>218.62</x:v>
      </x:c>
      <x:c r="M1502" s="55" t="n">
        <x:v>0</x:v>
      </x:c>
      <x:c r="N1502" s="54" t="n">
        <x:f>ROUND(J1502*K1502,2)</x:f>
        <x:v>2437.8</x:v>
      </x:c>
      <x:c r="O1502" s="54" t="n">
        <x:f>ROUND(N1502*(1-M1502),2)</x:f>
        <x:v>2437.8</x:v>
      </x:c>
      <x:c r="P1502" s="54" t="n">
        <x:f>ROUND(J1502*L1502,2)</x:f>
        <x:v>1311.72</x:v>
      </x:c>
      <x:c r="Q1502" s="54" t="n">
        <x:f>ROUND(O1502-P1502,2)</x:f>
        <x:v>1126.08</x:v>
      </x:c>
      <x:c r="R1502" s="55" t="n">
        <x:f>IF(O1502=0,0,ROUND(Q1502/O1502,4))</x:f>
        <x:v>0.4619</x:v>
      </x:c>
      <x:c r="S1502" s="53" t="n">
        <x:v>10</x:v>
      </x:c>
      <x:c r="T1502" t="str">
        <x:v>Entregue</x:v>
      </x:c>
      <x:c r="U1502" t="n">
        <x:v>3</x:v>
      </x:c>
      <x:c r="V1502" t="str"/>
    </x:row>
    <x:row r="1503">
      <x:c r="A1503" s="52" t="n">
        <x:v>46153</x:v>
      </x:c>
      <x:c r="B1503" t="str">
        <x:v>PED-101502</x:v>
      </x:c>
      <x:c r="C1503" t="str">
        <x:v>Cliente 058</x:v>
      </x:c>
      <x:c r="D1503" t="str">
        <x:v>SP</x:v>
      </x:c>
      <x:c r="E1503" t="str">
        <x:v>Sudeste</x:v>
      </x:c>
      <x:c r="F1503" t="str">
        <x:v>Loja</x:v>
      </x:c>
      <x:c r="G1503" t="str">
        <x:v>Escritório</x:v>
      </x:c>
      <x:c r="H1503" t="str">
        <x:v>Cadeira Ergonômica</x:v>
      </x:c>
      <x:c r="I1503" t="str">
        <x:v>Henrique</x:v>
      </x:c>
      <x:c r="J1503" s="53" t="n">
        <x:v>5</x:v>
      </x:c>
      <x:c r="K1503" s="54" t="n">
        <x:v>2182.55</x:v>
      </x:c>
      <x:c r="L1503" s="54" t="n">
        <x:v>1471.3</x:v>
      </x:c>
      <x:c r="M1503" s="55" t="n">
        <x:v>0.007</x:v>
      </x:c>
      <x:c r="N1503" s="54" t="n">
        <x:f>ROUND(J1503*K1503,2)</x:f>
        <x:v>10912.75</x:v>
      </x:c>
      <x:c r="O1503" s="54" t="n">
        <x:f>ROUND(N1503*(1-M1503),2)</x:f>
        <x:v>10836.36</x:v>
      </x:c>
      <x:c r="P1503" s="54" t="n">
        <x:f>ROUND(J1503*L1503,2)</x:f>
        <x:v>7356.5</x:v>
      </x:c>
      <x:c r="Q1503" s="54" t="n">
        <x:f>ROUND(O1503-P1503,2)</x:f>
        <x:v>3479.86</x:v>
      </x:c>
      <x:c r="R1503" s="55" t="n">
        <x:f>IF(O1503=0,0,ROUND(Q1503/O1503,4))</x:f>
        <x:v>0.3211</x:v>
      </x:c>
      <x:c r="S1503" s="53" t="n">
        <x:v>11</x:v>
      </x:c>
      <x:c r="T1503" t="str">
        <x:v>Entregue com atraso</x:v>
      </x:c>
      <x:c r="U1503" t="n">
        <x:v>2</x:v>
      </x:c>
      <x:c r="V1503" t="str"/>
    </x:row>
    <x:row r="1504">
      <x:c r="A1504" s="52" t="n">
        <x:v>46033</x:v>
      </x:c>
      <x:c r="B1504" t="str">
        <x:v>PED-101503</x:v>
      </x:c>
      <x:c r="C1504" t="str">
        <x:v>Cliente 021</x:v>
      </x:c>
      <x:c r="D1504" t="str">
        <x:v>ES</x:v>
      </x:c>
      <x:c r="E1504" t="str">
        <x:v>Sudeste</x:v>
      </x:c>
      <x:c r="F1504" t="str">
        <x:v>Marketplace</x:v>
      </x:c>
      <x:c r="G1504" t="str">
        <x:v>Tecnologia</x:v>
      </x:c>
      <x:c r="H1504" t="str">
        <x:v>Monitor 27</x:v>
      </x:c>
      <x:c r="I1504" t="str">
        <x:v>Diego</x:v>
      </x:c>
      <x:c r="J1504" s="53" t="n">
        <x:v>8</x:v>
      </x:c>
      <x:c r="K1504" s="54" t="n">
        <x:v>1640.96</x:v>
      </x:c>
      <x:c r="L1504" s="54" t="n">
        <x:v>1090.17</x:v>
      </x:c>
      <x:c r="M1504" s="55" t="n">
        <x:v>0.1425</x:v>
      </x:c>
      <x:c r="N1504" s="54" t="n">
        <x:f>ROUND(J1504*K1504,2)</x:f>
        <x:v>13127.68</x:v>
      </x:c>
      <x:c r="O1504" s="54" t="n">
        <x:f>ROUND(N1504*(1-M1504),2)</x:f>
        <x:v>11256.99</x:v>
      </x:c>
      <x:c r="P1504" s="54" t="n">
        <x:f>ROUND(J1504*L1504,2)</x:f>
        <x:v>8721.36</x:v>
      </x:c>
      <x:c r="Q1504" s="54" t="n">
        <x:f>ROUND(O1504-P1504,2)</x:f>
        <x:v>2535.63</x:v>
      </x:c>
      <x:c r="R1504" s="55" t="n">
        <x:f>IF(O1504=0,0,ROUND(Q1504/O1504,4))</x:f>
        <x:v>0.2252</x:v>
      </x:c>
      <x:c r="S1504" s="53" t="n">
        <x:v>13</x:v>
      </x:c>
      <x:c r="T1504" t="str">
        <x:v>Entregue com atraso</x:v>
      </x:c>
      <x:c r="U1504" t="n">
        <x:v>4</x:v>
      </x:c>
      <x:c r="V1504" t="str"/>
    </x:row>
    <x:row r="1505">
      <x:c r="A1505" s="52" t="n">
        <x:v>46064</x:v>
      </x:c>
      <x:c r="B1505" t="str">
        <x:v>PED-101504</x:v>
      </x:c>
      <x:c r="C1505" t="str">
        <x:v>Cliente 057</x:v>
      </x:c>
      <x:c r="D1505" t="str">
        <x:v>ES</x:v>
      </x:c>
      <x:c r="E1505" t="str">
        <x:v>Sudeste</x:v>
      </x:c>
      <x:c r="F1505" t="str">
        <x:v>Marketplace</x:v>
      </x:c>
      <x:c r="G1505" t="str">
        <x:v>Tecnologia</x:v>
      </x:c>
      <x:c r="H1505" t="str">
        <x:v>Notebook Pro</x:v>
      </x:c>
      <x:c r="I1505" t="str">
        <x:v>Ana</x:v>
      </x:c>
      <x:c r="J1505" s="53" t="n">
        <x:v>7</x:v>
      </x:c>
      <x:c r="K1505" s="54" t="n">
        <x:v>5700.7</x:v>
      </x:c>
      <x:c r="L1505" s="54" t="n">
        <x:v>4409.61</x:v>
      </x:c>
      <x:c r="M1505" s="55" t="n">
        <x:v>0.0799</x:v>
      </x:c>
      <x:c r="N1505" s="54" t="n">
        <x:f>ROUND(J1505*K1505,2)</x:f>
        <x:v>39904.9</x:v>
      </x:c>
      <x:c r="O1505" s="54" t="n">
        <x:f>ROUND(N1505*(1-M1505),2)</x:f>
        <x:v>36716.5</x:v>
      </x:c>
      <x:c r="P1505" s="54" t="n">
        <x:f>ROUND(J1505*L1505,2)</x:f>
        <x:v>30867.27</x:v>
      </x:c>
      <x:c r="Q1505" s="54" t="n">
        <x:f>ROUND(O1505-P1505,2)</x:f>
        <x:v>5849.23</x:v>
      </x:c>
      <x:c r="R1505" s="55" t="n">
        <x:f>IF(O1505=0,0,ROUND(Q1505/O1505,4))</x:f>
        <x:v>0.1593</x:v>
      </x:c>
      <x:c r="S1505" s="53" t="n">
        <x:v>14</x:v>
      </x:c>
      <x:c r="T1505" t="str">
        <x:v>Entregue com atraso</x:v>
      </x:c>
      <x:c r="U1505" t="n">
        <x:v>2</x:v>
      </x:c>
      <x:c r="V1505" t="str"/>
    </x:row>
    <x:row r="1506">
      <x:c r="A1506" s="52" t="n">
        <x:v>46227</x:v>
      </x:c>
      <x:c r="B1506" t="str">
        <x:v>PED-101505</x:v>
      </x:c>
      <x:c r="C1506" t="str">
        <x:v>Cliente 063</x:v>
      </x:c>
      <x:c r="D1506" t="str">
        <x:v>AM</x:v>
      </x:c>
      <x:c r="E1506" t="str">
        <x:v>Norte</x:v>
      </x:c>
      <x:c r="F1506" t="str">
        <x:v>Televendas</x:v>
      </x:c>
      <x:c r="G1506" t="str">
        <x:v>Tecnologia</x:v>
      </x:c>
      <x:c r="H1506" t="str">
        <x:v>Monitor 27</x:v>
      </x:c>
      <x:c r="I1506" t="str">
        <x:v>Isabela</x:v>
      </x:c>
      <x:c r="J1506" s="53" t="n">
        <x:v>4</x:v>
      </x:c>
      <x:c r="K1506" s="54" t="n">
        <x:v>1785.82</x:v>
      </x:c>
      <x:c r="L1506" s="54" t="n">
        <x:v>1167.51</x:v>
      </x:c>
      <x:c r="M1506" s="55" t="n">
        <x:v>0</x:v>
      </x:c>
      <x:c r="N1506" s="54" t="n">
        <x:f>ROUND(J1506*K1506,2)</x:f>
        <x:v>7143.28</x:v>
      </x:c>
      <x:c r="O1506" s="54" t="n">
        <x:f>ROUND(N1506*(1-M1506),2)</x:f>
        <x:v>7143.28</x:v>
      </x:c>
      <x:c r="P1506" s="54" t="n">
        <x:f>ROUND(J1506*L1506,2)</x:f>
        <x:v>4670.04</x:v>
      </x:c>
      <x:c r="Q1506" s="54" t="n">
        <x:f>ROUND(O1506-P1506,2)</x:f>
        <x:v>2473.24</x:v>
      </x:c>
      <x:c r="R1506" s="55" t="n">
        <x:f>IF(O1506=0,0,ROUND(Q1506/O1506,4))</x:f>
        <x:v>0.3462</x:v>
      </x:c>
      <x:c r="S1506" s="53" t="n">
        <x:v>10</x:v>
      </x:c>
      <x:c r="T1506" t="str">
        <x:v>Entregue</x:v>
      </x:c>
      <x:c r="U1506" t="n">
        <x:v>3</x:v>
      </x:c>
      <x:c r="V1506" t="str"/>
    </x:row>
    <x:row r="1507">
      <x:c r="A1507" s="52" t="n">
        <x:v>46144</x:v>
      </x:c>
      <x:c r="B1507" t="str">
        <x:v>PED-101506</x:v>
      </x:c>
      <x:c r="C1507" t="str">
        <x:v>Cliente 014</x:v>
      </x:c>
      <x:c r="D1507" t="str">
        <x:v>CE</x:v>
      </x:c>
      <x:c r="E1507" t="str">
        <x:v>Nordeste</x:v>
      </x:c>
      <x:c r="F1507" t="str">
        <x:v>Loja</x:v>
      </x:c>
      <x:c r="G1507" t="str">
        <x:v>Escritório</x:v>
      </x:c>
      <x:c r="H1507" t="str">
        <x:v>Luminária LED</x:v>
      </x:c>
      <x:c r="I1507" t="str">
        <x:v>Henrique</x:v>
      </x:c>
      <x:c r="J1507" s="53" t="n">
        <x:v>8</x:v>
      </x:c>
      <x:c r="K1507" s="54" t="n">
        <x:v>249.18</x:v>
      </x:c>
      <x:c r="L1507" s="54" t="n">
        <x:v>118.17</x:v>
      </x:c>
      <x:c r="M1507" s="55" t="n">
        <x:v>0</x:v>
      </x:c>
      <x:c r="N1507" s="54" t="n">
        <x:f>ROUND(J1507*K1507,2)</x:f>
        <x:v>1993.44</x:v>
      </x:c>
      <x:c r="O1507" s="54" t="n">
        <x:f>ROUND(N1507*(1-M1507),2)</x:f>
        <x:v>1993.44</x:v>
      </x:c>
      <x:c r="P1507" s="54" t="n">
        <x:f>ROUND(J1507*L1507,2)</x:f>
        <x:v>945.36</x:v>
      </x:c>
      <x:c r="Q1507" s="54" t="n">
        <x:f>ROUND(O1507-P1507,2)</x:f>
        <x:v>1048.08</x:v>
      </x:c>
      <x:c r="R1507" s="55" t="n">
        <x:f>IF(O1507=0,0,ROUND(Q1507/O1507,4))</x:f>
        <x:v>0.5258</x:v>
      </x:c>
      <x:c r="S1507" s="53" t="n">
        <x:v>14</x:v>
      </x:c>
      <x:c r="T1507" t="str">
        <x:v>Entregue com atraso</x:v>
      </x:c>
      <x:c r="U1507" t="n">
        <x:v>4</x:v>
      </x:c>
      <x:c r="V1507" t="str"/>
    </x:row>
    <x:row r="1508">
      <x:c r="A1508" s="52" t="n">
        <x:v>46059</x:v>
      </x:c>
      <x:c r="B1508" t="str">
        <x:v>PED-101507</x:v>
      </x:c>
      <x:c r="C1508" t="str">
        <x:v>Cliente 063</x:v>
      </x:c>
      <x:c r="D1508" t="str">
        <x:v>SP</x:v>
      </x:c>
      <x:c r="E1508" t="str">
        <x:v>Sudeste</x:v>
      </x:c>
      <x:c r="F1508" t="str">
        <x:v>Televendas</x:v>
      </x:c>
      <x:c r="G1508" t="str">
        <x:v>Acessórios</x:v>
      </x:c>
      <x:c r="H1508" t="str">
        <x:v>Mochila Executiva</x:v>
      </x:c>
      <x:c r="I1508" t="str">
        <x:v>Henrique</x:v>
      </x:c>
      <x:c r="J1508" s="53" t="n">
        <x:v>2</x:v>
      </x:c>
      <x:c r="K1508" s="54" t="n">
        <x:v>429.69</x:v>
      </x:c>
      <x:c r="L1508" s="54" t="n">
        <x:v>197.94</x:v>
      </x:c>
      <x:c r="M1508" s="55" t="n">
        <x:v>0</x:v>
      </x:c>
      <x:c r="N1508" s="54" t="n">
        <x:f>ROUND(J1508*K1508,2)</x:f>
        <x:v>859.38</x:v>
      </x:c>
      <x:c r="O1508" s="54" t="n">
        <x:f>ROUND(N1508*(1-M1508),2)</x:f>
        <x:v>859.38</x:v>
      </x:c>
      <x:c r="P1508" s="54" t="n">
        <x:f>ROUND(J1508*L1508,2)</x:f>
        <x:v>395.88</x:v>
      </x:c>
      <x:c r="Q1508" s="54" t="n">
        <x:f>ROUND(O1508-P1508,2)</x:f>
        <x:v>463.5</x:v>
      </x:c>
      <x:c r="R1508" s="55" t="n">
        <x:f>IF(O1508=0,0,ROUND(Q1508/O1508,4))</x:f>
        <x:v>0.5393</x:v>
      </x:c>
      <x:c r="S1508" s="53" t="n">
        <x:v>9</x:v>
      </x:c>
      <x:c r="T1508" t="str">
        <x:v>Cancelado</x:v>
      </x:c>
      <x:c r="U1508"/>
      <x:c r="V1508" t="str"/>
    </x:row>
    <x:row r="1509">
      <x:c r="A1509" s="52" t="n">
        <x:v>46196</x:v>
      </x:c>
      <x:c r="B1509" t="str">
        <x:v>PED-101508</x:v>
      </x:c>
      <x:c r="C1509" t="str">
        <x:v>Cliente 008</x:v>
      </x:c>
      <x:c r="D1509" t="str">
        <x:v>RS</x:v>
      </x:c>
      <x:c r="E1509" t="str">
        <x:v>Sul</x:v>
      </x:c>
      <x:c r="F1509" t="str">
        <x:v>Marketplace</x:v>
      </x:c>
      <x:c r="G1509" t="str">
        <x:v>Escritório</x:v>
      </x:c>
      <x:c r="H1509" t="str">
        <x:v>Luminária LED</x:v>
      </x:c>
      <x:c r="I1509" t="str">
        <x:v>Bruno</x:v>
      </x:c>
      <x:c r="J1509" s="53" t="n">
        <x:v>1</x:v>
      </x:c>
      <x:c r="K1509" s="54" t="n">
        <x:v>257.86</x:v>
      </x:c>
      <x:c r="L1509" s="54" t="n">
        <x:v>119.98</x:v>
      </x:c>
      <x:c r="M1509" s="55" t="n">
        <x:v>0.1432</x:v>
      </x:c>
      <x:c r="N1509" s="54" t="n">
        <x:f>ROUND(J1509*K1509,2)</x:f>
        <x:v>257.86</x:v>
      </x:c>
      <x:c r="O1509" s="54" t="n">
        <x:f>ROUND(N1509*(1-M1509),2)</x:f>
        <x:v>220.93</x:v>
      </x:c>
      <x:c r="P1509" s="54" t="n">
        <x:f>ROUND(J1509*L1509,2)</x:f>
        <x:v>119.98</x:v>
      </x:c>
      <x:c r="Q1509" s="54" t="n">
        <x:f>ROUND(O1509-P1509,2)</x:f>
        <x:v>100.95</x:v>
      </x:c>
      <x:c r="R1509" s="55" t="n">
        <x:f>IF(O1509=0,0,ROUND(Q1509/O1509,4))</x:f>
        <x:v>0.4569</x:v>
      </x:c>
      <x:c r="S1509" s="53" t="n">
        <x:v>2</x:v>
      </x:c>
      <x:c r="T1509" t="str">
        <x:v>Entregue</x:v>
      </x:c>
      <x:c r="U1509" t="n">
        <x:v>3</x:v>
      </x:c>
      <x:c r="V1509" t="str"/>
    </x:row>
    <x:row r="1510">
      <x:c r="A1510" s="52" t="n">
        <x:v>46228</x:v>
      </x:c>
      <x:c r="B1510" t="str">
        <x:v>PED-101509</x:v>
      </x:c>
      <x:c r="C1510" t="str">
        <x:v>Cliente 058</x:v>
      </x:c>
      <x:c r="D1510" t="str">
        <x:v>DF</x:v>
      </x:c>
      <x:c r="E1510" t="str">
        <x:v>Centro-Oeste</x:v>
      </x:c>
      <x:c r="F1510" t="str">
        <x:v>Televendas</x:v>
      </x:c>
      <x:c r="G1510" t="str">
        <x:v>Acessórios</x:v>
      </x:c>
      <x:c r="H1510" t="str">
        <x:v>Webcam HD</x:v>
      </x:c>
      <x:c r="I1510" t="str">
        <x:v>Henrique</x:v>
      </x:c>
      <x:c r="J1510" s="53" t="n">
        <x:v>2</x:v>
      </x:c>
      <x:c r="K1510" s="54" t="n">
        <x:v>511.48</x:v>
      </x:c>
      <x:c r="L1510" s="54" t="n">
        <x:v>246.45</x:v>
      </x:c>
      <x:c r="M1510" s="55" t="n">
        <x:v>0</x:v>
      </x:c>
      <x:c r="N1510" s="54" t="n">
        <x:f>ROUND(J1510*K1510,2)</x:f>
        <x:v>1022.96</x:v>
      </x:c>
      <x:c r="O1510" s="54" t="n">
        <x:f>ROUND(N1510*(1-M1510),2)</x:f>
        <x:v>1022.96</x:v>
      </x:c>
      <x:c r="P1510" s="54" t="n">
        <x:f>ROUND(J1510*L1510,2)</x:f>
        <x:v>492.9</x:v>
      </x:c>
      <x:c r="Q1510" s="54" t="n">
        <x:f>ROUND(O1510-P1510,2)</x:f>
        <x:v>530.06</x:v>
      </x:c>
      <x:c r="R1510" s="55" t="n">
        <x:f>IF(O1510=0,0,ROUND(Q1510/O1510,4))</x:f>
        <x:v>0.5182</x:v>
      </x:c>
      <x:c r="S1510" s="53" t="n">
        <x:v>11</x:v>
      </x:c>
      <x:c r="T1510" t="str">
        <x:v>Entregue com atraso</x:v>
      </x:c>
      <x:c r="U1510" t="n">
        <x:v>3</x:v>
      </x:c>
      <x:c r="V1510" t="str"/>
    </x:row>
    <x:row r="1511">
      <x:c r="A1511" s="52" t="n">
        <x:v>46147</x:v>
      </x:c>
      <x:c r="B1511" t="str">
        <x:v>PED-101510</x:v>
      </x:c>
      <x:c r="C1511" t="str">
        <x:v>Cliente 050</x:v>
      </x:c>
      <x:c r="D1511" t="str">
        <x:v>ES</x:v>
      </x:c>
      <x:c r="E1511" t="str">
        <x:v>Sudeste</x:v>
      </x:c>
      <x:c r="F1511" t="str">
        <x:v>Loja</x:v>
      </x:c>
      <x:c r="G1511" t="str">
        <x:v>Casa</x:v>
      </x:c>
      <x:c r="H1511" t="str">
        <x:v>Aspirador Robô</x:v>
      </x:c>
      <x:c r="I1511" t="str">
        <x:v>Henrique</x:v>
      </x:c>
      <x:c r="J1511" s="53" t="n">
        <x:v>4</x:v>
      </x:c>
      <x:c r="K1511" s="54" t="n">
        <x:v>1958.43</x:v>
      </x:c>
      <x:c r="L1511" s="54" t="n">
        <x:v>1224.89</x:v>
      </x:c>
      <x:c r="M1511" s="55" t="n">
        <x:v>0.0964</x:v>
      </x:c>
      <x:c r="N1511" s="54" t="n">
        <x:f>ROUND(J1511*K1511,2)</x:f>
        <x:v>7833.72</x:v>
      </x:c>
      <x:c r="O1511" s="54" t="n">
        <x:f>ROUND(N1511*(1-M1511),2)</x:f>
        <x:v>7078.55</x:v>
      </x:c>
      <x:c r="P1511" s="54" t="n">
        <x:f>ROUND(J1511*L1511,2)</x:f>
        <x:v>4899.56</x:v>
      </x:c>
      <x:c r="Q1511" s="54" t="n">
        <x:f>ROUND(O1511-P1511,2)</x:f>
        <x:v>2178.99</x:v>
      </x:c>
      <x:c r="R1511" s="55" t="n">
        <x:f>IF(O1511=0,0,ROUND(Q1511/O1511,4))</x:f>
        <x:v>0.3078</x:v>
      </x:c>
      <x:c r="S1511" s="53" t="n">
        <x:v>3</x:v>
      </x:c>
      <x:c r="T1511" t="str">
        <x:v>Entregue</x:v>
      </x:c>
      <x:c r="U1511" t="n">
        <x:v>2</x:v>
      </x:c>
      <x:c r="V1511" t="str"/>
    </x:row>
    <x:row r="1512">
      <x:c r="A1512" s="52" t="n">
        <x:v>46167</x:v>
      </x:c>
      <x:c r="B1512" t="str">
        <x:v>PED-101511</x:v>
      </x:c>
      <x:c r="C1512" t="str">
        <x:v>Cliente 105</x:v>
      </x:c>
      <x:c r="D1512" t="str">
        <x:v>SP</x:v>
      </x:c>
      <x:c r="E1512" t="str">
        <x:v>Sudeste</x:v>
      </x:c>
      <x:c r="F1512" t="str">
        <x:v>E-commerce</x:v>
      </x:c>
      <x:c r="G1512" t="str">
        <x:v>Tecnologia</x:v>
      </x:c>
      <x:c r="H1512" t="str">
        <x:v>Monitor 27</x:v>
      </x:c>
      <x:c r="I1512" t="str">
        <x:v>Isabela</x:v>
      </x:c>
      <x:c r="J1512" s="53" t="n">
        <x:v>3</x:v>
      </x:c>
      <x:c r="K1512" s="54" t="n">
        <x:v>1610.85</x:v>
      </x:c>
      <x:c r="L1512" s="54" t="n">
        <x:v>1084.59</x:v>
      </x:c>
      <x:c r="M1512" s="55" t="n">
        <x:v>0.0194</x:v>
      </x:c>
      <x:c r="N1512" s="54" t="n">
        <x:f>ROUND(J1512*K1512,2)</x:f>
        <x:v>4832.55</x:v>
      </x:c>
      <x:c r="O1512" s="54" t="n">
        <x:f>ROUND(N1512*(1-M1512),2)</x:f>
        <x:v>4738.8</x:v>
      </x:c>
      <x:c r="P1512" s="54" t="n">
        <x:f>ROUND(J1512*L1512,2)</x:f>
        <x:v>3253.77</x:v>
      </x:c>
      <x:c r="Q1512" s="54" t="n">
        <x:f>ROUND(O1512-P1512,2)</x:f>
        <x:v>1485.03</x:v>
      </x:c>
      <x:c r="R1512" s="55" t="n">
        <x:f>IF(O1512=0,0,ROUND(Q1512/O1512,4))</x:f>
        <x:v>0.3134</x:v>
      </x:c>
      <x:c r="S1512" s="53" t="n">
        <x:v>3</x:v>
      </x:c>
      <x:c r="T1512" t="str">
        <x:v>Entregue</x:v>
      </x:c>
      <x:c r="U1512" t="n">
        <x:v>4</x:v>
      </x:c>
      <x:c r="V1512" t="str"/>
    </x:row>
    <x:row r="1513">
      <x:c r="A1513" s="52" t="n">
        <x:v>46190</x:v>
      </x:c>
      <x:c r="B1513" t="str">
        <x:v>PED-101512</x:v>
      </x:c>
      <x:c r="C1513" t="str">
        <x:v>Cliente 098</x:v>
      </x:c>
      <x:c r="D1513" t="str">
        <x:v>MA</x:v>
      </x:c>
      <x:c r="E1513" t="str">
        <x:v>Nordeste</x:v>
      </x:c>
      <x:c r="F1513" t="str">
        <x:v>E-commerce</x:v>
      </x:c>
      <x:c r="G1513" t="str">
        <x:v>Tecnologia</x:v>
      </x:c>
      <x:c r="H1513" t="str">
        <x:v>Headset Office</x:v>
      </x:c>
      <x:c r="I1513" t="str">
        <x:v>Carla</x:v>
      </x:c>
      <x:c r="J1513" s="53" t="n">
        <x:v>4</x:v>
      </x:c>
      <x:c r="K1513" s="54" t="n">
        <x:v>369.08</x:v>
      </x:c>
      <x:c r="L1513" s="54" t="n">
        <x:v>209.09</x:v>
      </x:c>
      <x:c r="M1513" s="55" t="n">
        <x:v>0.1262</x:v>
      </x:c>
      <x:c r="N1513" s="54" t="n">
        <x:f>ROUND(J1513*K1513,2)</x:f>
        <x:v>1476.32</x:v>
      </x:c>
      <x:c r="O1513" s="54" t="n">
        <x:f>ROUND(N1513*(1-M1513),2)</x:f>
        <x:v>1290.01</x:v>
      </x:c>
      <x:c r="P1513" s="54" t="n">
        <x:f>ROUND(J1513*L1513,2)</x:f>
        <x:v>836.36</x:v>
      </x:c>
      <x:c r="Q1513" s="54" t="n">
        <x:f>ROUND(O1513-P1513,2)</x:f>
        <x:v>453.65</x:v>
      </x:c>
      <x:c r="R1513" s="55" t="n">
        <x:f>IF(O1513=0,0,ROUND(Q1513/O1513,4))</x:f>
        <x:v>0.3517</x:v>
      </x:c>
      <x:c r="S1513" s="53" t="n">
        <x:v>12</x:v>
      </x:c>
      <x:c r="T1513" t="str">
        <x:v>Cancelado</x:v>
      </x:c>
      <x:c r="U1513"/>
      <x:c r="V1513" t="str"/>
    </x:row>
    <x:row r="1514">
      <x:c r="A1514" s="52" t="n">
        <x:v>46135</x:v>
      </x:c>
      <x:c r="B1514" t="str">
        <x:v>PED-101513</x:v>
      </x:c>
      <x:c r="C1514" t="str">
        <x:v>Cliente 061</x:v>
      </x:c>
      <x:c r="D1514" t="str">
        <x:v>CE</x:v>
      </x:c>
      <x:c r="E1514" t="str">
        <x:v>Nordeste</x:v>
      </x:c>
      <x:c r="F1514" t="str">
        <x:v>E-commerce</x:v>
      </x:c>
      <x:c r="G1514" t="str">
        <x:v>Casa</x:v>
      </x:c>
      <x:c r="H1514" t="str">
        <x:v>Aspirador Robô</x:v>
      </x:c>
      <x:c r="I1514" t="str">
        <x:v>Elaine</x:v>
      </x:c>
      <x:c r="J1514" s="53" t="n">
        <x:v>4</x:v>
      </x:c>
      <x:c r="K1514" s="54" t="n">
        <x:v>1812.26</x:v>
      </x:c>
      <x:c r="L1514" s="54" t="n">
        <x:v>1207.93</x:v>
      </x:c>
      <x:c r="M1514" s="55" t="n">
        <x:v>0.0171</x:v>
      </x:c>
      <x:c r="N1514" s="54" t="n">
        <x:f>ROUND(J1514*K1514,2)</x:f>
        <x:v>7249.04</x:v>
      </x:c>
      <x:c r="O1514" s="54" t="n">
        <x:f>ROUND(N1514*(1-M1514),2)</x:f>
        <x:v>7125.08</x:v>
      </x:c>
      <x:c r="P1514" s="54" t="n">
        <x:f>ROUND(J1514*L1514,2)</x:f>
        <x:v>4831.72</x:v>
      </x:c>
      <x:c r="Q1514" s="54" t="n">
        <x:f>ROUND(O1514-P1514,2)</x:f>
        <x:v>2293.36</x:v>
      </x:c>
      <x:c r="R1514" s="55" t="n">
        <x:f>IF(O1514=0,0,ROUND(Q1514/O1514,4))</x:f>
        <x:v>0.3219</x:v>
      </x:c>
      <x:c r="S1514" s="53" t="n">
        <x:v>7</x:v>
      </x:c>
      <x:c r="T1514" t="str">
        <x:v>Entregue</x:v>
      </x:c>
      <x:c r="U1514" t="n">
        <x:v>4</x:v>
      </x:c>
      <x:c r="V1514" t="str"/>
    </x:row>
    <x:row r="1515">
      <x:c r="A1515" s="52" t="n">
        <x:v>46032</x:v>
      </x:c>
      <x:c r="B1515" t="str">
        <x:v>PED-101514</x:v>
      </x:c>
      <x:c r="C1515" t="str">
        <x:v>Cliente 027</x:v>
      </x:c>
      <x:c r="D1515" t="str">
        <x:v>PR</x:v>
      </x:c>
      <x:c r="E1515" t="str">
        <x:v>Sul</x:v>
      </x:c>
      <x:c r="F1515" t="str">
        <x:v>Loja</x:v>
      </x:c>
      <x:c r="G1515" t="str">
        <x:v>Tecnologia</x:v>
      </x:c>
      <x:c r="H1515" t="str">
        <x:v>Notebook Pro</x:v>
      </x:c>
      <x:c r="I1515" t="str">
        <x:v>Ana</x:v>
      </x:c>
      <x:c r="J1515" s="53" t="n">
        <x:v>4</x:v>
      </x:c>
      <x:c r="K1515" s="54" t="n">
        <x:v>6069.1</x:v>
      </x:c>
      <x:c r="L1515" s="54" t="n">
        <x:v>4271.99</x:v>
      </x:c>
      <x:c r="M1515" s="55" t="n">
        <x:v>0</x:v>
      </x:c>
      <x:c r="N1515" s="54" t="n">
        <x:f>ROUND(J1515*K1515,2)</x:f>
        <x:v>24276.4</x:v>
      </x:c>
      <x:c r="O1515" s="54" t="n">
        <x:f>ROUND(N1515*(1-M1515),2)</x:f>
        <x:v>24276.4</x:v>
      </x:c>
      <x:c r="P1515" s="54" t="n">
        <x:f>ROUND(J1515*L1515,2)</x:f>
        <x:v>17087.96</x:v>
      </x:c>
      <x:c r="Q1515" s="54" t="n">
        <x:f>ROUND(O1515-P1515,2)</x:f>
        <x:v>7188.44</x:v>
      </x:c>
      <x:c r="R1515" s="55" t="n">
        <x:f>IF(O1515=0,0,ROUND(Q1515/O1515,4))</x:f>
        <x:v>0.2961</x:v>
      </x:c>
      <x:c r="S1515" s="53" t="n">
        <x:v>2</x:v>
      </x:c>
      <x:c r="T1515" t="str">
        <x:v>Entregue</x:v>
      </x:c>
      <x:c r="U1515" t="n">
        <x:v>4</x:v>
      </x:c>
      <x:c r="V1515" t="str"/>
    </x:row>
    <x:row r="1516">
      <x:c r="A1516" s="52" t="n">
        <x:v>46207</x:v>
      </x:c>
      <x:c r="B1516" t="str">
        <x:v>PED-101515</x:v>
      </x:c>
      <x:c r="C1516" t="str">
        <x:v>Cliente 090</x:v>
      </x:c>
      <x:c r="D1516" t="str">
        <x:v>MG</x:v>
      </x:c>
      <x:c r="E1516" t="str">
        <x:v>Sudeste</x:v>
      </x:c>
      <x:c r="F1516" t="str">
        <x:v>Televendas</x:v>
      </x:c>
      <x:c r="G1516" t="str">
        <x:v>Casa</x:v>
      </x:c>
      <x:c r="H1516" t="str">
        <x:v>Cafeteira Smart</x:v>
      </x:c>
      <x:c r="I1516" t="str">
        <x:v>Ana</x:v>
      </x:c>
      <x:c r="J1516" s="53" t="n">
        <x:v>6</x:v>
      </x:c>
      <x:c r="K1516" s="54" t="n">
        <x:v>815.82</x:v>
      </x:c>
      <x:c r="L1516" s="54" t="n">
        <x:v>453.83</x:v>
      </x:c>
      <x:c r="M1516" s="55" t="n">
        <x:v>0.068</x:v>
      </x:c>
      <x:c r="N1516" s="54" t="n">
        <x:f>ROUND(J1516*K1516,2)</x:f>
        <x:v>4894.92</x:v>
      </x:c>
      <x:c r="O1516" s="54" t="n">
        <x:f>ROUND(N1516*(1-M1516),2)</x:f>
        <x:v>4562.07</x:v>
      </x:c>
      <x:c r="P1516" s="54" t="n">
        <x:f>ROUND(J1516*L1516,2)</x:f>
        <x:v>2722.98</x:v>
      </x:c>
      <x:c r="Q1516" s="54" t="n">
        <x:f>ROUND(O1516-P1516,2)</x:f>
        <x:v>1839.09</x:v>
      </x:c>
      <x:c r="R1516" s="55" t="n">
        <x:f>IF(O1516=0,0,ROUND(Q1516/O1516,4))</x:f>
        <x:v>0.4031</x:v>
      </x:c>
      <x:c r="S1516" s="53" t="n">
        <x:v>12</x:v>
      </x:c>
      <x:c r="T1516" t="str">
        <x:v>Entregue com atraso</x:v>
      </x:c>
      <x:c r="U1516" t="n">
        <x:v>5</x:v>
      </x:c>
      <x:c r="V1516" t="str"/>
    </x:row>
    <x:row r="1517">
      <x:c r="A1517" s="52" t="n">
        <x:v>46103</x:v>
      </x:c>
      <x:c r="B1517" t="str">
        <x:v>PED-101516</x:v>
      </x:c>
      <x:c r="C1517" t="str">
        <x:v>Cliente 066</x:v>
      </x:c>
      <x:c r="D1517" t="str">
        <x:v>MT</x:v>
      </x:c>
      <x:c r="E1517" t="str">
        <x:v>Centro-Oeste</x:v>
      </x:c>
      <x:c r="F1517" t="str">
        <x:v>Loja</x:v>
      </x:c>
      <x:c r="G1517" t="str">
        <x:v>Casa</x:v>
      </x:c>
      <x:c r="H1517" t="str">
        <x:v>Aspirador Robô</x:v>
      </x:c>
      <x:c r="I1517" t="str">
        <x:v>Diego</x:v>
      </x:c>
      <x:c r="J1517" s="53" t="n">
        <x:v>6</x:v>
      </x:c>
      <x:c r="K1517" s="54" t="n">
        <x:v>1967.49</x:v>
      </x:c>
      <x:c r="L1517" s="54" t="n">
        <x:v>1171.59</x:v>
      </x:c>
      <x:c r="M1517" s="55" t="n">
        <x:v>0.0063</x:v>
      </x:c>
      <x:c r="N1517" s="54" t="n">
        <x:f>ROUND(J1517*K1517,2)</x:f>
        <x:v>11804.94</x:v>
      </x:c>
      <x:c r="O1517" s="54" t="n">
        <x:f>ROUND(N1517*(1-M1517),2)</x:f>
        <x:v>11730.57</x:v>
      </x:c>
      <x:c r="P1517" s="54" t="n">
        <x:f>ROUND(J1517*L1517,2)</x:f>
        <x:v>7029.54</x:v>
      </x:c>
      <x:c r="Q1517" s="54" t="n">
        <x:f>ROUND(O1517-P1517,2)</x:f>
        <x:v>4701.03</x:v>
      </x:c>
      <x:c r="R1517" s="55" t="n">
        <x:f>IF(O1517=0,0,ROUND(Q1517/O1517,4))</x:f>
        <x:v>0.4008</x:v>
      </x:c>
      <x:c r="S1517" s="53" t="n">
        <x:v>6</x:v>
      </x:c>
      <x:c r="T1517" t="str">
        <x:v>Entregue</x:v>
      </x:c>
      <x:c r="U1517" t="n">
        <x:v>2</x:v>
      </x:c>
      <x:c r="V1517" t="str"/>
    </x:row>
    <x:row r="1518">
      <x:c r="A1518" s="52" t="n">
        <x:v>46186</x:v>
      </x:c>
      <x:c r="B1518" t="str">
        <x:v>PED-101517</x:v>
      </x:c>
      <x:c r="C1518" t="str">
        <x:v>Cliente 061</x:v>
      </x:c>
      <x:c r="D1518" t="str">
        <x:v>SC</x:v>
      </x:c>
      <x:c r="E1518" t="str">
        <x:v>Sul</x:v>
      </x:c>
      <x:c r="F1518" t="str">
        <x:v>Televendas</x:v>
      </x:c>
      <x:c r="G1518" t="str">
        <x:v>Escritório</x:v>
      </x:c>
      <x:c r="H1518" t="str">
        <x:v>Cadeira Ergonômica</x:v>
      </x:c>
      <x:c r="I1518" t="str">
        <x:v>Elaine</x:v>
      </x:c>
      <x:c r="J1518" s="53" t="n">
        <x:v>5</x:v>
      </x:c>
      <x:c r="K1518" s="54" t="n">
        <x:v>2073.72</x:v>
      </x:c>
      <x:c r="L1518" s="54" t="n">
        <x:v>1394.5</x:v>
      </x:c>
      <x:c r="M1518" s="55" t="n">
        <x:v>0</x:v>
      </x:c>
      <x:c r="N1518" s="54" t="n">
        <x:f>ROUND(J1518*K1518,2)</x:f>
        <x:v>10368.6</x:v>
      </x:c>
      <x:c r="O1518" s="54" t="n">
        <x:f>ROUND(N1518*(1-M1518),2)</x:f>
        <x:v>10368.6</x:v>
      </x:c>
      <x:c r="P1518" s="54" t="n">
        <x:f>ROUND(J1518*L1518,2)</x:f>
        <x:v>6972.5</x:v>
      </x:c>
      <x:c r="Q1518" s="54" t="n">
        <x:f>ROUND(O1518-P1518,2)</x:f>
        <x:v>3396.1</x:v>
      </x:c>
      <x:c r="R1518" s="55" t="n">
        <x:f>IF(O1518=0,0,ROUND(Q1518/O1518,4))</x:f>
        <x:v>0.3275</x:v>
      </x:c>
      <x:c r="S1518" s="53" t="n">
        <x:v>5</x:v>
      </x:c>
      <x:c r="T1518" t="str">
        <x:v>Entregue</x:v>
      </x:c>
      <x:c r="U1518" t="n">
        <x:v>3</x:v>
      </x:c>
      <x:c r="V1518" t="str"/>
    </x:row>
    <x:row r="1519">
      <x:c r="A1519" s="52" t="n">
        <x:v>46150</x:v>
      </x:c>
      <x:c r="B1519" t="str">
        <x:v>PED-101518</x:v>
      </x:c>
      <x:c r="C1519" t="str">
        <x:v>Cliente 107</x:v>
      </x:c>
      <x:c r="D1519" t="str">
        <x:v>BA</x:v>
      </x:c>
      <x:c r="E1519" t="str">
        <x:v>Nordeste</x:v>
      </x:c>
      <x:c r="F1519" t="str">
        <x:v>Loja</x:v>
      </x:c>
      <x:c r="G1519" t="str">
        <x:v>Casa</x:v>
      </x:c>
      <x:c r="H1519" t="str">
        <x:v>Aspirador Robô</x:v>
      </x:c>
      <x:c r="I1519" t="str">
        <x:v>Diego</x:v>
      </x:c>
      <x:c r="J1519" s="53" t="n">
        <x:v>3</x:v>
      </x:c>
      <x:c r="K1519" s="54" t="n">
        <x:v>1966.97</x:v>
      </x:c>
      <x:c r="L1519" s="54" t="n">
        <x:v>1204.56</x:v>
      </x:c>
      <x:c r="M1519" s="55" t="n">
        <x:v>0.0412</x:v>
      </x:c>
      <x:c r="N1519" s="54" t="n">
        <x:f>ROUND(J1519*K1519,2)</x:f>
        <x:v>5900.91</x:v>
      </x:c>
      <x:c r="O1519" s="54" t="n">
        <x:f>ROUND(N1519*(1-M1519),2)</x:f>
        <x:v>5657.79</x:v>
      </x:c>
      <x:c r="P1519" s="54" t="n">
        <x:f>ROUND(J1519*L1519,2)</x:f>
        <x:v>3613.68</x:v>
      </x:c>
      <x:c r="Q1519" s="54" t="n">
        <x:f>ROUND(O1519-P1519,2)</x:f>
        <x:v>2044.11</x:v>
      </x:c>
      <x:c r="R1519" s="55" t="n">
        <x:f>IF(O1519=0,0,ROUND(Q1519/O1519,4))</x:f>
        <x:v>0.3613</x:v>
      </x:c>
      <x:c r="S1519" s="53" t="n">
        <x:v>2</x:v>
      </x:c>
      <x:c r="T1519" t="str">
        <x:v>Entregue</x:v>
      </x:c>
      <x:c r="U1519" t="n">
        <x:v>4</x:v>
      </x:c>
      <x:c r="V1519" t="str"/>
    </x:row>
    <x:row r="1520">
      <x:c r="A1520" s="52" t="n">
        <x:v>46167</x:v>
      </x:c>
      <x:c r="B1520" t="str">
        <x:v>PED-101519</x:v>
      </x:c>
      <x:c r="C1520" t="str">
        <x:v>Cliente 062</x:v>
      </x:c>
      <x:c r="D1520" t="str">
        <x:v>BA</x:v>
      </x:c>
      <x:c r="E1520" t="str">
        <x:v>Nordeste</x:v>
      </x:c>
      <x:c r="F1520" t="str">
        <x:v>Marketplace</x:v>
      </x:c>
      <x:c r="G1520" t="str">
        <x:v>Acessórios</x:v>
      </x:c>
      <x:c r="H1520" t="str">
        <x:v>Mochila Executiva</x:v>
      </x:c>
      <x:c r="I1520" t="str">
        <x:v>Carla</x:v>
      </x:c>
      <x:c r="J1520" s="53" t="n">
        <x:v>7</x:v>
      </x:c>
      <x:c r="K1520" s="54" t="n">
        <x:v>451.83</x:v>
      </x:c>
      <x:c r="L1520" s="54" t="n">
        <x:v>205.17</x:v>
      </x:c>
      <x:c r="M1520" s="55" t="n">
        <x:v>0.0976</x:v>
      </x:c>
      <x:c r="N1520" s="54" t="n">
        <x:f>ROUND(J1520*K1520,2)</x:f>
        <x:v>3162.81</x:v>
      </x:c>
      <x:c r="O1520" s="54" t="n">
        <x:f>ROUND(N1520*(1-M1520),2)</x:f>
        <x:v>2854.12</x:v>
      </x:c>
      <x:c r="P1520" s="54" t="n">
        <x:f>ROUND(J1520*L1520,2)</x:f>
        <x:v>1436.19</x:v>
      </x:c>
      <x:c r="Q1520" s="54" t="n">
        <x:f>ROUND(O1520-P1520,2)</x:f>
        <x:v>1417.93</x:v>
      </x:c>
      <x:c r="R1520" s="55" t="n">
        <x:f>IF(O1520=0,0,ROUND(Q1520/O1520,4))</x:f>
        <x:v>0.4968</x:v>
      </x:c>
      <x:c r="S1520" s="53" t="n">
        <x:v>2</x:v>
      </x:c>
      <x:c r="T1520" t="str">
        <x:v>Entregue</x:v>
      </x:c>
      <x:c r="U1520" t="n">
        <x:v>4</x:v>
      </x:c>
      <x:c r="V1520" t="str"/>
    </x:row>
    <x:row r="1521">
      <x:c r="A1521" s="52" t="n">
        <x:v>46225</x:v>
      </x:c>
      <x:c r="B1521" t="str">
        <x:v>PED-101520</x:v>
      </x:c>
      <x:c r="C1521" t="str">
        <x:v>Cliente 036</x:v>
      </x:c>
      <x:c r="D1521" t="str">
        <x:v>BA</x:v>
      </x:c>
      <x:c r="E1521" t="str">
        <x:v>Nordeste</x:v>
      </x:c>
      <x:c r="F1521" t="str">
        <x:v>Marketplace</x:v>
      </x:c>
      <x:c r="G1521" t="str">
        <x:v>Tecnologia</x:v>
      </x:c>
      <x:c r="H1521" t="str">
        <x:v>Monitor 27</x:v>
      </x:c>
      <x:c r="I1521" t="str">
        <x:v>Carla</x:v>
      </x:c>
      <x:c r="J1521" s="53" t="n">
        <x:v>8</x:v>
      </x:c>
      <x:c r="K1521" s="54" t="n">
        <x:v>1768.93</x:v>
      </x:c>
      <x:c r="L1521" s="54" t="n">
        <x:v>1089.61</x:v>
      </x:c>
      <x:c r="M1521" s="55" t="n">
        <x:v>0.1001</x:v>
      </x:c>
      <x:c r="N1521" s="54" t="n">
        <x:f>ROUND(J1521*K1521,2)</x:f>
        <x:v>14151.44</x:v>
      </x:c>
      <x:c r="O1521" s="54" t="n">
        <x:f>ROUND(N1521*(1-M1521),2)</x:f>
        <x:v>12734.88</x:v>
      </x:c>
      <x:c r="P1521" s="54" t="n">
        <x:f>ROUND(J1521*L1521,2)</x:f>
        <x:v>8716.88</x:v>
      </x:c>
      <x:c r="Q1521" s="54" t="n">
        <x:f>ROUND(O1521-P1521,2)</x:f>
        <x:v>4018</x:v>
      </x:c>
      <x:c r="R1521" s="55" t="n">
        <x:f>IF(O1521=0,0,ROUND(Q1521/O1521,4))</x:f>
        <x:v>0.3155</x:v>
      </x:c>
      <x:c r="S1521" s="53" t="n">
        <x:v>9</x:v>
      </x:c>
      <x:c r="T1521" t="str">
        <x:v>Entregue</x:v>
      </x:c>
      <x:c r="U1521" t="n">
        <x:v>3</x:v>
      </x:c>
      <x:c r="V1521" t="str"/>
    </x:row>
    <x:row r="1522">
      <x:c r="A1522" s="52" t="n">
        <x:v>46144</x:v>
      </x:c>
      <x:c r="B1522" t="str">
        <x:v>PED-101521</x:v>
      </x:c>
      <x:c r="C1522" t="str">
        <x:v>Cliente 062</x:v>
      </x:c>
      <x:c r="D1522" t="str">
        <x:v>ES</x:v>
      </x:c>
      <x:c r="E1522" t="str">
        <x:v>Sudeste</x:v>
      </x:c>
      <x:c r="F1522" t="str">
        <x:v>Televendas</x:v>
      </x:c>
      <x:c r="G1522" t="str">
        <x:v>Acessórios</x:v>
      </x:c>
      <x:c r="H1522" t="str">
        <x:v>Webcam HD</x:v>
      </x:c>
      <x:c r="I1522" t="str">
        <x:v>Carla</x:v>
      </x:c>
      <x:c r="J1522" s="53" t="n">
        <x:v>4</x:v>
      </x:c>
      <x:c r="K1522" s="54" t="n">
        <x:v>523.98</x:v>
      </x:c>
      <x:c r="L1522" s="54" t="n">
        <x:v>230.51</x:v>
      </x:c>
      <x:c r="M1522" s="55" t="n">
        <x:v>0</x:v>
      </x:c>
      <x:c r="N1522" s="54" t="n">
        <x:f>ROUND(J1522*K1522,2)</x:f>
        <x:v>2095.92</x:v>
      </x:c>
      <x:c r="O1522" s="54" t="n">
        <x:f>ROUND(N1522*(1-M1522),2)</x:f>
        <x:v>2095.92</x:v>
      </x:c>
      <x:c r="P1522" s="54" t="n">
        <x:f>ROUND(J1522*L1522,2)</x:f>
        <x:v>922.04</x:v>
      </x:c>
      <x:c r="Q1522" s="54" t="n">
        <x:f>ROUND(O1522-P1522,2)</x:f>
        <x:v>1173.88</x:v>
      </x:c>
      <x:c r="R1522" s="55" t="n">
        <x:f>IF(O1522=0,0,ROUND(Q1522/O1522,4))</x:f>
        <x:v>0.5601</x:v>
      </x:c>
      <x:c r="S1522" s="53" t="n">
        <x:v>12</x:v>
      </x:c>
      <x:c r="T1522" t="str">
        <x:v>Entregue com atraso</x:v>
      </x:c>
      <x:c r="U1522" t="n">
        <x:v>4</x:v>
      </x:c>
      <x:c r="V1522" t="str"/>
    </x:row>
    <x:row r="1523">
      <x:c r="A1523" s="52" t="n">
        <x:v>46073</x:v>
      </x:c>
      <x:c r="B1523" t="str">
        <x:v>PED-101522</x:v>
      </x:c>
      <x:c r="C1523" t="str">
        <x:v>Cliente 101</x:v>
      </x:c>
      <x:c r="D1523" t="str">
        <x:v>BA</x:v>
      </x:c>
      <x:c r="E1523" t="str">
        <x:v>Nordeste</x:v>
      </x:c>
      <x:c r="F1523" t="str">
        <x:v>Televendas</x:v>
      </x:c>
      <x:c r="G1523" t="str">
        <x:v>Tecnologia</x:v>
      </x:c>
      <x:c r="H1523" t="str">
        <x:v>Monitor 27</x:v>
      </x:c>
      <x:c r="I1523" t="str">
        <x:v>Elaine</x:v>
      </x:c>
      <x:c r="J1523" s="53" t="n">
        <x:v>2</x:v>
      </x:c>
      <x:c r="K1523" s="54" t="n">
        <x:v>1717.51</x:v>
      </x:c>
      <x:c r="L1523" s="54" t="n">
        <x:v>1075.87</x:v>
      </x:c>
      <x:c r="M1523" s="55" t="n">
        <x:v>0.023</x:v>
      </x:c>
      <x:c r="N1523" s="54" t="n">
        <x:f>ROUND(J1523*K1523,2)</x:f>
        <x:v>3435.02</x:v>
      </x:c>
      <x:c r="O1523" s="54" t="n">
        <x:f>ROUND(N1523*(1-M1523),2)</x:f>
        <x:v>3356.01</x:v>
      </x:c>
      <x:c r="P1523" s="54" t="n">
        <x:f>ROUND(J1523*L1523,2)</x:f>
        <x:v>2151.74</x:v>
      </x:c>
      <x:c r="Q1523" s="54" t="n">
        <x:f>ROUND(O1523-P1523,2)</x:f>
        <x:v>1204.27</x:v>
      </x:c>
      <x:c r="R1523" s="55" t="n">
        <x:f>IF(O1523=0,0,ROUND(Q1523/O1523,4))</x:f>
        <x:v>0.3588</x:v>
      </x:c>
      <x:c r="S1523" s="53" t="n">
        <x:v>4</x:v>
      </x:c>
      <x:c r="T1523" t="str">
        <x:v>Cancelado</x:v>
      </x:c>
      <x:c r="U1523"/>
      <x:c r="V1523" t="str"/>
    </x:row>
    <x:row r="1524">
      <x:c r="A1524" s="52" t="n">
        <x:v>46233</x:v>
      </x:c>
      <x:c r="B1524" t="str">
        <x:v>PED-101523</x:v>
      </x:c>
      <x:c r="C1524" t="str">
        <x:v>Cliente 001</x:v>
      </x:c>
      <x:c r="D1524" t="str">
        <x:v>PE</x:v>
      </x:c>
      <x:c r="E1524" t="str">
        <x:v>Nordeste</x:v>
      </x:c>
      <x:c r="F1524" t="str">
        <x:v>Marketplace</x:v>
      </x:c>
      <x:c r="G1524" t="str">
        <x:v>Casa</x:v>
      </x:c>
      <x:c r="H1524" t="str">
        <x:v>Purificador</x:v>
      </x:c>
      <x:c r="I1524" t="str">
        <x:v>Isabela</x:v>
      </x:c>
      <x:c r="J1524" s="53" t="n">
        <x:v>8</x:v>
      </x:c>
      <x:c r="K1524" s="54" t="n">
        <x:v>1215.43</x:v>
      </x:c>
      <x:c r="L1524" s="54" t="n">
        <x:v>833.3</x:v>
      </x:c>
      <x:c r="M1524" s="55" t="n">
        <x:v>0.1092</x:v>
      </x:c>
      <x:c r="N1524" s="54" t="n">
        <x:f>ROUND(J1524*K1524,2)</x:f>
        <x:v>9723.44</x:v>
      </x:c>
      <x:c r="O1524" s="54" t="n">
        <x:f>ROUND(N1524*(1-M1524),2)</x:f>
        <x:v>8661.64</x:v>
      </x:c>
      <x:c r="P1524" s="54" t="n">
        <x:f>ROUND(J1524*L1524,2)</x:f>
        <x:v>6666.4</x:v>
      </x:c>
      <x:c r="Q1524" s="54" t="n">
        <x:f>ROUND(O1524-P1524,2)</x:f>
        <x:v>1995.24</x:v>
      </x:c>
      <x:c r="R1524" s="55" t="n">
        <x:f>IF(O1524=0,0,ROUND(Q1524/O1524,4))</x:f>
        <x:v>0.2304</x:v>
      </x:c>
      <x:c r="S1524" s="53" t="n">
        <x:v>13</x:v>
      </x:c>
      <x:c r="T1524" t="str">
        <x:v>Entregue com atraso</x:v>
      </x:c>
      <x:c r="U1524" t="n">
        <x:v>4</x:v>
      </x:c>
      <x:c r="V1524" t="str"/>
    </x:row>
    <x:row r="1525">
      <x:c r="A1525" s="52" t="n">
        <x:v>46186</x:v>
      </x:c>
      <x:c r="B1525" t="str">
        <x:v>PED-101524</x:v>
      </x:c>
      <x:c r="C1525" t="str">
        <x:v>Cliente 089</x:v>
      </x:c>
      <x:c r="D1525" t="str">
        <x:v>ES</x:v>
      </x:c>
      <x:c r="E1525" t="str">
        <x:v>Sudeste</x:v>
      </x:c>
      <x:c r="F1525" t="str">
        <x:v>E-commerce</x:v>
      </x:c>
      <x:c r="G1525" t="str">
        <x:v>Escritório</x:v>
      </x:c>
      <x:c r="H1525" t="str">
        <x:v>Luminária LED</x:v>
      </x:c>
      <x:c r="I1525" t="str">
        <x:v>João</x:v>
      </x:c>
      <x:c r="J1525" s="53" t="n">
        <x:v>6</x:v>
      </x:c>
      <x:c r="K1525" s="54" t="n">
        <x:v>244.5</x:v>
      </x:c>
      <x:c r="L1525" s="54" t="n">
        <x:v>123.42</x:v>
      </x:c>
      <x:c r="M1525" s="55" t="n">
        <x:v>0</x:v>
      </x:c>
      <x:c r="N1525" s="54" t="n">
        <x:f>ROUND(J1525*K1525,2)</x:f>
        <x:v>1467</x:v>
      </x:c>
      <x:c r="O1525" s="54" t="n">
        <x:f>ROUND(N1525*(1-M1525),2)</x:f>
        <x:v>1467</x:v>
      </x:c>
      <x:c r="P1525" s="54" t="n">
        <x:f>ROUND(J1525*L1525,2)</x:f>
        <x:v>740.52</x:v>
      </x:c>
      <x:c r="Q1525" s="54" t="n">
        <x:f>ROUND(O1525-P1525,2)</x:f>
        <x:v>726.48</x:v>
      </x:c>
      <x:c r="R1525" s="55" t="n">
        <x:f>IF(O1525=0,0,ROUND(Q1525/O1525,4))</x:f>
        <x:v>0.4952</x:v>
      </x:c>
      <x:c r="S1525" s="53" t="n">
        <x:v>14</x:v>
      </x:c>
      <x:c r="T1525" t="str">
        <x:v>Entregue com atraso</x:v>
      </x:c>
      <x:c r="U1525" t="n">
        <x:v>2</x:v>
      </x:c>
      <x:c r="V1525" t="str"/>
    </x:row>
    <x:row r="1526">
      <x:c r="A1526" s="52" t="n">
        <x:v>46219</x:v>
      </x:c>
      <x:c r="B1526" t="str">
        <x:v>PED-101525</x:v>
      </x:c>
      <x:c r="C1526" t="str">
        <x:v>Cliente 066</x:v>
      </x:c>
      <x:c r="D1526" t="str">
        <x:v>AM</x:v>
      </x:c>
      <x:c r="E1526" t="str">
        <x:v>Norte</x:v>
      </x:c>
      <x:c r="F1526" t="str">
        <x:v>E-commerce</x:v>
      </x:c>
      <x:c r="G1526" t="str">
        <x:v>Escritório</x:v>
      </x:c>
      <x:c r="H1526" t="str">
        <x:v>Luminária LED</x:v>
      </x:c>
      <x:c r="I1526" t="str">
        <x:v>Bruno</x:v>
      </x:c>
      <x:c r="J1526" s="53" t="n">
        <x:v>7</x:v>
      </x:c>
      <x:c r="K1526" s="54" t="n">
        <x:v>269.26</x:v>
      </x:c>
      <x:c r="L1526" s="54" t="n">
        <x:v>124.83</x:v>
      </x:c>
      <x:c r="M1526" s="55" t="n">
        <x:v>0.089</x:v>
      </x:c>
      <x:c r="N1526" s="54" t="n">
        <x:f>ROUND(J1526*K1526,2)</x:f>
        <x:v>1884.82</x:v>
      </x:c>
      <x:c r="O1526" s="54" t="n">
        <x:f>ROUND(N1526*(1-M1526),2)</x:f>
        <x:v>1717.07</x:v>
      </x:c>
      <x:c r="P1526" s="54" t="n">
        <x:f>ROUND(J1526*L1526,2)</x:f>
        <x:v>873.81</x:v>
      </x:c>
      <x:c r="Q1526" s="54" t="n">
        <x:f>ROUND(O1526-P1526,2)</x:f>
        <x:v>843.26</x:v>
      </x:c>
      <x:c r="R1526" s="55" t="n">
        <x:f>IF(O1526=0,0,ROUND(Q1526/O1526,4))</x:f>
        <x:v>0.4911</x:v>
      </x:c>
      <x:c r="S1526" s="53" t="n">
        <x:v>4</x:v>
      </x:c>
      <x:c r="T1526" t="str">
        <x:v>Entregue</x:v>
      </x:c>
      <x:c r="U1526" t="n">
        <x:v>3</x:v>
      </x:c>
      <x:c r="V1526" t="str"/>
    </x:row>
    <x:row r="1527">
      <x:c r="A1527" s="52" t="n">
        <x:v>46119</x:v>
      </x:c>
      <x:c r="B1527" t="str">
        <x:v>PED-101526</x:v>
      </x:c>
      <x:c r="C1527" t="str">
        <x:v>Cliente 018</x:v>
      </x:c>
      <x:c r="D1527" t="str">
        <x:v>PR</x:v>
      </x:c>
      <x:c r="E1527" t="str">
        <x:v>Sul</x:v>
      </x:c>
      <x:c r="F1527" t="str">
        <x:v>Televendas</x:v>
      </x:c>
      <x:c r="G1527" t="str">
        <x:v>Acessórios</x:v>
      </x:c>
      <x:c r="H1527" t="str">
        <x:v>Mochila Executiva</x:v>
      </x:c>
      <x:c r="I1527" t="str">
        <x:v>Isabela</x:v>
      </x:c>
      <x:c r="J1527" s="53" t="n">
        <x:v>5</x:v>
      </x:c>
      <x:c r="K1527" s="54" t="n">
        <x:v>425.63</x:v>
      </x:c>
      <x:c r="L1527" s="54" t="n">
        <x:v>184.53</x:v>
      </x:c>
      <x:c r="M1527" s="55" t="n">
        <x:v>0</x:v>
      </x:c>
      <x:c r="N1527" s="54" t="n">
        <x:f>ROUND(J1527*K1527,2)</x:f>
        <x:v>2128.15</x:v>
      </x:c>
      <x:c r="O1527" s="54" t="n">
        <x:f>ROUND(N1527*(1-M1527),2)</x:f>
        <x:v>2128.15</x:v>
      </x:c>
      <x:c r="P1527" s="54" t="n">
        <x:f>ROUND(J1527*L1527,2)</x:f>
        <x:v>922.65</x:v>
      </x:c>
      <x:c r="Q1527" s="54" t="n">
        <x:f>ROUND(O1527-P1527,2)</x:f>
        <x:v>1205.5</x:v>
      </x:c>
      <x:c r="R1527" s="55" t="n">
        <x:f>IF(O1527=0,0,ROUND(Q1527/O1527,4))</x:f>
        <x:v>0.5665</x:v>
      </x:c>
      <x:c r="S1527" s="53" t="n">
        <x:v>5</x:v>
      </x:c>
      <x:c r="T1527" t="str">
        <x:v>Entregue</x:v>
      </x:c>
      <x:c r="U1527" t="n">
        <x:v>2</x:v>
      </x:c>
      <x:c r="V1527" t="str"/>
    </x:row>
    <x:row r="1528">
      <x:c r="A1528" s="52" t="n">
        <x:v>46075</x:v>
      </x:c>
      <x:c r="B1528" t="str">
        <x:v>PED-101527</x:v>
      </x:c>
      <x:c r="C1528" t="str">
        <x:v>Cliente 117</x:v>
      </x:c>
      <x:c r="D1528" t="str">
        <x:v>AM</x:v>
      </x:c>
      <x:c r="E1528" t="str">
        <x:v>Norte</x:v>
      </x:c>
      <x:c r="F1528" t="str">
        <x:v>Loja</x:v>
      </x:c>
      <x:c r="G1528" t="str">
        <x:v>Acessórios</x:v>
      </x:c>
      <x:c r="H1528" t="str">
        <x:v>Mochila Executiva</x:v>
      </x:c>
      <x:c r="I1528" t="str">
        <x:v>João</x:v>
      </x:c>
      <x:c r="J1528" s="53" t="n">
        <x:v>7</x:v>
      </x:c>
      <x:c r="K1528" s="54" t="n">
        <x:v>428.7</x:v>
      </x:c>
      <x:c r="L1528" s="54" t="n">
        <x:v>192.89</x:v>
      </x:c>
      <x:c r="M1528" s="55" t="n">
        <x:v>0.0553</x:v>
      </x:c>
      <x:c r="N1528" s="54" t="n">
        <x:f>ROUND(J1528*K1528,2)</x:f>
        <x:v>3000.9</x:v>
      </x:c>
      <x:c r="O1528" s="54" t="n">
        <x:f>ROUND(N1528*(1-M1528),2)</x:f>
        <x:v>2834.95</x:v>
      </x:c>
      <x:c r="P1528" s="54" t="n">
        <x:f>ROUND(J1528*L1528,2)</x:f>
        <x:v>1350.23</x:v>
      </x:c>
      <x:c r="Q1528" s="54" t="n">
        <x:f>ROUND(O1528-P1528,2)</x:f>
        <x:v>1484.72</x:v>
      </x:c>
      <x:c r="R1528" s="55" t="n">
        <x:f>IF(O1528=0,0,ROUND(Q1528/O1528,4))</x:f>
        <x:v>0.5237</x:v>
      </x:c>
      <x:c r="S1528" s="53" t="n">
        <x:v>7</x:v>
      </x:c>
      <x:c r="T1528" t="str">
        <x:v>Entregue</x:v>
      </x:c>
      <x:c r="U1528" t="n">
        <x:v>2</x:v>
      </x:c>
      <x:c r="V1528" t="str"/>
    </x:row>
    <x:row r="1529">
      <x:c r="A1529" s="52" t="n">
        <x:v>46077</x:v>
      </x:c>
      <x:c r="B1529" t="str">
        <x:v>PED-101528</x:v>
      </x:c>
      <x:c r="C1529" t="str">
        <x:v>Cliente 091</x:v>
      </x:c>
      <x:c r="D1529" t="str">
        <x:v>PR</x:v>
      </x:c>
      <x:c r="E1529" t="str">
        <x:v>Sul</x:v>
      </x:c>
      <x:c r="F1529" t="str">
        <x:v>Loja</x:v>
      </x:c>
      <x:c r="G1529" t="str">
        <x:v>Tecnologia</x:v>
      </x:c>
      <x:c r="H1529" t="str">
        <x:v>Headset Office</x:v>
      </x:c>
      <x:c r="I1529" t="str">
        <x:v>Isabela</x:v>
      </x:c>
      <x:c r="J1529" s="53" t="n">
        <x:v>1</x:v>
      </x:c>
      <x:c r="K1529" s="54" t="n">
        <x:v>397.53</x:v>
      </x:c>
      <x:c r="L1529" s="54" t="n">
        <x:v>210.58</x:v>
      </x:c>
      <x:c r="M1529" s="55" t="n">
        <x:v>0.101</x:v>
      </x:c>
      <x:c r="N1529" s="54" t="n">
        <x:f>ROUND(J1529*K1529,2)</x:f>
        <x:v>397.53</x:v>
      </x:c>
      <x:c r="O1529" s="54" t="n">
        <x:f>ROUND(N1529*(1-M1529),2)</x:f>
        <x:v>357.38</x:v>
      </x:c>
      <x:c r="P1529" s="54" t="n">
        <x:f>ROUND(J1529*L1529,2)</x:f>
        <x:v>210.58</x:v>
      </x:c>
      <x:c r="Q1529" s="54" t="n">
        <x:f>ROUND(O1529-P1529,2)</x:f>
        <x:v>146.8</x:v>
      </x:c>
      <x:c r="R1529" s="55" t="n">
        <x:f>IF(O1529=0,0,ROUND(Q1529/O1529,4))</x:f>
        <x:v>0.4108</x:v>
      </x:c>
      <x:c r="S1529" s="53" t="n">
        <x:v>5</x:v>
      </x:c>
      <x:c r="T1529" t="str">
        <x:v>Entregue</x:v>
      </x:c>
      <x:c r="U1529" t="n">
        <x:v>3</x:v>
      </x:c>
      <x:c r="V1529" t="str"/>
    </x:row>
    <x:row r="1530">
      <x:c r="A1530" s="52" t="n">
        <x:v>46075</x:v>
      </x:c>
      <x:c r="B1530" t="str">
        <x:v>PED-101529</x:v>
      </x:c>
      <x:c r="C1530" t="str">
        <x:v>Cliente 003</x:v>
      </x:c>
      <x:c r="D1530" t="str">
        <x:v>CE</x:v>
      </x:c>
      <x:c r="E1530" t="str">
        <x:v>Nordeste</x:v>
      </x:c>
      <x:c r="F1530" t="str">
        <x:v>E-commerce</x:v>
      </x:c>
      <x:c r="G1530" t="str">
        <x:v>Casa</x:v>
      </x:c>
      <x:c r="H1530" t="str">
        <x:v>Cafeteira Smart</x:v>
      </x:c>
      <x:c r="I1530" t="str">
        <x:v>Henrique</x:v>
      </x:c>
      <x:c r="J1530" s="53" t="n">
        <x:v>7</x:v>
      </x:c>
      <x:c r="K1530" s="54" t="n">
        <x:v>764.72</x:v>
      </x:c>
      <x:c r="L1530" s="54" t="n">
        <x:v>461.55</x:v>
      </x:c>
      <x:c r="M1530" s="55" t="n">
        <x:v>0.0232</x:v>
      </x:c>
      <x:c r="N1530" s="54" t="n">
        <x:f>ROUND(J1530*K1530,2)</x:f>
        <x:v>5353.04</x:v>
      </x:c>
      <x:c r="O1530" s="54" t="n">
        <x:f>ROUND(N1530*(1-M1530),2)</x:f>
        <x:v>5228.85</x:v>
      </x:c>
      <x:c r="P1530" s="54" t="n">
        <x:f>ROUND(J1530*L1530,2)</x:f>
        <x:v>3230.85</x:v>
      </x:c>
      <x:c r="Q1530" s="54" t="n">
        <x:f>ROUND(O1530-P1530,2)</x:f>
        <x:v>1998</x:v>
      </x:c>
      <x:c r="R1530" s="55" t="n">
        <x:f>IF(O1530=0,0,ROUND(Q1530/O1530,4))</x:f>
        <x:v>0.3821</x:v>
      </x:c>
      <x:c r="S1530" s="53" t="n">
        <x:v>4</x:v>
      </x:c>
      <x:c r="T1530" t="str">
        <x:v>Entregue</x:v>
      </x:c>
      <x:c r="U1530" t="n">
        <x:v>3</x:v>
      </x:c>
      <x:c r="V1530" t="str"/>
    </x:row>
    <x:row r="1531">
      <x:c r="A1531" s="52" t="n">
        <x:v>46107</x:v>
      </x:c>
      <x:c r="B1531" t="str">
        <x:v>PED-101530</x:v>
      </x:c>
      <x:c r="C1531" t="str">
        <x:v>Cliente 065</x:v>
      </x:c>
      <x:c r="D1531" t="str">
        <x:v>GO</x:v>
      </x:c>
      <x:c r="E1531" t="str">
        <x:v>Centro-Oeste</x:v>
      </x:c>
      <x:c r="F1531" t="str">
        <x:v>Televendas</x:v>
      </x:c>
      <x:c r="G1531" t="str">
        <x:v>Acessórios</x:v>
      </x:c>
      <x:c r="H1531" t="str">
        <x:v>Hub USB-C</x:v>
      </x:c>
      <x:c r="I1531" t="str">
        <x:v>Diego</x:v>
      </x:c>
      <x:c r="J1531" s="53" t="n">
        <x:v>6</x:v>
      </x:c>
      <x:c r="K1531" s="54" t="n">
        <x:v>315.38</x:v>
      </x:c>
      <x:c r="L1531" s="54" t="n">
        <x:v>135.56</x:v>
      </x:c>
      <x:c r="M1531" s="55" t="n">
        <x:v>0.0861</x:v>
      </x:c>
      <x:c r="N1531" s="54" t="n">
        <x:f>ROUND(J1531*K1531,2)</x:f>
        <x:v>1892.28</x:v>
      </x:c>
      <x:c r="O1531" s="54" t="n">
        <x:f>ROUND(N1531*(1-M1531),2)</x:f>
        <x:v>1729.35</x:v>
      </x:c>
      <x:c r="P1531" s="54" t="n">
        <x:f>ROUND(J1531*L1531,2)</x:f>
        <x:v>813.36</x:v>
      </x:c>
      <x:c r="Q1531" s="54" t="n">
        <x:f>ROUND(O1531-P1531,2)</x:f>
        <x:v>915.99</x:v>
      </x:c>
      <x:c r="R1531" s="55" t="n">
        <x:f>IF(O1531=0,0,ROUND(Q1531/O1531,4))</x:f>
        <x:v>0.5297</x:v>
      </x:c>
      <x:c r="S1531" s="53" t="n">
        <x:v>8</x:v>
      </x:c>
      <x:c r="T1531" t="str">
        <x:v>Cancelado</x:v>
      </x:c>
      <x:c r="U1531"/>
      <x:c r="V1531" t="str"/>
    </x:row>
    <x:row r="1532">
      <x:c r="A1532" s="52" t="n">
        <x:v>46117</x:v>
      </x:c>
      <x:c r="B1532" t="str">
        <x:v>PED-101531</x:v>
      </x:c>
      <x:c r="C1532" t="str">
        <x:v>Cliente 043</x:v>
      </x:c>
      <x:c r="D1532" t="str">
        <x:v>RS</x:v>
      </x:c>
      <x:c r="E1532" t="str">
        <x:v>Sul</x:v>
      </x:c>
      <x:c r="F1532" t="str">
        <x:v>Marketplace</x:v>
      </x:c>
      <x:c r="G1532" t="str">
        <x:v>Escritório</x:v>
      </x:c>
      <x:c r="H1532" t="str">
        <x:v>Mesa Ajustável</x:v>
      </x:c>
      <x:c r="I1532" t="str">
        <x:v>Bruno</x:v>
      </x:c>
      <x:c r="J1532" s="53" t="n">
        <x:v>6</x:v>
      </x:c>
      <x:c r="K1532" s="54" t="n">
        <x:v>2863.35</x:v>
      </x:c>
      <x:c r="L1532" s="54" t="n">
        <x:v>1778.86</x:v>
      </x:c>
      <x:c r="M1532" s="55" t="n">
        <x:v>0.1263</x:v>
      </x:c>
      <x:c r="N1532" s="54" t="n">
        <x:f>ROUND(J1532*K1532,2)</x:f>
        <x:v>17180.1</x:v>
      </x:c>
      <x:c r="O1532" s="54" t="n">
        <x:f>ROUND(N1532*(1-M1532),2)</x:f>
        <x:v>15010.25</x:v>
      </x:c>
      <x:c r="P1532" s="54" t="n">
        <x:f>ROUND(J1532*L1532,2)</x:f>
        <x:v>10673.16</x:v>
      </x:c>
      <x:c r="Q1532" s="54" t="n">
        <x:f>ROUND(O1532-P1532,2)</x:f>
        <x:v>4337.09</x:v>
      </x:c>
      <x:c r="R1532" s="55" t="n">
        <x:f>IF(O1532=0,0,ROUND(Q1532/O1532,4))</x:f>
        <x:v>0.2889</x:v>
      </x:c>
      <x:c r="S1532" s="53" t="n">
        <x:v>5</x:v>
      </x:c>
      <x:c r="T1532" t="str">
        <x:v>Entregue</x:v>
      </x:c>
      <x:c r="U1532" t="n">
        <x:v>5</x:v>
      </x:c>
      <x:c r="V1532" t="str"/>
    </x:row>
    <x:row r="1533">
      <x:c r="A1533" s="52" t="n">
        <x:v>46221</x:v>
      </x:c>
      <x:c r="B1533" t="str">
        <x:v>PED-101532</x:v>
      </x:c>
      <x:c r="C1533" t="str">
        <x:v>Cliente 014</x:v>
      </x:c>
      <x:c r="D1533" t="str">
        <x:v>ES</x:v>
      </x:c>
      <x:c r="E1533" t="str">
        <x:v>Sudeste</x:v>
      </x:c>
      <x:c r="F1533" t="str">
        <x:v>Loja</x:v>
      </x:c>
      <x:c r="G1533" t="str">
        <x:v>Escritório</x:v>
      </x:c>
      <x:c r="H1533" t="str">
        <x:v>Cadeira Ergonômica</x:v>
      </x:c>
      <x:c r="I1533" t="str">
        <x:v>Bruno</x:v>
      </x:c>
      <x:c r="J1533" s="53" t="n">
        <x:v>4</x:v>
      </x:c>
      <x:c r="K1533" s="54" t="n">
        <x:v>2192.09</x:v>
      </x:c>
      <x:c r="L1533" s="54" t="n">
        <x:v>1470.96</x:v>
      </x:c>
      <x:c r="M1533" s="55" t="n">
        <x:v>0</x:v>
      </x:c>
      <x:c r="N1533" s="54" t="n">
        <x:f>ROUND(J1533*K1533,2)</x:f>
        <x:v>8768.36</x:v>
      </x:c>
      <x:c r="O1533" s="54" t="n">
        <x:f>ROUND(N1533*(1-M1533),2)</x:f>
        <x:v>8768.36</x:v>
      </x:c>
      <x:c r="P1533" s="54" t="n">
        <x:f>ROUND(J1533*L1533,2)</x:f>
        <x:v>5883.84</x:v>
      </x:c>
      <x:c r="Q1533" s="54" t="n">
        <x:f>ROUND(O1533-P1533,2)</x:f>
        <x:v>2884.52</x:v>
      </x:c>
      <x:c r="R1533" s="55" t="n">
        <x:f>IF(O1533=0,0,ROUND(Q1533/O1533,4))</x:f>
        <x:v>0.329</x:v>
      </x:c>
      <x:c r="S1533" s="53" t="n">
        <x:v>12</x:v>
      </x:c>
      <x:c r="T1533" t="str">
        <x:v>Entregue com atraso</x:v>
      </x:c>
      <x:c r="U1533" t="n">
        <x:v>5</x:v>
      </x:c>
      <x:c r="V1533" t="str"/>
    </x:row>
    <x:row r="1534">
      <x:c r="A1534" s="52" t="n">
        <x:v>46064</x:v>
      </x:c>
      <x:c r="B1534" t="str">
        <x:v>PED-101533</x:v>
      </x:c>
      <x:c r="C1534" t="str">
        <x:v>Cliente 001</x:v>
      </x:c>
      <x:c r="D1534" t="str">
        <x:v>DF</x:v>
      </x:c>
      <x:c r="E1534" t="str">
        <x:v>Centro-Oeste</x:v>
      </x:c>
      <x:c r="F1534" t="str">
        <x:v>Loja</x:v>
      </x:c>
      <x:c r="G1534" t="str">
        <x:v>Escritório</x:v>
      </x:c>
      <x:c r="H1534" t="str">
        <x:v>Mesa Ajustável</x:v>
      </x:c>
      <x:c r="I1534" t="str">
        <x:v>Felipe</x:v>
      </x:c>
      <x:c r="J1534" s="53" t="n">
        <x:v>8</x:v>
      </x:c>
      <x:c r="K1534" s="54" t="n">
        <x:v>2950.06</x:v>
      </x:c>
      <x:c r="L1534" s="54" t="n">
        <x:v>1766.37</x:v>
      </x:c>
      <x:c r="M1534" s="55" t="n">
        <x:v>0</x:v>
      </x:c>
      <x:c r="N1534" s="54" t="n">
        <x:f>ROUND(J1534*K1534,2)</x:f>
        <x:v>23600.48</x:v>
      </x:c>
      <x:c r="O1534" s="54" t="n">
        <x:f>ROUND(N1534*(1-M1534),2)</x:f>
        <x:v>23600.48</x:v>
      </x:c>
      <x:c r="P1534" s="54" t="n">
        <x:f>ROUND(J1534*L1534,2)</x:f>
        <x:v>14130.96</x:v>
      </x:c>
      <x:c r="Q1534" s="54" t="n">
        <x:f>ROUND(O1534-P1534,2)</x:f>
        <x:v>9469.52</x:v>
      </x:c>
      <x:c r="R1534" s="55" t="n">
        <x:f>IF(O1534=0,0,ROUND(Q1534/O1534,4))</x:f>
        <x:v>0.4012</x:v>
      </x:c>
      <x:c r="S1534" s="53" t="n">
        <x:v>6</x:v>
      </x:c>
      <x:c r="T1534" t="str">
        <x:v>Entregue</x:v>
      </x:c>
      <x:c r="U1534" t="n">
        <x:v>2</x:v>
      </x:c>
      <x:c r="V1534" t="str"/>
    </x:row>
    <x:row r="1535">
      <x:c r="A1535" s="52" t="n">
        <x:v>46046</x:v>
      </x:c>
      <x:c r="B1535" t="str">
        <x:v>PED-101534</x:v>
      </x:c>
      <x:c r="C1535" t="str">
        <x:v>Cliente 043</x:v>
      </x:c>
      <x:c r="D1535" t="str">
        <x:v>SP</x:v>
      </x:c>
      <x:c r="E1535" t="str">
        <x:v>Sudeste</x:v>
      </x:c>
      <x:c r="F1535" t="str">
        <x:v>Loja</x:v>
      </x:c>
      <x:c r="G1535" t="str">
        <x:v>Casa</x:v>
      </x:c>
      <x:c r="H1535" t="str">
        <x:v>Aspirador Robô</x:v>
      </x:c>
      <x:c r="I1535" t="str">
        <x:v>Isabela</x:v>
      </x:c>
      <x:c r="J1535" s="53" t="n">
        <x:v>3</x:v>
      </x:c>
      <x:c r="K1535" s="54" t="n">
        <x:v>1841</x:v>
      </x:c>
      <x:c r="L1535" s="54" t="n">
        <x:v>1149.32</x:v>
      </x:c>
      <x:c r="M1535" s="55" t="n">
        <x:v>0.1114</x:v>
      </x:c>
      <x:c r="N1535" s="54" t="n">
        <x:f>ROUND(J1535*K1535,2)</x:f>
        <x:v>5523</x:v>
      </x:c>
      <x:c r="O1535" s="54" t="n">
        <x:f>ROUND(N1535*(1-M1535),2)</x:f>
        <x:v>4907.74</x:v>
      </x:c>
      <x:c r="P1535" s="54" t="n">
        <x:f>ROUND(J1535*L1535,2)</x:f>
        <x:v>3447.96</x:v>
      </x:c>
      <x:c r="Q1535" s="54" t="n">
        <x:f>ROUND(O1535-P1535,2)</x:f>
        <x:v>1459.78</x:v>
      </x:c>
      <x:c r="R1535" s="55" t="n">
        <x:f>IF(O1535=0,0,ROUND(Q1535/O1535,4))</x:f>
        <x:v>0.2974</x:v>
      </x:c>
      <x:c r="S1535" s="53" t="n">
        <x:v>20</x:v>
      </x:c>
      <x:c r="T1535" t="str">
        <x:v>Entregue com atraso</x:v>
      </x:c>
      <x:c r="U1535" t="n">
        <x:v>2</x:v>
      </x:c>
      <x:c r="V1535" t="str">
        <x:v>Ocorrência logística</x:v>
      </x:c>
    </x:row>
    <x:row r="1536">
      <x:c r="A1536" s="52" t="n">
        <x:v>46084</x:v>
      </x:c>
      <x:c r="B1536" t="str">
        <x:v>PED-101535</x:v>
      </x:c>
      <x:c r="C1536" t="str">
        <x:v>Cliente 094</x:v>
      </x:c>
      <x:c r="D1536" t="str">
        <x:v>PR</x:v>
      </x:c>
      <x:c r="E1536" t="str">
        <x:v>Sul</x:v>
      </x:c>
      <x:c r="F1536" t="str">
        <x:v>Loja</x:v>
      </x:c>
      <x:c r="G1536" t="str">
        <x:v>Casa</x:v>
      </x:c>
      <x:c r="H1536" t="str">
        <x:v>Aspirador Robô</x:v>
      </x:c>
      <x:c r="I1536" t="str">
        <x:v>João</x:v>
      </x:c>
      <x:c r="J1536" s="53" t="n">
        <x:v>6</x:v>
      </x:c>
      <x:c r="K1536" s="54" t="n">
        <x:v>1813.35</x:v>
      </x:c>
      <x:c r="L1536" s="54" t="n">
        <x:v>1204.74</x:v>
      </x:c>
      <x:c r="M1536" s="55" t="n">
        <x:v>0.1056</x:v>
      </x:c>
      <x:c r="N1536" s="54" t="n">
        <x:f>ROUND(J1536*K1536,2)</x:f>
        <x:v>10880.1</x:v>
      </x:c>
      <x:c r="O1536" s="54" t="n">
        <x:f>ROUND(N1536*(1-M1536),2)</x:f>
        <x:v>9731.16</x:v>
      </x:c>
      <x:c r="P1536" s="54" t="n">
        <x:f>ROUND(J1536*L1536,2)</x:f>
        <x:v>7228.44</x:v>
      </x:c>
      <x:c r="Q1536" s="54" t="n">
        <x:f>ROUND(O1536-P1536,2)</x:f>
        <x:v>2502.72</x:v>
      </x:c>
      <x:c r="R1536" s="55" t="n">
        <x:f>IF(O1536=0,0,ROUND(Q1536/O1536,4))</x:f>
        <x:v>0.2572</x:v>
      </x:c>
      <x:c r="S1536" s="53" t="n">
        <x:v>14</x:v>
      </x:c>
      <x:c r="T1536" t="str">
        <x:v>Entregue com atraso</x:v>
      </x:c>
      <x:c r="U1536" t="n">
        <x:v>2</x:v>
      </x:c>
      <x:c r="V1536" t="str"/>
    </x:row>
    <x:row r="1537">
      <x:c r="A1537" s="52" t="n">
        <x:v>46112</x:v>
      </x:c>
      <x:c r="B1537" t="str">
        <x:v>PED-101536</x:v>
      </x:c>
      <x:c r="C1537" t="str">
        <x:v>Cliente 087</x:v>
      </x:c>
      <x:c r="D1537" t="str">
        <x:v>BA</x:v>
      </x:c>
      <x:c r="E1537" t="str">
        <x:v>Nordeste</x:v>
      </x:c>
      <x:c r="F1537" t="str">
        <x:v>E-commerce</x:v>
      </x:c>
      <x:c r="G1537" t="str">
        <x:v>Escritório</x:v>
      </x:c>
      <x:c r="H1537" t="str">
        <x:v>Mesa Ajustável</x:v>
      </x:c>
      <x:c r="I1537" t="str">
        <x:v>Ana</x:v>
      </x:c>
      <x:c r="J1537" s="53" t="n">
        <x:v>8</x:v>
      </x:c>
      <x:c r="K1537" s="54" t="n">
        <x:v>2666.25</x:v>
      </x:c>
      <x:c r="L1537" s="54" t="n">
        <x:v>1814.76</x:v>
      </x:c>
      <x:c r="M1537" s="55" t="n">
        <x:v>0</x:v>
      </x:c>
      <x:c r="N1537" s="54" t="n">
        <x:f>ROUND(J1537*K1537,2)</x:f>
        <x:v>21330</x:v>
      </x:c>
      <x:c r="O1537" s="54" t="n">
        <x:f>ROUND(N1537*(1-M1537),2)</x:f>
        <x:v>21330</x:v>
      </x:c>
      <x:c r="P1537" s="54" t="n">
        <x:f>ROUND(J1537*L1537,2)</x:f>
        <x:v>14518.08</x:v>
      </x:c>
      <x:c r="Q1537" s="54" t="n">
        <x:f>ROUND(O1537-P1537,2)</x:f>
        <x:v>6811.92</x:v>
      </x:c>
      <x:c r="R1537" s="55" t="n">
        <x:f>IF(O1537=0,0,ROUND(Q1537/O1537,4))</x:f>
        <x:v>0.3194</x:v>
      </x:c>
      <x:c r="S1537" s="53" t="n">
        <x:v>11</x:v>
      </x:c>
      <x:c r="T1537" t="str">
        <x:v>Entregue com atraso</x:v>
      </x:c>
      <x:c r="U1537" t="n">
        <x:v>3</x:v>
      </x:c>
      <x:c r="V1537" t="str"/>
    </x:row>
    <x:row r="1538">
      <x:c r="A1538" s="52" t="n">
        <x:v>46154</x:v>
      </x:c>
      <x:c r="B1538" t="str">
        <x:v>PED-101537</x:v>
      </x:c>
      <x:c r="C1538" t="str">
        <x:v>Cliente 081</x:v>
      </x:c>
      <x:c r="D1538" t="str">
        <x:v>SC</x:v>
      </x:c>
      <x:c r="E1538" t="str">
        <x:v>Sul</x:v>
      </x:c>
      <x:c r="F1538" t="str">
        <x:v>E-commerce</x:v>
      </x:c>
      <x:c r="G1538" t="str">
        <x:v>Tecnologia</x:v>
      </x:c>
      <x:c r="H1538" t="str">
        <x:v>Notebook Pro</x:v>
      </x:c>
      <x:c r="I1538" t="str">
        <x:v>Ana</x:v>
      </x:c>
      <x:c r="J1538" s="53" t="n">
        <x:v>8</x:v>
      </x:c>
      <x:c r="K1538" s="54" t="n">
        <x:v>5694.63</x:v>
      </x:c>
      <x:c r="L1538" s="54" t="n">
        <x:v>4387.65</x:v>
      </x:c>
      <x:c r="M1538" s="55" t="n">
        <x:v>0</x:v>
      </x:c>
      <x:c r="N1538" s="54" t="n">
        <x:f>ROUND(J1538*K1538,2)</x:f>
        <x:v>45557.04</x:v>
      </x:c>
      <x:c r="O1538" s="54" t="n">
        <x:f>ROUND(N1538*(1-M1538),2)</x:f>
        <x:v>45557.04</x:v>
      </x:c>
      <x:c r="P1538" s="54" t="n">
        <x:f>ROUND(J1538*L1538,2)</x:f>
        <x:v>35101.2</x:v>
      </x:c>
      <x:c r="Q1538" s="54" t="n">
        <x:f>ROUND(O1538-P1538,2)</x:f>
        <x:v>10455.84</x:v>
      </x:c>
      <x:c r="R1538" s="55" t="n">
        <x:f>IF(O1538=0,0,ROUND(Q1538/O1538,4))</x:f>
        <x:v>0.2295</x:v>
      </x:c>
      <x:c r="S1538" s="53" t="n">
        <x:v>2</x:v>
      </x:c>
      <x:c r="T1538" t="str">
        <x:v>Entregue</x:v>
      </x:c>
      <x:c r="U1538" t="n">
        <x:v>4</x:v>
      </x:c>
      <x:c r="V1538" t="str"/>
    </x:row>
    <x:row r="1539">
      <x:c r="A1539" s="52" t="n">
        <x:v>46077</x:v>
      </x:c>
      <x:c r="B1539" t="str">
        <x:v>PED-101538</x:v>
      </x:c>
      <x:c r="C1539" t="str">
        <x:v>Cliente 037</x:v>
      </x:c>
      <x:c r="D1539" t="str">
        <x:v>AM</x:v>
      </x:c>
      <x:c r="E1539" t="str">
        <x:v>Norte</x:v>
      </x:c>
      <x:c r="F1539" t="str">
        <x:v>Televendas</x:v>
      </x:c>
      <x:c r="G1539" t="str">
        <x:v>Casa</x:v>
      </x:c>
      <x:c r="H1539" t="str">
        <x:v>Aspirador Robô</x:v>
      </x:c>
      <x:c r="I1539" t="str">
        <x:v>Bruno</x:v>
      </x:c>
      <x:c r="J1539" s="53" t="n">
        <x:v>8</x:v>
      </x:c>
      <x:c r="K1539" s="54" t="n">
        <x:v>1825.64</x:v>
      </x:c>
      <x:c r="L1539" s="54" t="n">
        <x:v>1203.92</x:v>
      </x:c>
      <x:c r="M1539" s="55" t="n">
        <x:v>0.0443</x:v>
      </x:c>
      <x:c r="N1539" s="54" t="n">
        <x:f>ROUND(J1539*K1539,2)</x:f>
        <x:v>14605.12</x:v>
      </x:c>
      <x:c r="O1539" s="54" t="n">
        <x:f>ROUND(N1539*(1-M1539),2)</x:f>
        <x:v>13958.11</x:v>
      </x:c>
      <x:c r="P1539" s="54" t="n">
        <x:f>ROUND(J1539*L1539,2)</x:f>
        <x:v>9631.36</x:v>
      </x:c>
      <x:c r="Q1539" s="54" t="n">
        <x:f>ROUND(O1539-P1539,2)</x:f>
        <x:v>4326.75</x:v>
      </x:c>
      <x:c r="R1539" s="55" t="n">
        <x:f>IF(O1539=0,0,ROUND(Q1539/O1539,4))</x:f>
        <x:v>0.31</x:v>
      </x:c>
      <x:c r="S1539" s="53" t="n">
        <x:v>8</x:v>
      </x:c>
      <x:c r="T1539" t="str">
        <x:v>Entregue</x:v>
      </x:c>
      <x:c r="U1539" t="n">
        <x:v>3</x:v>
      </x:c>
      <x:c r="V1539" t="str"/>
    </x:row>
    <x:row r="1540">
      <x:c r="A1540" s="52" t="n">
        <x:v>46226</x:v>
      </x:c>
      <x:c r="B1540" t="str">
        <x:v>PED-101539</x:v>
      </x:c>
      <x:c r="C1540" t="str">
        <x:v>Cliente 068</x:v>
      </x:c>
      <x:c r="D1540" t="str">
        <x:v>ES</x:v>
      </x:c>
      <x:c r="E1540" t="str">
        <x:v>Sudeste</x:v>
      </x:c>
      <x:c r="F1540" t="str">
        <x:v>Televendas</x:v>
      </x:c>
      <x:c r="G1540" t="str">
        <x:v>Tecnologia</x:v>
      </x:c>
      <x:c r="H1540" t="str">
        <x:v>Monitor 27</x:v>
      </x:c>
      <x:c r="I1540" t="str">
        <x:v>Bruno</x:v>
      </x:c>
      <x:c r="J1540" s="53" t="n">
        <x:v>1</x:v>
      </x:c>
      <x:c r="K1540" s="54" t="n">
        <x:v>1691.09</x:v>
      </x:c>
      <x:c r="L1540" s="54" t="n">
        <x:v>1077.48</x:v>
      </x:c>
      <x:c r="M1540" s="55" t="n">
        <x:v>0</x:v>
      </x:c>
      <x:c r="N1540" s="54" t="n">
        <x:f>ROUND(J1540*K1540,2)</x:f>
        <x:v>1691.09</x:v>
      </x:c>
      <x:c r="O1540" s="54" t="n">
        <x:f>ROUND(N1540*(1-M1540),2)</x:f>
        <x:v>1691.09</x:v>
      </x:c>
      <x:c r="P1540" s="54" t="n">
        <x:f>ROUND(J1540*L1540,2)</x:f>
        <x:v>1077.48</x:v>
      </x:c>
      <x:c r="Q1540" s="54" t="n">
        <x:f>ROUND(O1540-P1540,2)</x:f>
        <x:v>613.61</x:v>
      </x:c>
      <x:c r="R1540" s="55" t="n">
        <x:f>IF(O1540=0,0,ROUND(Q1540/O1540,4))</x:f>
        <x:v>0.3628</x:v>
      </x:c>
      <x:c r="S1540" s="53" t="n">
        <x:v>7</x:v>
      </x:c>
      <x:c r="T1540" t="str">
        <x:v>Entregue</x:v>
      </x:c>
      <x:c r="U1540" t="n">
        <x:v>2</x:v>
      </x:c>
      <x:c r="V1540" t="str"/>
    </x:row>
    <x:row r="1541">
      <x:c r="A1541" s="52" t="n">
        <x:v>46122</x:v>
      </x:c>
      <x:c r="B1541" t="str">
        <x:v>PED-101540</x:v>
      </x:c>
      <x:c r="C1541" t="str">
        <x:v>Cliente 048</x:v>
      </x:c>
      <x:c r="D1541" t="str">
        <x:v>DF</x:v>
      </x:c>
      <x:c r="E1541" t="str">
        <x:v>Centro-Oeste</x:v>
      </x:c>
      <x:c r="F1541" t="str">
        <x:v>Loja</x:v>
      </x:c>
      <x:c r="G1541" t="str">
        <x:v>Tecnologia</x:v>
      </x:c>
      <x:c r="H1541" t="str">
        <x:v>Monitor 27</x:v>
      </x:c>
      <x:c r="I1541" t="str">
        <x:v>Elaine</x:v>
      </x:c>
      <x:c r="J1541" s="53" t="n">
        <x:v>7</x:v>
      </x:c>
      <x:c r="K1541" s="54" t="n">
        <x:v>1595.57</x:v>
      </x:c>
      <x:c r="L1541" s="54" t="n">
        <x:v>1047.64</x:v>
      </x:c>
      <x:c r="M1541" s="55" t="n">
        <x:v>0.1031</x:v>
      </x:c>
      <x:c r="N1541" s="54" t="n">
        <x:f>ROUND(J1541*K1541,2)</x:f>
        <x:v>11168.99</x:v>
      </x:c>
      <x:c r="O1541" s="54" t="n">
        <x:f>ROUND(N1541*(1-M1541),2)</x:f>
        <x:v>10017.47</x:v>
      </x:c>
      <x:c r="P1541" s="54" t="n">
        <x:f>ROUND(J1541*L1541,2)</x:f>
        <x:v>7333.48</x:v>
      </x:c>
      <x:c r="Q1541" s="54" t="n">
        <x:f>ROUND(O1541-P1541,2)</x:f>
        <x:v>2683.99</x:v>
      </x:c>
      <x:c r="R1541" s="55" t="n">
        <x:f>IF(O1541=0,0,ROUND(Q1541/O1541,4))</x:f>
        <x:v>0.2679</x:v>
      </x:c>
      <x:c r="S1541" s="53" t="n">
        <x:v>7</x:v>
      </x:c>
      <x:c r="T1541" t="str">
        <x:v>Entregue</x:v>
      </x:c>
      <x:c r="U1541" t="n">
        <x:v>4</x:v>
      </x:c>
      <x:c r="V1541" t="str"/>
    </x:row>
    <x:row r="1542">
      <x:c r="A1542" s="52" t="n">
        <x:v>46156</x:v>
      </x:c>
      <x:c r="B1542" t="str">
        <x:v>PED-101541</x:v>
      </x:c>
      <x:c r="C1542" t="str">
        <x:v>Cliente 056</x:v>
      </x:c>
      <x:c r="D1542" t="str">
        <x:v>PR</x:v>
      </x:c>
      <x:c r="E1542" t="str">
        <x:v>Sul</x:v>
      </x:c>
      <x:c r="F1542" t="str">
        <x:v>Marketplace</x:v>
      </x:c>
      <x:c r="G1542" t="str">
        <x:v>Acessórios</x:v>
      </x:c>
      <x:c r="H1542" t="str">
        <x:v>Mochila Executiva</x:v>
      </x:c>
      <x:c r="I1542" t="str">
        <x:v>Henrique</x:v>
      </x:c>
      <x:c r="J1542" s="53" t="n">
        <x:v>3</x:v>
      </x:c>
      <x:c r="K1542" s="54" t="n">
        <x:v>413.85</x:v>
      </x:c>
      <x:c r="L1542" s="54" t="n">
        <x:v>187.06</x:v>
      </x:c>
      <x:c r="M1542" s="55" t="n">
        <x:v>0.035</x:v>
      </x:c>
      <x:c r="N1542" s="54" t="n">
        <x:f>ROUND(J1542*K1542,2)</x:f>
        <x:v>1241.55</x:v>
      </x:c>
      <x:c r="O1542" s="54" t="n">
        <x:f>ROUND(N1542*(1-M1542),2)</x:f>
        <x:v>1198.1</x:v>
      </x:c>
      <x:c r="P1542" s="54" t="n">
        <x:f>ROUND(J1542*L1542,2)</x:f>
        <x:v>561.18</x:v>
      </x:c>
      <x:c r="Q1542" s="54" t="n">
        <x:f>ROUND(O1542-P1542,2)</x:f>
        <x:v>636.92</x:v>
      </x:c>
      <x:c r="R1542" s="55" t="n">
        <x:f>IF(O1542=0,0,ROUND(Q1542/O1542,4))</x:f>
        <x:v>0.5316</x:v>
      </x:c>
      <x:c r="S1542" s="53" t="n">
        <x:v>14</x:v>
      </x:c>
      <x:c r="T1542" t="str">
        <x:v>Entregue com atraso</x:v>
      </x:c>
      <x:c r="U1542" t="n">
        <x:v>3</x:v>
      </x:c>
      <x:c r="V1542" t="str"/>
    </x:row>
    <x:row r="1543">
      <x:c r="A1543" s="52" t="n">
        <x:v>46134</x:v>
      </x:c>
      <x:c r="B1543" t="str">
        <x:v>PED-101542</x:v>
      </x:c>
      <x:c r="C1543" t="str">
        <x:v>Cliente 119</x:v>
      </x:c>
      <x:c r="D1543" t="str">
        <x:v>SC</x:v>
      </x:c>
      <x:c r="E1543" t="str">
        <x:v>Sul</x:v>
      </x:c>
      <x:c r="F1543" t="str">
        <x:v>Televendas</x:v>
      </x:c>
      <x:c r="G1543" t="str">
        <x:v>Escritório</x:v>
      </x:c>
      <x:c r="H1543" t="str">
        <x:v>Cadeira Ergonômica</x:v>
      </x:c>
      <x:c r="I1543" t="str">
        <x:v>Gabriela</x:v>
      </x:c>
      <x:c r="J1543" s="53" t="n">
        <x:v>5</x:v>
      </x:c>
      <x:c r="K1543" s="54" t="n">
        <x:v>2274.1</x:v>
      </x:c>
      <x:c r="L1543" s="54" t="n">
        <x:v>1412.59</x:v>
      </x:c>
      <x:c r="M1543" s="55" t="n">
        <x:v>0.032</x:v>
      </x:c>
      <x:c r="N1543" s="54" t="n">
        <x:f>ROUND(J1543*K1543,2)</x:f>
        <x:v>11370.5</x:v>
      </x:c>
      <x:c r="O1543" s="54" t="n">
        <x:f>ROUND(N1543*(1-M1543),2)</x:f>
        <x:v>11006.64</x:v>
      </x:c>
      <x:c r="P1543" s="54" t="n">
        <x:f>ROUND(J1543*L1543,2)</x:f>
        <x:v>7062.95</x:v>
      </x:c>
      <x:c r="Q1543" s="54" t="n">
        <x:f>ROUND(O1543-P1543,2)</x:f>
        <x:v>3943.69</x:v>
      </x:c>
      <x:c r="R1543" s="55" t="n">
        <x:f>IF(O1543=0,0,ROUND(Q1543/O1543,4))</x:f>
        <x:v>0.3583</x:v>
      </x:c>
      <x:c r="S1543" s="53" t="n">
        <x:v>14</x:v>
      </x:c>
      <x:c r="T1543" t="str">
        <x:v>Entregue com atraso</x:v>
      </x:c>
      <x:c r="U1543" t="n">
        <x:v>5</x:v>
      </x:c>
      <x:c r="V1543" t="str"/>
    </x:row>
    <x:row r="1544">
      <x:c r="A1544" s="52" t="n">
        <x:v>46210</x:v>
      </x:c>
      <x:c r="B1544" t="str">
        <x:v>PED-101543</x:v>
      </x:c>
      <x:c r="C1544" t="str">
        <x:v>Cliente 102</x:v>
      </x:c>
      <x:c r="D1544" t="str">
        <x:v>AM</x:v>
      </x:c>
      <x:c r="E1544" t="str">
        <x:v>Norte</x:v>
      </x:c>
      <x:c r="F1544" t="str">
        <x:v>Loja</x:v>
      </x:c>
      <x:c r="G1544" t="str">
        <x:v>Casa</x:v>
      </x:c>
      <x:c r="H1544" t="str">
        <x:v>Purificador</x:v>
      </x:c>
      <x:c r="I1544" t="str">
        <x:v>Gabriela</x:v>
      </x:c>
      <x:c r="J1544" s="53" t="n">
        <x:v>2</x:v>
      </x:c>
      <x:c r="K1544" s="54" t="n">
        <x:v>1315.35</x:v>
      </x:c>
      <x:c r="L1544" s="54" t="n">
        <x:v>808.5</x:v>
      </x:c>
      <x:c r="M1544" s="55" t="n">
        <x:v>0</x:v>
      </x:c>
      <x:c r="N1544" s="54" t="n">
        <x:f>ROUND(J1544*K1544,2)</x:f>
        <x:v>2630.7</x:v>
      </x:c>
      <x:c r="O1544" s="54" t="n">
        <x:f>ROUND(N1544*(1-M1544),2)</x:f>
        <x:v>2630.7</x:v>
      </x:c>
      <x:c r="P1544" s="54" t="n">
        <x:f>ROUND(J1544*L1544,2)</x:f>
        <x:v>1617</x:v>
      </x:c>
      <x:c r="Q1544" s="54" t="n">
        <x:f>ROUND(O1544-P1544,2)</x:f>
        <x:v>1013.7</x:v>
      </x:c>
      <x:c r="R1544" s="55" t="n">
        <x:f>IF(O1544=0,0,ROUND(Q1544/O1544,4))</x:f>
        <x:v>0.3853</x:v>
      </x:c>
      <x:c r="S1544" s="53" t="n">
        <x:v>5</x:v>
      </x:c>
      <x:c r="T1544" t="str">
        <x:v>Entregue</x:v>
      </x:c>
      <x:c r="U1544" t="n">
        <x:v>3</x:v>
      </x:c>
      <x:c r="V1544" t="str"/>
    </x:row>
    <x:row r="1545">
      <x:c r="A1545" s="52" t="n">
        <x:v>46097</x:v>
      </x:c>
      <x:c r="B1545" t="str">
        <x:v>PED-101544</x:v>
      </x:c>
      <x:c r="C1545" t="str">
        <x:v>Cliente 109</x:v>
      </x:c>
      <x:c r="D1545" t="str">
        <x:v>PA</x:v>
      </x:c>
      <x:c r="E1545" t="str">
        <x:v>Norte</x:v>
      </x:c>
      <x:c r="F1545" t="str">
        <x:v>Marketplace</x:v>
      </x:c>
      <x:c r="G1545" t="str">
        <x:v>Casa</x:v>
      </x:c>
      <x:c r="H1545" t="str">
        <x:v>Purificador</x:v>
      </x:c>
      <x:c r="I1545" t="str">
        <x:v>Gabriela</x:v>
      </x:c>
      <x:c r="J1545" s="53" t="n">
        <x:v>7</x:v>
      </x:c>
      <x:c r="K1545" s="54" t="n">
        <x:v>1297.4</x:v>
      </x:c>
      <x:c r="L1545" s="54" t="n">
        <x:v>813.48</x:v>
      </x:c>
      <x:c r="M1545" s="55" t="n">
        <x:v>0.0733</x:v>
      </x:c>
      <x:c r="N1545" s="54" t="n">
        <x:f>ROUND(J1545*K1545,2)</x:f>
        <x:v>9081.8</x:v>
      </x:c>
      <x:c r="O1545" s="54" t="n">
        <x:f>ROUND(N1545*(1-M1545),2)</x:f>
        <x:v>8416.1</x:v>
      </x:c>
      <x:c r="P1545" s="54" t="n">
        <x:f>ROUND(J1545*L1545,2)</x:f>
        <x:v>5694.36</x:v>
      </x:c>
      <x:c r="Q1545" s="54" t="n">
        <x:f>ROUND(O1545-P1545,2)</x:f>
        <x:v>2721.74</x:v>
      </x:c>
      <x:c r="R1545" s="55" t="n">
        <x:f>IF(O1545=0,0,ROUND(Q1545/O1545,4))</x:f>
        <x:v>0.3234</x:v>
      </x:c>
      <x:c r="S1545" s="53" t="n">
        <x:v>13</x:v>
      </x:c>
      <x:c r="T1545" t="str">
        <x:v>Entregue com atraso</x:v>
      </x:c>
      <x:c r="U1545" t="n">
        <x:v>5</x:v>
      </x:c>
      <x:c r="V1545" t="str"/>
    </x:row>
    <x:row r="1546">
      <x:c r="A1546" s="52" t="n">
        <x:v>46067</x:v>
      </x:c>
      <x:c r="B1546" t="str">
        <x:v>PED-101545</x:v>
      </x:c>
      <x:c r="C1546" t="str">
        <x:v>Cliente 103</x:v>
      </x:c>
      <x:c r="D1546" t="str">
        <x:v>ES</x:v>
      </x:c>
      <x:c r="E1546" t="str">
        <x:v>Sudeste</x:v>
      </x:c>
      <x:c r="F1546" t="str">
        <x:v>Televendas</x:v>
      </x:c>
      <x:c r="G1546" t="str">
        <x:v>Tecnologia</x:v>
      </x:c>
      <x:c r="H1546" t="str">
        <x:v>Monitor 27</x:v>
      </x:c>
      <x:c r="I1546" t="str">
        <x:v>Bruno</x:v>
      </x:c>
      <x:c r="J1546" s="53" t="n">
        <x:v>1</x:v>
      </x:c>
      <x:c r="K1546" s="54" t="n">
        <x:v>1610.55</x:v>
      </x:c>
      <x:c r="L1546" s="54" t="n">
        <x:v>1087.54</x:v>
      </x:c>
      <x:c r="M1546" s="55" t="n">
        <x:v>0</x:v>
      </x:c>
      <x:c r="N1546" s="54" t="n">
        <x:f>ROUND(J1546*K1546,2)</x:f>
        <x:v>1610.55</x:v>
      </x:c>
      <x:c r="O1546" s="54" t="n">
        <x:f>ROUND(N1546*(1-M1546),2)</x:f>
        <x:v>1610.55</x:v>
      </x:c>
      <x:c r="P1546" s="54" t="n">
        <x:f>ROUND(J1546*L1546,2)</x:f>
        <x:v>1087.54</x:v>
      </x:c>
      <x:c r="Q1546" s="54" t="n">
        <x:f>ROUND(O1546-P1546,2)</x:f>
        <x:v>523.01</x:v>
      </x:c>
      <x:c r="R1546" s="55" t="n">
        <x:f>IF(O1546=0,0,ROUND(Q1546/O1546,4))</x:f>
        <x:v>0.3247</x:v>
      </x:c>
      <x:c r="S1546" s="53" t="n">
        <x:v>3</x:v>
      </x:c>
      <x:c r="T1546" t="str">
        <x:v>Entregue</x:v>
      </x:c>
      <x:c r="U1546" t="n">
        <x:v>3</x:v>
      </x:c>
      <x:c r="V1546" t="str"/>
    </x:row>
    <x:row r="1547">
      <x:c r="A1547" s="52" t="n">
        <x:v>46098</x:v>
      </x:c>
      <x:c r="B1547" t="str">
        <x:v>PED-101546</x:v>
      </x:c>
      <x:c r="C1547" t="str">
        <x:v>Cliente 045</x:v>
      </x:c>
      <x:c r="D1547" t="str">
        <x:v>SC</x:v>
      </x:c>
      <x:c r="E1547" t="str">
        <x:v>Sul</x:v>
      </x:c>
      <x:c r="F1547" t="str">
        <x:v>Marketplace</x:v>
      </x:c>
      <x:c r="G1547" t="str">
        <x:v>Casa</x:v>
      </x:c>
      <x:c r="H1547" t="str">
        <x:v>Aspirador Robô</x:v>
      </x:c>
      <x:c r="I1547" t="str">
        <x:v>Felipe</x:v>
      </x:c>
      <x:c r="J1547" s="53" t="n">
        <x:v>5</x:v>
      </x:c>
      <x:c r="K1547" s="54" t="n">
        <x:v>1949.61</x:v>
      </x:c>
      <x:c r="L1547" s="54" t="n">
        <x:v>1247.03</x:v>
      </x:c>
      <x:c r="M1547" s="55" t="n">
        <x:v>0.0655</x:v>
      </x:c>
      <x:c r="N1547" s="54" t="n">
        <x:f>ROUND(J1547*K1547,2)</x:f>
        <x:v>9748.05</x:v>
      </x:c>
      <x:c r="O1547" s="54" t="n">
        <x:f>ROUND(N1547*(1-M1547),2)</x:f>
        <x:v>9109.55</x:v>
      </x:c>
      <x:c r="P1547" s="54" t="n">
        <x:f>ROUND(J1547*L1547,2)</x:f>
        <x:v>6235.15</x:v>
      </x:c>
      <x:c r="Q1547" s="54" t="n">
        <x:f>ROUND(O1547-P1547,2)</x:f>
        <x:v>2874.4</x:v>
      </x:c>
      <x:c r="R1547" s="55" t="n">
        <x:f>IF(O1547=0,0,ROUND(Q1547/O1547,4))</x:f>
        <x:v>0.3155</x:v>
      </x:c>
      <x:c r="S1547" s="53" t="n">
        <x:v>4</x:v>
      </x:c>
      <x:c r="T1547" t="str">
        <x:v>Entregue</x:v>
      </x:c>
      <x:c r="U1547" t="n">
        <x:v>3</x:v>
      </x:c>
      <x:c r="V1547" t="str"/>
    </x:row>
    <x:row r="1548">
      <x:c r="A1548" s="52" t="n">
        <x:v>46161</x:v>
      </x:c>
      <x:c r="B1548" t="str">
        <x:v>PED-101547</x:v>
      </x:c>
      <x:c r="C1548" t="str">
        <x:v>Cliente 097</x:v>
      </x:c>
      <x:c r="D1548" t="str">
        <x:v>PA</x:v>
      </x:c>
      <x:c r="E1548" t="str">
        <x:v>Norte</x:v>
      </x:c>
      <x:c r="F1548" t="str">
        <x:v>E-commerce</x:v>
      </x:c>
      <x:c r="G1548" t="str">
        <x:v>Escritório</x:v>
      </x:c>
      <x:c r="H1548" t="str">
        <x:v>Luminária LED</x:v>
      </x:c>
      <x:c r="I1548" t="str">
        <x:v>Carla</x:v>
      </x:c>
      <x:c r="J1548" s="53" t="n">
        <x:v>2</x:v>
      </x:c>
      <x:c r="K1548" s="54" t="n">
        <x:v>272.78</x:v>
      </x:c>
      <x:c r="L1548" s="54" t="n">
        <x:v>121.87</x:v>
      </x:c>
      <x:c r="M1548" s="55" t="n">
        <x:v>0</x:v>
      </x:c>
      <x:c r="N1548" s="54" t="n">
        <x:f>ROUND(J1548*K1548,2)</x:f>
        <x:v>545.56</x:v>
      </x:c>
      <x:c r="O1548" s="54" t="n">
        <x:f>ROUND(N1548*(1-M1548),2)</x:f>
        <x:v>545.56</x:v>
      </x:c>
      <x:c r="P1548" s="54" t="n">
        <x:f>ROUND(J1548*L1548,2)</x:f>
        <x:v>243.74</x:v>
      </x:c>
      <x:c r="Q1548" s="54" t="n">
        <x:f>ROUND(O1548-P1548,2)</x:f>
        <x:v>301.82</x:v>
      </x:c>
      <x:c r="R1548" s="55" t="n">
        <x:f>IF(O1548=0,0,ROUND(Q1548/O1548,4))</x:f>
        <x:v>0.5532</x:v>
      </x:c>
      <x:c r="S1548" s="53" t="n">
        <x:v>11</x:v>
      </x:c>
      <x:c r="T1548" t="str">
        <x:v>Entregue com atraso</x:v>
      </x:c>
      <x:c r="U1548" t="n">
        <x:v>4</x:v>
      </x:c>
      <x:c r="V1548" t="str"/>
    </x:row>
    <x:row r="1549">
      <x:c r="A1549" s="52" t="n">
        <x:v>46053</x:v>
      </x:c>
      <x:c r="B1549" t="str">
        <x:v>PED-101548</x:v>
      </x:c>
      <x:c r="C1549" t="str">
        <x:v>Cliente 025</x:v>
      </x:c>
      <x:c r="D1549" t="str">
        <x:v>RS</x:v>
      </x:c>
      <x:c r="E1549" t="str">
        <x:v>Sul</x:v>
      </x:c>
      <x:c r="F1549" t="str">
        <x:v>Loja</x:v>
      </x:c>
      <x:c r="G1549" t="str">
        <x:v>Acessórios</x:v>
      </x:c>
      <x:c r="H1549" t="str">
        <x:v>Webcam HD</x:v>
      </x:c>
      <x:c r="I1549" t="str">
        <x:v>Bruno</x:v>
      </x:c>
      <x:c r="J1549" s="53" t="n">
        <x:v>4</x:v>
      </x:c>
      <x:c r="K1549" s="54" t="n">
        <x:v>493.87</x:v>
      </x:c>
      <x:c r="L1549" s="54" t="n">
        <x:v>237.12</x:v>
      </x:c>
      <x:c r="M1549" s="55" t="n">
        <x:v>0</x:v>
      </x:c>
      <x:c r="N1549" s="54" t="n">
        <x:f>ROUND(J1549*K1549,2)</x:f>
        <x:v>1975.48</x:v>
      </x:c>
      <x:c r="O1549" s="54" t="n">
        <x:f>ROUND(N1549*(1-M1549),2)</x:f>
        <x:v>1975.48</x:v>
      </x:c>
      <x:c r="P1549" s="54" t="n">
        <x:f>ROUND(J1549*L1549,2)</x:f>
        <x:v>948.48</x:v>
      </x:c>
      <x:c r="Q1549" s="54" t="n">
        <x:f>ROUND(O1549-P1549,2)</x:f>
        <x:v>1027</x:v>
      </x:c>
      <x:c r="R1549" s="55" t="n">
        <x:f>IF(O1549=0,0,ROUND(Q1549/O1549,4))</x:f>
        <x:v>0.5199</x:v>
      </x:c>
      <x:c r="S1549" s="53" t="n">
        <x:v>6</x:v>
      </x:c>
      <x:c r="T1549" t="str">
        <x:v>Entregue</x:v>
      </x:c>
      <x:c r="U1549" t="n">
        <x:v>2</x:v>
      </x:c>
      <x:c r="V1549" t="str"/>
    </x:row>
    <x:row r="1550">
      <x:c r="A1550" s="52" t="n">
        <x:v>46122</x:v>
      </x:c>
      <x:c r="B1550" t="str">
        <x:v>PED-101549</x:v>
      </x:c>
      <x:c r="C1550" t="str">
        <x:v>Cliente 030</x:v>
      </x:c>
      <x:c r="D1550" t="str">
        <x:v>MT</x:v>
      </x:c>
      <x:c r="E1550" t="str">
        <x:v>Centro-Oeste</x:v>
      </x:c>
      <x:c r="F1550" t="str">
        <x:v>Televendas</x:v>
      </x:c>
      <x:c r="G1550" t="str">
        <x:v>Acessórios</x:v>
      </x:c>
      <x:c r="H1550" t="str">
        <x:v>Mochila Executiva</x:v>
      </x:c>
      <x:c r="I1550" t="str">
        <x:v>Elaine</x:v>
      </x:c>
      <x:c r="J1550" s="53" t="n">
        <x:v>1</x:v>
      </x:c>
      <x:c r="K1550" s="54" t="n">
        <x:v>439.34</x:v>
      </x:c>
      <x:c r="L1550" s="54" t="n">
        <x:v>188.64</x:v>
      </x:c>
      <x:c r="M1550" s="55" t="n">
        <x:v>0.0334</x:v>
      </x:c>
      <x:c r="N1550" s="54" t="n">
        <x:f>ROUND(J1550*K1550,2)</x:f>
        <x:v>439.34</x:v>
      </x:c>
      <x:c r="O1550" s="54" t="n">
        <x:f>ROUND(N1550*(1-M1550),2)</x:f>
        <x:v>424.67</x:v>
      </x:c>
      <x:c r="P1550" s="54" t="n">
        <x:f>ROUND(J1550*L1550,2)</x:f>
        <x:v>188.64</x:v>
      </x:c>
      <x:c r="Q1550" s="54" t="n">
        <x:f>ROUND(O1550-P1550,2)</x:f>
        <x:v>236.03</x:v>
      </x:c>
      <x:c r="R1550" s="55" t="n">
        <x:f>IF(O1550=0,0,ROUND(Q1550/O1550,4))</x:f>
        <x:v>0.5558</x:v>
      </x:c>
      <x:c r="S1550" s="53" t="n">
        <x:v>5</x:v>
      </x:c>
      <x:c r="T1550" t="str">
        <x:v>Entregue</x:v>
      </x:c>
      <x:c r="U1550" t="n">
        <x:v>2</x:v>
      </x:c>
      <x:c r="V1550" t="str"/>
    </x:row>
    <x:row r="1551">
      <x:c r="A1551" s="52" t="n">
        <x:v>46118</x:v>
      </x:c>
      <x:c r="B1551" t="str">
        <x:v>PED-101550</x:v>
      </x:c>
      <x:c r="C1551" t="str">
        <x:v>Cliente 002</x:v>
      </x:c>
      <x:c r="D1551" t="str">
        <x:v>MT</x:v>
      </x:c>
      <x:c r="E1551" t="str">
        <x:v>Centro-Oeste</x:v>
      </x:c>
      <x:c r="F1551" t="str">
        <x:v>Televendas</x:v>
      </x:c>
      <x:c r="G1551" t="str">
        <x:v>Acessórios</x:v>
      </x:c>
      <x:c r="H1551" t="str">
        <x:v>Mochila Executiva</x:v>
      </x:c>
      <x:c r="I1551" t="str">
        <x:v>Bruno</x:v>
      </x:c>
      <x:c r="J1551" s="53" t="n">
        <x:v>3</x:v>
      </x:c>
      <x:c r="K1551" s="54" t="n">
        <x:v>408.93</x:v>
      </x:c>
      <x:c r="L1551" s="54" t="n">
        <x:v>197.06</x:v>
      </x:c>
      <x:c r="M1551" s="55" t="n">
        <x:v>0.0178</x:v>
      </x:c>
      <x:c r="N1551" s="54" t="n">
        <x:f>ROUND(J1551*K1551,2)</x:f>
        <x:v>1226.79</x:v>
      </x:c>
      <x:c r="O1551" s="54" t="n">
        <x:f>ROUND(N1551*(1-M1551),2)</x:f>
        <x:v>1204.95</x:v>
      </x:c>
      <x:c r="P1551" s="54" t="n">
        <x:f>ROUND(J1551*L1551,2)</x:f>
        <x:v>591.18</x:v>
      </x:c>
      <x:c r="Q1551" s="54" t="n">
        <x:f>ROUND(O1551-P1551,2)</x:f>
        <x:v>613.77</x:v>
      </x:c>
      <x:c r="R1551" s="55" t="n">
        <x:f>IF(O1551=0,0,ROUND(Q1551/O1551,4))</x:f>
        <x:v>0.5094</x:v>
      </x:c>
      <x:c r="S1551" s="53" t="n">
        <x:v>8</x:v>
      </x:c>
      <x:c r="T1551" t="str">
        <x:v>Entregue</x:v>
      </x:c>
      <x:c r="U1551" t="n">
        <x:v>5</x:v>
      </x:c>
      <x:c r="V1551" t="str"/>
    </x:row>
    <x:row r="1552">
      <x:c r="A1552" s="52" t="n">
        <x:v>46182</x:v>
      </x:c>
      <x:c r="B1552" t="str">
        <x:v>PED-101551</x:v>
      </x:c>
      <x:c r="C1552" t="str">
        <x:v>Cliente 116</x:v>
      </x:c>
      <x:c r="D1552" t="str">
        <x:v>RS</x:v>
      </x:c>
      <x:c r="E1552" t="str">
        <x:v>Sul</x:v>
      </x:c>
      <x:c r="F1552" t="str">
        <x:v>Marketplace</x:v>
      </x:c>
      <x:c r="G1552" t="str">
        <x:v>Casa</x:v>
      </x:c>
      <x:c r="H1552" t="str">
        <x:v>Purificador</x:v>
      </x:c>
      <x:c r="I1552" t="str">
        <x:v>Felipe</x:v>
      </x:c>
      <x:c r="J1552" s="53" t="n">
        <x:v>5</x:v>
      </x:c>
      <x:c r="K1552" s="54" t="n">
        <x:v>1216.55</x:v>
      </x:c>
      <x:c r="L1552" s="54" t="n">
        <x:v>781.48</x:v>
      </x:c>
      <x:c r="M1552" s="55" t="n">
        <x:v>0.1635</x:v>
      </x:c>
      <x:c r="N1552" s="54" t="n">
        <x:f>ROUND(J1552*K1552,2)</x:f>
        <x:v>6082.75</x:v>
      </x:c>
      <x:c r="O1552" s="54" t="n">
        <x:f>ROUND(N1552*(1-M1552),2)</x:f>
        <x:v>5088.22</x:v>
      </x:c>
      <x:c r="P1552" s="54" t="n">
        <x:f>ROUND(J1552*L1552,2)</x:f>
        <x:v>3907.4</x:v>
      </x:c>
      <x:c r="Q1552" s="54" t="n">
        <x:f>ROUND(O1552-P1552,2)</x:f>
        <x:v>1180.82</x:v>
      </x:c>
      <x:c r="R1552" s="55" t="n">
        <x:f>IF(O1552=0,0,ROUND(Q1552/O1552,4))</x:f>
        <x:v>0.2321</x:v>
      </x:c>
      <x:c r="S1552" s="53" t="n">
        <x:v>9</x:v>
      </x:c>
      <x:c r="T1552" t="str">
        <x:v>Entregue</x:v>
      </x:c>
      <x:c r="U1552" t="n">
        <x:v>2</x:v>
      </x:c>
      <x:c r="V1552" t="str"/>
    </x:row>
    <x:row r="1553">
      <x:c r="A1553" s="52" t="n">
        <x:v>46128</x:v>
      </x:c>
      <x:c r="B1553" t="str">
        <x:v>PED-101552</x:v>
      </x:c>
      <x:c r="C1553" t="str">
        <x:v>Cliente 038</x:v>
      </x:c>
      <x:c r="D1553" t="str">
        <x:v>SC</x:v>
      </x:c>
      <x:c r="E1553" t="str">
        <x:v>Sul</x:v>
      </x:c>
      <x:c r="F1553" t="str">
        <x:v>Televendas</x:v>
      </x:c>
      <x:c r="G1553" t="str">
        <x:v>Tecnologia</x:v>
      </x:c>
      <x:c r="H1553" t="str">
        <x:v>Notebook Pro</x:v>
      </x:c>
      <x:c r="I1553" t="str">
        <x:v>Henrique</x:v>
      </x:c>
      <x:c r="J1553" s="53" t="n">
        <x:v>1</x:v>
      </x:c>
      <x:c r="K1553" s="54" t="n">
        <x:v>5711.18</x:v>
      </x:c>
      <x:c r="L1553" s="54" t="n">
        <x:v>4207.35</x:v>
      </x:c>
      <x:c r="M1553" s="55" t="n">
        <x:v>0</x:v>
      </x:c>
      <x:c r="N1553" s="54" t="n">
        <x:f>ROUND(J1553*K1553,2)</x:f>
        <x:v>5711.18</x:v>
      </x:c>
      <x:c r="O1553" s="54" t="n">
        <x:f>ROUND(N1553*(1-M1553),2)</x:f>
        <x:v>5711.18</x:v>
      </x:c>
      <x:c r="P1553" s="54" t="n">
        <x:f>ROUND(J1553*L1553,2)</x:f>
        <x:v>4207.35</x:v>
      </x:c>
      <x:c r="Q1553" s="54" t="n">
        <x:f>ROUND(O1553-P1553,2)</x:f>
        <x:v>1503.83</x:v>
      </x:c>
      <x:c r="R1553" s="55" t="n">
        <x:f>IF(O1553=0,0,ROUND(Q1553/O1553,4))</x:f>
        <x:v>0.2633</x:v>
      </x:c>
      <x:c r="S1553" s="53" t="n">
        <x:v>8</x:v>
      </x:c>
      <x:c r="T1553" t="str">
        <x:v>Entregue</x:v>
      </x:c>
      <x:c r="U1553" t="n">
        <x:v>5</x:v>
      </x:c>
      <x:c r="V1553" t="str"/>
    </x:row>
    <x:row r="1554">
      <x:c r="A1554" s="52" t="n">
        <x:v>46108</x:v>
      </x:c>
      <x:c r="B1554" t="str">
        <x:v>PED-101553</x:v>
      </x:c>
      <x:c r="C1554" t="str">
        <x:v>Cliente 120</x:v>
      </x:c>
      <x:c r="D1554" t="str">
        <x:v>SP</x:v>
      </x:c>
      <x:c r="E1554" t="str">
        <x:v>Sudeste</x:v>
      </x:c>
      <x:c r="F1554" t="str">
        <x:v>Marketplace</x:v>
      </x:c>
      <x:c r="G1554" t="str">
        <x:v>Tecnologia</x:v>
      </x:c>
      <x:c r="H1554" t="str">
        <x:v>Monitor 27</x:v>
      </x:c>
      <x:c r="I1554" t="str">
        <x:v>Isabela</x:v>
      </x:c>
      <x:c r="J1554" s="53" t="n">
        <x:v>8</x:v>
      </x:c>
      <x:c r="K1554" s="54" t="n">
        <x:v>1766.57</x:v>
      </x:c>
      <x:c r="L1554" s="54" t="n">
        <x:v>1126.22</x:v>
      </x:c>
      <x:c r="M1554" s="55" t="n">
        <x:v>0.1254</x:v>
      </x:c>
      <x:c r="N1554" s="54" t="n">
        <x:f>ROUND(J1554*K1554,2)</x:f>
        <x:v>14132.56</x:v>
      </x:c>
      <x:c r="O1554" s="54" t="n">
        <x:f>ROUND(N1554*(1-M1554),2)</x:f>
        <x:v>12360.34</x:v>
      </x:c>
      <x:c r="P1554" s="54" t="n">
        <x:f>ROUND(J1554*L1554,2)</x:f>
        <x:v>9009.76</x:v>
      </x:c>
      <x:c r="Q1554" s="54" t="n">
        <x:f>ROUND(O1554-P1554,2)</x:f>
        <x:v>3350.58</x:v>
      </x:c>
      <x:c r="R1554" s="55" t="n">
        <x:f>IF(O1554=0,0,ROUND(Q1554/O1554,4))</x:f>
        <x:v>0.2711</x:v>
      </x:c>
      <x:c r="S1554" s="53" t="n">
        <x:v>12</x:v>
      </x:c>
      <x:c r="T1554" t="str">
        <x:v>Entregue com atraso</x:v>
      </x:c>
      <x:c r="U1554" t="n">
        <x:v>4</x:v>
      </x:c>
      <x:c r="V1554" t="str"/>
    </x:row>
    <x:row r="1555">
      <x:c r="A1555" s="52" t="n">
        <x:v>46190</x:v>
      </x:c>
      <x:c r="B1555" t="str">
        <x:v>PED-101554</x:v>
      </x:c>
      <x:c r="C1555" t="str">
        <x:v>Cliente 096</x:v>
      </x:c>
      <x:c r="D1555" t="str">
        <x:v>DF</x:v>
      </x:c>
      <x:c r="E1555" t="str">
        <x:v>Centro-Oeste</x:v>
      </x:c>
      <x:c r="F1555" t="str">
        <x:v>Marketplace</x:v>
      </x:c>
      <x:c r="G1555" t="str">
        <x:v>Tecnologia</x:v>
      </x:c>
      <x:c r="H1555" t="str">
        <x:v>Monitor 27</x:v>
      </x:c>
      <x:c r="I1555" t="str">
        <x:v>João</x:v>
      </x:c>
      <x:c r="J1555" s="53" t="n">
        <x:v>3</x:v>
      </x:c>
      <x:c r="K1555" s="54" t="n">
        <x:v>1628.08</x:v>
      </x:c>
      <x:c r="L1555" s="54" t="n">
        <x:v>1054.41</x:v>
      </x:c>
      <x:c r="M1555" s="55" t="n">
        <x:v>0.0756</x:v>
      </x:c>
      <x:c r="N1555" s="54" t="n">
        <x:f>ROUND(J1555*K1555,2)</x:f>
        <x:v>4884.24</x:v>
      </x:c>
      <x:c r="O1555" s="54" t="n">
        <x:f>ROUND(N1555*(1-M1555),2)</x:f>
        <x:v>4514.99</x:v>
      </x:c>
      <x:c r="P1555" s="54" t="n">
        <x:f>ROUND(J1555*L1555,2)</x:f>
        <x:v>3163.23</x:v>
      </x:c>
      <x:c r="Q1555" s="54" t="n">
        <x:f>ROUND(O1555-P1555,2)</x:f>
        <x:v>1351.76</x:v>
      </x:c>
      <x:c r="R1555" s="55" t="n">
        <x:f>IF(O1555=0,0,ROUND(Q1555/O1555,4))</x:f>
        <x:v>0.2994</x:v>
      </x:c>
      <x:c r="S1555" s="53" t="n">
        <x:v>11</x:v>
      </x:c>
      <x:c r="T1555" t="str">
        <x:v>Entregue com atraso</x:v>
      </x:c>
      <x:c r="U1555" t="n">
        <x:v>4</x:v>
      </x:c>
      <x:c r="V1555" t="str"/>
    </x:row>
    <x:row r="1556">
      <x:c r="A1556" s="52" t="n">
        <x:v>46087</x:v>
      </x:c>
      <x:c r="B1556" t="str">
        <x:v>PED-101555</x:v>
      </x:c>
      <x:c r="C1556" t="str">
        <x:v>Cliente 018</x:v>
      </x:c>
      <x:c r="D1556" t="str">
        <x:v>MG</x:v>
      </x:c>
      <x:c r="E1556" t="str">
        <x:v>Sudeste</x:v>
      </x:c>
      <x:c r="F1556" t="str">
        <x:v>E-commerce</x:v>
      </x:c>
      <x:c r="G1556" t="str">
        <x:v>Escritório</x:v>
      </x:c>
      <x:c r="H1556" t="str">
        <x:v>Mesa Ajustável</x:v>
      </x:c>
      <x:c r="I1556" t="str">
        <x:v>Felipe</x:v>
      </x:c>
      <x:c r="J1556" s="53" t="n">
        <x:v>4</x:v>
      </x:c>
      <x:c r="K1556" s="54" t="n">
        <x:v>2857.25</x:v>
      </x:c>
      <x:c r="L1556" s="54" t="n">
        <x:v>1807.6</x:v>
      </x:c>
      <x:c r="M1556" s="55" t="n">
        <x:v>0</x:v>
      </x:c>
      <x:c r="N1556" s="54" t="n">
        <x:f>ROUND(J1556*K1556,2)</x:f>
        <x:v>11429</x:v>
      </x:c>
      <x:c r="O1556" s="54" t="n">
        <x:f>ROUND(N1556*(1-M1556),2)</x:f>
        <x:v>11429</x:v>
      </x:c>
      <x:c r="P1556" s="54" t="n">
        <x:f>ROUND(J1556*L1556,2)</x:f>
        <x:v>7230.4</x:v>
      </x:c>
      <x:c r="Q1556" s="54" t="n">
        <x:f>ROUND(O1556-P1556,2)</x:f>
        <x:v>4198.6</x:v>
      </x:c>
      <x:c r="R1556" s="55" t="n">
        <x:f>IF(O1556=0,0,ROUND(Q1556/O1556,4))</x:f>
        <x:v>0.3674</x:v>
      </x:c>
      <x:c r="S1556" s="53" t="n">
        <x:v>7</x:v>
      </x:c>
      <x:c r="T1556" t="str">
        <x:v>Entregue</x:v>
      </x:c>
      <x:c r="U1556" t="n">
        <x:v>3</x:v>
      </x:c>
      <x:c r="V1556" t="str"/>
    </x:row>
    <x:row r="1557">
      <x:c r="A1557" s="52" t="n">
        <x:v>46229</x:v>
      </x:c>
      <x:c r="B1557" t="str">
        <x:v>PED-101556</x:v>
      </x:c>
      <x:c r="C1557" t="str">
        <x:v>Cliente 025</x:v>
      </x:c>
      <x:c r="D1557" t="str">
        <x:v>MG</x:v>
      </x:c>
      <x:c r="E1557" t="str">
        <x:v>Sudeste</x:v>
      </x:c>
      <x:c r="F1557" t="str">
        <x:v>Marketplace</x:v>
      </x:c>
      <x:c r="G1557" t="str">
        <x:v>Acessórios</x:v>
      </x:c>
      <x:c r="H1557" t="str">
        <x:v>Mochila Executiva</x:v>
      </x:c>
      <x:c r="I1557" t="str">
        <x:v>Elaine</x:v>
      </x:c>
      <x:c r="J1557" s="53" t="n">
        <x:v>1</x:v>
      </x:c>
      <x:c r="K1557" s="54" t="n">
        <x:v>404.22</x:v>
      </x:c>
      <x:c r="L1557" s="54" t="n">
        <x:v>182.49</x:v>
      </x:c>
      <x:c r="M1557" s="55" t="n">
        <x:v>0.035</x:v>
      </x:c>
      <x:c r="N1557" s="54" t="n">
        <x:f>ROUND(J1557*K1557,2)</x:f>
        <x:v>404.22</x:v>
      </x:c>
      <x:c r="O1557" s="54" t="n">
        <x:f>ROUND(N1557*(1-M1557),2)</x:f>
        <x:v>390.07</x:v>
      </x:c>
      <x:c r="P1557" s="54" t="n">
        <x:f>ROUND(J1557*L1557,2)</x:f>
        <x:v>182.49</x:v>
      </x:c>
      <x:c r="Q1557" s="54" t="n">
        <x:f>ROUND(O1557-P1557,2)</x:f>
        <x:v>207.58</x:v>
      </x:c>
      <x:c r="R1557" s="55" t="n">
        <x:f>IF(O1557=0,0,ROUND(Q1557/O1557,4))</x:f>
        <x:v>0.5322</x:v>
      </x:c>
      <x:c r="S1557" s="53" t="n">
        <x:v>14</x:v>
      </x:c>
      <x:c r="T1557" t="str">
        <x:v>Entregue com atraso</x:v>
      </x:c>
      <x:c r="U1557" t="n">
        <x:v>2</x:v>
      </x:c>
      <x:c r="V1557" t="str"/>
    </x:row>
    <x:row r="1558">
      <x:c r="A1558" s="52" t="n">
        <x:v>46233</x:v>
      </x:c>
      <x:c r="B1558" t="str">
        <x:v>PED-101557</x:v>
      </x:c>
      <x:c r="C1558" t="str">
        <x:v>Cliente 081</x:v>
      </x:c>
      <x:c r="D1558" t="str">
        <x:v>SP</x:v>
      </x:c>
      <x:c r="E1558" t="str">
        <x:v>Sudeste</x:v>
      </x:c>
      <x:c r="F1558" t="str">
        <x:v>E-commerce</x:v>
      </x:c>
      <x:c r="G1558" t="str">
        <x:v>Casa</x:v>
      </x:c>
      <x:c r="H1558" t="str">
        <x:v>Purificador</x:v>
      </x:c>
      <x:c r="I1558" t="str">
        <x:v>Isabela</x:v>
      </x:c>
      <x:c r="J1558" s="53" t="n">
        <x:v>5</x:v>
      </x:c>
      <x:c r="K1558" s="54" t="n">
        <x:v>1274.51</x:v>
      </x:c>
      <x:c r="L1558" s="54" t="n">
        <x:v>761.76</x:v>
      </x:c>
      <x:c r="M1558" s="55" t="n">
        <x:v>0</x:v>
      </x:c>
      <x:c r="N1558" s="54" t="n">
        <x:f>ROUND(J1558*K1558,2)</x:f>
        <x:v>6372.55</x:v>
      </x:c>
      <x:c r="O1558" s="54" t="n">
        <x:f>ROUND(N1558*(1-M1558),2)</x:f>
        <x:v>6372.55</x:v>
      </x:c>
      <x:c r="P1558" s="54" t="n">
        <x:f>ROUND(J1558*L1558,2)</x:f>
        <x:v>3808.8</x:v>
      </x:c>
      <x:c r="Q1558" s="54" t="n">
        <x:f>ROUND(O1558-P1558,2)</x:f>
        <x:v>2563.75</x:v>
      </x:c>
      <x:c r="R1558" s="55" t="n">
        <x:f>IF(O1558=0,0,ROUND(Q1558/O1558,4))</x:f>
        <x:v>0.4023</x:v>
      </x:c>
      <x:c r="S1558" s="53" t="n">
        <x:v>13</x:v>
      </x:c>
      <x:c r="T1558" t="str">
        <x:v>Entregue com atraso</x:v>
      </x:c>
      <x:c r="U1558" t="n">
        <x:v>5</x:v>
      </x:c>
      <x:c r="V1558" t="str"/>
    </x:row>
    <x:row r="1559">
      <x:c r="A1559" s="52" t="n">
        <x:v>46229</x:v>
      </x:c>
      <x:c r="B1559" t="str">
        <x:v>PED-101558</x:v>
      </x:c>
      <x:c r="C1559" t="str">
        <x:v>Cliente 067</x:v>
      </x:c>
      <x:c r="D1559" t="str">
        <x:v>PA</x:v>
      </x:c>
      <x:c r="E1559" t="str">
        <x:v>Norte</x:v>
      </x:c>
      <x:c r="F1559" t="str">
        <x:v>Marketplace</x:v>
      </x:c>
      <x:c r="G1559" t="str">
        <x:v>Casa</x:v>
      </x:c>
      <x:c r="H1559" t="str">
        <x:v>Cafeteira Smart</x:v>
      </x:c>
      <x:c r="I1559" t="str">
        <x:v>Diego</x:v>
      </x:c>
      <x:c r="J1559" s="53" t="n">
        <x:v>6</x:v>
      </x:c>
      <x:c r="K1559" s="54" t="n">
        <x:v>742.76</x:v>
      </x:c>
      <x:c r="L1559" s="54" t="n">
        <x:v>475.23</x:v>
      </x:c>
      <x:c r="M1559" s="55" t="n">
        <x:v>0.0629</x:v>
      </x:c>
      <x:c r="N1559" s="54" t="n">
        <x:f>ROUND(J1559*K1559,2)</x:f>
        <x:v>4456.56</x:v>
      </x:c>
      <x:c r="O1559" s="54" t="n">
        <x:f>ROUND(N1559*(1-M1559),2)</x:f>
        <x:v>4176.24</x:v>
      </x:c>
      <x:c r="P1559" s="54" t="n">
        <x:f>ROUND(J1559*L1559,2)</x:f>
        <x:v>2851.38</x:v>
      </x:c>
      <x:c r="Q1559" s="54" t="n">
        <x:f>ROUND(O1559-P1559,2)</x:f>
        <x:v>1324.86</x:v>
      </x:c>
      <x:c r="R1559" s="55" t="n">
        <x:f>IF(O1559=0,0,ROUND(Q1559/O1559,4))</x:f>
        <x:v>0.3172</x:v>
      </x:c>
      <x:c r="S1559" s="53" t="n">
        <x:v>10</x:v>
      </x:c>
      <x:c r="T1559" t="str">
        <x:v>Entregue</x:v>
      </x:c>
      <x:c r="U1559" t="n">
        <x:v>5</x:v>
      </x:c>
      <x:c r="V1559" t="str"/>
    </x:row>
    <x:row r="1560">
      <x:c r="A1560" s="52" t="n">
        <x:v>46037</x:v>
      </x:c>
      <x:c r="B1560" t="str">
        <x:v>PED-101559</x:v>
      </x:c>
      <x:c r="C1560" t="str">
        <x:v>Cliente 107</x:v>
      </x:c>
      <x:c r="D1560" t="str">
        <x:v>RS</x:v>
      </x:c>
      <x:c r="E1560" t="str">
        <x:v>Sul</x:v>
      </x:c>
      <x:c r="F1560" t="str">
        <x:v>Televendas</x:v>
      </x:c>
      <x:c r="G1560" t="str">
        <x:v>Casa</x:v>
      </x:c>
      <x:c r="H1560" t="str">
        <x:v>Cafeteira Smart</x:v>
      </x:c>
      <x:c r="I1560" t="str">
        <x:v>Isabela</x:v>
      </x:c>
      <x:c r="J1560" s="53" t="n">
        <x:v>3</x:v>
      </x:c>
      <x:c r="K1560" s="54" t="n">
        <x:v>766.11</x:v>
      </x:c>
      <x:c r="L1560" s="54" t="n">
        <x:v>471.46</x:v>
      </x:c>
      <x:c r="M1560" s="55" t="n">
        <x:v>0.1207</x:v>
      </x:c>
      <x:c r="N1560" s="54" t="n">
        <x:f>ROUND(J1560*K1560,2)</x:f>
        <x:v>2298.33</x:v>
      </x:c>
      <x:c r="O1560" s="54" t="n">
        <x:f>ROUND(N1560*(1-M1560),2)</x:f>
        <x:v>2020.92</x:v>
      </x:c>
      <x:c r="P1560" s="54" t="n">
        <x:f>ROUND(J1560*L1560,2)</x:f>
        <x:v>1414.38</x:v>
      </x:c>
      <x:c r="Q1560" s="54" t="n">
        <x:f>ROUND(O1560-P1560,2)</x:f>
        <x:v>606.54</x:v>
      </x:c>
      <x:c r="R1560" s="55" t="n">
        <x:f>IF(O1560=0,0,ROUND(Q1560/O1560,4))</x:f>
        <x:v>0.3001</x:v>
      </x:c>
      <x:c r="S1560" s="53" t="n">
        <x:v>7</x:v>
      </x:c>
      <x:c r="T1560" t="str">
        <x:v>Entregue</x:v>
      </x:c>
      <x:c r="U1560" t="n">
        <x:v>4</x:v>
      </x:c>
      <x:c r="V1560" t="str"/>
    </x:row>
    <x:row r="1561">
      <x:c r="A1561" s="52" t="n">
        <x:v>46070</x:v>
      </x:c>
      <x:c r="B1561" t="str">
        <x:v>PED-101560</x:v>
      </x:c>
      <x:c r="C1561" t="str">
        <x:v>Cliente 054</x:v>
      </x:c>
      <x:c r="D1561" t="str">
        <x:v>RJ</x:v>
      </x:c>
      <x:c r="E1561" t="str">
        <x:v>Sudeste</x:v>
      </x:c>
      <x:c r="F1561" t="str">
        <x:v>E-commerce</x:v>
      </x:c>
      <x:c r="G1561" t="str">
        <x:v>Tecnologia</x:v>
      </x:c>
      <x:c r="H1561" t="str">
        <x:v>Monitor 27</x:v>
      </x:c>
      <x:c r="I1561" t="str">
        <x:v>Ana</x:v>
      </x:c>
      <x:c r="J1561" s="53" t="n">
        <x:v>2</x:v>
      </x:c>
      <x:c r="K1561" s="54" t="n">
        <x:v>1658.65</x:v>
      </x:c>
      <x:c r="L1561" s="54" t="n">
        <x:v>1050.06</x:v>
      </x:c>
      <x:c r="M1561" s="55" t="n">
        <x:v>0.0122</x:v>
      </x:c>
      <x:c r="N1561" s="54" t="n">
        <x:f>ROUND(J1561*K1561,2)</x:f>
        <x:v>3317.3</x:v>
      </x:c>
      <x:c r="O1561" s="54" t="n">
        <x:f>ROUND(N1561*(1-M1561),2)</x:f>
        <x:v>3276.83</x:v>
      </x:c>
      <x:c r="P1561" s="54" t="n">
        <x:f>ROUND(J1561*L1561,2)</x:f>
        <x:v>2100.12</x:v>
      </x:c>
      <x:c r="Q1561" s="54" t="n">
        <x:f>ROUND(O1561-P1561,2)</x:f>
        <x:v>1176.71</x:v>
      </x:c>
      <x:c r="R1561" s="55" t="n">
        <x:f>IF(O1561=0,0,ROUND(Q1561/O1561,4))</x:f>
        <x:v>0.3591</x:v>
      </x:c>
      <x:c r="S1561" s="53" t="n">
        <x:v>14</x:v>
      </x:c>
      <x:c r="T1561" t="str">
        <x:v>Entregue com atraso</x:v>
      </x:c>
      <x:c r="U1561" t="n">
        <x:v>3</x:v>
      </x:c>
      <x:c r="V1561" t="str"/>
    </x:row>
    <x:row r="1562">
      <x:c r="A1562" s="52" t="n">
        <x:v>46209</x:v>
      </x:c>
      <x:c r="B1562" t="str">
        <x:v>PED-101561</x:v>
      </x:c>
      <x:c r="C1562" t="str">
        <x:v>Cliente 107</x:v>
      </x:c>
      <x:c r="D1562" t="str">
        <x:v>CE</x:v>
      </x:c>
      <x:c r="E1562" t="str">
        <x:v>Nordeste</x:v>
      </x:c>
      <x:c r="F1562" t="str">
        <x:v>Marketplace</x:v>
      </x:c>
      <x:c r="G1562" t="str">
        <x:v>Escritório</x:v>
      </x:c>
      <x:c r="H1562" t="str">
        <x:v>Luminária LED</x:v>
      </x:c>
      <x:c r="I1562" t="str">
        <x:v>João</x:v>
      </x:c>
      <x:c r="J1562" s="53" t="n">
        <x:v>8</x:v>
      </x:c>
      <x:c r="K1562" s="54" t="n">
        <x:v>274.6</x:v>
      </x:c>
      <x:c r="L1562" s="54" t="n">
        <x:v>126.94</x:v>
      </x:c>
      <x:c r="M1562" s="55" t="n">
        <x:v>0.07</x:v>
      </x:c>
      <x:c r="N1562" s="54" t="n">
        <x:f>ROUND(J1562*K1562,2)</x:f>
        <x:v>2196.8</x:v>
      </x:c>
      <x:c r="O1562" s="54" t="n">
        <x:f>ROUND(N1562*(1-M1562),2)</x:f>
        <x:v>2043.02</x:v>
      </x:c>
      <x:c r="P1562" s="54" t="n">
        <x:f>ROUND(J1562*L1562,2)</x:f>
        <x:v>1015.52</x:v>
      </x:c>
      <x:c r="Q1562" s="54" t="n">
        <x:f>ROUND(O1562-P1562,2)</x:f>
        <x:v>1027.5</x:v>
      </x:c>
      <x:c r="R1562" s="55" t="n">
        <x:f>IF(O1562=0,0,ROUND(Q1562/O1562,4))</x:f>
        <x:v>0.5029</x:v>
      </x:c>
      <x:c r="S1562" s="53" t="n">
        <x:v>10</x:v>
      </x:c>
      <x:c r="T1562" t="str">
        <x:v>Entregue</x:v>
      </x:c>
      <x:c r="U1562" t="n">
        <x:v>4</x:v>
      </x:c>
      <x:c r="V1562" t="str"/>
    </x:row>
    <x:row r="1563">
      <x:c r="A1563" s="52" t="n">
        <x:v>46137</x:v>
      </x:c>
      <x:c r="B1563" t="str">
        <x:v>PED-101562</x:v>
      </x:c>
      <x:c r="C1563" t="str">
        <x:v>Cliente 025</x:v>
      </x:c>
      <x:c r="D1563" t="str">
        <x:v>GO</x:v>
      </x:c>
      <x:c r="E1563" t="str">
        <x:v>Centro-Oeste</x:v>
      </x:c>
      <x:c r="F1563" t="str">
        <x:v>Televendas</x:v>
      </x:c>
      <x:c r="G1563" t="str">
        <x:v>Casa</x:v>
      </x:c>
      <x:c r="H1563" t="str">
        <x:v>Aspirador Robô</x:v>
      </x:c>
      <x:c r="I1563" t="str">
        <x:v>Felipe</x:v>
      </x:c>
      <x:c r="J1563" s="53" t="n">
        <x:v>3</x:v>
      </x:c>
      <x:c r="K1563" s="54" t="n">
        <x:v>1867.05</x:v>
      </x:c>
      <x:c r="L1563" s="54" t="n">
        <x:v>1207.82</x:v>
      </x:c>
      <x:c r="M1563" s="55" t="n">
        <x:v>0.1003</x:v>
      </x:c>
      <x:c r="N1563" s="54" t="n">
        <x:f>ROUND(J1563*K1563,2)</x:f>
        <x:v>5601.15</x:v>
      </x:c>
      <x:c r="O1563" s="54" t="n">
        <x:f>ROUND(N1563*(1-M1563),2)</x:f>
        <x:v>5039.35</x:v>
      </x:c>
      <x:c r="P1563" s="54" t="n">
        <x:f>ROUND(J1563*L1563,2)</x:f>
        <x:v>3623.46</x:v>
      </x:c>
      <x:c r="Q1563" s="54" t="n">
        <x:f>ROUND(O1563-P1563,2)</x:f>
        <x:v>1415.89</x:v>
      </x:c>
      <x:c r="R1563" s="55" t="n">
        <x:f>IF(O1563=0,0,ROUND(Q1563/O1563,4))</x:f>
        <x:v>0.281</x:v>
      </x:c>
      <x:c r="S1563" s="53" t="n">
        <x:v>7</x:v>
      </x:c>
      <x:c r="T1563" t="str">
        <x:v>Entregue</x:v>
      </x:c>
      <x:c r="U1563" t="n">
        <x:v>2</x:v>
      </x:c>
      <x:c r="V1563" t="str"/>
    </x:row>
    <x:row r="1564">
      <x:c r="A1564" s="52" t="n">
        <x:v>46077</x:v>
      </x:c>
      <x:c r="B1564" t="str">
        <x:v>PED-101563</x:v>
      </x:c>
      <x:c r="C1564" t="str">
        <x:v>Cliente 072</x:v>
      </x:c>
      <x:c r="D1564" t="str">
        <x:v>BA</x:v>
      </x:c>
      <x:c r="E1564" t="str">
        <x:v>Nordeste</x:v>
      </x:c>
      <x:c r="F1564" t="str">
        <x:v>Marketplace</x:v>
      </x:c>
      <x:c r="G1564" t="str">
        <x:v>Casa</x:v>
      </x:c>
      <x:c r="H1564" t="str">
        <x:v>Aspirador Robô</x:v>
      </x:c>
      <x:c r="I1564" t="str">
        <x:v>Bruno</x:v>
      </x:c>
      <x:c r="J1564" s="53" t="n">
        <x:v>7</x:v>
      </x:c>
      <x:c r="K1564" s="54" t="n">
        <x:v>1802.88</x:v>
      </x:c>
      <x:c r="L1564" s="54" t="n">
        <x:v>1209.49</x:v>
      </x:c>
      <x:c r="M1564" s="55" t="n">
        <x:v>0.0508</x:v>
      </x:c>
      <x:c r="N1564" s="54" t="n">
        <x:f>ROUND(J1564*K1564,2)</x:f>
        <x:v>12620.16</x:v>
      </x:c>
      <x:c r="O1564" s="54" t="n">
        <x:f>ROUND(N1564*(1-M1564),2)</x:f>
        <x:v>11979.06</x:v>
      </x:c>
      <x:c r="P1564" s="54" t="n">
        <x:f>ROUND(J1564*L1564,2)</x:f>
        <x:v>8466.43</x:v>
      </x:c>
      <x:c r="Q1564" s="54" t="n">
        <x:f>ROUND(O1564-P1564,2)</x:f>
        <x:v>3512.63</x:v>
      </x:c>
      <x:c r="R1564" s="55" t="n">
        <x:f>IF(O1564=0,0,ROUND(Q1564/O1564,4))</x:f>
        <x:v>0.2932</x:v>
      </x:c>
      <x:c r="S1564" s="53" t="n">
        <x:v>12</x:v>
      </x:c>
      <x:c r="T1564" t="str">
        <x:v>Entregue com atraso</x:v>
      </x:c>
      <x:c r="U1564" t="n">
        <x:v>5</x:v>
      </x:c>
      <x:c r="V1564" t="str"/>
    </x:row>
    <x:row r="1565">
      <x:c r="A1565" s="52" t="n">
        <x:v>46092</x:v>
      </x:c>
      <x:c r="B1565" t="str">
        <x:v>PED-101564</x:v>
      </x:c>
      <x:c r="C1565" t="str">
        <x:v>Cliente 081</x:v>
      </x:c>
      <x:c r="D1565" t="str">
        <x:v>DF</x:v>
      </x:c>
      <x:c r="E1565" t="str">
        <x:v>Centro-Oeste</x:v>
      </x:c>
      <x:c r="F1565" t="str">
        <x:v>Marketplace</x:v>
      </x:c>
      <x:c r="G1565" t="str">
        <x:v>Acessórios</x:v>
      </x:c>
      <x:c r="H1565" t="str">
        <x:v>Hub USB-C</x:v>
      </x:c>
      <x:c r="I1565" t="str">
        <x:v>Isabela</x:v>
      </x:c>
      <x:c r="J1565" s="53" t="n">
        <x:v>4</x:v>
      </x:c>
      <x:c r="K1565" s="54" t="n">
        <x:v>316.83</x:v>
      </x:c>
      <x:c r="L1565" s="54" t="n">
        <x:v>129.73</x:v>
      </x:c>
      <x:c r="M1565" s="55" t="n">
        <x:v>0.035</x:v>
      </x:c>
      <x:c r="N1565" s="54" t="n">
        <x:f>ROUND(J1565*K1565,2)</x:f>
        <x:v>1267.32</x:v>
      </x:c>
      <x:c r="O1565" s="54" t="n">
        <x:f>ROUND(N1565*(1-M1565),2)</x:f>
        <x:v>1222.96</x:v>
      </x:c>
      <x:c r="P1565" s="54" t="n">
        <x:f>ROUND(J1565*L1565,2)</x:f>
        <x:v>518.92</x:v>
      </x:c>
      <x:c r="Q1565" s="54" t="n">
        <x:f>ROUND(O1565-P1565,2)</x:f>
        <x:v>704.04</x:v>
      </x:c>
      <x:c r="R1565" s="55" t="n">
        <x:f>IF(O1565=0,0,ROUND(Q1565/O1565,4))</x:f>
        <x:v>0.5757</x:v>
      </x:c>
      <x:c r="S1565" s="53" t="n">
        <x:v>10</x:v>
      </x:c>
      <x:c r="T1565" t="str">
        <x:v>Entregue</x:v>
      </x:c>
      <x:c r="U1565" t="n">
        <x:v>2</x:v>
      </x:c>
      <x:c r="V1565" t="str"/>
    </x:row>
    <x:row r="1566">
      <x:c r="A1566" s="52" t="n">
        <x:v>46044</x:v>
      </x:c>
      <x:c r="B1566" t="str">
        <x:v>PED-101565</x:v>
      </x:c>
      <x:c r="C1566" t="str">
        <x:v>Cliente 016</x:v>
      </x:c>
      <x:c r="D1566" t="str">
        <x:v>CE</x:v>
      </x:c>
      <x:c r="E1566" t="str">
        <x:v>Nordeste</x:v>
      </x:c>
      <x:c r="F1566" t="str">
        <x:v>Loja</x:v>
      </x:c>
      <x:c r="G1566" t="str">
        <x:v>Acessórios</x:v>
      </x:c>
      <x:c r="H1566" t="str">
        <x:v>Hub USB-C</x:v>
      </x:c>
      <x:c r="I1566" t="str">
        <x:v>Henrique</x:v>
      </x:c>
      <x:c r="J1566" s="53" t="n">
        <x:v>3</x:v>
      </x:c>
      <x:c r="K1566" s="54" t="n">
        <x:v>329.48</x:v>
      </x:c>
      <x:c r="L1566" s="54" t="n">
        <x:v>146.09</x:v>
      </x:c>
      <x:c r="M1566" s="55" t="n">
        <x:v>0</x:v>
      </x:c>
      <x:c r="N1566" s="54" t="n">
        <x:f>ROUND(J1566*K1566,2)</x:f>
        <x:v>988.44</x:v>
      </x:c>
      <x:c r="O1566" s="54" t="n">
        <x:f>ROUND(N1566*(1-M1566),2)</x:f>
        <x:v>988.44</x:v>
      </x:c>
      <x:c r="P1566" s="54" t="n">
        <x:f>ROUND(J1566*L1566,2)</x:f>
        <x:v>438.27</x:v>
      </x:c>
      <x:c r="Q1566" s="54" t="n">
        <x:f>ROUND(O1566-P1566,2)</x:f>
        <x:v>550.17</x:v>
      </x:c>
      <x:c r="R1566" s="55" t="n">
        <x:f>IF(O1566=0,0,ROUND(Q1566/O1566,4))</x:f>
        <x:v>0.5566</x:v>
      </x:c>
      <x:c r="S1566" s="53" t="n">
        <x:v>9</x:v>
      </x:c>
      <x:c r="T1566" t="str">
        <x:v>Entregue</x:v>
      </x:c>
      <x:c r="U1566" t="n">
        <x:v>5</x:v>
      </x:c>
      <x:c r="V1566" t="str"/>
    </x:row>
    <x:row r="1567">
      <x:c r="A1567" s="52" t="n">
        <x:v>46118</x:v>
      </x:c>
      <x:c r="B1567" t="str">
        <x:v>PED-101566</x:v>
      </x:c>
      <x:c r="C1567" t="str">
        <x:v>Cliente 110</x:v>
      </x:c>
      <x:c r="D1567" t="str">
        <x:v>SP</x:v>
      </x:c>
      <x:c r="E1567" t="str">
        <x:v>Sudeste</x:v>
      </x:c>
      <x:c r="F1567" t="str">
        <x:v>Loja</x:v>
      </x:c>
      <x:c r="G1567" t="str">
        <x:v>Casa</x:v>
      </x:c>
      <x:c r="H1567" t="str">
        <x:v>Purificador</x:v>
      </x:c>
      <x:c r="I1567" t="str">
        <x:v>Henrique</x:v>
      </x:c>
      <x:c r="J1567" s="53" t="n">
        <x:v>7</x:v>
      </x:c>
      <x:c r="K1567" s="54" t="n">
        <x:v>1336.74</x:v>
      </x:c>
      <x:c r="L1567" s="54" t="n">
        <x:v>761.96</x:v>
      </x:c>
      <x:c r="M1567" s="55" t="n">
        <x:v>0.0791</x:v>
      </x:c>
      <x:c r="N1567" s="54" t="n">
        <x:f>ROUND(J1567*K1567,2)</x:f>
        <x:v>9357.18</x:v>
      </x:c>
      <x:c r="O1567" s="54" t="n">
        <x:f>ROUND(N1567*(1-M1567),2)</x:f>
        <x:v>8617.03</x:v>
      </x:c>
      <x:c r="P1567" s="54" t="n">
        <x:f>ROUND(J1567*L1567,2)</x:f>
        <x:v>5333.72</x:v>
      </x:c>
      <x:c r="Q1567" s="54" t="n">
        <x:f>ROUND(O1567-P1567,2)</x:f>
        <x:v>3283.31</x:v>
      </x:c>
      <x:c r="R1567" s="55" t="n">
        <x:f>IF(O1567=0,0,ROUND(Q1567/O1567,4))</x:f>
        <x:v>0.381</x:v>
      </x:c>
      <x:c r="S1567" s="53" t="n">
        <x:v>13</x:v>
      </x:c>
      <x:c r="T1567" t="str">
        <x:v>Entregue com atraso</x:v>
      </x:c>
      <x:c r="U1567" t="n">
        <x:v>3</x:v>
      </x:c>
      <x:c r="V1567" t="str"/>
    </x:row>
    <x:row r="1568">
      <x:c r="A1568" s="52" t="n">
        <x:v>46131</x:v>
      </x:c>
      <x:c r="B1568" t="str">
        <x:v>PED-101567</x:v>
      </x:c>
      <x:c r="C1568" t="str">
        <x:v>Cliente 057</x:v>
      </x:c>
      <x:c r="D1568" t="str">
        <x:v>SC</x:v>
      </x:c>
      <x:c r="E1568" t="str">
        <x:v>Sul</x:v>
      </x:c>
      <x:c r="F1568" t="str">
        <x:v>E-commerce</x:v>
      </x:c>
      <x:c r="G1568" t="str">
        <x:v>Acessórios</x:v>
      </x:c>
      <x:c r="H1568" t="str">
        <x:v>Webcam HD</x:v>
      </x:c>
      <x:c r="I1568" t="str">
        <x:v>Henrique</x:v>
      </x:c>
      <x:c r="J1568" s="53" t="n">
        <x:v>4</x:v>
      </x:c>
      <x:c r="K1568" s="54" t="n">
        <x:v>525.42</x:v>
      </x:c>
      <x:c r="L1568" s="54" t="n">
        <x:v>244.18</x:v>
      </x:c>
      <x:c r="M1568" s="55" t="n">
        <x:v>0</x:v>
      </x:c>
      <x:c r="N1568" s="54" t="n">
        <x:f>ROUND(J1568*K1568,2)</x:f>
        <x:v>2101.68</x:v>
      </x:c>
      <x:c r="O1568" s="54" t="n">
        <x:f>ROUND(N1568*(1-M1568),2)</x:f>
        <x:v>2101.68</x:v>
      </x:c>
      <x:c r="P1568" s="54" t="n">
        <x:f>ROUND(J1568*L1568,2)</x:f>
        <x:v>976.72</x:v>
      </x:c>
      <x:c r="Q1568" s="54" t="n">
        <x:f>ROUND(O1568-P1568,2)</x:f>
        <x:v>1124.96</x:v>
      </x:c>
      <x:c r="R1568" s="55" t="n">
        <x:f>IF(O1568=0,0,ROUND(Q1568/O1568,4))</x:f>
        <x:v>0.5353</x:v>
      </x:c>
      <x:c r="S1568" s="53" t="n">
        <x:v>8</x:v>
      </x:c>
      <x:c r="T1568" t="str">
        <x:v>Entregue</x:v>
      </x:c>
      <x:c r="U1568" t="n">
        <x:v>5</x:v>
      </x:c>
      <x:c r="V1568" t="str"/>
    </x:row>
    <x:row r="1569">
      <x:c r="A1569" s="52" t="n">
        <x:v>46112</x:v>
      </x:c>
      <x:c r="B1569" t="str">
        <x:v>PED-101568</x:v>
      </x:c>
      <x:c r="C1569" t="str">
        <x:v>Cliente 042</x:v>
      </x:c>
      <x:c r="D1569" t="str">
        <x:v>MG</x:v>
      </x:c>
      <x:c r="E1569" t="str">
        <x:v>Sudeste</x:v>
      </x:c>
      <x:c r="F1569" t="str">
        <x:v>E-commerce</x:v>
      </x:c>
      <x:c r="G1569" t="str">
        <x:v>Casa</x:v>
      </x:c>
      <x:c r="H1569" t="str">
        <x:v>Aspirador Robô</x:v>
      </x:c>
      <x:c r="I1569" t="str">
        <x:v>João</x:v>
      </x:c>
      <x:c r="J1569" s="53" t="n">
        <x:v>8</x:v>
      </x:c>
      <x:c r="K1569" s="54" t="n">
        <x:v>1878.05</x:v>
      </x:c>
      <x:c r="L1569" s="54" t="n">
        <x:v>1230.57</x:v>
      </x:c>
      <x:c r="M1569" s="55" t="n">
        <x:v>0</x:v>
      </x:c>
      <x:c r="N1569" s="54" t="n">
        <x:f>ROUND(J1569*K1569,2)</x:f>
        <x:v>15024.4</x:v>
      </x:c>
      <x:c r="O1569" s="54" t="n">
        <x:f>ROUND(N1569*(1-M1569),2)</x:f>
        <x:v>15024.4</x:v>
      </x:c>
      <x:c r="P1569" s="54" t="n">
        <x:f>ROUND(J1569*L1569,2)</x:f>
        <x:v>9844.56</x:v>
      </x:c>
      <x:c r="Q1569" s="54" t="n">
        <x:f>ROUND(O1569-P1569,2)</x:f>
        <x:v>5179.84</x:v>
      </x:c>
      <x:c r="R1569" s="55" t="n">
        <x:f>IF(O1569=0,0,ROUND(Q1569/O1569,4))</x:f>
        <x:v>0.3448</x:v>
      </x:c>
      <x:c r="S1569" s="53" t="n">
        <x:v>2</x:v>
      </x:c>
      <x:c r="T1569" t="str">
        <x:v>Entregue</x:v>
      </x:c>
      <x:c r="U1569" t="n">
        <x:v>2</x:v>
      </x:c>
      <x:c r="V1569" t="str"/>
    </x:row>
    <x:row r="1570">
      <x:c r="A1570" s="52" t="n">
        <x:v>46210</x:v>
      </x:c>
      <x:c r="B1570" t="str">
        <x:v>PED-101569</x:v>
      </x:c>
      <x:c r="C1570" t="str">
        <x:v>Cliente 049</x:v>
      </x:c>
      <x:c r="D1570" t="str">
        <x:v>BA</x:v>
      </x:c>
      <x:c r="E1570" t="str">
        <x:v>Nordeste</x:v>
      </x:c>
      <x:c r="F1570" t="str">
        <x:v>E-commerce</x:v>
      </x:c>
      <x:c r="G1570" t="str">
        <x:v>Acessórios</x:v>
      </x:c>
      <x:c r="H1570" t="str">
        <x:v>Hub USB-C</x:v>
      </x:c>
      <x:c r="I1570" t="str">
        <x:v>Elaine</x:v>
      </x:c>
      <x:c r="J1570" s="53" t="n">
        <x:v>7</x:v>
      </x:c>
      <x:c r="K1570" s="54" t="n">
        <x:v>320.8</x:v>
      </x:c>
      <x:c r="L1570" s="54" t="n">
        <x:v>143.06</x:v>
      </x:c>
      <x:c r="M1570" s="55" t="n">
        <x:v>0</x:v>
      </x:c>
      <x:c r="N1570" s="54" t="n">
        <x:f>ROUND(J1570*K1570,2)</x:f>
        <x:v>2245.6</x:v>
      </x:c>
      <x:c r="O1570" s="54" t="n">
        <x:f>ROUND(N1570*(1-M1570),2)</x:f>
        <x:v>2245.6</x:v>
      </x:c>
      <x:c r="P1570" s="54" t="n">
        <x:f>ROUND(J1570*L1570,2)</x:f>
        <x:v>1001.42</x:v>
      </x:c>
      <x:c r="Q1570" s="54" t="n">
        <x:f>ROUND(O1570-P1570,2)</x:f>
        <x:v>1244.18</x:v>
      </x:c>
      <x:c r="R1570" s="55" t="n">
        <x:f>IF(O1570=0,0,ROUND(Q1570/O1570,4))</x:f>
        <x:v>0.5541</x:v>
      </x:c>
      <x:c r="S1570" s="53" t="n">
        <x:v>8</x:v>
      </x:c>
      <x:c r="T1570" t="str">
        <x:v>Entregue</x:v>
      </x:c>
      <x:c r="U1570" t="n">
        <x:v>5</x:v>
      </x:c>
      <x:c r="V1570" t="str"/>
    </x:row>
    <x:row r="1571">
      <x:c r="A1571" s="52" t="n">
        <x:v>46114</x:v>
      </x:c>
      <x:c r="B1571" t="str">
        <x:v>PED-101570</x:v>
      </x:c>
      <x:c r="C1571" t="str">
        <x:v>Cliente 102</x:v>
      </x:c>
      <x:c r="D1571" t="str">
        <x:v>PE</x:v>
      </x:c>
      <x:c r="E1571" t="str">
        <x:v>Nordeste</x:v>
      </x:c>
      <x:c r="F1571" t="str">
        <x:v>Loja</x:v>
      </x:c>
      <x:c r="G1571" t="str">
        <x:v>Escritório</x:v>
      </x:c>
      <x:c r="H1571" t="str">
        <x:v>Cadeira Ergonômica</x:v>
      </x:c>
      <x:c r="I1571" t="str">
        <x:v>João</x:v>
      </x:c>
      <x:c r="J1571" s="53" t="n">
        <x:v>4</x:v>
      </x:c>
      <x:c r="K1571" s="54" t="n">
        <x:v>2285.97</x:v>
      </x:c>
      <x:c r="L1571" s="54" t="n">
        <x:v>1409.2</x:v>
      </x:c>
      <x:c r="M1571" s="55" t="n">
        <x:v>0</x:v>
      </x:c>
      <x:c r="N1571" s="54" t="n">
        <x:f>ROUND(J1571*K1571,2)</x:f>
        <x:v>9143.88</x:v>
      </x:c>
      <x:c r="O1571" s="54" t="n">
        <x:f>ROUND(N1571*(1-M1571),2)</x:f>
        <x:v>9143.88</x:v>
      </x:c>
      <x:c r="P1571" s="54" t="n">
        <x:f>ROUND(J1571*L1571,2)</x:f>
        <x:v>5636.8</x:v>
      </x:c>
      <x:c r="Q1571" s="54" t="n">
        <x:f>ROUND(O1571-P1571,2)</x:f>
        <x:v>3507.08</x:v>
      </x:c>
      <x:c r="R1571" s="55" t="n">
        <x:f>IF(O1571=0,0,ROUND(Q1571/O1571,4))</x:f>
        <x:v>0.3835</x:v>
      </x:c>
      <x:c r="S1571" s="53" t="n">
        <x:v>14</x:v>
      </x:c>
      <x:c r="T1571" t="str">
        <x:v>Entregue com atraso</x:v>
      </x:c>
      <x:c r="U1571" t="n">
        <x:v>2</x:v>
      </x:c>
      <x:c r="V1571" t="str"/>
    </x:row>
    <x:row r="1572">
      <x:c r="A1572" s="52" t="n">
        <x:v>46099</x:v>
      </x:c>
      <x:c r="B1572" t="str">
        <x:v>PED-101571</x:v>
      </x:c>
      <x:c r="C1572" t="str">
        <x:v>Cliente 008</x:v>
      </x:c>
      <x:c r="D1572" t="str">
        <x:v>ES</x:v>
      </x:c>
      <x:c r="E1572" t="str">
        <x:v>Sudeste</x:v>
      </x:c>
      <x:c r="F1572" t="str">
        <x:v>E-commerce</x:v>
      </x:c>
      <x:c r="G1572" t="str">
        <x:v>Acessórios</x:v>
      </x:c>
      <x:c r="H1572" t="str">
        <x:v>Hub USB-C</x:v>
      </x:c>
      <x:c r="I1572" t="str">
        <x:v>Henrique</x:v>
      </x:c>
      <x:c r="J1572" s="53" t="n">
        <x:v>2</x:v>
      </x:c>
      <x:c r="K1572" s="54" t="n">
        <x:v>331.96</x:v>
      </x:c>
      <x:c r="L1572" s="54" t="n">
        <x:v>133.92</x:v>
      </x:c>
      <x:c r="M1572" s="55" t="n">
        <x:v>0.0306</x:v>
      </x:c>
      <x:c r="N1572" s="54" t="n">
        <x:f>ROUND(J1572*K1572,2)</x:f>
        <x:v>663.92</x:v>
      </x:c>
      <x:c r="O1572" s="54" t="n">
        <x:f>ROUND(N1572*(1-M1572),2)</x:f>
        <x:v>643.6</x:v>
      </x:c>
      <x:c r="P1572" s="54" t="n">
        <x:f>ROUND(J1572*L1572,2)</x:f>
        <x:v>267.84</x:v>
      </x:c>
      <x:c r="Q1572" s="54" t="n">
        <x:f>ROUND(O1572-P1572,2)</x:f>
        <x:v>375.76</x:v>
      </x:c>
      <x:c r="R1572" s="55" t="n">
        <x:f>IF(O1572=0,0,ROUND(Q1572/O1572,4))</x:f>
        <x:v>0.5838</x:v>
      </x:c>
      <x:c r="S1572" s="53" t="n">
        <x:v>4</x:v>
      </x:c>
      <x:c r="T1572" t="str">
        <x:v>Entregue</x:v>
      </x:c>
      <x:c r="U1572" t="n">
        <x:v>4</x:v>
      </x:c>
      <x:c r="V1572" t="str"/>
    </x:row>
    <x:row r="1573">
      <x:c r="A1573" s="52" t="n">
        <x:v>46180</x:v>
      </x:c>
      <x:c r="B1573" t="str">
        <x:v>PED-101572</x:v>
      </x:c>
      <x:c r="C1573" t="str">
        <x:v>Cliente 005</x:v>
      </x:c>
      <x:c r="D1573" t="str">
        <x:v>PE</x:v>
      </x:c>
      <x:c r="E1573" t="str">
        <x:v>Nordeste</x:v>
      </x:c>
      <x:c r="F1573" t="str">
        <x:v>Marketplace</x:v>
      </x:c>
      <x:c r="G1573" t="str">
        <x:v>Escritório</x:v>
      </x:c>
      <x:c r="H1573" t="str">
        <x:v>Cadeira Ergonômica</x:v>
      </x:c>
      <x:c r="I1573" t="str">
        <x:v>Diego</x:v>
      </x:c>
      <x:c r="J1573" s="53" t="n">
        <x:v>8</x:v>
      </x:c>
      <x:c r="K1573" s="54" t="n">
        <x:v>2240.31</x:v>
      </x:c>
      <x:c r="L1573" s="54" t="n">
        <x:v>1421.55</x:v>
      </x:c>
      <x:c r="M1573" s="55" t="n">
        <x:v>0.1106</x:v>
      </x:c>
      <x:c r="N1573" s="54" t="n">
        <x:f>ROUND(J1573*K1573,2)</x:f>
        <x:v>17922.48</x:v>
      </x:c>
      <x:c r="O1573" s="54" t="n">
        <x:f>ROUND(N1573*(1-M1573),2)</x:f>
        <x:v>15940.25</x:v>
      </x:c>
      <x:c r="P1573" s="54" t="n">
        <x:f>ROUND(J1573*L1573,2)</x:f>
        <x:v>11372.4</x:v>
      </x:c>
      <x:c r="Q1573" s="54" t="n">
        <x:f>ROUND(O1573-P1573,2)</x:f>
        <x:v>4567.85</x:v>
      </x:c>
      <x:c r="R1573" s="55" t="n">
        <x:f>IF(O1573=0,0,ROUND(Q1573/O1573,4))</x:f>
        <x:v>0.2866</x:v>
      </x:c>
      <x:c r="S1573" s="53" t="n">
        <x:v>14</x:v>
      </x:c>
      <x:c r="T1573" t="str">
        <x:v>Entregue com atraso</x:v>
      </x:c>
      <x:c r="U1573" t="n">
        <x:v>2</x:v>
      </x:c>
      <x:c r="V1573" t="str"/>
    </x:row>
    <x:row r="1574">
      <x:c r="A1574" s="52" t="n">
        <x:v>46046</x:v>
      </x:c>
      <x:c r="B1574" t="str">
        <x:v>PED-101573</x:v>
      </x:c>
      <x:c r="C1574" t="str">
        <x:v>Cliente 076</x:v>
      </x:c>
      <x:c r="D1574" t="str">
        <x:v>DF</x:v>
      </x:c>
      <x:c r="E1574" t="str">
        <x:v>Centro-Oeste</x:v>
      </x:c>
      <x:c r="F1574" t="str">
        <x:v>Marketplace</x:v>
      </x:c>
      <x:c r="G1574" t="str">
        <x:v>Escritório</x:v>
      </x:c>
      <x:c r="H1574" t="str">
        <x:v>Mesa Ajustável</x:v>
      </x:c>
      <x:c r="I1574" t="str">
        <x:v>Ana</x:v>
      </x:c>
      <x:c r="J1574" s="53" t="n">
        <x:v>1</x:v>
      </x:c>
      <x:c r="K1574" s="54" t="n">
        <x:v>2933.36</x:v>
      </x:c>
      <x:c r="L1574" s="54" t="n">
        <x:v>1782.25</x:v>
      </x:c>
      <x:c r="M1574" s="55" t="n">
        <x:v>0.1247</x:v>
      </x:c>
      <x:c r="N1574" s="54" t="n">
        <x:f>ROUND(J1574*K1574,2)</x:f>
        <x:v>2933.36</x:v>
      </x:c>
      <x:c r="O1574" s="54" t="n">
        <x:f>ROUND(N1574*(1-M1574),2)</x:f>
        <x:v>2567.57</x:v>
      </x:c>
      <x:c r="P1574" s="54" t="n">
        <x:f>ROUND(J1574*L1574,2)</x:f>
        <x:v>1782.25</x:v>
      </x:c>
      <x:c r="Q1574" s="54" t="n">
        <x:f>ROUND(O1574-P1574,2)</x:f>
        <x:v>785.32</x:v>
      </x:c>
      <x:c r="R1574" s="55" t="n">
        <x:f>IF(O1574=0,0,ROUND(Q1574/O1574,4))</x:f>
        <x:v>0.3059</x:v>
      </x:c>
      <x:c r="S1574" s="53" t="n">
        <x:v>14</x:v>
      </x:c>
      <x:c r="T1574" t="str">
        <x:v>Entregue com atraso</x:v>
      </x:c>
      <x:c r="U1574" t="n">
        <x:v>2</x:v>
      </x:c>
      <x:c r="V1574" t="str"/>
    </x:row>
    <x:row r="1575">
      <x:c r="A1575" s="52" t="n">
        <x:v>46106</x:v>
      </x:c>
      <x:c r="B1575" t="str">
        <x:v>PED-101574</x:v>
      </x:c>
      <x:c r="C1575" t="str">
        <x:v>Cliente 057</x:v>
      </x:c>
      <x:c r="D1575" t="str">
        <x:v>MT</x:v>
      </x:c>
      <x:c r="E1575" t="str">
        <x:v>Centro-Oeste</x:v>
      </x:c>
      <x:c r="F1575" t="str">
        <x:v>Televendas</x:v>
      </x:c>
      <x:c r="G1575" t="str">
        <x:v>Acessórios</x:v>
      </x:c>
      <x:c r="H1575" t="str">
        <x:v>Hub USB-C</x:v>
      </x:c>
      <x:c r="I1575" t="str">
        <x:v>Elaine</x:v>
      </x:c>
      <x:c r="J1575" s="53" t="n">
        <x:v>3</x:v>
      </x:c>
      <x:c r="K1575" s="54" t="n">
        <x:v>323.35</x:v>
      </x:c>
      <x:c r="L1575" s="54" t="n">
        <x:v>129.72</x:v>
      </x:c>
      <x:c r="M1575" s="55" t="n">
        <x:v>0.0631</x:v>
      </x:c>
      <x:c r="N1575" s="54" t="n">
        <x:f>ROUND(J1575*K1575,2)</x:f>
        <x:v>970.05</x:v>
      </x:c>
      <x:c r="O1575" s="54" t="n">
        <x:f>ROUND(N1575*(1-M1575),2)</x:f>
        <x:v>908.84</x:v>
      </x:c>
      <x:c r="P1575" s="54" t="n">
        <x:f>ROUND(J1575*L1575,2)</x:f>
        <x:v>389.16</x:v>
      </x:c>
      <x:c r="Q1575" s="54" t="n">
        <x:f>ROUND(O1575-P1575,2)</x:f>
        <x:v>519.68</x:v>
      </x:c>
      <x:c r="R1575" s="55" t="n">
        <x:f>IF(O1575=0,0,ROUND(Q1575/O1575,4))</x:f>
        <x:v>0.5718</x:v>
      </x:c>
      <x:c r="S1575" s="53" t="n">
        <x:v>8</x:v>
      </x:c>
      <x:c r="T1575" t="str">
        <x:v>Entregue</x:v>
      </x:c>
      <x:c r="U1575" t="n">
        <x:v>4</x:v>
      </x:c>
      <x:c r="V1575" t="str"/>
    </x:row>
    <x:row r="1576">
      <x:c r="A1576" s="52" t="n">
        <x:v>46136</x:v>
      </x:c>
      <x:c r="B1576" t="str">
        <x:v>PED-101575</x:v>
      </x:c>
      <x:c r="C1576" t="str">
        <x:v>Cliente 044</x:v>
      </x:c>
      <x:c r="D1576" t="str">
        <x:v>SC</x:v>
      </x:c>
      <x:c r="E1576" t="str">
        <x:v>Sul</x:v>
      </x:c>
      <x:c r="F1576" t="str">
        <x:v>Televendas</x:v>
      </x:c>
      <x:c r="G1576" t="str">
        <x:v>Escritório</x:v>
      </x:c>
      <x:c r="H1576" t="str">
        <x:v>Mesa Ajustável</x:v>
      </x:c>
      <x:c r="I1576" t="str">
        <x:v>Felipe</x:v>
      </x:c>
      <x:c r="J1576" s="53" t="n">
        <x:v>8</x:v>
      </x:c>
      <x:c r="K1576" s="54" t="n">
        <x:v>2887.11</x:v>
      </x:c>
      <x:c r="L1576" s="54" t="n">
        <x:v>1856.88</x:v>
      </x:c>
      <x:c r="M1576" s="55" t="n">
        <x:v>0.0449</x:v>
      </x:c>
      <x:c r="N1576" s="54" t="n">
        <x:f>ROUND(J1576*K1576,2)</x:f>
        <x:v>23096.88</x:v>
      </x:c>
      <x:c r="O1576" s="54" t="n">
        <x:f>ROUND(N1576*(1-M1576),2)</x:f>
        <x:v>22059.83</x:v>
      </x:c>
      <x:c r="P1576" s="54" t="n">
        <x:f>ROUND(J1576*L1576,2)</x:f>
        <x:v>14855.04</x:v>
      </x:c>
      <x:c r="Q1576" s="54" t="n">
        <x:f>ROUND(O1576-P1576,2)</x:f>
        <x:v>7204.79</x:v>
      </x:c>
      <x:c r="R1576" s="55" t="n">
        <x:f>IF(O1576=0,0,ROUND(Q1576/O1576,4))</x:f>
        <x:v>0.3266</x:v>
      </x:c>
      <x:c r="S1576" s="53" t="n">
        <x:v>5</x:v>
      </x:c>
      <x:c r="T1576" t="str">
        <x:v>Entregue</x:v>
      </x:c>
      <x:c r="U1576" t="n">
        <x:v>4</x:v>
      </x:c>
      <x:c r="V1576" t="str"/>
    </x:row>
    <x:row r="1577">
      <x:c r="A1577" s="52" t="n">
        <x:v>46052</x:v>
      </x:c>
      <x:c r="B1577" t="str">
        <x:v>PED-101576</x:v>
      </x:c>
      <x:c r="C1577" t="str">
        <x:v>Cliente 108</x:v>
      </x:c>
      <x:c r="D1577" t="str">
        <x:v>CE</x:v>
      </x:c>
      <x:c r="E1577" t="str">
        <x:v>Nordeste</x:v>
      </x:c>
      <x:c r="F1577" t="str">
        <x:v>E-commerce</x:v>
      </x:c>
      <x:c r="G1577" t="str">
        <x:v>Acessórios</x:v>
      </x:c>
      <x:c r="H1577" t="str">
        <x:v>Mochila Executiva</x:v>
      </x:c>
      <x:c r="I1577" t="str">
        <x:v>João</x:v>
      </x:c>
      <x:c r="J1577" s="53" t="n">
        <x:v>2</x:v>
      </x:c>
      <x:c r="K1577" s="54" t="n">
        <x:v>447.76</x:v>
      </x:c>
      <x:c r="L1577" s="54" t="n">
        <x:v>188.89</x:v>
      </x:c>
      <x:c r="M1577" s="55" t="n">
        <x:v>0</x:v>
      </x:c>
      <x:c r="N1577" s="54" t="n">
        <x:f>ROUND(J1577*K1577,2)</x:f>
        <x:v>895.52</x:v>
      </x:c>
      <x:c r="O1577" s="54" t="n">
        <x:f>ROUND(N1577*(1-M1577),2)</x:f>
        <x:v>895.52</x:v>
      </x:c>
      <x:c r="P1577" s="54" t="n">
        <x:f>ROUND(J1577*L1577,2)</x:f>
        <x:v>377.78</x:v>
      </x:c>
      <x:c r="Q1577" s="54" t="n">
        <x:f>ROUND(O1577-P1577,2)</x:f>
        <x:v>517.74</x:v>
      </x:c>
      <x:c r="R1577" s="55" t="n">
        <x:f>IF(O1577=0,0,ROUND(Q1577/O1577,4))</x:f>
        <x:v>0.5781</x:v>
      </x:c>
      <x:c r="S1577" s="53" t="n">
        <x:v>10</x:v>
      </x:c>
      <x:c r="T1577" t="str">
        <x:v>Entregue</x:v>
      </x:c>
      <x:c r="U1577" t="n">
        <x:v>2</x:v>
      </x:c>
      <x:c r="V1577" t="str"/>
    </x:row>
    <x:row r="1578">
      <x:c r="A1578" s="52" t="n">
        <x:v>46060</x:v>
      </x:c>
      <x:c r="B1578" t="str">
        <x:v>PED-101577</x:v>
      </x:c>
      <x:c r="C1578" t="str">
        <x:v>Cliente 103</x:v>
      </x:c>
      <x:c r="D1578" t="str">
        <x:v>AM</x:v>
      </x:c>
      <x:c r="E1578" t="str">
        <x:v>Norte</x:v>
      </x:c>
      <x:c r="F1578" t="str">
        <x:v>E-commerce</x:v>
      </x:c>
      <x:c r="G1578" t="str">
        <x:v>Acessórios</x:v>
      </x:c>
      <x:c r="H1578" t="str">
        <x:v>Hub USB-C</x:v>
      </x:c>
      <x:c r="I1578" t="str">
        <x:v>Ana</x:v>
      </x:c>
      <x:c r="J1578" s="53" t="n">
        <x:v>5</x:v>
      </x:c>
      <x:c r="K1578" s="54" t="n">
        <x:v>333.81</x:v>
      </x:c>
      <x:c r="L1578" s="54" t="n">
        <x:v>138.47</x:v>
      </x:c>
      <x:c r="M1578" s="55" t="n">
        <x:v>0.3922</x:v>
      </x:c>
      <x:c r="N1578" s="54" t="n">
        <x:f>ROUND(J1578*K1578,2)</x:f>
        <x:v>1669.05</x:v>
      </x:c>
      <x:c r="O1578" s="54" t="n">
        <x:f>ROUND(N1578*(1-M1578),2)</x:f>
        <x:v>1014.45</x:v>
      </x:c>
      <x:c r="P1578" s="54" t="n">
        <x:f>ROUND(J1578*L1578,2)</x:f>
        <x:v>692.35</x:v>
      </x:c>
      <x:c r="Q1578" s="54" t="n">
        <x:f>ROUND(O1578-P1578,2)</x:f>
        <x:v>322.1</x:v>
      </x:c>
      <x:c r="R1578" s="55" t="n">
        <x:f>IF(O1578=0,0,ROUND(Q1578/O1578,4))</x:f>
        <x:v>0.3175</x:v>
      </x:c>
      <x:c r="S1578" s="53" t="n">
        <x:v>2</x:v>
      </x:c>
      <x:c r="T1578" t="str">
        <x:v>Entregue</x:v>
      </x:c>
      <x:c r="U1578" t="n">
        <x:v>2</x:v>
      </x:c>
      <x:c r="V1578" t="str">
        <x:v>Desconto autorizado fora da campanha</x:v>
      </x:c>
    </x:row>
    <x:row r="1579">
      <x:c r="A1579" s="52" t="n">
        <x:v>46051</x:v>
      </x:c>
      <x:c r="B1579" t="str">
        <x:v>PED-101578</x:v>
      </x:c>
      <x:c r="C1579" t="str">
        <x:v>Cliente 074</x:v>
      </x:c>
      <x:c r="D1579" t="str">
        <x:v>PR</x:v>
      </x:c>
      <x:c r="E1579" t="str">
        <x:v>Sul</x:v>
      </x:c>
      <x:c r="F1579" t="str">
        <x:v>E-commerce</x:v>
      </x:c>
      <x:c r="G1579" t="str">
        <x:v>Casa</x:v>
      </x:c>
      <x:c r="H1579" t="str">
        <x:v>Aspirador Robô</x:v>
      </x:c>
      <x:c r="I1579" t="str">
        <x:v>Ana</x:v>
      </x:c>
      <x:c r="J1579" s="53" t="n">
        <x:v>5</x:v>
      </x:c>
      <x:c r="K1579" s="54" t="n">
        <x:v>1823.3</x:v>
      </x:c>
      <x:c r="L1579" s="54" t="n">
        <x:v>1188.36</x:v>
      </x:c>
      <x:c r="M1579" s="55" t="n">
        <x:v>0.0041</x:v>
      </x:c>
      <x:c r="N1579" s="54" t="n">
        <x:f>ROUND(J1579*K1579,2)</x:f>
        <x:v>9116.5</x:v>
      </x:c>
      <x:c r="O1579" s="54" t="n">
        <x:f>ROUND(N1579*(1-M1579),2)</x:f>
        <x:v>9079.12</x:v>
      </x:c>
      <x:c r="P1579" s="54" t="n">
        <x:f>ROUND(J1579*L1579,2)</x:f>
        <x:v>5941.8</x:v>
      </x:c>
      <x:c r="Q1579" s="54" t="n">
        <x:f>ROUND(O1579-P1579,2)</x:f>
        <x:v>3137.32</x:v>
      </x:c>
      <x:c r="R1579" s="55" t="n">
        <x:f>IF(O1579=0,0,ROUND(Q1579/O1579,4))</x:f>
        <x:v>0.3456</x:v>
      </x:c>
      <x:c r="S1579" s="53" t="n">
        <x:v>4</x:v>
      </x:c>
      <x:c r="T1579" t="str">
        <x:v>Entregue</x:v>
      </x:c>
      <x:c r="U1579" t="n">
        <x:v>5</x:v>
      </x:c>
      <x:c r="V1579" t="str"/>
    </x:row>
    <x:row r="1580">
      <x:c r="A1580" s="52" t="n">
        <x:v>46113</x:v>
      </x:c>
      <x:c r="B1580" t="str">
        <x:v>PED-101579</x:v>
      </x:c>
      <x:c r="C1580" t="str">
        <x:v>Cliente 026</x:v>
      </x:c>
      <x:c r="D1580" t="str">
        <x:v>PA</x:v>
      </x:c>
      <x:c r="E1580" t="str">
        <x:v>Norte</x:v>
      </x:c>
      <x:c r="F1580" t="str">
        <x:v>Loja</x:v>
      </x:c>
      <x:c r="G1580" t="str">
        <x:v>Tecnologia</x:v>
      </x:c>
      <x:c r="H1580" t="str">
        <x:v>Notebook Pro</x:v>
      </x:c>
      <x:c r="I1580" t="str">
        <x:v>Ana</x:v>
      </x:c>
      <x:c r="J1580" s="53" t="n">
        <x:v>3</x:v>
      </x:c>
      <x:c r="K1580" s="54" t="n">
        <x:v>5909.07</x:v>
      </x:c>
      <x:c r="L1580" s="54" t="n">
        <x:v>4371.88</x:v>
      </x:c>
      <x:c r="M1580" s="55" t="n">
        <x:v>0.086</x:v>
      </x:c>
      <x:c r="N1580" s="54" t="n">
        <x:f>ROUND(J1580*K1580,2)</x:f>
        <x:v>17727.21</x:v>
      </x:c>
      <x:c r="O1580" s="54" t="n">
        <x:f>ROUND(N1580*(1-M1580),2)</x:f>
        <x:v>16202.67</x:v>
      </x:c>
      <x:c r="P1580" s="54" t="n">
        <x:f>ROUND(J1580*L1580,2)</x:f>
        <x:v>13115.64</x:v>
      </x:c>
      <x:c r="Q1580" s="54" t="n">
        <x:f>ROUND(O1580-P1580,2)</x:f>
        <x:v>3087.03</x:v>
      </x:c>
      <x:c r="R1580" s="55" t="n">
        <x:f>IF(O1580=0,0,ROUND(Q1580/O1580,4))</x:f>
        <x:v>0.1905</x:v>
      </x:c>
      <x:c r="S1580" s="53" t="n">
        <x:v>10</x:v>
      </x:c>
      <x:c r="T1580" t="str">
        <x:v>Entregue</x:v>
      </x:c>
      <x:c r="U1580" t="n">
        <x:v>2</x:v>
      </x:c>
      <x:c r="V1580" t="str"/>
    </x:row>
    <x:row r="1581">
      <x:c r="A1581" s="52" t="n">
        <x:v>46119</x:v>
      </x:c>
      <x:c r="B1581" t="str">
        <x:v>PED-101580</x:v>
      </x:c>
      <x:c r="C1581" t="str">
        <x:v>Cliente 082</x:v>
      </x:c>
      <x:c r="D1581" t="str">
        <x:v>RS</x:v>
      </x:c>
      <x:c r="E1581" t="str">
        <x:v>Sul</x:v>
      </x:c>
      <x:c r="F1581" t="str">
        <x:v>E-commerce</x:v>
      </x:c>
      <x:c r="G1581" t="str">
        <x:v>Escritório</x:v>
      </x:c>
      <x:c r="H1581" t="str">
        <x:v>Luminária LED</x:v>
      </x:c>
      <x:c r="I1581" t="str">
        <x:v>Diego</x:v>
      </x:c>
      <x:c r="J1581" s="53" t="n">
        <x:v>3</x:v>
      </x:c>
      <x:c r="K1581" s="54" t="n">
        <x:v>244.74</x:v>
      </x:c>
      <x:c r="L1581" s="54" t="n">
        <x:v>123.75</x:v>
      </x:c>
      <x:c r="M1581" s="55" t="n">
        <x:v>0</x:v>
      </x:c>
      <x:c r="N1581" s="54" t="n">
        <x:f>ROUND(J1581*K1581,2)</x:f>
        <x:v>734.22</x:v>
      </x:c>
      <x:c r="O1581" s="54" t="n">
        <x:f>ROUND(N1581*(1-M1581),2)</x:f>
        <x:v>734.22</x:v>
      </x:c>
      <x:c r="P1581" s="54" t="n">
        <x:f>ROUND(J1581*L1581,2)</x:f>
        <x:v>371.25</x:v>
      </x:c>
      <x:c r="Q1581" s="54" t="n">
        <x:f>ROUND(O1581-P1581,2)</x:f>
        <x:v>362.97</x:v>
      </x:c>
      <x:c r="R1581" s="55" t="n">
        <x:f>IF(O1581=0,0,ROUND(Q1581/O1581,4))</x:f>
        <x:v>0.4944</x:v>
      </x:c>
      <x:c r="S1581" s="53" t="n">
        <x:v>14</x:v>
      </x:c>
      <x:c r="T1581" t="str">
        <x:v>Entregue com atraso</x:v>
      </x:c>
      <x:c r="U1581" t="n">
        <x:v>5</x:v>
      </x:c>
      <x:c r="V1581" t="str"/>
    </x:row>
    <x:row r="1582">
      <x:c r="A1582" s="52" t="n">
        <x:v>46223</x:v>
      </x:c>
      <x:c r="B1582" t="str">
        <x:v>PED-101581</x:v>
      </x:c>
      <x:c r="C1582" t="str">
        <x:v>Cliente 110</x:v>
      </x:c>
      <x:c r="D1582" t="str">
        <x:v>RS</x:v>
      </x:c>
      <x:c r="E1582" t="str">
        <x:v>Sul</x:v>
      </x:c>
      <x:c r="F1582" t="str">
        <x:v>Televendas</x:v>
      </x:c>
      <x:c r="G1582" t="str">
        <x:v>Escritório</x:v>
      </x:c>
      <x:c r="H1582" t="str">
        <x:v>Mesa Ajustável</x:v>
      </x:c>
      <x:c r="I1582" t="str">
        <x:v>João</x:v>
      </x:c>
      <x:c r="J1582" s="53" t="n">
        <x:v>7</x:v>
      </x:c>
      <x:c r="K1582" s="54" t="n">
        <x:v>2752.24</x:v>
      </x:c>
      <x:c r="L1582" s="54" t="n">
        <x:v>1897.8</x:v>
      </x:c>
      <x:c r="M1582" s="55" t="n">
        <x:v>0</x:v>
      </x:c>
      <x:c r="N1582" s="54" t="n">
        <x:f>ROUND(J1582*K1582,2)</x:f>
        <x:v>19265.68</x:v>
      </x:c>
      <x:c r="O1582" s="54" t="n">
        <x:f>ROUND(N1582*(1-M1582),2)</x:f>
        <x:v>19265.68</x:v>
      </x:c>
      <x:c r="P1582" s="54" t="n">
        <x:f>ROUND(J1582*L1582,2)</x:f>
        <x:v>13284.6</x:v>
      </x:c>
      <x:c r="Q1582" s="54" t="n">
        <x:f>ROUND(O1582-P1582,2)</x:f>
        <x:v>5981.08</x:v>
      </x:c>
      <x:c r="R1582" s="55" t="n">
        <x:f>IF(O1582=0,0,ROUND(Q1582/O1582,4))</x:f>
        <x:v>0.3105</x:v>
      </x:c>
      <x:c r="S1582" s="53" t="n">
        <x:v>13</x:v>
      </x:c>
      <x:c r="T1582" t="str">
        <x:v>Entregue com atraso</x:v>
      </x:c>
      <x:c r="U1582" t="n">
        <x:v>3</x:v>
      </x:c>
      <x:c r="V1582" t="str"/>
    </x:row>
    <x:row r="1583">
      <x:c r="A1583" s="52" t="n">
        <x:v>46090</x:v>
      </x:c>
      <x:c r="B1583" t="str">
        <x:v>PED-101582</x:v>
      </x:c>
      <x:c r="C1583" t="str">
        <x:v>Cliente 035</x:v>
      </x:c>
      <x:c r="D1583" t="str">
        <x:v>RJ</x:v>
      </x:c>
      <x:c r="E1583" t="str">
        <x:v>Sudeste</x:v>
      </x:c>
      <x:c r="F1583" t="str">
        <x:v>Loja</x:v>
      </x:c>
      <x:c r="G1583" t="str">
        <x:v>Escritório</x:v>
      </x:c>
      <x:c r="H1583" t="str">
        <x:v>Cadeira Ergonômica</x:v>
      </x:c>
      <x:c r="I1583" t="str">
        <x:v>Ana</x:v>
      </x:c>
      <x:c r="J1583" s="53" t="n">
        <x:v>2</x:v>
      </x:c>
      <x:c r="K1583" s="54" t="n">
        <x:v>2319.35</x:v>
      </x:c>
      <x:c r="L1583" s="54" t="n">
        <x:v>1393.37</x:v>
      </x:c>
      <x:c r="M1583" s="55" t="n">
        <x:v>0.0271</x:v>
      </x:c>
      <x:c r="N1583" s="54" t="n">
        <x:f>ROUND(J1583*K1583,2)</x:f>
        <x:v>4638.7</x:v>
      </x:c>
      <x:c r="O1583" s="54" t="n">
        <x:f>ROUND(N1583*(1-M1583),2)</x:f>
        <x:v>4512.99</x:v>
      </x:c>
      <x:c r="P1583" s="54" t="n">
        <x:f>ROUND(J1583*L1583,2)</x:f>
        <x:v>2786.74</x:v>
      </x:c>
      <x:c r="Q1583" s="54" t="n">
        <x:f>ROUND(O1583-P1583,2)</x:f>
        <x:v>1726.25</x:v>
      </x:c>
      <x:c r="R1583" s="55" t="n">
        <x:f>IF(O1583=0,0,ROUND(Q1583/O1583,4))</x:f>
        <x:v>0.3825</x:v>
      </x:c>
      <x:c r="S1583" s="53" t="n">
        <x:v>4</x:v>
      </x:c>
      <x:c r="T1583" t="str">
        <x:v>Entregue</x:v>
      </x:c>
      <x:c r="U1583" t="n">
        <x:v>2</x:v>
      </x:c>
      <x:c r="V1583" t="str"/>
    </x:row>
    <x:row r="1584">
      <x:c r="A1584" s="52" t="n">
        <x:v>46224</x:v>
      </x:c>
      <x:c r="B1584" t="str">
        <x:v>PED-101583</x:v>
      </x:c>
      <x:c r="C1584" t="str">
        <x:v>Cliente 068</x:v>
      </x:c>
      <x:c r="D1584" t="str">
        <x:v>ES</x:v>
      </x:c>
      <x:c r="E1584" t="str">
        <x:v>Sudeste</x:v>
      </x:c>
      <x:c r="F1584" t="str">
        <x:v>E-commerce</x:v>
      </x:c>
      <x:c r="G1584" t="str">
        <x:v>Escritório</x:v>
      </x:c>
      <x:c r="H1584" t="str">
        <x:v>Luminária LED</x:v>
      </x:c>
      <x:c r="I1584" t="str">
        <x:v>Carla</x:v>
      </x:c>
      <x:c r="J1584" s="53" t="n">
        <x:v>6</x:v>
      </x:c>
      <x:c r="K1584" s="54" t="n">
        <x:v>257.05</x:v>
      </x:c>
      <x:c r="L1584" s="54" t="n">
        <x:v>117.6</x:v>
      </x:c>
      <x:c r="M1584" s="55" t="n">
        <x:v>0</x:v>
      </x:c>
      <x:c r="N1584" s="54" t="n">
        <x:f>ROUND(J1584*K1584,2)</x:f>
        <x:v>1542.3</x:v>
      </x:c>
      <x:c r="O1584" s="54" t="n">
        <x:f>ROUND(N1584*(1-M1584),2)</x:f>
        <x:v>1542.3</x:v>
      </x:c>
      <x:c r="P1584" s="54" t="n">
        <x:f>ROUND(J1584*L1584,2)</x:f>
        <x:v>705.6</x:v>
      </x:c>
      <x:c r="Q1584" s="54" t="n">
        <x:f>ROUND(O1584-P1584,2)</x:f>
        <x:v>836.7</x:v>
      </x:c>
      <x:c r="R1584" s="55" t="n">
        <x:f>IF(O1584=0,0,ROUND(Q1584/O1584,4))</x:f>
        <x:v>0.5425</x:v>
      </x:c>
      <x:c r="S1584" s="53" t="n">
        <x:v>14</x:v>
      </x:c>
      <x:c r="T1584" t="str">
        <x:v>Entregue com atraso</x:v>
      </x:c>
      <x:c r="U1584" t="n">
        <x:v>4</x:v>
      </x:c>
      <x:c r="V1584" t="str"/>
    </x:row>
    <x:row r="1585">
      <x:c r="A1585" s="52" t="n">
        <x:v>46078</x:v>
      </x:c>
      <x:c r="B1585" t="str">
        <x:v>PED-101584</x:v>
      </x:c>
      <x:c r="C1585" t="str">
        <x:v>Cliente 099</x:v>
      </x:c>
      <x:c r="D1585" t="str">
        <x:v>CE</x:v>
      </x:c>
      <x:c r="E1585" t="str">
        <x:v>Nordeste</x:v>
      </x:c>
      <x:c r="F1585" t="str">
        <x:v>E-commerce</x:v>
      </x:c>
      <x:c r="G1585" t="str">
        <x:v>Escritório</x:v>
      </x:c>
      <x:c r="H1585" t="str">
        <x:v>Mesa Ajustável</x:v>
      </x:c>
      <x:c r="I1585" t="str">
        <x:v>Ana</x:v>
      </x:c>
      <x:c r="J1585" s="53" t="n">
        <x:v>4</x:v>
      </x:c>
      <x:c r="K1585" s="54" t="n">
        <x:v>2949.55</x:v>
      </x:c>
      <x:c r="L1585" s="54" t="n">
        <x:v>1927.53</x:v>
      </x:c>
      <x:c r="M1585" s="55" t="n">
        <x:v>0</x:v>
      </x:c>
      <x:c r="N1585" s="54" t="n">
        <x:f>ROUND(J1585*K1585,2)</x:f>
        <x:v>11798.2</x:v>
      </x:c>
      <x:c r="O1585" s="54" t="n">
        <x:f>ROUND(N1585*(1-M1585),2)</x:f>
        <x:v>11798.2</x:v>
      </x:c>
      <x:c r="P1585" s="54" t="n">
        <x:f>ROUND(J1585*L1585,2)</x:f>
        <x:v>7710.12</x:v>
      </x:c>
      <x:c r="Q1585" s="54" t="n">
        <x:f>ROUND(O1585-P1585,2)</x:f>
        <x:v>4088.08</x:v>
      </x:c>
      <x:c r="R1585" s="55" t="n">
        <x:f>IF(O1585=0,0,ROUND(Q1585/O1585,4))</x:f>
        <x:v>0.3465</x:v>
      </x:c>
      <x:c r="S1585" s="53" t="n">
        <x:v>8</x:v>
      </x:c>
      <x:c r="T1585" t="str">
        <x:v>Entregue</x:v>
      </x:c>
      <x:c r="U1585" t="n">
        <x:v>3</x:v>
      </x:c>
      <x:c r="V1585" t="str"/>
    </x:row>
    <x:row r="1586">
      <x:c r="A1586" s="52" t="n">
        <x:v>46097</x:v>
      </x:c>
      <x:c r="B1586" t="str">
        <x:v>PED-101585</x:v>
      </x:c>
      <x:c r="C1586" t="str">
        <x:v>Cliente 090</x:v>
      </x:c>
      <x:c r="D1586" t="str">
        <x:v>SC</x:v>
      </x:c>
      <x:c r="E1586" t="str">
        <x:v>Sul</x:v>
      </x:c>
      <x:c r="F1586" t="str">
        <x:v>Televendas</x:v>
      </x:c>
      <x:c r="G1586" t="str">
        <x:v>Casa</x:v>
      </x:c>
      <x:c r="H1586" t="str">
        <x:v>Cafeteira Smart</x:v>
      </x:c>
      <x:c r="I1586" t="str">
        <x:v>Diego</x:v>
      </x:c>
      <x:c r="J1586" s="53" t="n">
        <x:v>6</x:v>
      </x:c>
      <x:c r="K1586" s="54" t="n">
        <x:v>777.64</x:v>
      </x:c>
      <x:c r="L1586" s="54" t="n">
        <x:v>457.01</x:v>
      </x:c>
      <x:c r="M1586" s="55" t="n">
        <x:v>0.1051</x:v>
      </x:c>
      <x:c r="N1586" s="54" t="n">
        <x:f>ROUND(J1586*K1586,2)</x:f>
        <x:v>4665.84</x:v>
      </x:c>
      <x:c r="O1586" s="54" t="n">
        <x:f>ROUND(N1586*(1-M1586),2)</x:f>
        <x:v>4175.46</x:v>
      </x:c>
      <x:c r="P1586" s="54" t="n">
        <x:f>ROUND(J1586*L1586,2)</x:f>
        <x:v>2742.06</x:v>
      </x:c>
      <x:c r="Q1586" s="54" t="n">
        <x:f>ROUND(O1586-P1586,2)</x:f>
        <x:v>1433.4</x:v>
      </x:c>
      <x:c r="R1586" s="55" t="n">
        <x:f>IF(O1586=0,0,ROUND(Q1586/O1586,4))</x:f>
        <x:v>0.3433</x:v>
      </x:c>
      <x:c r="S1586" s="53" t="n">
        <x:v>12</x:v>
      </x:c>
      <x:c r="T1586" t="str">
        <x:v>Entregue com atraso</x:v>
      </x:c>
      <x:c r="U1586" t="n">
        <x:v>3</x:v>
      </x:c>
      <x:c r="V1586" t="str"/>
    </x:row>
    <x:row r="1587">
      <x:c r="A1587" s="52" t="n">
        <x:v>46097</x:v>
      </x:c>
      <x:c r="B1587" t="str">
        <x:v>PED-101586</x:v>
      </x:c>
      <x:c r="C1587" t="str">
        <x:v>Cliente 117</x:v>
      </x:c>
      <x:c r="D1587" t="str">
        <x:v>PR</x:v>
      </x:c>
      <x:c r="E1587" t="str">
        <x:v>Sul</x:v>
      </x:c>
      <x:c r="F1587" t="str">
        <x:v>E-commerce</x:v>
      </x:c>
      <x:c r="G1587" t="str">
        <x:v>Acessórios</x:v>
      </x:c>
      <x:c r="H1587" t="str">
        <x:v>Webcam HD</x:v>
      </x:c>
      <x:c r="I1587" t="str">
        <x:v>Ana</x:v>
      </x:c>
      <x:c r="J1587" s="53" t="n">
        <x:v>7</x:v>
      </x:c>
      <x:c r="K1587" s="54" t="n">
        <x:v>506.58</x:v>
      </x:c>
      <x:c r="L1587" s="54" t="n">
        <x:v>242.7</x:v>
      </x:c>
      <x:c r="M1587" s="55" t="n">
        <x:v>0.069</x:v>
      </x:c>
      <x:c r="N1587" s="54" t="n">
        <x:f>ROUND(J1587*K1587,2)</x:f>
        <x:v>3546.06</x:v>
      </x:c>
      <x:c r="O1587" s="54" t="n">
        <x:f>ROUND(N1587*(1-M1587),2)</x:f>
        <x:v>3301.38</x:v>
      </x:c>
      <x:c r="P1587" s="54" t="n">
        <x:f>ROUND(J1587*L1587,2)</x:f>
        <x:v>1698.9</x:v>
      </x:c>
      <x:c r="Q1587" s="54" t="n">
        <x:f>ROUND(O1587-P1587,2)</x:f>
        <x:v>1602.48</x:v>
      </x:c>
      <x:c r="R1587" s="55" t="n">
        <x:f>IF(O1587=0,0,ROUND(Q1587/O1587,4))</x:f>
        <x:v>0.4854</x:v>
      </x:c>
      <x:c r="S1587" s="53" t="n">
        <x:v>6</x:v>
      </x:c>
      <x:c r="T1587" t="str">
        <x:v>Entregue</x:v>
      </x:c>
      <x:c r="U1587" t="n">
        <x:v>4</x:v>
      </x:c>
      <x:c r="V1587" t="str"/>
    </x:row>
    <x:row r="1588">
      <x:c r="A1588" s="52" t="n">
        <x:v>46200</x:v>
      </x:c>
      <x:c r="B1588" t="str">
        <x:v>PED-101587</x:v>
      </x:c>
      <x:c r="C1588" t="str">
        <x:v>Cliente 093</x:v>
      </x:c>
      <x:c r="D1588" t="str">
        <x:v>PE</x:v>
      </x:c>
      <x:c r="E1588" t="str">
        <x:v>Nordeste</x:v>
      </x:c>
      <x:c r="F1588" t="str">
        <x:v>E-commerce</x:v>
      </x:c>
      <x:c r="G1588" t="str">
        <x:v>Acessórios</x:v>
      </x:c>
      <x:c r="H1588" t="str">
        <x:v>Hub USB-C</x:v>
      </x:c>
      <x:c r="I1588" t="str">
        <x:v>Carla</x:v>
      </x:c>
      <x:c r="J1588" s="53" t="n">
        <x:v>4</x:v>
      </x:c>
      <x:c r="K1588" s="54" t="n">
        <x:v>326.49</x:v>
      </x:c>
      <x:c r="L1588" s="54" t="n">
        <x:v>140.97</x:v>
      </x:c>
      <x:c r="M1588" s="55" t="n">
        <x:v>0</x:v>
      </x:c>
      <x:c r="N1588" s="54" t="n">
        <x:f>ROUND(J1588*K1588,2)</x:f>
        <x:v>1305.96</x:v>
      </x:c>
      <x:c r="O1588" s="54" t="n">
        <x:f>ROUND(N1588*(1-M1588),2)</x:f>
        <x:v>1305.96</x:v>
      </x:c>
      <x:c r="P1588" s="54" t="n">
        <x:f>ROUND(J1588*L1588,2)</x:f>
        <x:v>563.88</x:v>
      </x:c>
      <x:c r="Q1588" s="54" t="n">
        <x:f>ROUND(O1588-P1588,2)</x:f>
        <x:v>742.08</x:v>
      </x:c>
      <x:c r="R1588" s="55" t="n">
        <x:f>IF(O1588=0,0,ROUND(Q1588/O1588,4))</x:f>
        <x:v>0.5682</x:v>
      </x:c>
      <x:c r="S1588" s="53" t="n">
        <x:v>13</x:v>
      </x:c>
      <x:c r="T1588" t="str">
        <x:v>Entregue com atraso</x:v>
      </x:c>
      <x:c r="U1588" t="n">
        <x:v>3</x:v>
      </x:c>
      <x:c r="V1588" t="str"/>
    </x:row>
    <x:row r="1589">
      <x:c r="A1589" s="52" t="n">
        <x:v>46106</x:v>
      </x:c>
      <x:c r="B1589" t="str">
        <x:v>PED-101588</x:v>
      </x:c>
      <x:c r="C1589" t="str">
        <x:v>Cliente 064</x:v>
      </x:c>
      <x:c r="D1589" t="str">
        <x:v>ES</x:v>
      </x:c>
      <x:c r="E1589" t="str">
        <x:v>Sudeste</x:v>
      </x:c>
      <x:c r="F1589" t="str">
        <x:v>E-commerce</x:v>
      </x:c>
      <x:c r="G1589" t="str">
        <x:v>Casa</x:v>
      </x:c>
      <x:c r="H1589" t="str">
        <x:v>Cafeteira Smart</x:v>
      </x:c>
      <x:c r="I1589" t="str">
        <x:v>Ana</x:v>
      </x:c>
      <x:c r="J1589" s="53" t="n">
        <x:v>7</x:v>
      </x:c>
      <x:c r="K1589" s="54" t="n">
        <x:v>786.38</x:v>
      </x:c>
      <x:c r="L1589" s="54" t="n">
        <x:v>457.43</x:v>
      </x:c>
      <x:c r="M1589" s="55" t="n">
        <x:v>0.0691</x:v>
      </x:c>
      <x:c r="N1589" s="54" t="n">
        <x:f>ROUND(J1589*K1589,2)</x:f>
        <x:v>5504.66</x:v>
      </x:c>
      <x:c r="O1589" s="54" t="n">
        <x:f>ROUND(N1589*(1-M1589),2)</x:f>
        <x:v>5124.29</x:v>
      </x:c>
      <x:c r="P1589" s="54" t="n">
        <x:f>ROUND(J1589*L1589,2)</x:f>
        <x:v>3202.01</x:v>
      </x:c>
      <x:c r="Q1589" s="54" t="n">
        <x:f>ROUND(O1589-P1589,2)</x:f>
        <x:v>1922.28</x:v>
      </x:c>
      <x:c r="R1589" s="55" t="n">
        <x:f>IF(O1589=0,0,ROUND(Q1589/O1589,4))</x:f>
        <x:v>0.3751</x:v>
      </x:c>
      <x:c r="S1589" s="53" t="n">
        <x:v>12</x:v>
      </x:c>
      <x:c r="T1589" t="str">
        <x:v>Entregue com atraso</x:v>
      </x:c>
      <x:c r="U1589" t="n">
        <x:v>5</x:v>
      </x:c>
      <x:c r="V1589" t="str"/>
    </x:row>
    <x:row r="1590">
      <x:c r="A1590" s="52" t="n">
        <x:v>46026</x:v>
      </x:c>
      <x:c r="B1590" t="str">
        <x:v>PED-101589</x:v>
      </x:c>
      <x:c r="C1590" t="str">
        <x:v>Cliente 018</x:v>
      </x:c>
      <x:c r="D1590" t="str">
        <x:v>AM</x:v>
      </x:c>
      <x:c r="E1590" t="str">
        <x:v>Norte</x:v>
      </x:c>
      <x:c r="F1590" t="str">
        <x:v>Televendas</x:v>
      </x:c>
      <x:c r="G1590" t="str">
        <x:v>Tecnologia</x:v>
      </x:c>
      <x:c r="H1590" t="str">
        <x:v>Monitor 27</x:v>
      </x:c>
      <x:c r="I1590" t="str">
        <x:v>Henrique</x:v>
      </x:c>
      <x:c r="J1590" s="53" t="n">
        <x:v>7</x:v>
      </x:c>
      <x:c r="K1590" s="54" t="n">
        <x:v>1683.44</x:v>
      </x:c>
      <x:c r="L1590" s="54" t="n">
        <x:v>1131.75</x:v>
      </x:c>
      <x:c r="M1590" s="55" t="n">
        <x:v>0.0944</x:v>
      </x:c>
      <x:c r="N1590" s="54" t="n">
        <x:f>ROUND(J1590*K1590,2)</x:f>
        <x:v>11784.08</x:v>
      </x:c>
      <x:c r="O1590" s="54" t="n">
        <x:f>ROUND(N1590*(1-M1590),2)</x:f>
        <x:v>10671.66</x:v>
      </x:c>
      <x:c r="P1590" s="54" t="n">
        <x:f>ROUND(J1590*L1590,2)</x:f>
        <x:v>7922.25</x:v>
      </x:c>
      <x:c r="Q1590" s="54" t="n">
        <x:f>ROUND(O1590-P1590,2)</x:f>
        <x:v>2749.41</x:v>
      </x:c>
      <x:c r="R1590" s="55" t="n">
        <x:f>IF(O1590=0,0,ROUND(Q1590/O1590,4))</x:f>
        <x:v>0.2576</x:v>
      </x:c>
      <x:c r="S1590" s="53" t="n">
        <x:v>4</x:v>
      </x:c>
      <x:c r="T1590" t="str">
        <x:v>Entregue</x:v>
      </x:c>
      <x:c r="U1590" t="n">
        <x:v>4</x:v>
      </x:c>
      <x:c r="V1590" t="str"/>
    </x:row>
    <x:row r="1591">
      <x:c r="A1591" s="52" t="n">
        <x:v>46143</x:v>
      </x:c>
      <x:c r="B1591" t="str">
        <x:v>PED-101590</x:v>
      </x:c>
      <x:c r="C1591" t="str">
        <x:v>Cliente 086</x:v>
      </x:c>
      <x:c r="D1591" t="str">
        <x:v>RS</x:v>
      </x:c>
      <x:c r="E1591" t="str">
        <x:v>Sul</x:v>
      </x:c>
      <x:c r="F1591" t="str">
        <x:v>Televendas</x:v>
      </x:c>
      <x:c r="G1591" t="str">
        <x:v>Acessórios</x:v>
      </x:c>
      <x:c r="H1591" t="str">
        <x:v>Mochila Executiva</x:v>
      </x:c>
      <x:c r="I1591" t="str">
        <x:v>Carla</x:v>
      </x:c>
      <x:c r="J1591" s="53" t="n">
        <x:v>2</x:v>
      </x:c>
      <x:c r="K1591" s="54" t="n">
        <x:v>430.16</x:v>
      </x:c>
      <x:c r="L1591" s="54" t="n">
        <x:v>193.58</x:v>
      </x:c>
      <x:c r="M1591" s="55" t="n">
        <x:v>0</x:v>
      </x:c>
      <x:c r="N1591" s="54" t="n">
        <x:f>ROUND(J1591*K1591,2)</x:f>
        <x:v>860.32</x:v>
      </x:c>
      <x:c r="O1591" s="54" t="n">
        <x:f>ROUND(N1591*(1-M1591),2)</x:f>
        <x:v>860.32</x:v>
      </x:c>
      <x:c r="P1591" s="54" t="n">
        <x:f>ROUND(J1591*L1591,2)</x:f>
        <x:v>387.16</x:v>
      </x:c>
      <x:c r="Q1591" s="54" t="n">
        <x:f>ROUND(O1591-P1591,2)</x:f>
        <x:v>473.16</x:v>
      </x:c>
      <x:c r="R1591" s="55" t="n">
        <x:f>IF(O1591=0,0,ROUND(Q1591/O1591,4))</x:f>
        <x:v>0.55</x:v>
      </x:c>
      <x:c r="S1591" s="53" t="n">
        <x:v>12</x:v>
      </x:c>
      <x:c r="T1591" t="str">
        <x:v>Entregue com atraso</x:v>
      </x:c>
      <x:c r="U1591" t="n">
        <x:v>4</x:v>
      </x:c>
      <x:c r="V1591" t="str"/>
    </x:row>
    <x:row r="1592">
      <x:c r="A1592" s="52" t="n">
        <x:v>46151</x:v>
      </x:c>
      <x:c r="B1592" t="str">
        <x:v>PED-101591</x:v>
      </x:c>
      <x:c r="C1592" t="str">
        <x:v>Cliente 040</x:v>
      </x:c>
      <x:c r="D1592" t="str">
        <x:v>PR</x:v>
      </x:c>
      <x:c r="E1592" t="str">
        <x:v>Sul</x:v>
      </x:c>
      <x:c r="F1592" t="str">
        <x:v>Loja</x:v>
      </x:c>
      <x:c r="G1592" t="str">
        <x:v>Acessórios</x:v>
      </x:c>
      <x:c r="H1592" t="str">
        <x:v>Mochila Executiva</x:v>
      </x:c>
      <x:c r="I1592" t="str">
        <x:v>Gabriela</x:v>
      </x:c>
      <x:c r="J1592" s="53" t="n">
        <x:v>8</x:v>
      </x:c>
      <x:c r="K1592" s="54" t="n">
        <x:v>426.42</x:v>
      </x:c>
      <x:c r="L1592" s="54" t="n">
        <x:v>186.58</x:v>
      </x:c>
      <x:c r="M1592" s="55" t="n">
        <x:v>0.0141</x:v>
      </x:c>
      <x:c r="N1592" s="54" t="n">
        <x:f>ROUND(J1592*K1592,2)</x:f>
        <x:v>3411.36</x:v>
      </x:c>
      <x:c r="O1592" s="54" t="n">
        <x:f>ROUND(N1592*(1-M1592),2)</x:f>
        <x:v>3363.26</x:v>
      </x:c>
      <x:c r="P1592" s="54" t="n">
        <x:f>ROUND(J1592*L1592,2)</x:f>
        <x:v>1492.64</x:v>
      </x:c>
      <x:c r="Q1592" s="54" t="n">
        <x:f>ROUND(O1592-P1592,2)</x:f>
        <x:v>1870.62</x:v>
      </x:c>
      <x:c r="R1592" s="55" t="n">
        <x:f>IF(O1592=0,0,ROUND(Q1592/O1592,4))</x:f>
        <x:v>0.5562</x:v>
      </x:c>
      <x:c r="S1592" s="53" t="n">
        <x:v>3</x:v>
      </x:c>
      <x:c r="T1592" t="str">
        <x:v>Entregue</x:v>
      </x:c>
      <x:c r="U1592" t="n">
        <x:v>3</x:v>
      </x:c>
      <x:c r="V1592" t="str"/>
    </x:row>
    <x:row r="1593">
      <x:c r="A1593" s="52" t="n">
        <x:v>46087</x:v>
      </x:c>
      <x:c r="B1593" t="str">
        <x:v>PED-101592</x:v>
      </x:c>
      <x:c r="C1593" t="str">
        <x:v>Cliente 014</x:v>
      </x:c>
      <x:c r="D1593" t="str">
        <x:v>RS</x:v>
      </x:c>
      <x:c r="E1593" t="str">
        <x:v>Sul</x:v>
      </x:c>
      <x:c r="F1593" t="str">
        <x:v>Televendas</x:v>
      </x:c>
      <x:c r="G1593" t="str">
        <x:v>Tecnologia</x:v>
      </x:c>
      <x:c r="H1593" t="str">
        <x:v>Notebook Pro</x:v>
      </x:c>
      <x:c r="I1593" t="str">
        <x:v>Henrique</x:v>
      </x:c>
      <x:c r="J1593" s="53" t="n">
        <x:v>4</x:v>
      </x:c>
      <x:c r="K1593" s="54" t="n">
        <x:v>5583.09</x:v>
      </x:c>
      <x:c r="L1593" s="54" t="n">
        <x:v>4275.27</x:v>
      </x:c>
      <x:c r="M1593" s="55" t="n">
        <x:v>0.0793</x:v>
      </x:c>
      <x:c r="N1593" s="54" t="n">
        <x:f>ROUND(J1593*K1593,2)</x:f>
        <x:v>22332.36</x:v>
      </x:c>
      <x:c r="O1593" s="54" t="n">
        <x:f>ROUND(N1593*(1-M1593),2)</x:f>
        <x:v>20561.4</x:v>
      </x:c>
      <x:c r="P1593" s="54" t="n">
        <x:f>ROUND(J1593*L1593,2)</x:f>
        <x:v>17101.08</x:v>
      </x:c>
      <x:c r="Q1593" s="54" t="n">
        <x:f>ROUND(O1593-P1593,2)</x:f>
        <x:v>3460.32</x:v>
      </x:c>
      <x:c r="R1593" s="55" t="n">
        <x:f>IF(O1593=0,0,ROUND(Q1593/O1593,4))</x:f>
        <x:v>0.1683</x:v>
      </x:c>
      <x:c r="S1593" s="53" t="n">
        <x:v>3</x:v>
      </x:c>
      <x:c r="T1593" t="str">
        <x:v>Entregue</x:v>
      </x:c>
      <x:c r="U1593" t="n">
        <x:v>5</x:v>
      </x:c>
      <x:c r="V1593" t="str"/>
    </x:row>
    <x:row r="1594">
      <x:c r="A1594" s="52" t="n">
        <x:v>46218</x:v>
      </x:c>
      <x:c r="B1594" t="str">
        <x:v>PED-101593</x:v>
      </x:c>
      <x:c r="C1594" t="str">
        <x:v>Cliente 025</x:v>
      </x:c>
      <x:c r="D1594" t="str">
        <x:v>RJ</x:v>
      </x:c>
      <x:c r="E1594" t="str">
        <x:v>Sudeste</x:v>
      </x:c>
      <x:c r="F1594" t="str">
        <x:v>Marketplace</x:v>
      </x:c>
      <x:c r="G1594" t="str">
        <x:v>Acessórios</x:v>
      </x:c>
      <x:c r="H1594" t="str">
        <x:v>Webcam HD</x:v>
      </x:c>
      <x:c r="I1594" t="str">
        <x:v>Elaine</x:v>
      </x:c>
      <x:c r="J1594" s="53" t="n">
        <x:v>2</x:v>
      </x:c>
      <x:c r="K1594" s="54" t="n">
        <x:v>531.05</x:v>
      </x:c>
      <x:c r="L1594" s="54" t="n">
        <x:v>249.15</x:v>
      </x:c>
      <x:c r="M1594" s="55" t="n">
        <x:v>0.0484</x:v>
      </x:c>
      <x:c r="N1594" s="54" t="n">
        <x:f>ROUND(J1594*K1594,2)</x:f>
        <x:v>1062.1</x:v>
      </x:c>
      <x:c r="O1594" s="54" t="n">
        <x:f>ROUND(N1594*(1-M1594),2)</x:f>
        <x:v>1010.69</x:v>
      </x:c>
      <x:c r="P1594" s="54" t="n">
        <x:f>ROUND(J1594*L1594,2)</x:f>
        <x:v>498.3</x:v>
      </x:c>
      <x:c r="Q1594" s="54" t="n">
        <x:f>ROUND(O1594-P1594,2)</x:f>
        <x:v>512.39</x:v>
      </x:c>
      <x:c r="R1594" s="55" t="n">
        <x:f>IF(O1594=0,0,ROUND(Q1594/O1594,4))</x:f>
        <x:v>0.507</x:v>
      </x:c>
      <x:c r="S1594" s="53" t="n">
        <x:v>4</x:v>
      </x:c>
      <x:c r="T1594" t="str">
        <x:v>Entregue</x:v>
      </x:c>
      <x:c r="U1594" t="n">
        <x:v>5</x:v>
      </x:c>
      <x:c r="V1594" t="str"/>
    </x:row>
    <x:row r="1595">
      <x:c r="A1595" s="52" t="n">
        <x:v>46188</x:v>
      </x:c>
      <x:c r="B1595" t="str">
        <x:v>PED-101594</x:v>
      </x:c>
      <x:c r="C1595" t="str">
        <x:v>Cliente 017</x:v>
      </x:c>
      <x:c r="D1595" t="str">
        <x:v>BA</x:v>
      </x:c>
      <x:c r="E1595" t="str">
        <x:v>Nordeste</x:v>
      </x:c>
      <x:c r="F1595" t="str">
        <x:v>E-commerce</x:v>
      </x:c>
      <x:c r="G1595" t="str">
        <x:v>Casa</x:v>
      </x:c>
      <x:c r="H1595" t="str">
        <x:v>Cafeteira Smart</x:v>
      </x:c>
      <x:c r="I1595" t="str">
        <x:v>Isabela</x:v>
      </x:c>
      <x:c r="J1595" s="53" t="n">
        <x:v>5</x:v>
      </x:c>
      <x:c r="K1595" s="54" t="n">
        <x:v>745.44</x:v>
      </x:c>
      <x:c r="L1595" s="54" t="n">
        <x:v>469.47</x:v>
      </x:c>
      <x:c r="M1595" s="55" t="n">
        <x:v>0</x:v>
      </x:c>
      <x:c r="N1595" s="54" t="n">
        <x:f>ROUND(J1595*K1595,2)</x:f>
        <x:v>3727.2</x:v>
      </x:c>
      <x:c r="O1595" s="54" t="n">
        <x:f>ROUND(N1595*(1-M1595),2)</x:f>
        <x:v>3727.2</x:v>
      </x:c>
      <x:c r="P1595" s="54" t="n">
        <x:f>ROUND(J1595*L1595,2)</x:f>
        <x:v>2347.35</x:v>
      </x:c>
      <x:c r="Q1595" s="54" t="n">
        <x:f>ROUND(O1595-P1595,2)</x:f>
        <x:v>1379.85</x:v>
      </x:c>
      <x:c r="R1595" s="55" t="n">
        <x:f>IF(O1595=0,0,ROUND(Q1595/O1595,4))</x:f>
        <x:v>0.3702</x:v>
      </x:c>
      <x:c r="S1595" s="53" t="n">
        <x:v>2</x:v>
      </x:c>
      <x:c r="T1595" t="str">
        <x:v>Entregue</x:v>
      </x:c>
      <x:c r="U1595" t="n">
        <x:v>5</x:v>
      </x:c>
      <x:c r="V1595" t="str"/>
    </x:row>
    <x:row r="1596">
      <x:c r="A1596" s="52" t="n">
        <x:v>46206</x:v>
      </x:c>
      <x:c r="B1596" t="str">
        <x:v>PED-101595</x:v>
      </x:c>
      <x:c r="C1596" t="str">
        <x:v>Cliente 093</x:v>
      </x:c>
      <x:c r="D1596" t="str">
        <x:v>BA</x:v>
      </x:c>
      <x:c r="E1596" t="str">
        <x:v>Nordeste</x:v>
      </x:c>
      <x:c r="F1596" t="str">
        <x:v>Televendas</x:v>
      </x:c>
      <x:c r="G1596" t="str">
        <x:v>Tecnologia</x:v>
      </x:c>
      <x:c r="H1596" t="str">
        <x:v>Headset Office</x:v>
      </x:c>
      <x:c r="I1596" t="str">
        <x:v>Isabela</x:v>
      </x:c>
      <x:c r="J1596" s="53" t="n">
        <x:v>8</x:v>
      </x:c>
      <x:c r="K1596" s="54" t="n">
        <x:v>366.85</x:v>
      </x:c>
      <x:c r="L1596" s="54" t="n">
        <x:v>217.66</x:v>
      </x:c>
      <x:c r="M1596" s="55" t="n">
        <x:v>0.1198</x:v>
      </x:c>
      <x:c r="N1596" s="54" t="n">
        <x:f>ROUND(J1596*K1596,2)</x:f>
        <x:v>2934.8</x:v>
      </x:c>
      <x:c r="O1596" s="54" t="n">
        <x:f>ROUND(N1596*(1-M1596),2)</x:f>
        <x:v>2583.21</x:v>
      </x:c>
      <x:c r="P1596" s="54" t="n">
        <x:f>ROUND(J1596*L1596,2)</x:f>
        <x:v>1741.28</x:v>
      </x:c>
      <x:c r="Q1596" s="54" t="n">
        <x:f>ROUND(O1596-P1596,2)</x:f>
        <x:v>841.93</x:v>
      </x:c>
      <x:c r="R1596" s="55" t="n">
        <x:f>IF(O1596=0,0,ROUND(Q1596/O1596,4))</x:f>
        <x:v>0.3259</x:v>
      </x:c>
      <x:c r="S1596" s="53" t="n">
        <x:v>10</x:v>
      </x:c>
      <x:c r="T1596" t="str">
        <x:v>Entregue</x:v>
      </x:c>
      <x:c r="U1596" t="n">
        <x:v>3</x:v>
      </x:c>
      <x:c r="V1596" t="str"/>
    </x:row>
    <x:row r="1597">
      <x:c r="A1597" s="52" t="n">
        <x:v>46025</x:v>
      </x:c>
      <x:c r="B1597" t="str">
        <x:v>PED-101596</x:v>
      </x:c>
      <x:c r="C1597" t="str">
        <x:v>Cliente 097</x:v>
      </x:c>
      <x:c r="D1597" t="str">
        <x:v>BA</x:v>
      </x:c>
      <x:c r="E1597" t="str">
        <x:v>Nordeste</x:v>
      </x:c>
      <x:c r="F1597" t="str">
        <x:v>E-commerce</x:v>
      </x:c>
      <x:c r="G1597" t="str">
        <x:v>Casa</x:v>
      </x:c>
      <x:c r="H1597" t="str">
        <x:v>Cafeteira Smart</x:v>
      </x:c>
      <x:c r="I1597" t="str">
        <x:v>Henrique</x:v>
      </x:c>
      <x:c r="J1597" s="53" t="n">
        <x:v>7</x:v>
      </x:c>
      <x:c r="K1597" s="54" t="n">
        <x:v>752.25</x:v>
      </x:c>
      <x:c r="L1597" s="54" t="n">
        <x:v>454.15</x:v>
      </x:c>
      <x:c r="M1597" s="55" t="n">
        <x:v>0.0684</x:v>
      </x:c>
      <x:c r="N1597" s="54" t="n">
        <x:f>ROUND(J1597*K1597,2)</x:f>
        <x:v>5265.75</x:v>
      </x:c>
      <x:c r="O1597" s="54" t="n">
        <x:f>ROUND(N1597*(1-M1597),2)</x:f>
        <x:v>4905.57</x:v>
      </x:c>
      <x:c r="P1597" s="54" t="n">
        <x:f>ROUND(J1597*L1597,2)</x:f>
        <x:v>3179.05</x:v>
      </x:c>
      <x:c r="Q1597" s="54" t="n">
        <x:f>ROUND(O1597-P1597,2)</x:f>
        <x:v>1726.52</x:v>
      </x:c>
      <x:c r="R1597" s="55" t="n">
        <x:f>IF(O1597=0,0,ROUND(Q1597/O1597,4))</x:f>
        <x:v>0.352</x:v>
      </x:c>
      <x:c r="S1597" s="53" t="n">
        <x:v>9</x:v>
      </x:c>
      <x:c r="T1597" t="str">
        <x:v>Entregue</x:v>
      </x:c>
      <x:c r="U1597" t="n">
        <x:v>4</x:v>
      </x:c>
      <x:c r="V1597" t="str"/>
    </x:row>
    <x:row r="1598">
      <x:c r="A1598" s="52" t="n">
        <x:v>46180</x:v>
      </x:c>
      <x:c r="B1598" t="str">
        <x:v>PED-101597</x:v>
      </x:c>
      <x:c r="C1598" t="str">
        <x:v>Cliente 076</x:v>
      </x:c>
      <x:c r="D1598" t="str">
        <x:v>GO</x:v>
      </x:c>
      <x:c r="E1598" t="str">
        <x:v>Centro-Oeste</x:v>
      </x:c>
      <x:c r="F1598" t="str">
        <x:v>Marketplace</x:v>
      </x:c>
      <x:c r="G1598" t="str">
        <x:v>Escritório</x:v>
      </x:c>
      <x:c r="H1598" t="str">
        <x:v>Luminária LED</x:v>
      </x:c>
      <x:c r="I1598" t="str">
        <x:v>Isabela</x:v>
      </x:c>
      <x:c r="J1598" s="53" t="n">
        <x:v>7</x:v>
      </x:c>
      <x:c r="K1598" s="54" t="n">
        <x:v>268.92</x:v>
      </x:c>
      <x:c r="L1598" s="54" t="n">
        <x:v>115.03</x:v>
      </x:c>
      <x:c r="M1598" s="55" t="n">
        <x:v>0.035</x:v>
      </x:c>
      <x:c r="N1598" s="54" t="n">
        <x:f>ROUND(J1598*K1598,2)</x:f>
        <x:v>1882.44</x:v>
      </x:c>
      <x:c r="O1598" s="54" t="n">
        <x:f>ROUND(N1598*(1-M1598),2)</x:f>
        <x:v>1816.55</x:v>
      </x:c>
      <x:c r="P1598" s="54" t="n">
        <x:f>ROUND(J1598*L1598,2)</x:f>
        <x:v>805.21</x:v>
      </x:c>
      <x:c r="Q1598" s="54" t="n">
        <x:f>ROUND(O1598-P1598,2)</x:f>
        <x:v>1011.34</x:v>
      </x:c>
      <x:c r="R1598" s="55" t="n">
        <x:f>IF(O1598=0,0,ROUND(Q1598/O1598,4))</x:f>
        <x:v>0.5567</x:v>
      </x:c>
      <x:c r="S1598" s="53" t="n">
        <x:v>11</x:v>
      </x:c>
      <x:c r="T1598" t="str">
        <x:v>Entregue com atraso</x:v>
      </x:c>
      <x:c r="U1598" t="n">
        <x:v>4</x:v>
      </x:c>
      <x:c r="V1598" t="str"/>
    </x:row>
    <x:row r="1599">
      <x:c r="A1599" s="52" t="n">
        <x:v>46208</x:v>
      </x:c>
      <x:c r="B1599" t="str">
        <x:v>PED-101598</x:v>
      </x:c>
      <x:c r="C1599" t="str">
        <x:v>Cliente 036</x:v>
      </x:c>
      <x:c r="D1599" t="str">
        <x:v>SP</x:v>
      </x:c>
      <x:c r="E1599" t="str">
        <x:v>Sudeste</x:v>
      </x:c>
      <x:c r="F1599" t="str">
        <x:v>Televendas</x:v>
      </x:c>
      <x:c r="G1599" t="str">
        <x:v>Tecnologia</x:v>
      </x:c>
      <x:c r="H1599" t="str">
        <x:v>Monitor 27</x:v>
      </x:c>
      <x:c r="I1599" t="str">
        <x:v>João</x:v>
      </x:c>
      <x:c r="J1599" s="53" t="n">
        <x:v>2</x:v>
      </x:c>
      <x:c r="K1599" s="54" t="n">
        <x:v>1681.18</x:v>
      </x:c>
      <x:c r="L1599" s="54" t="n">
        <x:v>1097.95</x:v>
      </x:c>
      <x:c r="M1599" s="55" t="n">
        <x:v>0</x:v>
      </x:c>
      <x:c r="N1599" s="54" t="n">
        <x:f>ROUND(J1599*K1599,2)</x:f>
        <x:v>3362.36</x:v>
      </x:c>
      <x:c r="O1599" s="54" t="n">
        <x:f>ROUND(N1599*(1-M1599),2)</x:f>
        <x:v>3362.36</x:v>
      </x:c>
      <x:c r="P1599" s="54" t="n">
        <x:f>ROUND(J1599*L1599,2)</x:f>
        <x:v>2195.9</x:v>
      </x:c>
      <x:c r="Q1599" s="54" t="n">
        <x:f>ROUND(O1599-P1599,2)</x:f>
        <x:v>1166.46</x:v>
      </x:c>
      <x:c r="R1599" s="55" t="n">
        <x:f>IF(O1599=0,0,ROUND(Q1599/O1599,4))</x:f>
        <x:v>0.3469</x:v>
      </x:c>
      <x:c r="S1599" s="53" t="n">
        <x:v>12</x:v>
      </x:c>
      <x:c r="T1599" t="str">
        <x:v>Entregue com atraso</x:v>
      </x:c>
      <x:c r="U1599" t="n">
        <x:v>2</x:v>
      </x:c>
      <x:c r="V1599" t="str"/>
    </x:row>
    <x:row r="1600">
      <x:c r="A1600" s="52" t="n">
        <x:v>46211</x:v>
      </x:c>
      <x:c r="B1600" t="str">
        <x:v>PED-101599</x:v>
      </x:c>
      <x:c r="C1600" t="str">
        <x:v>Cliente 086</x:v>
      </x:c>
      <x:c r="D1600" t="str">
        <x:v>PE</x:v>
      </x:c>
      <x:c r="E1600" t="str">
        <x:v>Nordeste</x:v>
      </x:c>
      <x:c r="F1600" t="str">
        <x:v>Televendas</x:v>
      </x:c>
      <x:c r="G1600" t="str">
        <x:v>Casa</x:v>
      </x:c>
      <x:c r="H1600" t="str">
        <x:v>Purificador</x:v>
      </x:c>
      <x:c r="I1600" t="str">
        <x:v>Henrique</x:v>
      </x:c>
      <x:c r="J1600" s="53" t="n">
        <x:v>8</x:v>
      </x:c>
      <x:c r="K1600" s="54" t="n">
        <x:v>1223.52</x:v>
      </x:c>
      <x:c r="L1600" s="54" t="n">
        <x:v>829.43</x:v>
      </x:c>
      <x:c r="M1600" s="55" t="n">
        <x:v>0.0109</x:v>
      </x:c>
      <x:c r="N1600" s="54" t="n">
        <x:f>ROUND(J1600*K1600,2)</x:f>
        <x:v>9788.16</x:v>
      </x:c>
      <x:c r="O1600" s="54" t="n">
        <x:f>ROUND(N1600*(1-M1600),2)</x:f>
        <x:v>9681.47</x:v>
      </x:c>
      <x:c r="P1600" s="54" t="n">
        <x:f>ROUND(J1600*L1600,2)</x:f>
        <x:v>6635.44</x:v>
      </x:c>
      <x:c r="Q1600" s="54" t="n">
        <x:f>ROUND(O1600-P1600,2)</x:f>
        <x:v>3046.03</x:v>
      </x:c>
      <x:c r="R1600" s="55" t="n">
        <x:f>IF(O1600=0,0,ROUND(Q1600/O1600,4))</x:f>
        <x:v>0.3146</x:v>
      </x:c>
      <x:c r="S1600" s="53" t="n">
        <x:v>3</x:v>
      </x:c>
      <x:c r="T1600" t="str">
        <x:v>Entregue</x:v>
      </x:c>
      <x:c r="U1600" t="n">
        <x:v>4</x:v>
      </x:c>
      <x:c r="V1600" t="str"/>
    </x:row>
    <x:row r="1601">
      <x:c r="A1601" s="52" t="n">
        <x:v>46217</x:v>
      </x:c>
      <x:c r="B1601" t="str">
        <x:v>PED-101600</x:v>
      </x:c>
      <x:c r="C1601" t="str">
        <x:v>Cliente 111</x:v>
      </x:c>
      <x:c r="D1601" t="str">
        <x:v>AM</x:v>
      </x:c>
      <x:c r="E1601" t="str">
        <x:v>Norte</x:v>
      </x:c>
      <x:c r="F1601" t="str">
        <x:v>Marketplace</x:v>
      </x:c>
      <x:c r="G1601" t="str">
        <x:v>Escritório</x:v>
      </x:c>
      <x:c r="H1601" t="str">
        <x:v>Luminária LED</x:v>
      </x:c>
      <x:c r="I1601" t="str">
        <x:v>Isabela</x:v>
      </x:c>
      <x:c r="J1601" s="53" t="n">
        <x:v>3</x:v>
      </x:c>
      <x:c r="K1601" s="54" t="n">
        <x:v>263.19</x:v>
      </x:c>
      <x:c r="L1601" s="54" t="n">
        <x:v>127.28</x:v>
      </x:c>
      <x:c r="M1601" s="55" t="n">
        <x:v>0.035</x:v>
      </x:c>
      <x:c r="N1601" s="54" t="n">
        <x:f>ROUND(J1601*K1601,2)</x:f>
        <x:v>789.57</x:v>
      </x:c>
      <x:c r="O1601" s="54" t="n">
        <x:f>ROUND(N1601*(1-M1601),2)</x:f>
        <x:v>761.94</x:v>
      </x:c>
      <x:c r="P1601" s="54" t="n">
        <x:f>ROUND(J1601*L1601,2)</x:f>
        <x:v>381.84</x:v>
      </x:c>
      <x:c r="Q1601" s="54" t="n">
        <x:f>ROUND(O1601-P1601,2)</x:f>
        <x:v>380.1</x:v>
      </x:c>
      <x:c r="R1601" s="55" t="n">
        <x:f>IF(O1601=0,0,ROUND(Q1601/O1601,4))</x:f>
        <x:v>0.4989</x:v>
      </x:c>
      <x:c r="S1601" s="53" t="n">
        <x:v>10</x:v>
      </x:c>
      <x:c r="T1601" t="str">
        <x:v>Entregue</x:v>
      </x:c>
      <x:c r="U1601" t="n">
        <x:v>3</x:v>
      </x:c>
      <x:c r="V1601" t="str"/>
    </x:row>
    <x:row r="1602">
      <x:c r="A1602" s="52" t="n">
        <x:v>46157</x:v>
      </x:c>
      <x:c r="B1602" t="str">
        <x:v>PED-101601</x:v>
      </x:c>
      <x:c r="C1602" t="str">
        <x:v>Cliente 030</x:v>
      </x:c>
      <x:c r="D1602" t="str">
        <x:v>RS</x:v>
      </x:c>
      <x:c r="E1602" t="str">
        <x:v>Sul</x:v>
      </x:c>
      <x:c r="F1602" t="str">
        <x:v>Loja</x:v>
      </x:c>
      <x:c r="G1602" t="str">
        <x:v>Casa</x:v>
      </x:c>
      <x:c r="H1602" t="str">
        <x:v>Cafeteira Smart</x:v>
      </x:c>
      <x:c r="I1602" t="str">
        <x:v>Isabela</x:v>
      </x:c>
      <x:c r="J1602" s="53" t="n">
        <x:v>5</x:v>
      </x:c>
      <x:c r="K1602" s="54" t="n">
        <x:v>835.49</x:v>
      </x:c>
      <x:c r="L1602" s="54" t="n">
        <x:v>466.09</x:v>
      </x:c>
      <x:c r="M1602" s="55" t="n">
        <x:v>0</x:v>
      </x:c>
      <x:c r="N1602" s="54" t="n">
        <x:f>ROUND(J1602*K1602,2)</x:f>
        <x:v>4177.45</x:v>
      </x:c>
      <x:c r="O1602" s="54" t="n">
        <x:f>ROUND(N1602*(1-M1602),2)</x:f>
        <x:v>4177.45</x:v>
      </x:c>
      <x:c r="P1602" s="54" t="n">
        <x:f>ROUND(J1602*L1602,2)</x:f>
        <x:v>2330.45</x:v>
      </x:c>
      <x:c r="Q1602" s="54" t="n">
        <x:f>ROUND(O1602-P1602,2)</x:f>
        <x:v>1847</x:v>
      </x:c>
      <x:c r="R1602" s="55" t="n">
        <x:f>IF(O1602=0,0,ROUND(Q1602/O1602,4))</x:f>
        <x:v>0.4421</x:v>
      </x:c>
      <x:c r="S1602" s="53" t="n">
        <x:v>5</x:v>
      </x:c>
      <x:c r="T1602" t="str">
        <x:v>Entregue</x:v>
      </x:c>
      <x:c r="U1602" t="n">
        <x:v>2</x:v>
      </x:c>
      <x:c r="V1602" t="str"/>
    </x:row>
    <x:row r="1603">
      <x:c r="A1603" s="52" t="n">
        <x:v>46103</x:v>
      </x:c>
      <x:c r="B1603" t="str">
        <x:v>PED-101602</x:v>
      </x:c>
      <x:c r="C1603" t="str">
        <x:v>Cliente 078</x:v>
      </x:c>
      <x:c r="D1603" t="str">
        <x:v>RS</x:v>
      </x:c>
      <x:c r="E1603" t="str">
        <x:v>Sul</x:v>
      </x:c>
      <x:c r="F1603" t="str">
        <x:v>Televendas</x:v>
      </x:c>
      <x:c r="G1603" t="str">
        <x:v>Tecnologia</x:v>
      </x:c>
      <x:c r="H1603" t="str">
        <x:v>Notebook Pro</x:v>
      </x:c>
      <x:c r="I1603" t="str">
        <x:v>Diego</x:v>
      </x:c>
      <x:c r="J1603" s="53" t="n">
        <x:v>2</x:v>
      </x:c>
      <x:c r="K1603" s="54" t="n">
        <x:v>6202.6</x:v>
      </x:c>
      <x:c r="L1603" s="54" t="n">
        <x:v>4339.12</x:v>
      </x:c>
      <x:c r="M1603" s="55" t="n">
        <x:v>0</x:v>
      </x:c>
      <x:c r="N1603" s="54" t="n">
        <x:f>ROUND(J1603*K1603,2)</x:f>
        <x:v>12405.2</x:v>
      </x:c>
      <x:c r="O1603" s="54" t="n">
        <x:f>ROUND(N1603*(1-M1603),2)</x:f>
        <x:v>12405.2</x:v>
      </x:c>
      <x:c r="P1603" s="54" t="n">
        <x:f>ROUND(J1603*L1603,2)</x:f>
        <x:v>8678.24</x:v>
      </x:c>
      <x:c r="Q1603" s="54" t="n">
        <x:f>ROUND(O1603-P1603,2)</x:f>
        <x:v>3726.96</x:v>
      </x:c>
      <x:c r="R1603" s="55" t="n">
        <x:f>IF(O1603=0,0,ROUND(Q1603/O1603,4))</x:f>
        <x:v>0.3004</x:v>
      </x:c>
      <x:c r="S1603" s="53" t="n">
        <x:v>11</x:v>
      </x:c>
      <x:c r="T1603" t="str">
        <x:v>Entregue com atraso</x:v>
      </x:c>
      <x:c r="U1603" t="n">
        <x:v>2</x:v>
      </x:c>
      <x:c r="V1603" t="str"/>
    </x:row>
    <x:row r="1604">
      <x:c r="A1604" s="52" t="n">
        <x:v>46092</x:v>
      </x:c>
      <x:c r="B1604" t="str">
        <x:v>PED-101603</x:v>
      </x:c>
      <x:c r="C1604" t="str">
        <x:v>Cliente 103</x:v>
      </x:c>
      <x:c r="D1604" t="str">
        <x:v>SP</x:v>
      </x:c>
      <x:c r="E1604" t="str">
        <x:v>Sudeste</x:v>
      </x:c>
      <x:c r="F1604" t="str">
        <x:v>Televendas</x:v>
      </x:c>
      <x:c r="G1604" t="str">
        <x:v>Tecnologia</x:v>
      </x:c>
      <x:c r="H1604" t="str">
        <x:v>Monitor 27</x:v>
      </x:c>
      <x:c r="I1604" t="str">
        <x:v>Gabriela</x:v>
      </x:c>
      <x:c r="J1604" s="53" t="n">
        <x:v>4</x:v>
      </x:c>
      <x:c r="K1604" s="54" t="n">
        <x:v>1642.74</x:v>
      </x:c>
      <x:c r="L1604" s="54" t="n">
        <x:v>1129.36</x:v>
      </x:c>
      <x:c r="M1604" s="55" t="n">
        <x:v>0.0407</x:v>
      </x:c>
      <x:c r="N1604" s="54" t="n">
        <x:f>ROUND(J1604*K1604,2)</x:f>
        <x:v>6570.96</x:v>
      </x:c>
      <x:c r="O1604" s="54" t="n">
        <x:f>ROUND(N1604*(1-M1604),2)</x:f>
        <x:v>6303.52</x:v>
      </x:c>
      <x:c r="P1604" s="54" t="n">
        <x:f>ROUND(J1604*L1604,2)</x:f>
        <x:v>4517.44</x:v>
      </x:c>
      <x:c r="Q1604" s="54" t="n">
        <x:f>ROUND(O1604-P1604,2)</x:f>
        <x:v>1786.08</x:v>
      </x:c>
      <x:c r="R1604" s="55" t="n">
        <x:f>IF(O1604=0,0,ROUND(Q1604/O1604,4))</x:f>
        <x:v>0.2833</x:v>
      </x:c>
      <x:c r="S1604" s="53" t="n">
        <x:v>14</x:v>
      </x:c>
      <x:c r="T1604" t="str">
        <x:v>Entregue com atraso</x:v>
      </x:c>
      <x:c r="U1604" t="n">
        <x:v>4</x:v>
      </x:c>
      <x:c r="V1604" t="str"/>
    </x:row>
    <x:row r="1605">
      <x:c r="A1605" s="52" t="n">
        <x:v>46133</x:v>
      </x:c>
      <x:c r="B1605" t="str">
        <x:v>PED-101604</x:v>
      </x:c>
      <x:c r="C1605" t="str">
        <x:v>Cliente 017</x:v>
      </x:c>
      <x:c r="D1605" t="str">
        <x:v>PE</x:v>
      </x:c>
      <x:c r="E1605" t="str">
        <x:v>Nordeste</x:v>
      </x:c>
      <x:c r="F1605" t="str">
        <x:v>E-commerce</x:v>
      </x:c>
      <x:c r="G1605" t="str">
        <x:v>Casa</x:v>
      </x:c>
      <x:c r="H1605" t="str">
        <x:v>Purificador</x:v>
      </x:c>
      <x:c r="I1605" t="str">
        <x:v>João</x:v>
      </x:c>
      <x:c r="J1605" s="53" t="n">
        <x:v>8</x:v>
      </x:c>
      <x:c r="K1605" s="54" t="n">
        <x:v>1317.19</x:v>
      </x:c>
      <x:c r="L1605" s="54" t="n">
        <x:v>774.76</x:v>
      </x:c>
      <x:c r="M1605" s="55" t="n">
        <x:v>0.0207</x:v>
      </x:c>
      <x:c r="N1605" s="54" t="n">
        <x:f>ROUND(J1605*K1605,2)</x:f>
        <x:v>10537.52</x:v>
      </x:c>
      <x:c r="O1605" s="54" t="n">
        <x:f>ROUND(N1605*(1-M1605),2)</x:f>
        <x:v>10319.39</x:v>
      </x:c>
      <x:c r="P1605" s="54" t="n">
        <x:f>ROUND(J1605*L1605,2)</x:f>
        <x:v>6198.08</x:v>
      </x:c>
      <x:c r="Q1605" s="54" t="n">
        <x:f>ROUND(O1605-P1605,2)</x:f>
        <x:v>4121.31</x:v>
      </x:c>
      <x:c r="R1605" s="55" t="n">
        <x:f>IF(O1605=0,0,ROUND(Q1605/O1605,4))</x:f>
        <x:v>0.3994</x:v>
      </x:c>
      <x:c r="S1605" s="53" t="n">
        <x:v>8</x:v>
      </x:c>
      <x:c r="T1605" t="str">
        <x:v>Entregue</x:v>
      </x:c>
      <x:c r="U1605" t="n">
        <x:v>5</x:v>
      </x:c>
      <x:c r="V1605" t="str"/>
    </x:row>
    <x:row r="1606">
      <x:c r="A1606" s="52" t="n">
        <x:v>46176</x:v>
      </x:c>
      <x:c r="B1606" t="str">
        <x:v>PED-101605</x:v>
      </x:c>
      <x:c r="C1606" t="str">
        <x:v>Cliente 030</x:v>
      </x:c>
      <x:c r="D1606" t="str">
        <x:v>SP</x:v>
      </x:c>
      <x:c r="E1606" t="str">
        <x:v>Sudeste</x:v>
      </x:c>
      <x:c r="F1606" t="str">
        <x:v>Marketplace</x:v>
      </x:c>
      <x:c r="G1606" t="str">
        <x:v>Tecnologia</x:v>
      </x:c>
      <x:c r="H1606" t="str">
        <x:v>Headset Office</x:v>
      </x:c>
      <x:c r="I1606" t="str">
        <x:v>Carla</x:v>
      </x:c>
      <x:c r="J1606" s="53" t="n">
        <x:v>6</x:v>
      </x:c>
      <x:c r="K1606" s="54" t="n">
        <x:v>382.4</x:v>
      </x:c>
      <x:c r="L1606" s="54" t="n">
        <x:v>219.49</x:v>
      </x:c>
      <x:c r="M1606" s="55" t="n">
        <x:v>0.0985</x:v>
      </x:c>
      <x:c r="N1606" s="54" t="n">
        <x:f>ROUND(J1606*K1606,2)</x:f>
        <x:v>2294.4</x:v>
      </x:c>
      <x:c r="O1606" s="54" t="n">
        <x:f>ROUND(N1606*(1-M1606),2)</x:f>
        <x:v>2068.4</x:v>
      </x:c>
      <x:c r="P1606" s="54" t="n">
        <x:f>ROUND(J1606*L1606,2)</x:f>
        <x:v>1316.94</x:v>
      </x:c>
      <x:c r="Q1606" s="54" t="n">
        <x:f>ROUND(O1606-P1606,2)</x:f>
        <x:v>751.46</x:v>
      </x:c>
      <x:c r="R1606" s="55" t="n">
        <x:f>IF(O1606=0,0,ROUND(Q1606/O1606,4))</x:f>
        <x:v>0.3633</x:v>
      </x:c>
      <x:c r="S1606" s="53" t="n">
        <x:v>7</x:v>
      </x:c>
      <x:c r="T1606" t="str">
        <x:v>Entregue</x:v>
      </x:c>
      <x:c r="U1606" t="n">
        <x:v>4</x:v>
      </x:c>
      <x:c r="V1606" t="str"/>
    </x:row>
    <x:row r="1607">
      <x:c r="A1607" s="52" t="n">
        <x:v>46233</x:v>
      </x:c>
      <x:c r="B1607" t="str">
        <x:v>PED-101606</x:v>
      </x:c>
      <x:c r="C1607" t="str">
        <x:v>Cliente 015</x:v>
      </x:c>
      <x:c r="D1607" t="str">
        <x:v>MA</x:v>
      </x:c>
      <x:c r="E1607" t="str">
        <x:v>Nordeste</x:v>
      </x:c>
      <x:c r="F1607" t="str">
        <x:v>Televendas</x:v>
      </x:c>
      <x:c r="G1607" t="str">
        <x:v>Casa</x:v>
      </x:c>
      <x:c r="H1607" t="str">
        <x:v>Aspirador Robô</x:v>
      </x:c>
      <x:c r="I1607" t="str">
        <x:v>Gabriela</x:v>
      </x:c>
      <x:c r="J1607" s="53" t="n">
        <x:v>7</x:v>
      </x:c>
      <x:c r="K1607" s="54" t="n">
        <x:v>1849.24</x:v>
      </x:c>
      <x:c r="L1607" s="54" t="n">
        <x:v>1287.75</x:v>
      </x:c>
      <x:c r="M1607" s="55" t="n">
        <x:v>0.0633</x:v>
      </x:c>
      <x:c r="N1607" s="54" t="n">
        <x:f>ROUND(J1607*K1607,2)</x:f>
        <x:v>12944.68</x:v>
      </x:c>
      <x:c r="O1607" s="54" t="n">
        <x:f>ROUND(N1607*(1-M1607),2)</x:f>
        <x:v>12125.28</x:v>
      </x:c>
      <x:c r="P1607" s="54" t="n">
        <x:f>ROUND(J1607*L1607,2)</x:f>
        <x:v>9014.25</x:v>
      </x:c>
      <x:c r="Q1607" s="54" t="n">
        <x:f>ROUND(O1607-P1607,2)</x:f>
        <x:v>3111.03</x:v>
      </x:c>
      <x:c r="R1607" s="55" t="n">
        <x:f>IF(O1607=0,0,ROUND(Q1607/O1607,4))</x:f>
        <x:v>0.2566</x:v>
      </x:c>
      <x:c r="S1607" s="53" t="n">
        <x:v>2</x:v>
      </x:c>
      <x:c r="T1607" t="str">
        <x:v>Entregue</x:v>
      </x:c>
      <x:c r="U1607" t="n">
        <x:v>2</x:v>
      </x:c>
      <x:c r="V1607" t="str"/>
    </x:row>
    <x:row r="1608">
      <x:c r="A1608" s="52" t="n">
        <x:v>46096</x:v>
      </x:c>
      <x:c r="B1608" t="str">
        <x:v>PED-101607</x:v>
      </x:c>
      <x:c r="C1608" t="str">
        <x:v>Cliente 073</x:v>
      </x:c>
      <x:c r="D1608" t="str">
        <x:v>MA</x:v>
      </x:c>
      <x:c r="E1608" t="str">
        <x:v>Nordeste</x:v>
      </x:c>
      <x:c r="F1608" t="str">
        <x:v>Loja</x:v>
      </x:c>
      <x:c r="G1608" t="str">
        <x:v>Tecnologia</x:v>
      </x:c>
      <x:c r="H1608" t="str">
        <x:v>Monitor 27</x:v>
      </x:c>
      <x:c r="I1608" t="str">
        <x:v>Henrique</x:v>
      </x:c>
      <x:c r="J1608" s="53" t="n">
        <x:v>6</x:v>
      </x:c>
      <x:c r="K1608" s="54" t="n">
        <x:v>1700.09</x:v>
      </x:c>
      <x:c r="L1608" s="54" t="n">
        <x:v>1155.08</x:v>
      </x:c>
      <x:c r="M1608" s="55" t="n">
        <x:v>0</x:v>
      </x:c>
      <x:c r="N1608" s="54" t="n">
        <x:f>ROUND(J1608*K1608,2)</x:f>
        <x:v>10200.54</x:v>
      </x:c>
      <x:c r="O1608" s="54" t="n">
        <x:f>ROUND(N1608*(1-M1608),2)</x:f>
        <x:v>10200.54</x:v>
      </x:c>
      <x:c r="P1608" s="54" t="n">
        <x:f>ROUND(J1608*L1608,2)</x:f>
        <x:v>6930.48</x:v>
      </x:c>
      <x:c r="Q1608" s="54" t="n">
        <x:f>ROUND(O1608-P1608,2)</x:f>
        <x:v>3270.06</x:v>
      </x:c>
      <x:c r="R1608" s="55" t="n">
        <x:f>IF(O1608=0,0,ROUND(Q1608/O1608,4))</x:f>
        <x:v>0.3206</x:v>
      </x:c>
      <x:c r="S1608" s="53" t="n">
        <x:v>30</x:v>
      </x:c>
      <x:c r="T1608" t="str">
        <x:v>Entregue com atraso</x:v>
      </x:c>
      <x:c r="U1608" t="n">
        <x:v>1</x:v>
      </x:c>
      <x:c r="V1608" t="str">
        <x:v>Ocorrência logística</x:v>
      </x:c>
    </x:row>
    <x:row r="1609">
      <x:c r="A1609" s="52" t="n">
        <x:v>46217</x:v>
      </x:c>
      <x:c r="B1609" t="str">
        <x:v>PED-101608</x:v>
      </x:c>
      <x:c r="C1609" t="str">
        <x:v>Cliente 047</x:v>
      </x:c>
      <x:c r="D1609" t="str">
        <x:v>MG</x:v>
      </x:c>
      <x:c r="E1609" t="str">
        <x:v>Sudeste</x:v>
      </x:c>
      <x:c r="F1609" t="str">
        <x:v>E-commerce</x:v>
      </x:c>
      <x:c r="G1609" t="str">
        <x:v>Escritório</x:v>
      </x:c>
      <x:c r="H1609" t="str">
        <x:v>Mesa Ajustável</x:v>
      </x:c>
      <x:c r="I1609" t="str">
        <x:v>Gabriela</x:v>
      </x:c>
      <x:c r="J1609" s="53" t="n">
        <x:v>2</x:v>
      </x:c>
      <x:c r="K1609" s="54" t="n">
        <x:v>2869.9</x:v>
      </x:c>
      <x:c r="L1609" s="54" t="n">
        <x:v>1867.85</x:v>
      </x:c>
      <x:c r="M1609" s="55" t="n">
        <x:v>0</x:v>
      </x:c>
      <x:c r="N1609" s="54" t="n">
        <x:f>ROUND(J1609*K1609,2)</x:f>
        <x:v>5739.8</x:v>
      </x:c>
      <x:c r="O1609" s="54" t="n">
        <x:f>ROUND(N1609*(1-M1609),2)</x:f>
        <x:v>5739.8</x:v>
      </x:c>
      <x:c r="P1609" s="54" t="n">
        <x:f>ROUND(J1609*L1609,2)</x:f>
        <x:v>3735.7</x:v>
      </x:c>
      <x:c r="Q1609" s="54" t="n">
        <x:f>ROUND(O1609-P1609,2)</x:f>
        <x:v>2004.1</x:v>
      </x:c>
      <x:c r="R1609" s="55" t="n">
        <x:f>IF(O1609=0,0,ROUND(Q1609/O1609,4))</x:f>
        <x:v>0.3492</x:v>
      </x:c>
      <x:c r="S1609" s="53" t="n">
        <x:v>5</x:v>
      </x:c>
      <x:c r="T1609" t="str">
        <x:v>Entregue</x:v>
      </x:c>
      <x:c r="U1609" t="n">
        <x:v>5</x:v>
      </x:c>
      <x:c r="V1609" t="str"/>
    </x:row>
    <x:row r="1610">
      <x:c r="A1610" s="52" t="n">
        <x:v>46052</x:v>
      </x:c>
      <x:c r="B1610" t="str">
        <x:v>PED-101609</x:v>
      </x:c>
      <x:c r="C1610" t="str">
        <x:v>Cliente 015</x:v>
      </x:c>
      <x:c r="D1610" t="str">
        <x:v>MA</x:v>
      </x:c>
      <x:c r="E1610" t="str">
        <x:v>Nordeste</x:v>
      </x:c>
      <x:c r="F1610" t="str">
        <x:v>Loja</x:v>
      </x:c>
      <x:c r="G1610" t="str">
        <x:v>Casa</x:v>
      </x:c>
      <x:c r="H1610" t="str">
        <x:v>Aspirador Robô</x:v>
      </x:c>
      <x:c r="I1610" t="str">
        <x:v>Isabela</x:v>
      </x:c>
      <x:c r="J1610" s="53" t="n">
        <x:v>5</x:v>
      </x:c>
      <x:c r="K1610" s="54" t="n">
        <x:v>1933.66</x:v>
      </x:c>
      <x:c r="L1610" s="54" t="n">
        <x:v>1285.58</x:v>
      </x:c>
      <x:c r="M1610" s="55" t="n">
        <x:v>0</x:v>
      </x:c>
      <x:c r="N1610" s="54" t="n">
        <x:f>ROUND(J1610*K1610,2)</x:f>
        <x:v>9668.3</x:v>
      </x:c>
      <x:c r="O1610" s="54" t="n">
        <x:f>ROUND(N1610*(1-M1610),2)</x:f>
        <x:v>9668.3</x:v>
      </x:c>
      <x:c r="P1610" s="54" t="n">
        <x:f>ROUND(J1610*L1610,2)</x:f>
        <x:v>6427.9</x:v>
      </x:c>
      <x:c r="Q1610" s="54" t="n">
        <x:f>ROUND(O1610-P1610,2)</x:f>
        <x:v>3240.4</x:v>
      </x:c>
      <x:c r="R1610" s="55" t="n">
        <x:f>IF(O1610=0,0,ROUND(Q1610/O1610,4))</x:f>
        <x:v>0.3352</x:v>
      </x:c>
      <x:c r="S1610" s="53" t="n">
        <x:v>9</x:v>
      </x:c>
      <x:c r="T1610" t="str">
        <x:v>Entregue</x:v>
      </x:c>
      <x:c r="U1610" t="n">
        <x:v>2</x:v>
      </x:c>
      <x:c r="V1610" t="str"/>
    </x:row>
    <x:row r="1611">
      <x:c r="A1611" s="52" t="n">
        <x:v>46116</x:v>
      </x:c>
      <x:c r="B1611" t="str">
        <x:v>PED-101610</x:v>
      </x:c>
      <x:c r="C1611" t="str">
        <x:v>Cliente 071</x:v>
      </x:c>
      <x:c r="D1611" t="str">
        <x:v>MA</x:v>
      </x:c>
      <x:c r="E1611" t="str">
        <x:v>Nordeste</x:v>
      </x:c>
      <x:c r="F1611" t="str">
        <x:v>Marketplace</x:v>
      </x:c>
      <x:c r="G1611" t="str">
        <x:v>Acessórios</x:v>
      </x:c>
      <x:c r="H1611" t="str">
        <x:v>Mochila Executiva</x:v>
      </x:c>
      <x:c r="I1611" t="str">
        <x:v>Bruno</x:v>
      </x:c>
      <x:c r="J1611" s="53" t="n">
        <x:v>7</x:v>
      </x:c>
      <x:c r="K1611" s="54" t="n">
        <x:v>430.78</x:v>
      </x:c>
      <x:c r="L1611" s="54" t="n">
        <x:v>201.42</x:v>
      </x:c>
      <x:c r="M1611" s="55" t="n">
        <x:v>0.035</x:v>
      </x:c>
      <x:c r="N1611" s="54" t="n">
        <x:f>ROUND(J1611*K1611,2)</x:f>
        <x:v>3015.46</x:v>
      </x:c>
      <x:c r="O1611" s="54" t="n">
        <x:f>ROUND(N1611*(1-M1611),2)</x:f>
        <x:v>2909.92</x:v>
      </x:c>
      <x:c r="P1611" s="54" t="n">
        <x:f>ROUND(J1611*L1611,2)</x:f>
        <x:v>1409.94</x:v>
      </x:c>
      <x:c r="Q1611" s="54" t="n">
        <x:f>ROUND(O1611-P1611,2)</x:f>
        <x:v>1499.98</x:v>
      </x:c>
      <x:c r="R1611" s="55" t="n">
        <x:f>IF(O1611=0,0,ROUND(Q1611/O1611,4))</x:f>
        <x:v>0.5155</x:v>
      </x:c>
      <x:c r="S1611" s="53" t="n">
        <x:v>14</x:v>
      </x:c>
      <x:c r="T1611" t="str">
        <x:v>Entregue com atraso</x:v>
      </x:c>
      <x:c r="U1611" t="n">
        <x:v>4</x:v>
      </x:c>
      <x:c r="V1611" t="str"/>
    </x:row>
    <x:row r="1612">
      <x:c r="A1612" s="52" t="n">
        <x:v>46201</x:v>
      </x:c>
      <x:c r="B1612" t="str">
        <x:v>PED-101611</x:v>
      </x:c>
      <x:c r="C1612" t="str">
        <x:v>Cliente 089</x:v>
      </x:c>
      <x:c r="D1612" t="str">
        <x:v>MG</x:v>
      </x:c>
      <x:c r="E1612" t="str">
        <x:v>Sudeste</x:v>
      </x:c>
      <x:c r="F1612" t="str">
        <x:v>Marketplace</x:v>
      </x:c>
      <x:c r="G1612" t="str">
        <x:v>Escritório</x:v>
      </x:c>
      <x:c r="H1612" t="str">
        <x:v>Cadeira Ergonômica</x:v>
      </x:c>
      <x:c r="I1612" t="str">
        <x:v>Carla</x:v>
      </x:c>
      <x:c r="J1612" s="53" t="n">
        <x:v>5</x:v>
      </x:c>
      <x:c r="K1612" s="54" t="n">
        <x:v>2064.95</x:v>
      </x:c>
      <x:c r="L1612" s="54" t="n">
        <x:v>1372.14</x:v>
      </x:c>
      <x:c r="M1612" s="55" t="n">
        <x:v>0.0667</x:v>
      </x:c>
      <x:c r="N1612" s="54" t="n">
        <x:f>ROUND(J1612*K1612,2)</x:f>
        <x:v>10324.75</x:v>
      </x:c>
      <x:c r="O1612" s="54" t="n">
        <x:f>ROUND(N1612*(1-M1612),2)</x:f>
        <x:v>9636.09</x:v>
      </x:c>
      <x:c r="P1612" s="54" t="n">
        <x:f>ROUND(J1612*L1612,2)</x:f>
        <x:v>6860.7</x:v>
      </x:c>
      <x:c r="Q1612" s="54" t="n">
        <x:f>ROUND(O1612-P1612,2)</x:f>
        <x:v>2775.39</x:v>
      </x:c>
      <x:c r="R1612" s="55" t="n">
        <x:f>IF(O1612=0,0,ROUND(Q1612/O1612,4))</x:f>
        <x:v>0.288</x:v>
      </x:c>
      <x:c r="S1612" s="53" t="n">
        <x:v>14</x:v>
      </x:c>
      <x:c r="T1612" t="str">
        <x:v>Entregue com atraso</x:v>
      </x:c>
      <x:c r="U1612" t="n">
        <x:v>2</x:v>
      </x:c>
      <x:c r="V1612" t="str"/>
    </x:row>
    <x:row r="1613">
      <x:c r="A1613" s="52" t="n">
        <x:v>46174</x:v>
      </x:c>
      <x:c r="B1613" t="str">
        <x:v>PED-101612</x:v>
      </x:c>
      <x:c r="C1613" t="str">
        <x:v>Cliente 065</x:v>
      </x:c>
      <x:c r="D1613" t="str">
        <x:v>PE</x:v>
      </x:c>
      <x:c r="E1613" t="str">
        <x:v>Nordeste</x:v>
      </x:c>
      <x:c r="F1613" t="str">
        <x:v>Televendas</x:v>
      </x:c>
      <x:c r="G1613" t="str">
        <x:v>Casa</x:v>
      </x:c>
      <x:c r="H1613" t="str">
        <x:v>Purificador</x:v>
      </x:c>
      <x:c r="I1613" t="str">
        <x:v>Diego</x:v>
      </x:c>
      <x:c r="J1613" s="53" t="n">
        <x:v>6</x:v>
      </x:c>
      <x:c r="K1613" s="54" t="n">
        <x:v>1255.17</x:v>
      </x:c>
      <x:c r="L1613" s="54" t="n">
        <x:v>790.28</x:v>
      </x:c>
      <x:c r="M1613" s="55" t="n">
        <x:v>0.1025</x:v>
      </x:c>
      <x:c r="N1613" s="54" t="n">
        <x:f>ROUND(J1613*K1613,2)</x:f>
        <x:v>7531.02</x:v>
      </x:c>
      <x:c r="O1613" s="54" t="n">
        <x:f>ROUND(N1613*(1-M1613),2)</x:f>
        <x:v>6759.09</x:v>
      </x:c>
      <x:c r="P1613" s="54" t="n">
        <x:f>ROUND(J1613*L1613,2)</x:f>
        <x:v>4741.68</x:v>
      </x:c>
      <x:c r="Q1613" s="54" t="n">
        <x:f>ROUND(O1613-P1613,2)</x:f>
        <x:v>2017.41</x:v>
      </x:c>
      <x:c r="R1613" s="55" t="n">
        <x:f>IF(O1613=0,0,ROUND(Q1613/O1613,4))</x:f>
        <x:v>0.2985</x:v>
      </x:c>
      <x:c r="S1613" s="53" t="n">
        <x:v>12</x:v>
      </x:c>
      <x:c r="T1613" t="str">
        <x:v>Entregue com atraso</x:v>
      </x:c>
      <x:c r="U1613" t="n">
        <x:v>2</x:v>
      </x:c>
      <x:c r="V1613" t="str"/>
    </x:row>
    <x:row r="1614">
      <x:c r="A1614" s="52" t="n">
        <x:v>46087</x:v>
      </x:c>
      <x:c r="B1614" t="str">
        <x:v>PED-101613</x:v>
      </x:c>
      <x:c r="C1614" t="str">
        <x:v>Cliente 085</x:v>
      </x:c>
      <x:c r="D1614" t="str">
        <x:v>RS</x:v>
      </x:c>
      <x:c r="E1614" t="str">
        <x:v>Sul</x:v>
      </x:c>
      <x:c r="F1614" t="str">
        <x:v>Televendas</x:v>
      </x:c>
      <x:c r="G1614" t="str">
        <x:v>Tecnologia</x:v>
      </x:c>
      <x:c r="H1614" t="str">
        <x:v>Headset Office</x:v>
      </x:c>
      <x:c r="I1614" t="str">
        <x:v>Felipe</x:v>
      </x:c>
      <x:c r="J1614" s="53" t="n">
        <x:v>7</x:v>
      </x:c>
      <x:c r="K1614" s="54" t="n">
        <x:v>404.34</x:v>
      </x:c>
      <x:c r="L1614" s="54" t="n">
        <x:v>219.98</x:v>
      </x:c>
      <x:c r="M1614" s="55" t="n">
        <x:v>0.0263</x:v>
      </x:c>
      <x:c r="N1614" s="54" t="n">
        <x:f>ROUND(J1614*K1614,2)</x:f>
        <x:v>2830.38</x:v>
      </x:c>
      <x:c r="O1614" s="54" t="n">
        <x:f>ROUND(N1614*(1-M1614),2)</x:f>
        <x:v>2755.94</x:v>
      </x:c>
      <x:c r="P1614" s="54" t="n">
        <x:f>ROUND(J1614*L1614,2)</x:f>
        <x:v>1539.86</x:v>
      </x:c>
      <x:c r="Q1614" s="54" t="n">
        <x:f>ROUND(O1614-P1614,2)</x:f>
        <x:v>1216.08</x:v>
      </x:c>
      <x:c r="R1614" s="55" t="n">
        <x:f>IF(O1614=0,0,ROUND(Q1614/O1614,4))</x:f>
        <x:v>0.4413</x:v>
      </x:c>
      <x:c r="S1614" s="53" t="n">
        <x:v>13</x:v>
      </x:c>
      <x:c r="T1614" t="str">
        <x:v>Entregue com atraso</x:v>
      </x:c>
      <x:c r="U1614" t="n">
        <x:v>5</x:v>
      </x:c>
      <x:c r="V1614" t="str"/>
    </x:row>
    <x:row r="1615">
      <x:c r="A1615" s="52" t="n">
        <x:v>46045</x:v>
      </x:c>
      <x:c r="B1615" t="str">
        <x:v>PED-101614</x:v>
      </x:c>
      <x:c r="C1615" t="str">
        <x:v>Cliente 020</x:v>
      </x:c>
      <x:c r="D1615" t="str">
        <x:v>RJ</x:v>
      </x:c>
      <x:c r="E1615" t="str">
        <x:v>Sudeste</x:v>
      </x:c>
      <x:c r="F1615" t="str">
        <x:v>Televendas</x:v>
      </x:c>
      <x:c r="G1615" t="str">
        <x:v>Casa</x:v>
      </x:c>
      <x:c r="H1615" t="str">
        <x:v>Cafeteira Smart</x:v>
      </x:c>
      <x:c r="I1615" t="str">
        <x:v>Bruno</x:v>
      </x:c>
      <x:c r="J1615" s="53" t="n">
        <x:v>7</x:v>
      </x:c>
      <x:c r="K1615" s="54" t="n">
        <x:v>775.89</x:v>
      </x:c>
      <x:c r="L1615" s="54" t="n">
        <x:v>464</x:v>
      </x:c>
      <x:c r="M1615" s="55" t="n">
        <x:v>0</x:v>
      </x:c>
      <x:c r="N1615" s="54" t="n">
        <x:f>ROUND(J1615*K1615,2)</x:f>
        <x:v>5431.23</x:v>
      </x:c>
      <x:c r="O1615" s="54" t="n">
        <x:f>ROUND(N1615*(1-M1615),2)</x:f>
        <x:v>5431.23</x:v>
      </x:c>
      <x:c r="P1615" s="54" t="n">
        <x:f>ROUND(J1615*L1615,2)</x:f>
        <x:v>3248</x:v>
      </x:c>
      <x:c r="Q1615" s="54" t="n">
        <x:f>ROUND(O1615-P1615,2)</x:f>
        <x:v>2183.23</x:v>
      </x:c>
      <x:c r="R1615" s="55" t="n">
        <x:f>IF(O1615=0,0,ROUND(Q1615/O1615,4))</x:f>
        <x:v>0.402</x:v>
      </x:c>
      <x:c r="S1615" s="53" t="n">
        <x:v>12</x:v>
      </x:c>
      <x:c r="T1615" t="str">
        <x:v>Entregue com atraso</x:v>
      </x:c>
      <x:c r="U1615" t="n">
        <x:v>4</x:v>
      </x:c>
      <x:c r="V1615" t="str"/>
    </x:row>
    <x:row r="1616">
      <x:c r="A1616" s="52" t="n">
        <x:v>46113</x:v>
      </x:c>
      <x:c r="B1616" t="str">
        <x:v>PED-101615</x:v>
      </x:c>
      <x:c r="C1616" t="str">
        <x:v>Cliente 059</x:v>
      </x:c>
      <x:c r="D1616" t="str">
        <x:v>PA</x:v>
      </x:c>
      <x:c r="E1616" t="str">
        <x:v>Norte</x:v>
      </x:c>
      <x:c r="F1616" t="str">
        <x:v>Loja</x:v>
      </x:c>
      <x:c r="G1616" t="str">
        <x:v>Tecnologia</x:v>
      </x:c>
      <x:c r="H1616" t="str">
        <x:v>Notebook Pro</x:v>
      </x:c>
      <x:c r="I1616" t="str">
        <x:v>Ana</x:v>
      </x:c>
      <x:c r="J1616" s="53" t="n">
        <x:v>1</x:v>
      </x:c>
      <x:c r="K1616" s="54" t="n">
        <x:v>5591.75</x:v>
      </x:c>
      <x:c r="L1616" s="54" t="n">
        <x:v>4457.57</x:v>
      </x:c>
      <x:c r="M1616" s="55" t="n">
        <x:v>0</x:v>
      </x:c>
      <x:c r="N1616" s="54" t="n">
        <x:f>ROUND(J1616*K1616,2)</x:f>
        <x:v>5591.75</x:v>
      </x:c>
      <x:c r="O1616" s="54" t="n">
        <x:f>ROUND(N1616*(1-M1616),2)</x:f>
        <x:v>5591.75</x:v>
      </x:c>
      <x:c r="P1616" s="54" t="n">
        <x:f>ROUND(J1616*L1616,2)</x:f>
        <x:v>4457.57</x:v>
      </x:c>
      <x:c r="Q1616" s="54" t="n">
        <x:f>ROUND(O1616-P1616,2)</x:f>
        <x:v>1134.18</x:v>
      </x:c>
      <x:c r="R1616" s="55" t="n">
        <x:f>IF(O1616=0,0,ROUND(Q1616/O1616,4))</x:f>
        <x:v>0.2028</x:v>
      </x:c>
      <x:c r="S1616" s="53" t="n">
        <x:v>14</x:v>
      </x:c>
      <x:c r="T1616" t="str">
        <x:v>Entregue com atraso</x:v>
      </x:c>
      <x:c r="U1616" t="n">
        <x:v>3</x:v>
      </x:c>
      <x:c r="V1616" t="str"/>
    </x:row>
    <x:row r="1617">
      <x:c r="A1617" s="52" t="n">
        <x:v>46226</x:v>
      </x:c>
      <x:c r="B1617" t="str">
        <x:v>PED-101616</x:v>
      </x:c>
      <x:c r="C1617" t="str">
        <x:v>Cliente 079</x:v>
      </x:c>
      <x:c r="D1617" t="str">
        <x:v>MG</x:v>
      </x:c>
      <x:c r="E1617" t="str">
        <x:v>Sudeste</x:v>
      </x:c>
      <x:c r="F1617" t="str">
        <x:v>Televendas</x:v>
      </x:c>
      <x:c r="G1617" t="str">
        <x:v>Escritório</x:v>
      </x:c>
      <x:c r="H1617" t="str">
        <x:v>Cadeira Ergonômica</x:v>
      </x:c>
      <x:c r="I1617" t="str">
        <x:v>Bruno</x:v>
      </x:c>
      <x:c r="J1617" s="53" t="n">
        <x:v>7</x:v>
      </x:c>
      <x:c r="K1617" s="54" t="n">
        <x:v>2070.28</x:v>
      </x:c>
      <x:c r="L1617" s="54" t="n">
        <x:v>1425.78</x:v>
      </x:c>
      <x:c r="M1617" s="55" t="n">
        <x:v>0.1094</x:v>
      </x:c>
      <x:c r="N1617" s="54" t="n">
        <x:f>ROUND(J1617*K1617,2)</x:f>
        <x:v>14491.96</x:v>
      </x:c>
      <x:c r="O1617" s="54" t="n">
        <x:f>ROUND(N1617*(1-M1617),2)</x:f>
        <x:v>12906.54</x:v>
      </x:c>
      <x:c r="P1617" s="54" t="n">
        <x:f>ROUND(J1617*L1617,2)</x:f>
        <x:v>9980.46</x:v>
      </x:c>
      <x:c r="Q1617" s="54" t="n">
        <x:f>ROUND(O1617-P1617,2)</x:f>
        <x:v>2926.08</x:v>
      </x:c>
      <x:c r="R1617" s="55" t="n">
        <x:f>IF(O1617=0,0,ROUND(Q1617/O1617,4))</x:f>
        <x:v>0.2267</x:v>
      </x:c>
      <x:c r="S1617" s="53" t="n">
        <x:v>9</x:v>
      </x:c>
      <x:c r="T1617" t="str">
        <x:v>Entregue</x:v>
      </x:c>
      <x:c r="U1617" t="n">
        <x:v>4</x:v>
      </x:c>
      <x:c r="V1617" t="str"/>
    </x:row>
    <x:row r="1618">
      <x:c r="A1618" s="52" t="n">
        <x:v>46161</x:v>
      </x:c>
      <x:c r="B1618" t="str">
        <x:v>PED-101617</x:v>
      </x:c>
      <x:c r="C1618" t="str">
        <x:v>Cliente 075</x:v>
      </x:c>
      <x:c r="D1618" t="str">
        <x:v>MT</x:v>
      </x:c>
      <x:c r="E1618" t="str">
        <x:v>Centro-Oeste</x:v>
      </x:c>
      <x:c r="F1618" t="str">
        <x:v>Loja</x:v>
      </x:c>
      <x:c r="G1618" t="str">
        <x:v>Casa</x:v>
      </x:c>
      <x:c r="H1618" t="str">
        <x:v>Purificador</x:v>
      </x:c>
      <x:c r="I1618" t="str">
        <x:v>Henrique</x:v>
      </x:c>
      <x:c r="J1618" s="53" t="n">
        <x:v>8</x:v>
      </x:c>
      <x:c r="K1618" s="54" t="n">
        <x:v>1298.78</x:v>
      </x:c>
      <x:c r="L1618" s="54" t="n">
        <x:v>767.53</x:v>
      </x:c>
      <x:c r="M1618" s="55" t="n">
        <x:v>0</x:v>
      </x:c>
      <x:c r="N1618" s="54" t="n">
        <x:f>ROUND(J1618*K1618,2)</x:f>
        <x:v>10390.24</x:v>
      </x:c>
      <x:c r="O1618" s="54" t="n">
        <x:f>ROUND(N1618*(1-M1618),2)</x:f>
        <x:v>10390.24</x:v>
      </x:c>
      <x:c r="P1618" s="54" t="n">
        <x:f>ROUND(J1618*L1618,2)</x:f>
        <x:v>6140.24</x:v>
      </x:c>
      <x:c r="Q1618" s="54" t="n">
        <x:f>ROUND(O1618-P1618,2)</x:f>
        <x:v>4250</x:v>
      </x:c>
      <x:c r="R1618" s="55" t="n">
        <x:f>IF(O1618=0,0,ROUND(Q1618/O1618,4))</x:f>
        <x:v>0.409</x:v>
      </x:c>
      <x:c r="S1618" s="53" t="n">
        <x:v>3</x:v>
      </x:c>
      <x:c r="T1618" t="str">
        <x:v>Entregue</x:v>
      </x:c>
      <x:c r="U1618" t="n">
        <x:v>4</x:v>
      </x:c>
      <x:c r="V1618" t="str"/>
    </x:row>
    <x:row r="1619">
      <x:c r="A1619" s="52" t="n">
        <x:v>46048</x:v>
      </x:c>
      <x:c r="B1619" t="str">
        <x:v>PED-101618</x:v>
      </x:c>
      <x:c r="C1619" t="str">
        <x:v>Cliente 101</x:v>
      </x:c>
      <x:c r="D1619" t="str">
        <x:v>MA</x:v>
      </x:c>
      <x:c r="E1619" t="str">
        <x:v>Nordeste</x:v>
      </x:c>
      <x:c r="F1619" t="str">
        <x:v>Televendas</x:v>
      </x:c>
      <x:c r="G1619" t="str">
        <x:v>Tecnologia</x:v>
      </x:c>
      <x:c r="H1619" t="str">
        <x:v>Notebook Pro</x:v>
      </x:c>
      <x:c r="I1619" t="str">
        <x:v>Diego</x:v>
      </x:c>
      <x:c r="J1619" s="53" t="n">
        <x:v>7</x:v>
      </x:c>
      <x:c r="K1619" s="54" t="n">
        <x:v>6167.86</x:v>
      </x:c>
      <x:c r="L1619" s="54" t="n">
        <x:v>4330.55</x:v>
      </x:c>
      <x:c r="M1619" s="55" t="n">
        <x:v>0.0104</x:v>
      </x:c>
      <x:c r="N1619" s="54" t="n">
        <x:f>ROUND(J1619*K1619,2)</x:f>
        <x:v>43175.02</x:v>
      </x:c>
      <x:c r="O1619" s="54" t="n">
        <x:f>ROUND(N1619*(1-M1619),2)</x:f>
        <x:v>42726</x:v>
      </x:c>
      <x:c r="P1619" s="54" t="n">
        <x:f>ROUND(J1619*L1619,2)</x:f>
        <x:v>30313.85</x:v>
      </x:c>
      <x:c r="Q1619" s="54" t="n">
        <x:f>ROUND(O1619-P1619,2)</x:f>
        <x:v>12412.15</x:v>
      </x:c>
      <x:c r="R1619" s="55" t="n">
        <x:f>IF(O1619=0,0,ROUND(Q1619/O1619,4))</x:f>
        <x:v>0.2905</x:v>
      </x:c>
      <x:c r="S1619" s="53" t="n">
        <x:v>10</x:v>
      </x:c>
      <x:c r="T1619" t="str">
        <x:v>Entregue</x:v>
      </x:c>
      <x:c r="U1619" t="n">
        <x:v>3</x:v>
      </x:c>
      <x:c r="V1619" t="str"/>
    </x:row>
    <x:row r="1620">
      <x:c r="A1620" s="52" t="n">
        <x:v>46190</x:v>
      </x:c>
      <x:c r="B1620" t="str">
        <x:v>PED-101619</x:v>
      </x:c>
      <x:c r="C1620" t="str">
        <x:v>Cliente 100</x:v>
      </x:c>
      <x:c r="D1620" t="str">
        <x:v>RS</x:v>
      </x:c>
      <x:c r="E1620" t="str">
        <x:v>Sul</x:v>
      </x:c>
      <x:c r="F1620" t="str">
        <x:v>Televendas</x:v>
      </x:c>
      <x:c r="G1620" t="str">
        <x:v>Tecnologia</x:v>
      </x:c>
      <x:c r="H1620" t="str">
        <x:v>Notebook Pro</x:v>
      </x:c>
      <x:c r="I1620" t="str">
        <x:v>Elaine</x:v>
      </x:c>
      <x:c r="J1620" s="53" t="n">
        <x:v>6</x:v>
      </x:c>
      <x:c r="K1620" s="54" t="n">
        <x:v>5739.75</x:v>
      </x:c>
      <x:c r="L1620" s="54" t="n">
        <x:v>4224.61</x:v>
      </x:c>
      <x:c r="M1620" s="55" t="n">
        <x:v>0.1223</x:v>
      </x:c>
      <x:c r="N1620" s="54" t="n">
        <x:f>ROUND(J1620*K1620,2)</x:f>
        <x:v>34438.5</x:v>
      </x:c>
      <x:c r="O1620" s="54" t="n">
        <x:f>ROUND(N1620*(1-M1620),2)</x:f>
        <x:v>30226.67</x:v>
      </x:c>
      <x:c r="P1620" s="54" t="n">
        <x:f>ROUND(J1620*L1620,2)</x:f>
        <x:v>25347.66</x:v>
      </x:c>
      <x:c r="Q1620" s="54" t="n">
        <x:f>ROUND(O1620-P1620,2)</x:f>
        <x:v>4879.01</x:v>
      </x:c>
      <x:c r="R1620" s="55" t="n">
        <x:f>IF(O1620=0,0,ROUND(Q1620/O1620,4))</x:f>
        <x:v>0.1614</x:v>
      </x:c>
      <x:c r="S1620" s="53" t="n">
        <x:v>2</x:v>
      </x:c>
      <x:c r="T1620" t="str">
        <x:v>Entregue</x:v>
      </x:c>
      <x:c r="U1620" t="n">
        <x:v>5</x:v>
      </x:c>
      <x:c r="V1620" t="str"/>
    </x:row>
    <x:row r="1621">
      <x:c r="A1621" s="52" t="n">
        <x:v>46145</x:v>
      </x:c>
      <x:c r="B1621" t="str">
        <x:v>PED-101620</x:v>
      </x:c>
      <x:c r="C1621" t="str">
        <x:v>Cliente 008</x:v>
      </x:c>
      <x:c r="D1621" t="str">
        <x:v>RJ</x:v>
      </x:c>
      <x:c r="E1621" t="str">
        <x:v>Sudeste</x:v>
      </x:c>
      <x:c r="F1621" t="str">
        <x:v>Loja</x:v>
      </x:c>
      <x:c r="G1621" t="str">
        <x:v>Tecnologia</x:v>
      </x:c>
      <x:c r="H1621" t="str">
        <x:v>Notebook Pro</x:v>
      </x:c>
      <x:c r="I1621" t="str">
        <x:v>Ana</x:v>
      </x:c>
      <x:c r="J1621" s="53" t="n">
        <x:v>2</x:v>
      </x:c>
      <x:c r="K1621" s="54" t="n">
        <x:v>6080.01</x:v>
      </x:c>
      <x:c r="L1621" s="54" t="n">
        <x:v>4357.24</x:v>
      </x:c>
      <x:c r="M1621" s="55" t="n">
        <x:v>0.0152</x:v>
      </x:c>
      <x:c r="N1621" s="54" t="n">
        <x:f>ROUND(J1621*K1621,2)</x:f>
        <x:v>12160.02</x:v>
      </x:c>
      <x:c r="O1621" s="54" t="n">
        <x:f>ROUND(N1621*(1-M1621),2)</x:f>
        <x:v>11975.19</x:v>
      </x:c>
      <x:c r="P1621" s="54" t="n">
        <x:f>ROUND(J1621*L1621,2)</x:f>
        <x:v>8714.48</x:v>
      </x:c>
      <x:c r="Q1621" s="54" t="n">
        <x:f>ROUND(O1621-P1621,2)</x:f>
        <x:v>3260.71</x:v>
      </x:c>
      <x:c r="R1621" s="55" t="n">
        <x:f>IF(O1621=0,0,ROUND(Q1621/O1621,4))</x:f>
        <x:v>0.2723</x:v>
      </x:c>
      <x:c r="S1621" s="53" t="n">
        <x:v>9</x:v>
      </x:c>
      <x:c r="T1621" t="str">
        <x:v>Entregue</x:v>
      </x:c>
      <x:c r="U1621" t="n">
        <x:v>4</x:v>
      </x:c>
      <x:c r="V1621" t="str"/>
    </x:row>
    <x:row r="1622">
      <x:c r="A1622" s="52" t="n">
        <x:v>46124</x:v>
      </x:c>
      <x:c r="B1622" t="str">
        <x:v>PED-101621</x:v>
      </x:c>
      <x:c r="C1622" t="str">
        <x:v>Cliente 046</x:v>
      </x:c>
      <x:c r="D1622" t="str">
        <x:v>MG</x:v>
      </x:c>
      <x:c r="E1622" t="str">
        <x:v>Sudeste</x:v>
      </x:c>
      <x:c r="F1622" t="str">
        <x:v>E-commerce</x:v>
      </x:c>
      <x:c r="G1622" t="str">
        <x:v>Acessórios</x:v>
      </x:c>
      <x:c r="H1622" t="str">
        <x:v>Mochila Executiva</x:v>
      </x:c>
      <x:c r="I1622" t="str">
        <x:v>Bruno</x:v>
      </x:c>
      <x:c r="J1622" s="53" t="n">
        <x:v>4</x:v>
      </x:c>
      <x:c r="K1622" s="54" t="n">
        <x:v>425.5</x:v>
      </x:c>
      <x:c r="L1622" s="54" t="n">
        <x:v>186.61</x:v>
      </x:c>
      <x:c r="M1622" s="55" t="n">
        <x:v>0</x:v>
      </x:c>
      <x:c r="N1622" s="54" t="n">
        <x:f>ROUND(J1622*K1622,2)</x:f>
        <x:v>1702</x:v>
      </x:c>
      <x:c r="O1622" s="54" t="n">
        <x:f>ROUND(N1622*(1-M1622),2)</x:f>
        <x:v>1702</x:v>
      </x:c>
      <x:c r="P1622" s="54" t="n">
        <x:f>ROUND(J1622*L1622,2)</x:f>
        <x:v>746.44</x:v>
      </x:c>
      <x:c r="Q1622" s="54" t="n">
        <x:f>ROUND(O1622-P1622,2)</x:f>
        <x:v>955.56</x:v>
      </x:c>
      <x:c r="R1622" s="55" t="n">
        <x:f>IF(O1622=0,0,ROUND(Q1622/O1622,4))</x:f>
        <x:v>0.5614</x:v>
      </x:c>
      <x:c r="S1622" s="53" t="n">
        <x:v>5</x:v>
      </x:c>
      <x:c r="T1622" t="str">
        <x:v>Entregue</x:v>
      </x:c>
      <x:c r="U1622" t="n">
        <x:v>3</x:v>
      </x:c>
      <x:c r="V1622" t="str"/>
    </x:row>
    <x:row r="1623">
      <x:c r="A1623" s="52" t="n">
        <x:v>46200</x:v>
      </x:c>
      <x:c r="B1623" t="str">
        <x:v>PED-101622</x:v>
      </x:c>
      <x:c r="C1623" t="str">
        <x:v>Cliente 029</x:v>
      </x:c>
      <x:c r="D1623" t="str">
        <x:v>AM</x:v>
      </x:c>
      <x:c r="E1623" t="str">
        <x:v>Norte</x:v>
      </x:c>
      <x:c r="F1623" t="str">
        <x:v>E-commerce</x:v>
      </x:c>
      <x:c r="G1623" t="str">
        <x:v>Casa</x:v>
      </x:c>
      <x:c r="H1623" t="str">
        <x:v>Purificador</x:v>
      </x:c>
      <x:c r="I1623" t="str">
        <x:v>Bruno</x:v>
      </x:c>
      <x:c r="J1623" s="53" t="n">
        <x:v>7</x:v>
      </x:c>
      <x:c r="K1623" s="54" t="n">
        <x:v>1350.21</x:v>
      </x:c>
      <x:c r="L1623" s="54" t="n">
        <x:v>828.82</x:v>
      </x:c>
      <x:c r="M1623" s="55" t="n">
        <x:v>0.1092</x:v>
      </x:c>
      <x:c r="N1623" s="54" t="n">
        <x:f>ROUND(J1623*K1623,2)</x:f>
        <x:v>9451.47</x:v>
      </x:c>
      <x:c r="O1623" s="54" t="n">
        <x:f>ROUND(N1623*(1-M1623),2)</x:f>
        <x:v>8419.37</x:v>
      </x:c>
      <x:c r="P1623" s="54" t="n">
        <x:f>ROUND(J1623*L1623,2)</x:f>
        <x:v>5801.74</x:v>
      </x:c>
      <x:c r="Q1623" s="54" t="n">
        <x:f>ROUND(O1623-P1623,2)</x:f>
        <x:v>2617.63</x:v>
      </x:c>
      <x:c r="R1623" s="55" t="n">
        <x:f>IF(O1623=0,0,ROUND(Q1623/O1623,4))</x:f>
        <x:v>0.3109</x:v>
      </x:c>
      <x:c r="S1623" s="53" t="n">
        <x:v>7</x:v>
      </x:c>
      <x:c r="T1623" t="str">
        <x:v>Entregue</x:v>
      </x:c>
      <x:c r="U1623" t="n">
        <x:v>5</x:v>
      </x:c>
      <x:c r="V1623" t="str"/>
    </x:row>
    <x:row r="1624">
      <x:c r="A1624" s="52" t="n">
        <x:v>46193</x:v>
      </x:c>
      <x:c r="B1624" t="str">
        <x:v>PED-101623</x:v>
      </x:c>
      <x:c r="C1624" t="str">
        <x:v>Cliente 114</x:v>
      </x:c>
      <x:c r="D1624" t="str">
        <x:v>RJ</x:v>
      </x:c>
      <x:c r="E1624" t="str">
        <x:v>Sudeste</x:v>
      </x:c>
      <x:c r="F1624" t="str">
        <x:v>Marketplace</x:v>
      </x:c>
      <x:c r="G1624" t="str">
        <x:v>Escritório</x:v>
      </x:c>
      <x:c r="H1624" t="str">
        <x:v>Mesa Ajustável</x:v>
      </x:c>
      <x:c r="I1624" t="str">
        <x:v>Diego</x:v>
      </x:c>
      <x:c r="J1624" s="53" t="n">
        <x:v>3</x:v>
      </x:c>
      <x:c r="K1624" s="54" t="n">
        <x:v>2732.84</x:v>
      </x:c>
      <x:c r="L1624" s="54" t="n">
        <x:v>1822.41</x:v>
      </x:c>
      <x:c r="M1624" s="55" t="n">
        <x:v>0.1161</x:v>
      </x:c>
      <x:c r="N1624" s="54" t="n">
        <x:f>ROUND(J1624*K1624,2)</x:f>
        <x:v>8198.52</x:v>
      </x:c>
      <x:c r="O1624" s="54" t="n">
        <x:f>ROUND(N1624*(1-M1624),2)</x:f>
        <x:v>7246.67</x:v>
      </x:c>
      <x:c r="P1624" s="54" t="n">
        <x:f>ROUND(J1624*L1624,2)</x:f>
        <x:v>5467.23</x:v>
      </x:c>
      <x:c r="Q1624" s="54" t="n">
        <x:f>ROUND(O1624-P1624,2)</x:f>
        <x:v>1779.44</x:v>
      </x:c>
      <x:c r="R1624" s="55" t="n">
        <x:f>IF(O1624=0,0,ROUND(Q1624/O1624,4))</x:f>
        <x:v>0.2456</x:v>
      </x:c>
      <x:c r="S1624" s="53" t="n">
        <x:v>8</x:v>
      </x:c>
      <x:c r="T1624" t="str">
        <x:v>Cancelado</x:v>
      </x:c>
      <x:c r="U1624"/>
      <x:c r="V1624" t="str"/>
    </x:row>
    <x:row r="1625">
      <x:c r="A1625" s="52" t="n">
        <x:v>46135</x:v>
      </x:c>
      <x:c r="B1625" t="str">
        <x:v>PED-101624</x:v>
      </x:c>
      <x:c r="C1625" t="str">
        <x:v>Cliente 064</x:v>
      </x:c>
      <x:c r="D1625" t="str">
        <x:v>MG</x:v>
      </x:c>
      <x:c r="E1625" t="str">
        <x:v>Sudeste</x:v>
      </x:c>
      <x:c r="F1625" t="str">
        <x:v>Televendas</x:v>
      </x:c>
      <x:c r="G1625" t="str">
        <x:v>Acessórios</x:v>
      </x:c>
      <x:c r="H1625" t="str">
        <x:v>Hub USB-C</x:v>
      </x:c>
      <x:c r="I1625" t="str">
        <x:v>Gabriela</x:v>
      </x:c>
      <x:c r="J1625" s="53" t="n">
        <x:v>5</x:v>
      </x:c>
      <x:c r="K1625" s="54" t="n">
        <x:v>321.49</x:v>
      </x:c>
      <x:c r="L1625" s="54" t="n">
        <x:v>133.29</x:v>
      </x:c>
      <x:c r="M1625" s="55" t="n">
        <x:v>0</x:v>
      </x:c>
      <x:c r="N1625" s="54" t="n">
        <x:f>ROUND(J1625*K1625,2)</x:f>
        <x:v>1607.45</x:v>
      </x:c>
      <x:c r="O1625" s="54" t="n">
        <x:f>ROUND(N1625*(1-M1625),2)</x:f>
        <x:v>1607.45</x:v>
      </x:c>
      <x:c r="P1625" s="54" t="n">
        <x:f>ROUND(J1625*L1625,2)</x:f>
        <x:v>666.45</x:v>
      </x:c>
      <x:c r="Q1625" s="54" t="n">
        <x:f>ROUND(O1625-P1625,2)</x:f>
        <x:v>941</x:v>
      </x:c>
      <x:c r="R1625" s="55" t="n">
        <x:f>IF(O1625=0,0,ROUND(Q1625/O1625,4))</x:f>
        <x:v>0.5854</x:v>
      </x:c>
      <x:c r="S1625" s="53" t="n">
        <x:v>8</x:v>
      </x:c>
      <x:c r="T1625" t="str">
        <x:v>Entregue</x:v>
      </x:c>
      <x:c r="U1625" t="n">
        <x:v>3</x:v>
      </x:c>
      <x:c r="V1625" t="str"/>
    </x:row>
    <x:row r="1626">
      <x:c r="A1626" s="52" t="n">
        <x:v>46054</x:v>
      </x:c>
      <x:c r="B1626" t="str">
        <x:v>PED-101625</x:v>
      </x:c>
      <x:c r="C1626" t="str">
        <x:v>Cliente 117</x:v>
      </x:c>
      <x:c r="D1626" t="str">
        <x:v>PR</x:v>
      </x:c>
      <x:c r="E1626" t="str">
        <x:v>Sul</x:v>
      </x:c>
      <x:c r="F1626" t="str">
        <x:v>Loja</x:v>
      </x:c>
      <x:c r="G1626" t="str">
        <x:v>Casa</x:v>
      </x:c>
      <x:c r="H1626" t="str">
        <x:v>Cafeteira Smart</x:v>
      </x:c>
      <x:c r="I1626" t="str">
        <x:v>Felipe</x:v>
      </x:c>
      <x:c r="J1626" s="53" t="n">
        <x:v>5</x:v>
      </x:c>
      <x:c r="K1626" s="54" t="n">
        <x:v>797.29</x:v>
      </x:c>
      <x:c r="L1626" s="54" t="n">
        <x:v>473.23</x:v>
      </x:c>
      <x:c r="M1626" s="55" t="n">
        <x:v>0</x:v>
      </x:c>
      <x:c r="N1626" s="54" t="n">
        <x:f>ROUND(J1626*K1626,2)</x:f>
        <x:v>3986.45</x:v>
      </x:c>
      <x:c r="O1626" s="54" t="n">
        <x:f>ROUND(N1626*(1-M1626),2)</x:f>
        <x:v>3986.45</x:v>
      </x:c>
      <x:c r="P1626" s="54" t="n">
        <x:f>ROUND(J1626*L1626,2)</x:f>
        <x:v>2366.15</x:v>
      </x:c>
      <x:c r="Q1626" s="54" t="n">
        <x:f>ROUND(O1626-P1626,2)</x:f>
        <x:v>1620.3</x:v>
      </x:c>
      <x:c r="R1626" s="55" t="n">
        <x:f>IF(O1626=0,0,ROUND(Q1626/O1626,4))</x:f>
        <x:v>0.4065</x:v>
      </x:c>
      <x:c r="S1626" s="53" t="n">
        <x:v>9</x:v>
      </x:c>
      <x:c r="T1626" t="str">
        <x:v>Entregue</x:v>
      </x:c>
      <x:c r="U1626" t="n">
        <x:v>5</x:v>
      </x:c>
      <x:c r="V1626" t="str"/>
    </x:row>
    <x:row r="1627">
      <x:c r="A1627" s="52" t="n">
        <x:v>46127</x:v>
      </x:c>
      <x:c r="B1627" t="str">
        <x:v>PED-101626</x:v>
      </x:c>
      <x:c r="C1627" t="str">
        <x:v>Cliente 078</x:v>
      </x:c>
      <x:c r="D1627" t="str">
        <x:v>ES</x:v>
      </x:c>
      <x:c r="E1627" t="str">
        <x:v>Sudeste</x:v>
      </x:c>
      <x:c r="F1627" t="str">
        <x:v>Televendas</x:v>
      </x:c>
      <x:c r="G1627" t="str">
        <x:v>Casa</x:v>
      </x:c>
      <x:c r="H1627" t="str">
        <x:v>Aspirador Robô</x:v>
      </x:c>
      <x:c r="I1627" t="str">
        <x:v>João</x:v>
      </x:c>
      <x:c r="J1627" s="53" t="n">
        <x:v>3</x:v>
      </x:c>
      <x:c r="K1627" s="54" t="n">
        <x:v>1796.41</x:v>
      </x:c>
      <x:c r="L1627" s="54" t="n">
        <x:v>1168.92</x:v>
      </x:c>
      <x:c r="M1627" s="55" t="n">
        <x:v>0</x:v>
      </x:c>
      <x:c r="N1627" s="54" t="n">
        <x:f>ROUND(J1627*K1627,2)</x:f>
        <x:v>5389.23</x:v>
      </x:c>
      <x:c r="O1627" s="54" t="n">
        <x:f>ROUND(N1627*(1-M1627),2)</x:f>
        <x:v>5389.23</x:v>
      </x:c>
      <x:c r="P1627" s="54" t="n">
        <x:f>ROUND(J1627*L1627,2)</x:f>
        <x:v>3506.76</x:v>
      </x:c>
      <x:c r="Q1627" s="54" t="n">
        <x:f>ROUND(O1627-P1627,2)</x:f>
        <x:v>1882.47</x:v>
      </x:c>
      <x:c r="R1627" s="55" t="n">
        <x:f>IF(O1627=0,0,ROUND(Q1627/O1627,4))</x:f>
        <x:v>0.3493</x:v>
      </x:c>
      <x:c r="S1627" s="53" t="n">
        <x:v>11</x:v>
      </x:c>
      <x:c r="T1627" t="str">
        <x:v>Entregue com atraso</x:v>
      </x:c>
      <x:c r="U1627" t="n">
        <x:v>5</x:v>
      </x:c>
      <x:c r="V1627" t="str"/>
    </x:row>
    <x:row r="1628">
      <x:c r="A1628" s="52" t="n">
        <x:v>46219</x:v>
      </x:c>
      <x:c r="B1628" t="str">
        <x:v>PED-101627</x:v>
      </x:c>
      <x:c r="C1628" t="str">
        <x:v>Cliente 117</x:v>
      </x:c>
      <x:c r="D1628" t="str">
        <x:v>ES</x:v>
      </x:c>
      <x:c r="E1628" t="str">
        <x:v>Sudeste</x:v>
      </x:c>
      <x:c r="F1628" t="str">
        <x:v>Loja</x:v>
      </x:c>
      <x:c r="G1628" t="str">
        <x:v>Casa</x:v>
      </x:c>
      <x:c r="H1628" t="str">
        <x:v>Aspirador Robô</x:v>
      </x:c>
      <x:c r="I1628" t="str">
        <x:v>Henrique</x:v>
      </x:c>
      <x:c r="J1628" s="53" t="n">
        <x:v>5</x:v>
      </x:c>
      <x:c r="K1628" s="54" t="n">
        <x:v>1816.8</x:v>
      </x:c>
      <x:c r="L1628" s="54" t="n">
        <x:v>1190.35</x:v>
      </x:c>
      <x:c r="M1628" s="55" t="n">
        <x:v>0</x:v>
      </x:c>
      <x:c r="N1628" s="54" t="n">
        <x:f>ROUND(J1628*K1628,2)</x:f>
        <x:v>9084</x:v>
      </x:c>
      <x:c r="O1628" s="54" t="n">
        <x:f>ROUND(N1628*(1-M1628),2)</x:f>
        <x:v>9084</x:v>
      </x:c>
      <x:c r="P1628" s="54" t="n">
        <x:f>ROUND(J1628*L1628,2)</x:f>
        <x:v>5951.75</x:v>
      </x:c>
      <x:c r="Q1628" s="54" t="n">
        <x:f>ROUND(O1628-P1628,2)</x:f>
        <x:v>3132.25</x:v>
      </x:c>
      <x:c r="R1628" s="55" t="n">
        <x:f>IF(O1628=0,0,ROUND(Q1628/O1628,4))</x:f>
        <x:v>0.3448</x:v>
      </x:c>
      <x:c r="S1628" s="53" t="n">
        <x:v>14</x:v>
      </x:c>
      <x:c r="T1628" t="str">
        <x:v>Entregue com atraso</x:v>
      </x:c>
      <x:c r="U1628" t="n">
        <x:v>2</x:v>
      </x:c>
      <x:c r="V1628" t="str"/>
    </x:row>
    <x:row r="1629">
      <x:c r="A1629" s="52" t="n">
        <x:v>46074</x:v>
      </x:c>
      <x:c r="B1629" t="str">
        <x:v>PED-101628</x:v>
      </x:c>
      <x:c r="C1629" t="str">
        <x:v>Cliente 108</x:v>
      </x:c>
      <x:c r="D1629" t="str">
        <x:v>PA</x:v>
      </x:c>
      <x:c r="E1629" t="str">
        <x:v>Norte</x:v>
      </x:c>
      <x:c r="F1629" t="str">
        <x:v>Televendas</x:v>
      </x:c>
      <x:c r="G1629" t="str">
        <x:v>Acessórios</x:v>
      </x:c>
      <x:c r="H1629" t="str">
        <x:v>Hub USB-C</x:v>
      </x:c>
      <x:c r="I1629" t="str">
        <x:v>Felipe</x:v>
      </x:c>
      <x:c r="J1629" s="53" t="n">
        <x:v>6</x:v>
      </x:c>
      <x:c r="K1629" s="54" t="n">
        <x:v>319.2</x:v>
      </x:c>
      <x:c r="L1629" s="54" t="n">
        <x:v>140.95</x:v>
      </x:c>
      <x:c r="M1629" s="55" t="n">
        <x:v>0</x:v>
      </x:c>
      <x:c r="N1629" s="54" t="n">
        <x:f>ROUND(J1629*K1629,2)</x:f>
        <x:v>1915.2</x:v>
      </x:c>
      <x:c r="O1629" s="54" t="n">
        <x:f>ROUND(N1629*(1-M1629),2)</x:f>
        <x:v>1915.2</x:v>
      </x:c>
      <x:c r="P1629" s="54" t="n">
        <x:f>ROUND(J1629*L1629,2)</x:f>
        <x:v>845.7</x:v>
      </x:c>
      <x:c r="Q1629" s="54" t="n">
        <x:f>ROUND(O1629-P1629,2)</x:f>
        <x:v>1069.5</x:v>
      </x:c>
      <x:c r="R1629" s="55" t="n">
        <x:f>IF(O1629=0,0,ROUND(Q1629/O1629,4))</x:f>
        <x:v>0.5584</x:v>
      </x:c>
      <x:c r="S1629" s="53" t="n">
        <x:v>11</x:v>
      </x:c>
      <x:c r="T1629" t="str">
        <x:v>Entregue com atraso</x:v>
      </x:c>
      <x:c r="U1629" t="n">
        <x:v>4</x:v>
      </x:c>
      <x:c r="V1629" t="str"/>
    </x:row>
    <x:row r="1630">
      <x:c r="A1630" s="52" t="n">
        <x:v>46079</x:v>
      </x:c>
      <x:c r="B1630" t="str">
        <x:v>PED-101629</x:v>
      </x:c>
      <x:c r="C1630" t="str">
        <x:v>Cliente 030</x:v>
      </x:c>
      <x:c r="D1630" t="str">
        <x:v>RS</x:v>
      </x:c>
      <x:c r="E1630" t="str">
        <x:v>Sul</x:v>
      </x:c>
      <x:c r="F1630" t="str">
        <x:v>Marketplace</x:v>
      </x:c>
      <x:c r="G1630" t="str">
        <x:v>Acessórios</x:v>
      </x:c>
      <x:c r="H1630" t="str">
        <x:v>Hub USB-C</x:v>
      </x:c>
      <x:c r="I1630" t="str">
        <x:v>Felipe</x:v>
      </x:c>
      <x:c r="J1630" s="53" t="n">
        <x:v>8</x:v>
      </x:c>
      <x:c r="K1630" s="54" t="n">
        <x:v>303.72</x:v>
      </x:c>
      <x:c r="L1630" s="54" t="n">
        <x:v>129.9</x:v>
      </x:c>
      <x:c r="M1630" s="55" t="n">
        <x:v>0.035</x:v>
      </x:c>
      <x:c r="N1630" s="54" t="n">
        <x:f>ROUND(J1630*K1630,2)</x:f>
        <x:v>2429.76</x:v>
      </x:c>
      <x:c r="O1630" s="54" t="n">
        <x:f>ROUND(N1630*(1-M1630),2)</x:f>
        <x:v>2344.72</x:v>
      </x:c>
      <x:c r="P1630" s="54" t="n">
        <x:f>ROUND(J1630*L1630,2)</x:f>
        <x:v>1039.2</x:v>
      </x:c>
      <x:c r="Q1630" s="54" t="n">
        <x:f>ROUND(O1630-P1630,2)</x:f>
        <x:v>1305.52</x:v>
      </x:c>
      <x:c r="R1630" s="55" t="n">
        <x:f>IF(O1630=0,0,ROUND(Q1630/O1630,4))</x:f>
        <x:v>0.5568</x:v>
      </x:c>
      <x:c r="S1630" s="53" t="n">
        <x:v>9</x:v>
      </x:c>
      <x:c r="T1630" t="str">
        <x:v>Entregue</x:v>
      </x:c>
      <x:c r="U1630" t="n">
        <x:v>4</x:v>
      </x:c>
      <x:c r="V1630" t="str"/>
    </x:row>
    <x:row r="1631">
      <x:c r="A1631" s="52" t="n">
        <x:v>46216</x:v>
      </x:c>
      <x:c r="B1631" t="str">
        <x:v>PED-101630</x:v>
      </x:c>
      <x:c r="C1631" t="str">
        <x:v>Cliente 051</x:v>
      </x:c>
      <x:c r="D1631" t="str">
        <x:v>AM</x:v>
      </x:c>
      <x:c r="E1631" t="str">
        <x:v>Norte</x:v>
      </x:c>
      <x:c r="F1631" t="str">
        <x:v>Loja</x:v>
      </x:c>
      <x:c r="G1631" t="str">
        <x:v>Casa</x:v>
      </x:c>
      <x:c r="H1631" t="str">
        <x:v>Purificador</x:v>
      </x:c>
      <x:c r="I1631" t="str">
        <x:v>Bruno</x:v>
      </x:c>
      <x:c r="J1631" s="53" t="n">
        <x:v>2</x:v>
      </x:c>
      <x:c r="K1631" s="54" t="n">
        <x:v>1249.42</x:v>
      </x:c>
      <x:c r="L1631" s="54" t="n">
        <x:v>827.97</x:v>
      </x:c>
      <x:c r="M1631" s="55" t="n">
        <x:v>0.0153</x:v>
      </x:c>
      <x:c r="N1631" s="54" t="n">
        <x:f>ROUND(J1631*K1631,2)</x:f>
        <x:v>2498.84</x:v>
      </x:c>
      <x:c r="O1631" s="54" t="n">
        <x:f>ROUND(N1631*(1-M1631),2)</x:f>
        <x:v>2460.61</x:v>
      </x:c>
      <x:c r="P1631" s="54" t="n">
        <x:f>ROUND(J1631*L1631,2)</x:f>
        <x:v>1655.94</x:v>
      </x:c>
      <x:c r="Q1631" s="54" t="n">
        <x:f>ROUND(O1631-P1631,2)</x:f>
        <x:v>804.67</x:v>
      </x:c>
      <x:c r="R1631" s="55" t="n">
        <x:f>IF(O1631=0,0,ROUND(Q1631/O1631,4))</x:f>
        <x:v>0.327</x:v>
      </x:c>
      <x:c r="S1631" s="53" t="n">
        <x:v>10</x:v>
      </x:c>
      <x:c r="T1631" t="str">
        <x:v>Cancelado</x:v>
      </x:c>
      <x:c r="U1631"/>
      <x:c r="V1631" t="str"/>
    </x:row>
    <x:row r="1632">
      <x:c r="A1632" s="52" t="n">
        <x:v>46213</x:v>
      </x:c>
      <x:c r="B1632" t="str">
        <x:v>PED-101631</x:v>
      </x:c>
      <x:c r="C1632" t="str">
        <x:v>Cliente 040</x:v>
      </x:c>
      <x:c r="D1632" t="str">
        <x:v>PR</x:v>
      </x:c>
      <x:c r="E1632" t="str">
        <x:v>Sul</x:v>
      </x:c>
      <x:c r="F1632" t="str">
        <x:v>E-commerce</x:v>
      </x:c>
      <x:c r="G1632" t="str">
        <x:v>Escritório</x:v>
      </x:c>
      <x:c r="H1632" t="str">
        <x:v>Mesa Ajustável</x:v>
      </x:c>
      <x:c r="I1632" t="str">
        <x:v>Bruno</x:v>
      </x:c>
      <x:c r="J1632" s="53" t="n">
        <x:v>4</x:v>
      </x:c>
      <x:c r="K1632" s="54" t="n">
        <x:v>2822.83</x:v>
      </x:c>
      <x:c r="L1632" s="54" t="n">
        <x:v>1889.32</x:v>
      </x:c>
      <x:c r="M1632" s="55" t="n">
        <x:v>0.0736</x:v>
      </x:c>
      <x:c r="N1632" s="54" t="n">
        <x:f>ROUND(J1632*K1632,2)</x:f>
        <x:v>11291.32</x:v>
      </x:c>
      <x:c r="O1632" s="54" t="n">
        <x:f>ROUND(N1632*(1-M1632),2)</x:f>
        <x:v>10460.28</x:v>
      </x:c>
      <x:c r="P1632" s="54" t="n">
        <x:f>ROUND(J1632*L1632,2)</x:f>
        <x:v>7557.28</x:v>
      </x:c>
      <x:c r="Q1632" s="54" t="n">
        <x:f>ROUND(O1632-P1632,2)</x:f>
        <x:v>2903</x:v>
      </x:c>
      <x:c r="R1632" s="55" t="n">
        <x:f>IF(O1632=0,0,ROUND(Q1632/O1632,4))</x:f>
        <x:v>0.2775</x:v>
      </x:c>
      <x:c r="S1632" s="53" t="n">
        <x:v>11</x:v>
      </x:c>
      <x:c r="T1632" t="str">
        <x:v>Entregue com atraso</x:v>
      </x:c>
      <x:c r="U1632" t="n">
        <x:v>3</x:v>
      </x:c>
      <x:c r="V1632" t="str"/>
    </x:row>
    <x:row r="1633">
      <x:c r="A1633" s="52" t="n">
        <x:v>46162</x:v>
      </x:c>
      <x:c r="B1633" t="str">
        <x:v>PED-101632</x:v>
      </x:c>
      <x:c r="C1633" t="str">
        <x:v>Cliente 024</x:v>
      </x:c>
      <x:c r="D1633" t="str">
        <x:v>MA</x:v>
      </x:c>
      <x:c r="E1633" t="str">
        <x:v>Nordeste</x:v>
      </x:c>
      <x:c r="F1633" t="str">
        <x:v>E-commerce</x:v>
      </x:c>
      <x:c r="G1633" t="str">
        <x:v>Casa</x:v>
      </x:c>
      <x:c r="H1633" t="str">
        <x:v>Cafeteira Smart</x:v>
      </x:c>
      <x:c r="I1633" t="str">
        <x:v>Isabela</x:v>
      </x:c>
      <x:c r="J1633" s="53" t="n">
        <x:v>6</x:v>
      </x:c>
      <x:c r="K1633" s="54" t="n">
        <x:v>814.06</x:v>
      </x:c>
      <x:c r="L1633" s="54" t="n">
        <x:v>462.9</x:v>
      </x:c>
      <x:c r="M1633" s="55" t="n">
        <x:v>0.0018</x:v>
      </x:c>
      <x:c r="N1633" s="54" t="n">
        <x:f>ROUND(J1633*K1633,2)</x:f>
        <x:v>4884.36</x:v>
      </x:c>
      <x:c r="O1633" s="54" t="n">
        <x:f>ROUND(N1633*(1-M1633),2)</x:f>
        <x:v>4875.57</x:v>
      </x:c>
      <x:c r="P1633" s="54" t="n">
        <x:f>ROUND(J1633*L1633,2)</x:f>
        <x:v>2777.4</x:v>
      </x:c>
      <x:c r="Q1633" s="54" t="n">
        <x:f>ROUND(O1633-P1633,2)</x:f>
        <x:v>2098.17</x:v>
      </x:c>
      <x:c r="R1633" s="55" t="n">
        <x:f>IF(O1633=0,0,ROUND(Q1633/O1633,4))</x:f>
        <x:v>0.4303</x:v>
      </x:c>
      <x:c r="S1633" s="53" t="n">
        <x:v>8</x:v>
      </x:c>
      <x:c r="T1633" t="str">
        <x:v>Entregue</x:v>
      </x:c>
      <x:c r="U1633" t="n">
        <x:v>3</x:v>
      </x:c>
      <x:c r="V1633" t="str"/>
    </x:row>
    <x:row r="1634">
      <x:c r="A1634" s="52" t="n">
        <x:v>46077</x:v>
      </x:c>
      <x:c r="B1634" t="str">
        <x:v>PED-101633</x:v>
      </x:c>
      <x:c r="C1634" t="str">
        <x:v>Cliente 060</x:v>
      </x:c>
      <x:c r="D1634" t="str">
        <x:v>RJ</x:v>
      </x:c>
      <x:c r="E1634" t="str">
        <x:v>Sudeste</x:v>
      </x:c>
      <x:c r="F1634" t="str">
        <x:v>Marketplace</x:v>
      </x:c>
      <x:c r="G1634" t="str">
        <x:v>Casa</x:v>
      </x:c>
      <x:c r="H1634" t="str">
        <x:v>Purificador</x:v>
      </x:c>
      <x:c r="I1634" t="str">
        <x:v>Felipe</x:v>
      </x:c>
      <x:c r="J1634" s="53" t="n">
        <x:v>5</x:v>
      </x:c>
      <x:c r="K1634" s="54" t="n">
        <x:v>1261.23</x:v>
      </x:c>
      <x:c r="L1634" s="54" t="n">
        <x:v>798.8</x:v>
      </x:c>
      <x:c r="M1634" s="55" t="n">
        <x:v>0.067</x:v>
      </x:c>
      <x:c r="N1634" s="54" t="n">
        <x:f>ROUND(J1634*K1634,2)</x:f>
        <x:v>6306.15</x:v>
      </x:c>
      <x:c r="O1634" s="54" t="n">
        <x:f>ROUND(N1634*(1-M1634),2)</x:f>
        <x:v>5883.64</x:v>
      </x:c>
      <x:c r="P1634" s="54" t="n">
        <x:f>ROUND(J1634*L1634,2)</x:f>
        <x:v>3994</x:v>
      </x:c>
      <x:c r="Q1634" s="54" t="n">
        <x:f>ROUND(O1634-P1634,2)</x:f>
        <x:v>1889.64</x:v>
      </x:c>
      <x:c r="R1634" s="55" t="n">
        <x:f>IF(O1634=0,0,ROUND(Q1634/O1634,4))</x:f>
        <x:v>0.3212</x:v>
      </x:c>
      <x:c r="S1634" s="53" t="n">
        <x:v>3</x:v>
      </x:c>
      <x:c r="T1634" t="str">
        <x:v>Entregue</x:v>
      </x:c>
      <x:c r="U1634" t="n">
        <x:v>5</x:v>
      </x:c>
      <x:c r="V1634" t="str"/>
    </x:row>
    <x:row r="1635">
      <x:c r="A1635" s="52" t="n">
        <x:v>46125</x:v>
      </x:c>
      <x:c r="B1635" t="str">
        <x:v>PED-101634</x:v>
      </x:c>
      <x:c r="C1635" t="str">
        <x:v>Cliente 106</x:v>
      </x:c>
      <x:c r="D1635" t="str">
        <x:v>RS</x:v>
      </x:c>
      <x:c r="E1635" t="str">
        <x:v>Sul</x:v>
      </x:c>
      <x:c r="F1635" t="str">
        <x:v>Loja</x:v>
      </x:c>
      <x:c r="G1635" t="str">
        <x:v>Acessórios</x:v>
      </x:c>
      <x:c r="H1635" t="str">
        <x:v>Hub USB-C</x:v>
      </x:c>
      <x:c r="I1635" t="str">
        <x:v>Gabriela</x:v>
      </x:c>
      <x:c r="J1635" s="53" t="n">
        <x:v>8</x:v>
      </x:c>
      <x:c r="K1635" s="54" t="n">
        <x:v>320.4</x:v>
      </x:c>
      <x:c r="L1635" s="54" t="n">
        <x:v>140.38</x:v>
      </x:c>
      <x:c r="M1635" s="55" t="n">
        <x:v>0.039</x:v>
      </x:c>
      <x:c r="N1635" s="54" t="n">
        <x:f>ROUND(J1635*K1635,2)</x:f>
        <x:v>2563.2</x:v>
      </x:c>
      <x:c r="O1635" s="54" t="n">
        <x:f>ROUND(N1635*(1-M1635),2)</x:f>
        <x:v>2463.24</x:v>
      </x:c>
      <x:c r="P1635" s="54" t="n">
        <x:f>ROUND(J1635*L1635,2)</x:f>
        <x:v>1123.04</x:v>
      </x:c>
      <x:c r="Q1635" s="54" t="n">
        <x:f>ROUND(O1635-P1635,2)</x:f>
        <x:v>1340.2</x:v>
      </x:c>
      <x:c r="R1635" s="55" t="n">
        <x:f>IF(O1635=0,0,ROUND(Q1635/O1635,4))</x:f>
        <x:v>0.5441</x:v>
      </x:c>
      <x:c r="S1635" s="53" t="n">
        <x:v>8</x:v>
      </x:c>
      <x:c r="T1635" t="str">
        <x:v>Entregue</x:v>
      </x:c>
      <x:c r="U1635" t="n">
        <x:v>5</x:v>
      </x:c>
      <x:c r="V1635" t="str"/>
    </x:row>
    <x:row r="1636">
      <x:c r="A1636" s="52" t="n">
        <x:v>46233</x:v>
      </x:c>
      <x:c r="B1636" t="str">
        <x:v>PED-101635</x:v>
      </x:c>
      <x:c r="C1636" t="str">
        <x:v>Cliente 002</x:v>
      </x:c>
      <x:c r="D1636" t="str">
        <x:v>AM</x:v>
      </x:c>
      <x:c r="E1636" t="str">
        <x:v>Norte</x:v>
      </x:c>
      <x:c r="F1636" t="str">
        <x:v>Loja</x:v>
      </x:c>
      <x:c r="G1636" t="str">
        <x:v>Tecnologia</x:v>
      </x:c>
      <x:c r="H1636" t="str">
        <x:v>Notebook Pro</x:v>
      </x:c>
      <x:c r="I1636" t="str">
        <x:v>Carla</x:v>
      </x:c>
      <x:c r="J1636" s="53" t="n">
        <x:v>8</x:v>
      </x:c>
      <x:c r="K1636" s="54" t="n">
        <x:v>5822.7</x:v>
      </x:c>
      <x:c r="L1636" s="54" t="n">
        <x:v>4360.77</x:v>
      </x:c>
      <x:c r="M1636" s="55" t="n">
        <x:v>0.1059</x:v>
      </x:c>
      <x:c r="N1636" s="54" t="n">
        <x:f>ROUND(J1636*K1636,2)</x:f>
        <x:v>46581.6</x:v>
      </x:c>
      <x:c r="O1636" s="54" t="n">
        <x:f>ROUND(N1636*(1-M1636),2)</x:f>
        <x:v>41648.61</x:v>
      </x:c>
      <x:c r="P1636" s="54" t="n">
        <x:f>ROUND(J1636*L1636,2)</x:f>
        <x:v>34886.16</x:v>
      </x:c>
      <x:c r="Q1636" s="54" t="n">
        <x:f>ROUND(O1636-P1636,2)</x:f>
        <x:v>6762.45</x:v>
      </x:c>
      <x:c r="R1636" s="55" t="n">
        <x:f>IF(O1636=0,0,ROUND(Q1636/O1636,4))</x:f>
        <x:v>0.1624</x:v>
      </x:c>
      <x:c r="S1636" s="53" t="n">
        <x:v>6</x:v>
      </x:c>
      <x:c r="T1636" t="str">
        <x:v>Entregue</x:v>
      </x:c>
      <x:c r="U1636" t="n">
        <x:v>3</x:v>
      </x:c>
      <x:c r="V1636" t="str"/>
    </x:row>
    <x:row r="1637">
      <x:c r="A1637" s="52" t="n">
        <x:v>46049</x:v>
      </x:c>
      <x:c r="B1637" t="str">
        <x:v>PED-101636</x:v>
      </x:c>
      <x:c r="C1637" t="str">
        <x:v>Cliente 120</x:v>
      </x:c>
      <x:c r="D1637" t="str">
        <x:v>MA</x:v>
      </x:c>
      <x:c r="E1637" t="str">
        <x:v>Nordeste</x:v>
      </x:c>
      <x:c r="F1637" t="str">
        <x:v>E-commerce</x:v>
      </x:c>
      <x:c r="G1637" t="str">
        <x:v>Escritório</x:v>
      </x:c>
      <x:c r="H1637" t="str">
        <x:v>Luminária LED</x:v>
      </x:c>
      <x:c r="I1637" t="str">
        <x:v>Isabela</x:v>
      </x:c>
      <x:c r="J1637" s="53" t="n">
        <x:v>6</x:v>
      </x:c>
      <x:c r="K1637" s="54" t="n">
        <x:v>255.44</x:v>
      </x:c>
      <x:c r="L1637" s="54" t="n">
        <x:v>127.85</x:v>
      </x:c>
      <x:c r="M1637" s="55" t="n">
        <x:v>0.054</x:v>
      </x:c>
      <x:c r="N1637" s="54" t="n">
        <x:f>ROUND(J1637*K1637,2)</x:f>
        <x:v>1532.64</x:v>
      </x:c>
      <x:c r="O1637" s="54" t="n">
        <x:f>ROUND(N1637*(1-M1637),2)</x:f>
        <x:v>1449.88</x:v>
      </x:c>
      <x:c r="P1637" s="54" t="n">
        <x:f>ROUND(J1637*L1637,2)</x:f>
        <x:v>767.1</x:v>
      </x:c>
      <x:c r="Q1637" s="54" t="n">
        <x:f>ROUND(O1637-P1637,2)</x:f>
        <x:v>682.78</x:v>
      </x:c>
      <x:c r="R1637" s="55" t="n">
        <x:f>IF(O1637=0,0,ROUND(Q1637/O1637,4))</x:f>
        <x:v>0.4709</x:v>
      </x:c>
      <x:c r="S1637" s="53" t="n">
        <x:v>14</x:v>
      </x:c>
      <x:c r="T1637" t="str">
        <x:v>Entregue com atraso</x:v>
      </x:c>
      <x:c r="U1637" t="n">
        <x:v>2</x:v>
      </x:c>
      <x:c r="V1637" t="str"/>
    </x:row>
    <x:row r="1638">
      <x:c r="A1638" s="52" t="n">
        <x:v>46068</x:v>
      </x:c>
      <x:c r="B1638" t="str">
        <x:v>PED-101637</x:v>
      </x:c>
      <x:c r="C1638" t="str">
        <x:v>Cliente 052</x:v>
      </x:c>
      <x:c r="D1638" t="str">
        <x:v>RS</x:v>
      </x:c>
      <x:c r="E1638" t="str">
        <x:v>Sul</x:v>
      </x:c>
      <x:c r="F1638" t="str">
        <x:v>Marketplace</x:v>
      </x:c>
      <x:c r="G1638" t="str">
        <x:v>Tecnologia</x:v>
      </x:c>
      <x:c r="H1638" t="str">
        <x:v>Monitor 27</x:v>
      </x:c>
      <x:c r="I1638" t="str">
        <x:v>Bruno</x:v>
      </x:c>
      <x:c r="J1638" s="53" t="n">
        <x:v>4</x:v>
      </x:c>
      <x:c r="K1638" s="54" t="n">
        <x:v>1649.15</x:v>
      </x:c>
      <x:c r="L1638" s="54" t="n">
        <x:v>1080.29</x:v>
      </x:c>
      <x:c r="M1638" s="55" t="n">
        <x:v>0.0394</x:v>
      </x:c>
      <x:c r="N1638" s="54" t="n">
        <x:f>ROUND(J1638*K1638,2)</x:f>
        <x:v>6596.6</x:v>
      </x:c>
      <x:c r="O1638" s="54" t="n">
        <x:f>ROUND(N1638*(1-M1638),2)</x:f>
        <x:v>6336.69</x:v>
      </x:c>
      <x:c r="P1638" s="54" t="n">
        <x:f>ROUND(J1638*L1638,2)</x:f>
        <x:v>4321.16</x:v>
      </x:c>
      <x:c r="Q1638" s="54" t="n">
        <x:f>ROUND(O1638-P1638,2)</x:f>
        <x:v>2015.53</x:v>
      </x:c>
      <x:c r="R1638" s="55" t="n">
        <x:f>IF(O1638=0,0,ROUND(Q1638/O1638,4))</x:f>
        <x:v>0.3181</x:v>
      </x:c>
      <x:c r="S1638" s="53" t="n">
        <x:v>4</x:v>
      </x:c>
      <x:c r="T1638" t="str">
        <x:v>Entregue</x:v>
      </x:c>
      <x:c r="U1638" t="n">
        <x:v>5</x:v>
      </x:c>
      <x:c r="V1638" t="str"/>
    </x:row>
    <x:row r="1639">
      <x:c r="A1639" s="52" t="n">
        <x:v>46222</x:v>
      </x:c>
      <x:c r="B1639" t="str">
        <x:v>PED-101638</x:v>
      </x:c>
      <x:c r="C1639" t="str">
        <x:v>Cliente 010</x:v>
      </x:c>
      <x:c r="D1639" t="str">
        <x:v>MA</x:v>
      </x:c>
      <x:c r="E1639" t="str">
        <x:v>Nordeste</x:v>
      </x:c>
      <x:c r="F1639" t="str">
        <x:v>E-commerce</x:v>
      </x:c>
      <x:c r="G1639" t="str">
        <x:v>Casa</x:v>
      </x:c>
      <x:c r="H1639" t="str">
        <x:v>Purificador</x:v>
      </x:c>
      <x:c r="I1639" t="str">
        <x:v>Carla</x:v>
      </x:c>
      <x:c r="J1639" s="53" t="n">
        <x:v>8</x:v>
      </x:c>
      <x:c r="K1639" s="54" t="n">
        <x:v>1327.35</x:v>
      </x:c>
      <x:c r="L1639" s="54" t="n">
        <x:v>774.59</x:v>
      </x:c>
      <x:c r="M1639" s="55" t="n">
        <x:v>0</x:v>
      </x:c>
      <x:c r="N1639" s="54" t="n">
        <x:f>ROUND(J1639*K1639,2)</x:f>
        <x:v>10618.8</x:v>
      </x:c>
      <x:c r="O1639" s="54" t="n">
        <x:f>ROUND(N1639*(1-M1639),2)</x:f>
        <x:v>10618.8</x:v>
      </x:c>
      <x:c r="P1639" s="54" t="n">
        <x:f>ROUND(J1639*L1639,2)</x:f>
        <x:v>6196.72</x:v>
      </x:c>
      <x:c r="Q1639" s="54" t="n">
        <x:f>ROUND(O1639-P1639,2)</x:f>
        <x:v>4422.08</x:v>
      </x:c>
      <x:c r="R1639" s="55" t="n">
        <x:f>IF(O1639=0,0,ROUND(Q1639/O1639,4))</x:f>
        <x:v>0.4164</x:v>
      </x:c>
      <x:c r="S1639" s="53" t="n">
        <x:v>11</x:v>
      </x:c>
      <x:c r="T1639" t="str">
        <x:v>Cancelado</x:v>
      </x:c>
      <x:c r="U1639"/>
      <x:c r="V1639" t="str"/>
    </x:row>
    <x:row r="1640">
      <x:c r="A1640" s="52" t="n">
        <x:v>46229</x:v>
      </x:c>
      <x:c r="B1640" t="str">
        <x:v>PED-101639</x:v>
      </x:c>
      <x:c r="C1640" t="str">
        <x:v>Cliente 012</x:v>
      </x:c>
      <x:c r="D1640" t="str">
        <x:v>PE</x:v>
      </x:c>
      <x:c r="E1640" t="str">
        <x:v>Nordeste</x:v>
      </x:c>
      <x:c r="F1640" t="str">
        <x:v>Marketplace</x:v>
      </x:c>
      <x:c r="G1640" t="str">
        <x:v>Escritório</x:v>
      </x:c>
      <x:c r="H1640" t="str">
        <x:v>Mesa Ajustável</x:v>
      </x:c>
      <x:c r="I1640" t="str">
        <x:v>Diego</x:v>
      </x:c>
      <x:c r="J1640" s="53" t="n">
        <x:v>4</x:v>
      </x:c>
      <x:c r="K1640" s="54" t="n">
        <x:v>2856.2</x:v>
      </x:c>
      <x:c r="L1640" s="54" t="n">
        <x:v>1865.92</x:v>
      </x:c>
      <x:c r="M1640" s="55" t="n">
        <x:v>0.0376</x:v>
      </x:c>
      <x:c r="N1640" s="54" t="n">
        <x:f>ROUND(J1640*K1640,2)</x:f>
        <x:v>11424.8</x:v>
      </x:c>
      <x:c r="O1640" s="54" t="n">
        <x:f>ROUND(N1640*(1-M1640),2)</x:f>
        <x:v>10995.23</x:v>
      </x:c>
      <x:c r="P1640" s="54" t="n">
        <x:f>ROUND(J1640*L1640,2)</x:f>
        <x:v>7463.68</x:v>
      </x:c>
      <x:c r="Q1640" s="54" t="n">
        <x:f>ROUND(O1640-P1640,2)</x:f>
        <x:v>3531.55</x:v>
      </x:c>
      <x:c r="R1640" s="55" t="n">
        <x:f>IF(O1640=0,0,ROUND(Q1640/O1640,4))</x:f>
        <x:v>0.3212</x:v>
      </x:c>
      <x:c r="S1640" s="53" t="n">
        <x:v>10</x:v>
      </x:c>
      <x:c r="T1640" t="str">
        <x:v>Entregue</x:v>
      </x:c>
      <x:c r="U1640" t="n">
        <x:v>4</x:v>
      </x:c>
      <x:c r="V1640" t="str"/>
    </x:row>
    <x:row r="1641">
      <x:c r="A1641" s="52" t="n">
        <x:v>46214</x:v>
      </x:c>
      <x:c r="B1641" t="str">
        <x:v>PED-101640</x:v>
      </x:c>
      <x:c r="C1641" t="str">
        <x:v>Cliente 025</x:v>
      </x:c>
      <x:c r="D1641" t="str">
        <x:v>MA</x:v>
      </x:c>
      <x:c r="E1641" t="str">
        <x:v>Nordeste</x:v>
      </x:c>
      <x:c r="F1641" t="str">
        <x:v>E-commerce</x:v>
      </x:c>
      <x:c r="G1641" t="str">
        <x:v>Tecnologia</x:v>
      </x:c>
      <x:c r="H1641" t="str">
        <x:v>Monitor 27</x:v>
      </x:c>
      <x:c r="I1641" t="str">
        <x:v>Carla</x:v>
      </x:c>
      <x:c r="J1641" s="53" t="n">
        <x:v>3</x:v>
      </x:c>
      <x:c r="K1641" s="54" t="n">
        <x:v>1717.85</x:v>
      </x:c>
      <x:c r="L1641" s="54" t="n">
        <x:v>1140.09</x:v>
      </x:c>
      <x:c r="M1641" s="55" t="n">
        <x:v>0.0823</x:v>
      </x:c>
      <x:c r="N1641" s="54" t="n">
        <x:f>ROUND(J1641*K1641,2)</x:f>
        <x:v>5153.55</x:v>
      </x:c>
      <x:c r="O1641" s="54" t="n">
        <x:f>ROUND(N1641*(1-M1641),2)</x:f>
        <x:v>4729.41</x:v>
      </x:c>
      <x:c r="P1641" s="54" t="n">
        <x:f>ROUND(J1641*L1641,2)</x:f>
        <x:v>3420.27</x:v>
      </x:c>
      <x:c r="Q1641" s="54" t="n">
        <x:f>ROUND(O1641-P1641,2)</x:f>
        <x:v>1309.14</x:v>
      </x:c>
      <x:c r="R1641" s="55" t="n">
        <x:f>IF(O1641=0,0,ROUND(Q1641/O1641,4))</x:f>
        <x:v>0.2768</x:v>
      </x:c>
      <x:c r="S1641" s="53" t="n">
        <x:v>2</x:v>
      </x:c>
      <x:c r="T1641" t="str">
        <x:v>Entregue</x:v>
      </x:c>
      <x:c r="U1641" t="n">
        <x:v>3</x:v>
      </x:c>
      <x:c r="V1641" t="str"/>
    </x:row>
    <x:row r="1642">
      <x:c r="A1642" s="52" t="n">
        <x:v>46218</x:v>
      </x:c>
      <x:c r="B1642" t="str">
        <x:v>PED-101641</x:v>
      </x:c>
      <x:c r="C1642" t="str">
        <x:v>Cliente 041</x:v>
      </x:c>
      <x:c r="D1642" t="str">
        <x:v>BA</x:v>
      </x:c>
      <x:c r="E1642" t="str">
        <x:v>Nordeste</x:v>
      </x:c>
      <x:c r="F1642" t="str">
        <x:v>E-commerce</x:v>
      </x:c>
      <x:c r="G1642" t="str">
        <x:v>Acessórios</x:v>
      </x:c>
      <x:c r="H1642" t="str">
        <x:v>Mochila Executiva</x:v>
      </x:c>
      <x:c r="I1642" t="str">
        <x:v>Felipe</x:v>
      </x:c>
      <x:c r="J1642" s="53" t="n">
        <x:v>3</x:v>
      </x:c>
      <x:c r="K1642" s="54" t="n">
        <x:v>450.89</x:v>
      </x:c>
      <x:c r="L1642" s="54" t="n">
        <x:v>206.31</x:v>
      </x:c>
      <x:c r="M1642" s="55" t="n">
        <x:v>0.0679</x:v>
      </x:c>
      <x:c r="N1642" s="54" t="n">
        <x:f>ROUND(J1642*K1642,2)</x:f>
        <x:v>1352.67</x:v>
      </x:c>
      <x:c r="O1642" s="54" t="n">
        <x:f>ROUND(N1642*(1-M1642),2)</x:f>
        <x:v>1260.82</x:v>
      </x:c>
      <x:c r="P1642" s="54" t="n">
        <x:f>ROUND(J1642*L1642,2)</x:f>
        <x:v>618.93</x:v>
      </x:c>
      <x:c r="Q1642" s="54" t="n">
        <x:f>ROUND(O1642-P1642,2)</x:f>
        <x:v>641.89</x:v>
      </x:c>
      <x:c r="R1642" s="55" t="n">
        <x:f>IF(O1642=0,0,ROUND(Q1642/O1642,4))</x:f>
        <x:v>0.5091</x:v>
      </x:c>
      <x:c r="S1642" s="53" t="n">
        <x:v>3</x:v>
      </x:c>
      <x:c r="T1642" t="str">
        <x:v>Entregue</x:v>
      </x:c>
      <x:c r="U1642" t="n">
        <x:v>2</x:v>
      </x:c>
      <x:c r="V1642" t="str"/>
    </x:row>
    <x:row r="1643">
      <x:c r="A1643" s="52" t="n">
        <x:v>46031</x:v>
      </x:c>
      <x:c r="B1643" t="str">
        <x:v>PED-101642</x:v>
      </x:c>
      <x:c r="C1643" t="str">
        <x:v>Cliente 043</x:v>
      </x:c>
      <x:c r="D1643" t="str">
        <x:v>PR</x:v>
      </x:c>
      <x:c r="E1643" t="str">
        <x:v>Sul</x:v>
      </x:c>
      <x:c r="F1643" t="str">
        <x:v>Marketplace</x:v>
      </x:c>
      <x:c r="G1643" t="str">
        <x:v>Acessórios</x:v>
      </x:c>
      <x:c r="H1643" t="str">
        <x:v>Hub USB-C</x:v>
      </x:c>
      <x:c r="I1643" t="str">
        <x:v>Diego</x:v>
      </x:c>
      <x:c r="J1643" s="53" t="n">
        <x:v>6</x:v>
      </x:c>
      <x:c r="K1643" s="54" t="n">
        <x:v>306.52</x:v>
      </x:c>
      <x:c r="L1643" s="54" t="n">
        <x:v>131.2</x:v>
      </x:c>
      <x:c r="M1643" s="55" t="n">
        <x:v>0.0825</x:v>
      </x:c>
      <x:c r="N1643" s="54" t="n">
        <x:f>ROUND(J1643*K1643,2)</x:f>
        <x:v>1839.12</x:v>
      </x:c>
      <x:c r="O1643" s="54" t="n">
        <x:f>ROUND(N1643*(1-M1643),2)</x:f>
        <x:v>1687.39</x:v>
      </x:c>
      <x:c r="P1643" s="54" t="n">
        <x:f>ROUND(J1643*L1643,2)</x:f>
        <x:v>787.2</x:v>
      </x:c>
      <x:c r="Q1643" s="54" t="n">
        <x:f>ROUND(O1643-P1643,2)</x:f>
        <x:v>900.19</x:v>
      </x:c>
      <x:c r="R1643" s="55" t="n">
        <x:f>IF(O1643=0,0,ROUND(Q1643/O1643,4))</x:f>
        <x:v>0.5335</x:v>
      </x:c>
      <x:c r="S1643" s="53" t="n">
        <x:v>10</x:v>
      </x:c>
      <x:c r="T1643" t="str">
        <x:v>Entregue</x:v>
      </x:c>
      <x:c r="U1643" t="n">
        <x:v>2</x:v>
      </x:c>
      <x:c r="V1643" t="str"/>
    </x:row>
    <x:row r="1644">
      <x:c r="A1644" s="52" t="n">
        <x:v>46071</x:v>
      </x:c>
      <x:c r="B1644" t="str">
        <x:v>PED-101643</x:v>
      </x:c>
      <x:c r="C1644" t="str">
        <x:v>Cliente 091</x:v>
      </x:c>
      <x:c r="D1644" t="str">
        <x:v>PR</x:v>
      </x:c>
      <x:c r="E1644" t="str">
        <x:v>Sul</x:v>
      </x:c>
      <x:c r="F1644" t="str">
        <x:v>Televendas</x:v>
      </x:c>
      <x:c r="G1644" t="str">
        <x:v>Acessórios</x:v>
      </x:c>
      <x:c r="H1644" t="str">
        <x:v>Hub USB-C</x:v>
      </x:c>
      <x:c r="I1644" t="str">
        <x:v>João</x:v>
      </x:c>
      <x:c r="J1644" s="53" t="n">
        <x:v>7</x:v>
      </x:c>
      <x:c r="K1644" s="54" t="n">
        <x:v>326.12</x:v>
      </x:c>
      <x:c r="L1644" s="54" t="n">
        <x:v>140.02</x:v>
      </x:c>
      <x:c r="M1644" s="55" t="n">
        <x:v>0.1219</x:v>
      </x:c>
      <x:c r="N1644" s="54" t="n">
        <x:f>ROUND(J1644*K1644,2)</x:f>
        <x:v>2282.84</x:v>
      </x:c>
      <x:c r="O1644" s="54" t="n">
        <x:f>ROUND(N1644*(1-M1644),2)</x:f>
        <x:v>2004.56</x:v>
      </x:c>
      <x:c r="P1644" s="54" t="n">
        <x:f>ROUND(J1644*L1644,2)</x:f>
        <x:v>980.14</x:v>
      </x:c>
      <x:c r="Q1644" s="54" t="n">
        <x:f>ROUND(O1644-P1644,2)</x:f>
        <x:v>1024.42</x:v>
      </x:c>
      <x:c r="R1644" s="55" t="n">
        <x:f>IF(O1644=0,0,ROUND(Q1644/O1644,4))</x:f>
        <x:v>0.511</x:v>
      </x:c>
      <x:c r="S1644" s="53" t="n">
        <x:v>11</x:v>
      </x:c>
      <x:c r="T1644" t="str">
        <x:v>Entregue com atraso</x:v>
      </x:c>
      <x:c r="U1644" t="n">
        <x:v>3</x:v>
      </x:c>
      <x:c r="V1644" t="str"/>
    </x:row>
    <x:row r="1645">
      <x:c r="A1645" s="52" t="n">
        <x:v>46155</x:v>
      </x:c>
      <x:c r="B1645" t="str">
        <x:v>PED-101644</x:v>
      </x:c>
      <x:c r="C1645" t="str">
        <x:v>Cliente 017</x:v>
      </x:c>
      <x:c r="D1645" t="str">
        <x:v>GO</x:v>
      </x:c>
      <x:c r="E1645" t="str">
        <x:v>Centro-Oeste</x:v>
      </x:c>
      <x:c r="F1645" t="str">
        <x:v>Marketplace</x:v>
      </x:c>
      <x:c r="G1645" t="str">
        <x:v>Casa</x:v>
      </x:c>
      <x:c r="H1645" t="str">
        <x:v>Aspirador Robô</x:v>
      </x:c>
      <x:c r="I1645" t="str">
        <x:v>Isabela</x:v>
      </x:c>
      <x:c r="J1645" s="53" t="n">
        <x:v>3</x:v>
      </x:c>
      <x:c r="K1645" s="54" t="n">
        <x:v>1942.44</x:v>
      </x:c>
      <x:c r="L1645" s="54" t="n">
        <x:v>1200.86</x:v>
      </x:c>
      <x:c r="M1645" s="55" t="n">
        <x:v>0.035</x:v>
      </x:c>
      <x:c r="N1645" s="54" t="n">
        <x:f>ROUND(J1645*K1645,2)</x:f>
        <x:v>5827.32</x:v>
      </x:c>
      <x:c r="O1645" s="54" t="n">
        <x:f>ROUND(N1645*(1-M1645),2)</x:f>
        <x:v>5623.36</x:v>
      </x:c>
      <x:c r="P1645" s="54" t="n">
        <x:f>ROUND(J1645*L1645,2)</x:f>
        <x:v>3602.58</x:v>
      </x:c>
      <x:c r="Q1645" s="54" t="n">
        <x:f>ROUND(O1645-P1645,2)</x:f>
        <x:v>2020.78</x:v>
      </x:c>
      <x:c r="R1645" s="55" t="n">
        <x:f>IF(O1645=0,0,ROUND(Q1645/O1645,4))</x:f>
        <x:v>0.3594</x:v>
      </x:c>
      <x:c r="S1645" s="53" t="n">
        <x:v>12</x:v>
      </x:c>
      <x:c r="T1645" t="str">
        <x:v>Entregue com atraso</x:v>
      </x:c>
      <x:c r="U1645" t="n">
        <x:v>2</x:v>
      </x:c>
      <x:c r="V1645" t="str"/>
    </x:row>
    <x:row r="1646">
      <x:c r="A1646" s="52" t="n">
        <x:v>46050</x:v>
      </x:c>
      <x:c r="B1646" t="str">
        <x:v>PED-101645</x:v>
      </x:c>
      <x:c r="C1646" t="str">
        <x:v>Cliente 092</x:v>
      </x:c>
      <x:c r="D1646" t="str">
        <x:v>MG</x:v>
      </x:c>
      <x:c r="E1646" t="str">
        <x:v>Sudeste</x:v>
      </x:c>
      <x:c r="F1646" t="str">
        <x:v>Loja</x:v>
      </x:c>
      <x:c r="G1646" t="str">
        <x:v>Acessórios</x:v>
      </x:c>
      <x:c r="H1646" t="str">
        <x:v>Mochila Executiva</x:v>
      </x:c>
      <x:c r="I1646" t="str">
        <x:v>Isabela</x:v>
      </x:c>
      <x:c r="J1646" s="53" t="n">
        <x:v>1</x:v>
      </x:c>
      <x:c r="K1646" s="54" t="n">
        <x:v>413.27</x:v>
      </x:c>
      <x:c r="L1646" s="54" t="n">
        <x:v>186.26</x:v>
      </x:c>
      <x:c r="M1646" s="55" t="n">
        <x:v>0.0037</x:v>
      </x:c>
      <x:c r="N1646" s="54" t="n">
        <x:f>ROUND(J1646*K1646,2)</x:f>
        <x:v>413.27</x:v>
      </x:c>
      <x:c r="O1646" s="54" t="n">
        <x:f>ROUND(N1646*(1-M1646),2)</x:f>
        <x:v>411.74</x:v>
      </x:c>
      <x:c r="P1646" s="54" t="n">
        <x:f>ROUND(J1646*L1646,2)</x:f>
        <x:v>186.26</x:v>
      </x:c>
      <x:c r="Q1646" s="54" t="n">
        <x:f>ROUND(O1646-P1646,2)</x:f>
        <x:v>225.48</x:v>
      </x:c>
      <x:c r="R1646" s="55" t="n">
        <x:f>IF(O1646=0,0,ROUND(Q1646/O1646,4))</x:f>
        <x:v>0.5476</x:v>
      </x:c>
      <x:c r="S1646" s="53" t="n">
        <x:v>14</x:v>
      </x:c>
      <x:c r="T1646" t="str">
        <x:v>Entregue com atraso</x:v>
      </x:c>
      <x:c r="U1646" t="n">
        <x:v>2</x:v>
      </x:c>
      <x:c r="V1646" t="str"/>
    </x:row>
    <x:row r="1647">
      <x:c r="A1647" s="52" t="n">
        <x:v>46152</x:v>
      </x:c>
      <x:c r="B1647" t="str">
        <x:v>PED-101646</x:v>
      </x:c>
      <x:c r="C1647" t="str">
        <x:v>Cliente 107</x:v>
      </x:c>
      <x:c r="D1647" t="str">
        <x:v>RJ</x:v>
      </x:c>
      <x:c r="E1647" t="str">
        <x:v>Sudeste</x:v>
      </x:c>
      <x:c r="F1647" t="str">
        <x:v>E-commerce</x:v>
      </x:c>
      <x:c r="G1647" t="str">
        <x:v>Escritório</x:v>
      </x:c>
      <x:c r="H1647" t="str">
        <x:v>Cadeira Ergonômica</x:v>
      </x:c>
      <x:c r="I1647" t="str">
        <x:v>João</x:v>
      </x:c>
      <x:c r="J1647" s="53" t="n">
        <x:v>1</x:v>
      </x:c>
      <x:c r="K1647" s="54" t="n">
        <x:v>2180.93</x:v>
      </x:c>
      <x:c r="L1647" s="54" t="n">
        <x:v>1461.76</x:v>
      </x:c>
      <x:c r="M1647" s="55" t="n">
        <x:v>0.0128</x:v>
      </x:c>
      <x:c r="N1647" s="54" t="n">
        <x:f>ROUND(J1647*K1647,2)</x:f>
        <x:v>2180.93</x:v>
      </x:c>
      <x:c r="O1647" s="54" t="n">
        <x:f>ROUND(N1647*(1-M1647),2)</x:f>
        <x:v>2153.01</x:v>
      </x:c>
      <x:c r="P1647" s="54" t="n">
        <x:f>ROUND(J1647*L1647,2)</x:f>
        <x:v>1461.76</x:v>
      </x:c>
      <x:c r="Q1647" s="54" t="n">
        <x:f>ROUND(O1647-P1647,2)</x:f>
        <x:v>691.25</x:v>
      </x:c>
      <x:c r="R1647" s="55" t="n">
        <x:f>IF(O1647=0,0,ROUND(Q1647/O1647,4))</x:f>
        <x:v>0.3211</x:v>
      </x:c>
      <x:c r="S1647" s="53" t="n">
        <x:v>8</x:v>
      </x:c>
      <x:c r="T1647" t="str">
        <x:v>Entregue</x:v>
      </x:c>
      <x:c r="U1647" t="n">
        <x:v>2</x:v>
      </x:c>
      <x:c r="V1647" t="str"/>
    </x:row>
    <x:row r="1648">
      <x:c r="A1648" s="52" t="n">
        <x:v>46161</x:v>
      </x:c>
      <x:c r="B1648" t="str">
        <x:v>PED-101647</x:v>
      </x:c>
      <x:c r="C1648" t="str">
        <x:v>Cliente 097</x:v>
      </x:c>
      <x:c r="D1648" t="str">
        <x:v>PE</x:v>
      </x:c>
      <x:c r="E1648" t="str">
        <x:v>Nordeste</x:v>
      </x:c>
      <x:c r="F1648" t="str">
        <x:v>Televendas</x:v>
      </x:c>
      <x:c r="G1648" t="str">
        <x:v>Escritório</x:v>
      </x:c>
      <x:c r="H1648" t="str">
        <x:v>Cadeira Ergonômica</x:v>
      </x:c>
      <x:c r="I1648" t="str">
        <x:v>Elaine</x:v>
      </x:c>
      <x:c r="J1648" s="53" t="n">
        <x:v>3</x:v>
      </x:c>
      <x:c r="K1648" s="54" t="n">
        <x:v>2137.84</x:v>
      </x:c>
      <x:c r="L1648" s="54" t="n">
        <x:v>1478.23</x:v>
      </x:c>
      <x:c r="M1648" s="55" t="n">
        <x:v>0.1264</x:v>
      </x:c>
      <x:c r="N1648" s="54" t="n">
        <x:f>ROUND(J1648*K1648,2)</x:f>
        <x:v>6413.52</x:v>
      </x:c>
      <x:c r="O1648" s="54" t="n">
        <x:f>ROUND(N1648*(1-M1648),2)</x:f>
        <x:v>5602.85</x:v>
      </x:c>
      <x:c r="P1648" s="54" t="n">
        <x:f>ROUND(J1648*L1648,2)</x:f>
        <x:v>4434.69</x:v>
      </x:c>
      <x:c r="Q1648" s="54" t="n">
        <x:f>ROUND(O1648-P1648,2)</x:f>
        <x:v>1168.16</x:v>
      </x:c>
      <x:c r="R1648" s="55" t="n">
        <x:f>IF(O1648=0,0,ROUND(Q1648/O1648,4))</x:f>
        <x:v>0.2085</x:v>
      </x:c>
      <x:c r="S1648" s="53" t="n">
        <x:v>6</x:v>
      </x:c>
      <x:c r="T1648" t="str">
        <x:v>Entregue</x:v>
      </x:c>
      <x:c r="U1648" t="n">
        <x:v>3</x:v>
      </x:c>
      <x:c r="V1648" t="str"/>
    </x:row>
    <x:row r="1649">
      <x:c r="A1649" s="52" t="n">
        <x:v>46218</x:v>
      </x:c>
      <x:c r="B1649" t="str">
        <x:v>PED-101648</x:v>
      </x:c>
      <x:c r="C1649" t="str">
        <x:v>Cliente 029</x:v>
      </x:c>
      <x:c r="D1649" t="str">
        <x:v>BA</x:v>
      </x:c>
      <x:c r="E1649" t="str">
        <x:v>Nordeste</x:v>
      </x:c>
      <x:c r="F1649" t="str">
        <x:v>Marketplace</x:v>
      </x:c>
      <x:c r="G1649" t="str">
        <x:v>Tecnologia</x:v>
      </x:c>
      <x:c r="H1649" t="str">
        <x:v>Headset Office</x:v>
      </x:c>
      <x:c r="I1649" t="str">
        <x:v>Felipe</x:v>
      </x:c>
      <x:c r="J1649" s="53" t="n">
        <x:v>6</x:v>
      </x:c>
      <x:c r="K1649" s="54" t="n">
        <x:v>407.89</x:v>
      </x:c>
      <x:c r="L1649" s="54" t="n">
        <x:v>223.01</x:v>
      </x:c>
      <x:c r="M1649" s="55" t="n">
        <x:v>0.035</x:v>
      </x:c>
      <x:c r="N1649" s="54" t="n">
        <x:f>ROUND(J1649*K1649,2)</x:f>
        <x:v>2447.34</x:v>
      </x:c>
      <x:c r="O1649" s="54" t="n">
        <x:f>ROUND(N1649*(1-M1649),2)</x:f>
        <x:v>2361.68</x:v>
      </x:c>
      <x:c r="P1649" s="54" t="n">
        <x:f>ROUND(J1649*L1649,2)</x:f>
        <x:v>1338.06</x:v>
      </x:c>
      <x:c r="Q1649" s="54" t="n">
        <x:f>ROUND(O1649-P1649,2)</x:f>
        <x:v>1023.62</x:v>
      </x:c>
      <x:c r="R1649" s="55" t="n">
        <x:f>IF(O1649=0,0,ROUND(Q1649/O1649,4))</x:f>
        <x:v>0.4334</x:v>
      </x:c>
      <x:c r="S1649" s="53" t="n">
        <x:v>8</x:v>
      </x:c>
      <x:c r="T1649" t="str">
        <x:v>Entregue</x:v>
      </x:c>
      <x:c r="U1649" t="n">
        <x:v>5</x:v>
      </x:c>
      <x:c r="V1649" t="str"/>
    </x:row>
    <x:row r="1650">
      <x:c r="A1650" s="52" t="n">
        <x:v>46164</x:v>
      </x:c>
      <x:c r="B1650" t="str">
        <x:v>PED-101649</x:v>
      </x:c>
      <x:c r="C1650" t="str">
        <x:v>Cliente 074</x:v>
      </x:c>
      <x:c r="D1650" t="str">
        <x:v>ES</x:v>
      </x:c>
      <x:c r="E1650" t="str">
        <x:v>Sudeste</x:v>
      </x:c>
      <x:c r="F1650" t="str">
        <x:v>Televendas</x:v>
      </x:c>
      <x:c r="G1650" t="str">
        <x:v>Casa</x:v>
      </x:c>
      <x:c r="H1650" t="str">
        <x:v>Cafeteira Smart</x:v>
      </x:c>
      <x:c r="I1650" t="str">
        <x:v>Isabela</x:v>
      </x:c>
      <x:c r="J1650" s="53" t="n">
        <x:v>6</x:v>
      </x:c>
      <x:c r="K1650" s="54" t="n">
        <x:v>786.29</x:v>
      </x:c>
      <x:c r="L1650" s="54" t="n">
        <x:v>475.9</x:v>
      </x:c>
      <x:c r="M1650" s="55" t="n">
        <x:v>0</x:v>
      </x:c>
      <x:c r="N1650" s="54" t="n">
        <x:f>ROUND(J1650*K1650,2)</x:f>
        <x:v>4717.74</x:v>
      </x:c>
      <x:c r="O1650" s="54" t="n">
        <x:f>ROUND(N1650*(1-M1650),2)</x:f>
        <x:v>4717.74</x:v>
      </x:c>
      <x:c r="P1650" s="54" t="n">
        <x:f>ROUND(J1650*L1650,2)</x:f>
        <x:v>2855.4</x:v>
      </x:c>
      <x:c r="Q1650" s="54" t="n">
        <x:f>ROUND(O1650-P1650,2)</x:f>
        <x:v>1862.34</x:v>
      </x:c>
      <x:c r="R1650" s="55" t="n">
        <x:f>IF(O1650=0,0,ROUND(Q1650/O1650,4))</x:f>
        <x:v>0.3948</x:v>
      </x:c>
      <x:c r="S1650" s="53" t="n">
        <x:v>6</x:v>
      </x:c>
      <x:c r="T1650" t="str">
        <x:v>Entregue</x:v>
      </x:c>
      <x:c r="U1650" t="n">
        <x:v>4</x:v>
      </x:c>
      <x:c r="V1650" t="str"/>
    </x:row>
    <x:row r="1651">
      <x:c r="A1651" s="52" t="n">
        <x:v>46152</x:v>
      </x:c>
      <x:c r="B1651" t="str">
        <x:v>PED-101650</x:v>
      </x:c>
      <x:c r="C1651" t="str">
        <x:v>Cliente 015</x:v>
      </x:c>
      <x:c r="D1651" t="str">
        <x:v>GO</x:v>
      </x:c>
      <x:c r="E1651" t="str">
        <x:v>Centro-Oeste</x:v>
      </x:c>
      <x:c r="F1651" t="str">
        <x:v>Televendas</x:v>
      </x:c>
      <x:c r="G1651" t="str">
        <x:v>Acessórios</x:v>
      </x:c>
      <x:c r="H1651" t="str">
        <x:v>Hub USB-C</x:v>
      </x:c>
      <x:c r="I1651" t="str">
        <x:v>Ana</x:v>
      </x:c>
      <x:c r="J1651" s="53" t="n">
        <x:v>5</x:v>
      </x:c>
      <x:c r="K1651" s="54" t="n">
        <x:v>304.1</x:v>
      </x:c>
      <x:c r="L1651" s="54" t="n">
        <x:v>135.53</x:v>
      </x:c>
      <x:c r="M1651" s="55" t="n">
        <x:v>0.0883</x:v>
      </x:c>
      <x:c r="N1651" s="54" t="n">
        <x:f>ROUND(J1651*K1651,2)</x:f>
        <x:v>1520.5</x:v>
      </x:c>
      <x:c r="O1651" s="54" t="n">
        <x:f>ROUND(N1651*(1-M1651),2)</x:f>
        <x:v>1386.24</x:v>
      </x:c>
      <x:c r="P1651" s="54" t="n">
        <x:f>ROUND(J1651*L1651,2)</x:f>
        <x:v>677.65</x:v>
      </x:c>
      <x:c r="Q1651" s="54" t="n">
        <x:f>ROUND(O1651-P1651,2)</x:f>
        <x:v>708.59</x:v>
      </x:c>
      <x:c r="R1651" s="55" t="n">
        <x:f>IF(O1651=0,0,ROUND(Q1651/O1651,4))</x:f>
        <x:v>0.5112</x:v>
      </x:c>
      <x:c r="S1651" s="53" t="n">
        <x:v>2</x:v>
      </x:c>
      <x:c r="T1651" t="str">
        <x:v>Entregue</x:v>
      </x:c>
      <x:c r="U1651" t="n">
        <x:v>3</x:v>
      </x:c>
      <x:c r="V1651" t="str"/>
    </x:row>
    <x:row r="1652">
      <x:c r="A1652" s="52" t="n">
        <x:v>46091</x:v>
      </x:c>
      <x:c r="B1652" t="str">
        <x:v>PED-101651</x:v>
      </x:c>
      <x:c r="C1652" t="str">
        <x:v>Cliente 059</x:v>
      </x:c>
      <x:c r="D1652" t="str">
        <x:v>ES</x:v>
      </x:c>
      <x:c r="E1652" t="str">
        <x:v>Sudeste</x:v>
      </x:c>
      <x:c r="F1652" t="str">
        <x:v>Loja</x:v>
      </x:c>
      <x:c r="G1652" t="str">
        <x:v>Escritório</x:v>
      </x:c>
      <x:c r="H1652" t="str">
        <x:v>Cadeira Ergonômica</x:v>
      </x:c>
      <x:c r="I1652" t="str">
        <x:v>Ana</x:v>
      </x:c>
      <x:c r="J1652" s="53" t="n">
        <x:v>6</x:v>
      </x:c>
      <x:c r="K1652" s="54" t="n">
        <x:v>2102.44</x:v>
      </x:c>
      <x:c r="L1652" s="54" t="n">
        <x:v>1462.85</x:v>
      </x:c>
      <x:c r="M1652" s="55" t="n">
        <x:v>0.0358</x:v>
      </x:c>
      <x:c r="N1652" s="54" t="n">
        <x:f>ROUND(J1652*K1652,2)</x:f>
        <x:v>12614.64</x:v>
      </x:c>
      <x:c r="O1652" s="54" t="n">
        <x:f>ROUND(N1652*(1-M1652),2)</x:f>
        <x:v>12163.04</x:v>
      </x:c>
      <x:c r="P1652" s="54" t="n">
        <x:f>ROUND(J1652*L1652,2)</x:f>
        <x:v>8777.1</x:v>
      </x:c>
      <x:c r="Q1652" s="54" t="n">
        <x:f>ROUND(O1652-P1652,2)</x:f>
        <x:v>3385.94</x:v>
      </x:c>
      <x:c r="R1652" s="55" t="n">
        <x:f>IF(O1652=0,0,ROUND(Q1652/O1652,4))</x:f>
        <x:v>0.2784</x:v>
      </x:c>
      <x:c r="S1652" s="53" t="n">
        <x:v>7</x:v>
      </x:c>
      <x:c r="T1652" t="str">
        <x:v>Entregue</x:v>
      </x:c>
      <x:c r="U1652" t="n">
        <x:v>2</x:v>
      </x:c>
      <x:c r="V1652" t="str"/>
    </x:row>
    <x:row r="1653">
      <x:c r="A1653" s="52" t="n">
        <x:v>46108</x:v>
      </x:c>
      <x:c r="B1653" t="str">
        <x:v>PED-101652</x:v>
      </x:c>
      <x:c r="C1653" t="str">
        <x:v>Cliente 109</x:v>
      </x:c>
      <x:c r="D1653" t="str">
        <x:v>PE</x:v>
      </x:c>
      <x:c r="E1653" t="str">
        <x:v>Nordeste</x:v>
      </x:c>
      <x:c r="F1653" t="str">
        <x:v>E-commerce</x:v>
      </x:c>
      <x:c r="G1653" t="str">
        <x:v>Acessórios</x:v>
      </x:c>
      <x:c r="H1653" t="str">
        <x:v>Hub USB-C</x:v>
      </x:c>
      <x:c r="I1653" t="str">
        <x:v>Felipe</x:v>
      </x:c>
      <x:c r="J1653" s="53" t="n">
        <x:v>1</x:v>
      </x:c>
      <x:c r="K1653" s="54" t="n">
        <x:v>313.09</x:v>
      </x:c>
      <x:c r="L1653" s="54" t="n">
        <x:v>134.68</x:v>
      </x:c>
      <x:c r="M1653" s="55" t="n">
        <x:v>0.0104</x:v>
      </x:c>
      <x:c r="N1653" s="54" t="n">
        <x:f>ROUND(J1653*K1653,2)</x:f>
        <x:v>313.09</x:v>
      </x:c>
      <x:c r="O1653" s="54" t="n">
        <x:f>ROUND(N1653*(1-M1653),2)</x:f>
        <x:v>309.83</x:v>
      </x:c>
      <x:c r="P1653" s="54" t="n">
        <x:f>ROUND(J1653*L1653,2)</x:f>
        <x:v>134.68</x:v>
      </x:c>
      <x:c r="Q1653" s="54" t="n">
        <x:f>ROUND(O1653-P1653,2)</x:f>
        <x:v>175.15</x:v>
      </x:c>
      <x:c r="R1653" s="55" t="n">
        <x:f>IF(O1653=0,0,ROUND(Q1653/O1653,4))</x:f>
        <x:v>0.5653</x:v>
      </x:c>
      <x:c r="S1653" s="53" t="n">
        <x:v>5</x:v>
      </x:c>
      <x:c r="T1653" t="str">
        <x:v>Entregue</x:v>
      </x:c>
      <x:c r="U1653" t="n">
        <x:v>3</x:v>
      </x:c>
      <x:c r="V1653" t="str"/>
    </x:row>
    <x:row r="1654">
      <x:c r="A1654" s="52" t="n">
        <x:v>46086</x:v>
      </x:c>
      <x:c r="B1654" t="str">
        <x:v>PED-101653</x:v>
      </x:c>
      <x:c r="C1654" t="str">
        <x:v>Cliente 081</x:v>
      </x:c>
      <x:c r="D1654" t="str">
        <x:v>SC</x:v>
      </x:c>
      <x:c r="E1654" t="str">
        <x:v>Sul</x:v>
      </x:c>
      <x:c r="F1654" t="str">
        <x:v>E-commerce</x:v>
      </x:c>
      <x:c r="G1654" t="str">
        <x:v>Casa</x:v>
      </x:c>
      <x:c r="H1654" t="str">
        <x:v>Cafeteira Smart</x:v>
      </x:c>
      <x:c r="I1654" t="str">
        <x:v>Henrique</x:v>
      </x:c>
      <x:c r="J1654" s="53" t="n">
        <x:v>8</x:v>
      </x:c>
      <x:c r="K1654" s="54" t="n">
        <x:v>744.31</x:v>
      </x:c>
      <x:c r="L1654" s="54" t="n">
        <x:v>474.29</x:v>
      </x:c>
      <x:c r="M1654" s="55" t="n">
        <x:v>0</x:v>
      </x:c>
      <x:c r="N1654" s="54" t="n">
        <x:f>ROUND(J1654*K1654,2)</x:f>
        <x:v>5954.48</x:v>
      </x:c>
      <x:c r="O1654" s="54" t="n">
        <x:f>ROUND(N1654*(1-M1654),2)</x:f>
        <x:v>5954.48</x:v>
      </x:c>
      <x:c r="P1654" s="54" t="n">
        <x:f>ROUND(J1654*L1654,2)</x:f>
        <x:v>3794.32</x:v>
      </x:c>
      <x:c r="Q1654" s="54" t="n">
        <x:f>ROUND(O1654-P1654,2)</x:f>
        <x:v>2160.16</x:v>
      </x:c>
      <x:c r="R1654" s="55" t="n">
        <x:f>IF(O1654=0,0,ROUND(Q1654/O1654,4))</x:f>
        <x:v>0.3628</x:v>
      </x:c>
      <x:c r="S1654" s="53" t="n">
        <x:v>6</x:v>
      </x:c>
      <x:c r="T1654" t="str">
        <x:v>Entregue</x:v>
      </x:c>
      <x:c r="U1654" t="n">
        <x:v>5</x:v>
      </x:c>
      <x:c r="V1654" t="str"/>
    </x:row>
    <x:row r="1655">
      <x:c r="A1655" s="52" t="n">
        <x:v>46046</x:v>
      </x:c>
      <x:c r="B1655" t="str">
        <x:v>PED-101654</x:v>
      </x:c>
      <x:c r="C1655" t="str">
        <x:v>Cliente 080</x:v>
      </x:c>
      <x:c r="D1655" t="str">
        <x:v>GO</x:v>
      </x:c>
      <x:c r="E1655" t="str">
        <x:v>Centro-Oeste</x:v>
      </x:c>
      <x:c r="F1655" t="str">
        <x:v>Televendas</x:v>
      </x:c>
      <x:c r="G1655" t="str">
        <x:v>Casa</x:v>
      </x:c>
      <x:c r="H1655" t="str">
        <x:v>Aspirador Robô</x:v>
      </x:c>
      <x:c r="I1655" t="str">
        <x:v>Carla</x:v>
      </x:c>
      <x:c r="J1655" s="53" t="n">
        <x:v>5</x:v>
      </x:c>
      <x:c r="K1655" s="54" t="n">
        <x:v>1882.52</x:v>
      </x:c>
      <x:c r="L1655" s="54" t="n">
        <x:v>1232.35</x:v>
      </x:c>
      <x:c r="M1655" s="55" t="n">
        <x:v>0.0159</x:v>
      </x:c>
      <x:c r="N1655" s="54" t="n">
        <x:f>ROUND(J1655*K1655,2)</x:f>
        <x:v>9412.6</x:v>
      </x:c>
      <x:c r="O1655" s="54" t="n">
        <x:f>ROUND(N1655*(1-M1655),2)</x:f>
        <x:v>9262.94</x:v>
      </x:c>
      <x:c r="P1655" s="54" t="n">
        <x:f>ROUND(J1655*L1655,2)</x:f>
        <x:v>6161.75</x:v>
      </x:c>
      <x:c r="Q1655" s="54" t="n">
        <x:f>ROUND(O1655-P1655,2)</x:f>
        <x:v>3101.19</x:v>
      </x:c>
      <x:c r="R1655" s="55" t="n">
        <x:f>IF(O1655=0,0,ROUND(Q1655/O1655,4))</x:f>
        <x:v>0.3348</x:v>
      </x:c>
      <x:c r="S1655" s="53" t="n">
        <x:v>4</x:v>
      </x:c>
      <x:c r="T1655" t="str">
        <x:v>Entregue</x:v>
      </x:c>
      <x:c r="U1655" t="n">
        <x:v>3</x:v>
      </x:c>
      <x:c r="V1655" t="str"/>
    </x:row>
    <x:row r="1656">
      <x:c r="A1656" s="52" t="n">
        <x:v>46043</x:v>
      </x:c>
      <x:c r="B1656" t="str">
        <x:v>PED-101655</x:v>
      </x:c>
      <x:c r="C1656" t="str">
        <x:v>Cliente 015</x:v>
      </x:c>
      <x:c r="D1656" t="str">
        <x:v>SC</x:v>
      </x:c>
      <x:c r="E1656" t="str">
        <x:v>Sul</x:v>
      </x:c>
      <x:c r="F1656" t="str">
        <x:v>E-commerce</x:v>
      </x:c>
      <x:c r="G1656" t="str">
        <x:v>Tecnologia</x:v>
      </x:c>
      <x:c r="H1656" t="str">
        <x:v>Headset Office</x:v>
      </x:c>
      <x:c r="I1656" t="str">
        <x:v>Diego</x:v>
      </x:c>
      <x:c r="J1656" s="53" t="n">
        <x:v>5</x:v>
      </x:c>
      <x:c r="K1656" s="54" t="n">
        <x:v>397.49</x:v>
      </x:c>
      <x:c r="L1656" s="54" t="n">
        <x:v>203.31</x:v>
      </x:c>
      <x:c r="M1656" s="55" t="n">
        <x:v>0</x:v>
      </x:c>
      <x:c r="N1656" s="54" t="n">
        <x:f>ROUND(J1656*K1656,2)</x:f>
        <x:v>1987.45</x:v>
      </x:c>
      <x:c r="O1656" s="54" t="n">
        <x:f>ROUND(N1656*(1-M1656),2)</x:f>
        <x:v>1987.45</x:v>
      </x:c>
      <x:c r="P1656" s="54" t="n">
        <x:f>ROUND(J1656*L1656,2)</x:f>
        <x:v>1016.55</x:v>
      </x:c>
      <x:c r="Q1656" s="54" t="n">
        <x:f>ROUND(O1656-P1656,2)</x:f>
        <x:v>970.9</x:v>
      </x:c>
      <x:c r="R1656" s="55" t="n">
        <x:f>IF(O1656=0,0,ROUND(Q1656/O1656,4))</x:f>
        <x:v>0.4885</x:v>
      </x:c>
      <x:c r="S1656" s="53" t="n">
        <x:v>11</x:v>
      </x:c>
      <x:c r="T1656" t="str">
        <x:v>Entregue com atraso</x:v>
      </x:c>
      <x:c r="U1656" t="n">
        <x:v>3</x:v>
      </x:c>
      <x:c r="V1656" t="str"/>
    </x:row>
    <x:row r="1657">
      <x:c r="A1657" s="52" t="n">
        <x:v>46220</x:v>
      </x:c>
      <x:c r="B1657" t="str">
        <x:v>PED-101656</x:v>
      </x:c>
      <x:c r="C1657" t="str">
        <x:v>Cliente 046</x:v>
      </x:c>
      <x:c r="D1657" t="str">
        <x:v>PR</x:v>
      </x:c>
      <x:c r="E1657" t="str">
        <x:v>Sul</x:v>
      </x:c>
      <x:c r="F1657" t="str">
        <x:v>Loja</x:v>
      </x:c>
      <x:c r="G1657" t="str">
        <x:v>Acessórios</x:v>
      </x:c>
      <x:c r="H1657" t="str">
        <x:v>Mochila Executiva</x:v>
      </x:c>
      <x:c r="I1657" t="str">
        <x:v>Carla</x:v>
      </x:c>
      <x:c r="J1657" s="53" t="n">
        <x:v>2</x:v>
      </x:c>
      <x:c r="K1657" s="54" t="n">
        <x:v>418.49</x:v>
      </x:c>
      <x:c r="L1657" s="54" t="n">
        <x:v>184.15</x:v>
      </x:c>
      <x:c r="M1657" s="55" t="n">
        <x:v>0</x:v>
      </x:c>
      <x:c r="N1657" s="54" t="n">
        <x:f>ROUND(J1657*K1657,2)</x:f>
        <x:v>836.98</x:v>
      </x:c>
      <x:c r="O1657" s="54" t="n">
        <x:f>ROUND(N1657*(1-M1657),2)</x:f>
        <x:v>836.98</x:v>
      </x:c>
      <x:c r="P1657" s="54" t="n">
        <x:f>ROUND(J1657*L1657,2)</x:f>
        <x:v>368.3</x:v>
      </x:c>
      <x:c r="Q1657" s="54" t="n">
        <x:f>ROUND(O1657-P1657,2)</x:f>
        <x:v>468.68</x:v>
      </x:c>
      <x:c r="R1657" s="55" t="n">
        <x:f>IF(O1657=0,0,ROUND(Q1657/O1657,4))</x:f>
        <x:v>0.56</x:v>
      </x:c>
      <x:c r="S1657" s="53" t="n">
        <x:v>9</x:v>
      </x:c>
      <x:c r="T1657" t="str">
        <x:v>Entregue</x:v>
      </x:c>
      <x:c r="U1657" t="n">
        <x:v>5</x:v>
      </x:c>
      <x:c r="V1657" t="str"/>
    </x:row>
    <x:row r="1658">
      <x:c r="A1658" s="52" t="n">
        <x:v>46173</x:v>
      </x:c>
      <x:c r="B1658" t="str">
        <x:v>PED-101657</x:v>
      </x:c>
      <x:c r="C1658" t="str">
        <x:v>Cliente 120</x:v>
      </x:c>
      <x:c r="D1658" t="str">
        <x:v>PA</x:v>
      </x:c>
      <x:c r="E1658" t="str">
        <x:v>Norte</x:v>
      </x:c>
      <x:c r="F1658" t="str">
        <x:v>E-commerce</x:v>
      </x:c>
      <x:c r="G1658" t="str">
        <x:v>Acessórios</x:v>
      </x:c>
      <x:c r="H1658" t="str">
        <x:v>Hub USB-C</x:v>
      </x:c>
      <x:c r="I1658" t="str">
        <x:v>Gabriela</x:v>
      </x:c>
      <x:c r="J1658" s="53" t="n">
        <x:v>4</x:v>
      </x:c>
      <x:c r="K1658" s="54" t="n">
        <x:v>309.24</x:v>
      </x:c>
      <x:c r="L1658" s="54" t="n">
        <x:v>137.04</x:v>
      </x:c>
      <x:c r="M1658" s="55" t="n">
        <x:v>0</x:v>
      </x:c>
      <x:c r="N1658" s="54" t="n">
        <x:f>ROUND(J1658*K1658,2)</x:f>
        <x:v>1236.96</x:v>
      </x:c>
      <x:c r="O1658" s="54" t="n">
        <x:f>ROUND(N1658*(1-M1658),2)</x:f>
        <x:v>1236.96</x:v>
      </x:c>
      <x:c r="P1658" s="54" t="n">
        <x:f>ROUND(J1658*L1658,2)</x:f>
        <x:v>548.16</x:v>
      </x:c>
      <x:c r="Q1658" s="54" t="n">
        <x:f>ROUND(O1658-P1658,2)</x:f>
        <x:v>688.8</x:v>
      </x:c>
      <x:c r="R1658" s="55" t="n">
        <x:f>IF(O1658=0,0,ROUND(Q1658/O1658,4))</x:f>
        <x:v>0.5568</x:v>
      </x:c>
      <x:c r="S1658" s="53" t="n">
        <x:v>12</x:v>
      </x:c>
      <x:c r="T1658" t="str">
        <x:v>Entregue com atraso</x:v>
      </x:c>
      <x:c r="U1658" t="n">
        <x:v>5</x:v>
      </x:c>
      <x:c r="V1658" t="str"/>
    </x:row>
    <x:row r="1659">
      <x:c r="A1659" s="52" t="n">
        <x:v>46214</x:v>
      </x:c>
      <x:c r="B1659" t="str">
        <x:v>PED-101658</x:v>
      </x:c>
      <x:c r="C1659" t="str">
        <x:v>Cliente 104</x:v>
      </x:c>
      <x:c r="D1659" t="str">
        <x:v>SP</x:v>
      </x:c>
      <x:c r="E1659" t="str">
        <x:v>Sudeste</x:v>
      </x:c>
      <x:c r="F1659" t="str">
        <x:v>Marketplace</x:v>
      </x:c>
      <x:c r="G1659" t="str">
        <x:v>Escritório</x:v>
      </x:c>
      <x:c r="H1659" t="str">
        <x:v>Luminária LED</x:v>
      </x:c>
      <x:c r="I1659" t="str">
        <x:v>Isabela</x:v>
      </x:c>
      <x:c r="J1659" s="53" t="n">
        <x:v>8</x:v>
      </x:c>
      <x:c r="K1659" s="54" t="n">
        <x:v>264.01</x:v>
      </x:c>
      <x:c r="L1659" s="54" t="n">
        <x:v>116.31</x:v>
      </x:c>
      <x:c r="M1659" s="55" t="n">
        <x:v>0.035</x:v>
      </x:c>
      <x:c r="N1659" s="54" t="n">
        <x:f>ROUND(J1659*K1659,2)</x:f>
        <x:v>2112.08</x:v>
      </x:c>
      <x:c r="O1659" s="54" t="n">
        <x:f>ROUND(N1659*(1-M1659),2)</x:f>
        <x:v>2038.16</x:v>
      </x:c>
      <x:c r="P1659" s="54" t="n">
        <x:f>ROUND(J1659*L1659,2)</x:f>
        <x:v>930.48</x:v>
      </x:c>
      <x:c r="Q1659" s="54" t="n">
        <x:f>ROUND(O1659-P1659,2)</x:f>
        <x:v>1107.68</x:v>
      </x:c>
      <x:c r="R1659" s="55" t="n">
        <x:f>IF(O1659=0,0,ROUND(Q1659/O1659,4))</x:f>
        <x:v>0.5435</x:v>
      </x:c>
      <x:c r="S1659" s="53" t="n">
        <x:v>3</x:v>
      </x:c>
      <x:c r="T1659" t="str">
        <x:v>Entregue</x:v>
      </x:c>
      <x:c r="U1659" t="n">
        <x:v>3</x:v>
      </x:c>
      <x:c r="V1659" t="str"/>
    </x:row>
    <x:row r="1660">
      <x:c r="A1660" s="52" t="n">
        <x:v>46073</x:v>
      </x:c>
      <x:c r="B1660" t="str">
        <x:v>PED-101659</x:v>
      </x:c>
      <x:c r="C1660" t="str">
        <x:v>Cliente 055</x:v>
      </x:c>
      <x:c r="D1660" t="str">
        <x:v>RS</x:v>
      </x:c>
      <x:c r="E1660" t="str">
        <x:v>Sul</x:v>
      </x:c>
      <x:c r="F1660" t="str">
        <x:v>Loja</x:v>
      </x:c>
      <x:c r="G1660" t="str">
        <x:v>Acessórios</x:v>
      </x:c>
      <x:c r="H1660" t="str">
        <x:v>Webcam HD</x:v>
      </x:c>
      <x:c r="I1660" t="str">
        <x:v>Ana</x:v>
      </x:c>
      <x:c r="J1660" s="53" t="n">
        <x:v>8</x:v>
      </x:c>
      <x:c r="K1660" s="54" t="n">
        <x:v>510.8</x:v>
      </x:c>
      <x:c r="L1660" s="54" t="n">
        <x:v>250.35</x:v>
      </x:c>
      <x:c r="M1660" s="55" t="n">
        <x:v>0.0191</x:v>
      </x:c>
      <x:c r="N1660" s="54" t="n">
        <x:f>ROUND(J1660*K1660,2)</x:f>
        <x:v>4086.4</x:v>
      </x:c>
      <x:c r="O1660" s="54" t="n">
        <x:f>ROUND(N1660*(1-M1660),2)</x:f>
        <x:v>4008.35</x:v>
      </x:c>
      <x:c r="P1660" s="54" t="n">
        <x:f>ROUND(J1660*L1660,2)</x:f>
        <x:v>2002.8</x:v>
      </x:c>
      <x:c r="Q1660" s="54" t="n">
        <x:f>ROUND(O1660-P1660,2)</x:f>
        <x:v>2005.55</x:v>
      </x:c>
      <x:c r="R1660" s="55" t="n">
        <x:f>IF(O1660=0,0,ROUND(Q1660/O1660,4))</x:f>
        <x:v>0.5003</x:v>
      </x:c>
      <x:c r="S1660" s="53" t="n">
        <x:v>14</x:v>
      </x:c>
      <x:c r="T1660" t="str">
        <x:v>Entregue com atraso</x:v>
      </x:c>
      <x:c r="U1660" t="n">
        <x:v>5</x:v>
      </x:c>
      <x:c r="V1660" t="str"/>
    </x:row>
    <x:row r="1661">
      <x:c r="A1661" s="52" t="n">
        <x:v>46136</x:v>
      </x:c>
      <x:c r="B1661" t="str">
        <x:v>PED-101660</x:v>
      </x:c>
      <x:c r="C1661" t="str">
        <x:v>Cliente 098</x:v>
      </x:c>
      <x:c r="D1661" t="str">
        <x:v>MT</x:v>
      </x:c>
      <x:c r="E1661" t="str">
        <x:v>Centro-Oeste</x:v>
      </x:c>
      <x:c r="F1661" t="str">
        <x:v>Televendas</x:v>
      </x:c>
      <x:c r="G1661" t="str">
        <x:v>Escritório</x:v>
      </x:c>
      <x:c r="H1661" t="str">
        <x:v>Cadeira Ergonômica</x:v>
      </x:c>
      <x:c r="I1661" t="str">
        <x:v>Diego</x:v>
      </x:c>
      <x:c r="J1661" s="53" t="n">
        <x:v>3</x:v>
      </x:c>
      <x:c r="K1661" s="54" t="n">
        <x:v>2090.03</x:v>
      </x:c>
      <x:c r="L1661" s="54" t="n">
        <x:v>1458.18</x:v>
      </x:c>
      <x:c r="M1661" s="55" t="n">
        <x:v>0</x:v>
      </x:c>
      <x:c r="N1661" s="54" t="n">
        <x:f>ROUND(J1661*K1661,2)</x:f>
        <x:v>6270.09</x:v>
      </x:c>
      <x:c r="O1661" s="54" t="n">
        <x:f>ROUND(N1661*(1-M1661),2)</x:f>
        <x:v>6270.09</x:v>
      </x:c>
      <x:c r="P1661" s="54" t="n">
        <x:f>ROUND(J1661*L1661,2)</x:f>
        <x:v>4374.54</x:v>
      </x:c>
      <x:c r="Q1661" s="54" t="n">
        <x:f>ROUND(O1661-P1661,2)</x:f>
        <x:v>1895.55</x:v>
      </x:c>
      <x:c r="R1661" s="55" t="n">
        <x:f>IF(O1661=0,0,ROUND(Q1661/O1661,4))</x:f>
        <x:v>0.3023</x:v>
      </x:c>
      <x:c r="S1661" s="53" t="n">
        <x:v>7</x:v>
      </x:c>
      <x:c r="T1661" t="str">
        <x:v>Entregue</x:v>
      </x:c>
      <x:c r="U1661" t="n">
        <x:v>4</x:v>
      </x:c>
      <x:c r="V1661" t="str"/>
    </x:row>
    <x:row r="1662">
      <x:c r="A1662" s="52" t="n">
        <x:v>46135</x:v>
      </x:c>
      <x:c r="B1662" t="str">
        <x:v>PED-101661</x:v>
      </x:c>
      <x:c r="C1662" t="str">
        <x:v>Cliente 113</x:v>
      </x:c>
      <x:c r="D1662" t="str">
        <x:v>RS</x:v>
      </x:c>
      <x:c r="E1662" t="str">
        <x:v>Sul</x:v>
      </x:c>
      <x:c r="F1662" t="str">
        <x:v>Televendas</x:v>
      </x:c>
      <x:c r="G1662" t="str">
        <x:v>Tecnologia</x:v>
      </x:c>
      <x:c r="H1662" t="str">
        <x:v>Monitor 27</x:v>
      </x:c>
      <x:c r="I1662" t="str">
        <x:v>Elaine</x:v>
      </x:c>
      <x:c r="J1662" s="53" t="n">
        <x:v>1</x:v>
      </x:c>
      <x:c r="K1662" s="54" t="n">
        <x:v>1600.67</x:v>
      </x:c>
      <x:c r="L1662" s="54" t="n">
        <x:v>1122.24</x:v>
      </x:c>
      <x:c r="M1662" s="55" t="n">
        <x:v>0.0486</x:v>
      </x:c>
      <x:c r="N1662" s="54" t="n">
        <x:f>ROUND(J1662*K1662,2)</x:f>
        <x:v>1600.67</x:v>
      </x:c>
      <x:c r="O1662" s="54" t="n">
        <x:f>ROUND(N1662*(1-M1662),2)</x:f>
        <x:v>1522.88</x:v>
      </x:c>
      <x:c r="P1662" s="54" t="n">
        <x:f>ROUND(J1662*L1662,2)</x:f>
        <x:v>1122.24</x:v>
      </x:c>
      <x:c r="Q1662" s="54" t="n">
        <x:f>ROUND(O1662-P1662,2)</x:f>
        <x:v>400.64</x:v>
      </x:c>
      <x:c r="R1662" s="55" t="n">
        <x:f>IF(O1662=0,0,ROUND(Q1662/O1662,4))</x:f>
        <x:v>0.2631</x:v>
      </x:c>
      <x:c r="S1662" s="53" t="n">
        <x:v>11</x:v>
      </x:c>
      <x:c r="T1662" t="str">
        <x:v>Cancelado</x:v>
      </x:c>
      <x:c r="U1662"/>
      <x:c r="V1662" t="str"/>
    </x:row>
    <x:row r="1663">
      <x:c r="A1663" s="52" t="n">
        <x:v>46119</x:v>
      </x:c>
      <x:c r="B1663" t="str">
        <x:v>PED-101662</x:v>
      </x:c>
      <x:c r="C1663" t="str">
        <x:v>Cliente 005</x:v>
      </x:c>
      <x:c r="D1663" t="str">
        <x:v>PR</x:v>
      </x:c>
      <x:c r="E1663" t="str">
        <x:v>Sul</x:v>
      </x:c>
      <x:c r="F1663" t="str">
        <x:v>Televendas</x:v>
      </x:c>
      <x:c r="G1663" t="str">
        <x:v>Acessórios</x:v>
      </x:c>
      <x:c r="H1663" t="str">
        <x:v>Webcam HD</x:v>
      </x:c>
      <x:c r="I1663" t="str">
        <x:v>Carla</x:v>
      </x:c>
      <x:c r="J1663" s="53" t="n">
        <x:v>8</x:v>
      </x:c>
      <x:c r="K1663" s="54" t="n">
        <x:v>517.27</x:v>
      </x:c>
      <x:c r="L1663" s="54" t="n">
        <x:v>235.39</x:v>
      </x:c>
      <x:c r="M1663" s="55" t="n">
        <x:v>0</x:v>
      </x:c>
      <x:c r="N1663" s="54" t="n">
        <x:f>ROUND(J1663*K1663,2)</x:f>
        <x:v>4138.16</x:v>
      </x:c>
      <x:c r="O1663" s="54" t="n">
        <x:f>ROUND(N1663*(1-M1663),2)</x:f>
        <x:v>4138.16</x:v>
      </x:c>
      <x:c r="P1663" s="54" t="n">
        <x:f>ROUND(J1663*L1663,2)</x:f>
        <x:v>1883.12</x:v>
      </x:c>
      <x:c r="Q1663" s="54" t="n">
        <x:f>ROUND(O1663-P1663,2)</x:f>
        <x:v>2255.04</x:v>
      </x:c>
      <x:c r="R1663" s="55" t="n">
        <x:f>IF(O1663=0,0,ROUND(Q1663/O1663,4))</x:f>
        <x:v>0.5449</x:v>
      </x:c>
      <x:c r="S1663" s="53" t="n">
        <x:v>11</x:v>
      </x:c>
      <x:c r="T1663" t="str">
        <x:v>Entregue com atraso</x:v>
      </x:c>
      <x:c r="U1663" t="n">
        <x:v>3</x:v>
      </x:c>
      <x:c r="V1663" t="str"/>
    </x:row>
    <x:row r="1664">
      <x:c r="A1664" s="52" t="n">
        <x:v>46067</x:v>
      </x:c>
      <x:c r="B1664" t="str">
        <x:v>PED-101663</x:v>
      </x:c>
      <x:c r="C1664" t="str">
        <x:v>Cliente 035</x:v>
      </x:c>
      <x:c r="D1664" t="str">
        <x:v>PE</x:v>
      </x:c>
      <x:c r="E1664" t="str">
        <x:v>Nordeste</x:v>
      </x:c>
      <x:c r="F1664" t="str">
        <x:v>E-commerce</x:v>
      </x:c>
      <x:c r="G1664" t="str">
        <x:v>Acessórios</x:v>
      </x:c>
      <x:c r="H1664" t="str">
        <x:v>Mochila Executiva</x:v>
      </x:c>
      <x:c r="I1664" t="str">
        <x:v>Elaine</x:v>
      </x:c>
      <x:c r="J1664" s="53" t="n">
        <x:v>3</x:v>
      </x:c>
      <x:c r="K1664" s="54" t="n">
        <x:v>436.57</x:v>
      </x:c>
      <x:c r="L1664" s="54" t="n">
        <x:v>197.61</x:v>
      </x:c>
      <x:c r="M1664" s="55" t="n">
        <x:v>0</x:v>
      </x:c>
      <x:c r="N1664" s="54" t="n">
        <x:f>ROUND(J1664*K1664,2)</x:f>
        <x:v>1309.71</x:v>
      </x:c>
      <x:c r="O1664" s="54" t="n">
        <x:f>ROUND(N1664*(1-M1664),2)</x:f>
        <x:v>1309.71</x:v>
      </x:c>
      <x:c r="P1664" s="54" t="n">
        <x:f>ROUND(J1664*L1664,2)</x:f>
        <x:v>592.83</x:v>
      </x:c>
      <x:c r="Q1664" s="54" t="n">
        <x:f>ROUND(O1664-P1664,2)</x:f>
        <x:v>716.88</x:v>
      </x:c>
      <x:c r="R1664" s="55" t="n">
        <x:f>IF(O1664=0,0,ROUND(Q1664/O1664,4))</x:f>
        <x:v>0.5474</x:v>
      </x:c>
      <x:c r="S1664" s="53" t="n">
        <x:v>9</x:v>
      </x:c>
      <x:c r="T1664" t="str">
        <x:v>Entregue</x:v>
      </x:c>
      <x:c r="U1664" t="n">
        <x:v>3</x:v>
      </x:c>
      <x:c r="V1664" t="str"/>
    </x:row>
    <x:row r="1665">
      <x:c r="A1665" s="52" t="n">
        <x:v>46113</x:v>
      </x:c>
      <x:c r="B1665" t="str">
        <x:v>PED-101664</x:v>
      </x:c>
      <x:c r="C1665" t="str">
        <x:v>Cliente 107</x:v>
      </x:c>
      <x:c r="D1665" t="str">
        <x:v>RJ</x:v>
      </x:c>
      <x:c r="E1665" t="str">
        <x:v>Sudeste</x:v>
      </x:c>
      <x:c r="F1665" t="str">
        <x:v>E-commerce</x:v>
      </x:c>
      <x:c r="G1665" t="str">
        <x:v>Escritório</x:v>
      </x:c>
      <x:c r="H1665" t="str">
        <x:v>Mesa Ajustável</x:v>
      </x:c>
      <x:c r="I1665" t="str">
        <x:v>Bruno</x:v>
      </x:c>
      <x:c r="J1665" s="53" t="n">
        <x:v>8</x:v>
      </x:c>
      <x:c r="K1665" s="54" t="n">
        <x:v>2640.81</x:v>
      </x:c>
      <x:c r="L1665" s="54" t="n">
        <x:v>1865.74</x:v>
      </x:c>
      <x:c r="M1665" s="55" t="n">
        <x:v>0.0737</x:v>
      </x:c>
      <x:c r="N1665" s="54" t="n">
        <x:f>ROUND(J1665*K1665,2)</x:f>
        <x:v>21126.48</x:v>
      </x:c>
      <x:c r="O1665" s="54" t="n">
        <x:f>ROUND(N1665*(1-M1665),2)</x:f>
        <x:v>19569.46</x:v>
      </x:c>
      <x:c r="P1665" s="54" t="n">
        <x:f>ROUND(J1665*L1665,2)</x:f>
        <x:v>14925.92</x:v>
      </x:c>
      <x:c r="Q1665" s="54" t="n">
        <x:f>ROUND(O1665-P1665,2)</x:f>
        <x:v>4643.54</x:v>
      </x:c>
      <x:c r="R1665" s="55" t="n">
        <x:f>IF(O1665=0,0,ROUND(Q1665/O1665,4))</x:f>
        <x:v>0.2373</x:v>
      </x:c>
      <x:c r="S1665" s="53" t="n">
        <x:v>13</x:v>
      </x:c>
      <x:c r="T1665" t="str">
        <x:v>Entregue com atraso</x:v>
      </x:c>
      <x:c r="U1665" t="n">
        <x:v>5</x:v>
      </x:c>
      <x:c r="V1665" t="str"/>
    </x:row>
    <x:row r="1666">
      <x:c r="A1666" s="52" t="n">
        <x:v>46181</x:v>
      </x:c>
      <x:c r="B1666" t="str">
        <x:v>PED-101665</x:v>
      </x:c>
      <x:c r="C1666" t="str">
        <x:v>Cliente 090</x:v>
      </x:c>
      <x:c r="D1666" t="str">
        <x:v>SP</x:v>
      </x:c>
      <x:c r="E1666" t="str">
        <x:v>Sudeste</x:v>
      </x:c>
      <x:c r="F1666" t="str">
        <x:v>E-commerce</x:v>
      </x:c>
      <x:c r="G1666" t="str">
        <x:v>Casa</x:v>
      </x:c>
      <x:c r="H1666" t="str">
        <x:v>Cafeteira Smart</x:v>
      </x:c>
      <x:c r="I1666" t="str">
        <x:v>Diego</x:v>
      </x:c>
      <x:c r="J1666" s="53" t="n">
        <x:v>4</x:v>
      </x:c>
      <x:c r="K1666" s="54" t="n">
        <x:v>798.73</x:v>
      </x:c>
      <x:c r="L1666" s="54" t="n">
        <x:v>474.82</x:v>
      </x:c>
      <x:c r="M1666" s="55" t="n">
        <x:v>0</x:v>
      </x:c>
      <x:c r="N1666" s="54" t="n">
        <x:f>ROUND(J1666*K1666,2)</x:f>
        <x:v>3194.92</x:v>
      </x:c>
      <x:c r="O1666" s="54" t="n">
        <x:f>ROUND(N1666*(1-M1666),2)</x:f>
        <x:v>3194.92</x:v>
      </x:c>
      <x:c r="P1666" s="54" t="n">
        <x:f>ROUND(J1666*L1666,2)</x:f>
        <x:v>1899.28</x:v>
      </x:c>
      <x:c r="Q1666" s="54" t="n">
        <x:f>ROUND(O1666-P1666,2)</x:f>
        <x:v>1295.64</x:v>
      </x:c>
      <x:c r="R1666" s="55" t="n">
        <x:f>IF(O1666=0,0,ROUND(Q1666/O1666,4))</x:f>
        <x:v>0.4055</x:v>
      </x:c>
      <x:c r="S1666" s="53" t="n">
        <x:v>6</x:v>
      </x:c>
      <x:c r="T1666" t="str">
        <x:v>Entregue</x:v>
      </x:c>
      <x:c r="U1666" t="n">
        <x:v>4</x:v>
      </x:c>
      <x:c r="V1666" t="str"/>
    </x:row>
    <x:row r="1667">
      <x:c r="A1667" s="52" t="n">
        <x:v>46215</x:v>
      </x:c>
      <x:c r="B1667" t="str">
        <x:v>PED-101666</x:v>
      </x:c>
      <x:c r="C1667" t="str">
        <x:v>Cliente 040</x:v>
      </x:c>
      <x:c r="D1667" t="str">
        <x:v>RS</x:v>
      </x:c>
      <x:c r="E1667" t="str">
        <x:v>Sul</x:v>
      </x:c>
      <x:c r="F1667" t="str">
        <x:v>Loja</x:v>
      </x:c>
      <x:c r="G1667" t="str">
        <x:v>Casa</x:v>
      </x:c>
      <x:c r="H1667" t="str">
        <x:v>Aspirador Robô</x:v>
      </x:c>
      <x:c r="I1667" t="str">
        <x:v>Isabela</x:v>
      </x:c>
      <x:c r="J1667" s="53" t="n">
        <x:v>5</x:v>
      </x:c>
      <x:c r="K1667" s="54" t="n">
        <x:v>1976.61</x:v>
      </x:c>
      <x:c r="L1667" s="54" t="n">
        <x:v>1173.46</x:v>
      </x:c>
      <x:c r="M1667" s="55" t="n">
        <x:v>0.0083</x:v>
      </x:c>
      <x:c r="N1667" s="54" t="n">
        <x:f>ROUND(J1667*K1667,2)</x:f>
        <x:v>9883.05</x:v>
      </x:c>
      <x:c r="O1667" s="54" t="n">
        <x:f>ROUND(N1667*(1-M1667),2)</x:f>
        <x:v>9801.02</x:v>
      </x:c>
      <x:c r="P1667" s="54" t="n">
        <x:f>ROUND(J1667*L1667,2)</x:f>
        <x:v>5867.3</x:v>
      </x:c>
      <x:c r="Q1667" s="54" t="n">
        <x:f>ROUND(O1667-P1667,2)</x:f>
        <x:v>3933.72</x:v>
      </x:c>
      <x:c r="R1667" s="55" t="n">
        <x:f>IF(O1667=0,0,ROUND(Q1667/O1667,4))</x:f>
        <x:v>0.4014</x:v>
      </x:c>
      <x:c r="S1667" s="53" t="n">
        <x:v>3</x:v>
      </x:c>
      <x:c r="T1667" t="str">
        <x:v>Entregue</x:v>
      </x:c>
      <x:c r="U1667" t="n">
        <x:v>4</x:v>
      </x:c>
      <x:c r="V1667" t="str"/>
    </x:row>
    <x:row r="1668">
      <x:c r="A1668" s="52" t="n">
        <x:v>46104</x:v>
      </x:c>
      <x:c r="B1668" t="str">
        <x:v>PED-101667</x:v>
      </x:c>
      <x:c r="C1668" t="str">
        <x:v>Cliente 040</x:v>
      </x:c>
      <x:c r="D1668" t="str">
        <x:v>SP</x:v>
      </x:c>
      <x:c r="E1668" t="str">
        <x:v>Sudeste</x:v>
      </x:c>
      <x:c r="F1668" t="str">
        <x:v>Televendas</x:v>
      </x:c>
      <x:c r="G1668" t="str">
        <x:v>Tecnologia</x:v>
      </x:c>
      <x:c r="H1668" t="str">
        <x:v>Monitor 27</x:v>
      </x:c>
      <x:c r="I1668" t="str">
        <x:v>Felipe</x:v>
      </x:c>
      <x:c r="J1668" s="53" t="n">
        <x:v>4</x:v>
      </x:c>
      <x:c r="K1668" s="54" t="n">
        <x:v>1634.79</x:v>
      </x:c>
      <x:c r="L1668" s="54" t="n">
        <x:v>1120.48</x:v>
      </x:c>
      <x:c r="M1668" s="55" t="n">
        <x:v>0.1185</x:v>
      </x:c>
      <x:c r="N1668" s="54" t="n">
        <x:f>ROUND(J1668*K1668,2)</x:f>
        <x:v>6539.16</x:v>
      </x:c>
      <x:c r="O1668" s="54" t="n">
        <x:f>ROUND(N1668*(1-M1668),2)</x:f>
        <x:v>5764.27</x:v>
      </x:c>
      <x:c r="P1668" s="54" t="n">
        <x:f>ROUND(J1668*L1668,2)</x:f>
        <x:v>4481.92</x:v>
      </x:c>
      <x:c r="Q1668" s="54" t="n">
        <x:f>ROUND(O1668-P1668,2)</x:f>
        <x:v>1282.35</x:v>
      </x:c>
      <x:c r="R1668" s="55" t="n">
        <x:f>IF(O1668=0,0,ROUND(Q1668/O1668,4))</x:f>
        <x:v>0.2225</x:v>
      </x:c>
      <x:c r="S1668" s="53" t="n">
        <x:v>2</x:v>
      </x:c>
      <x:c r="T1668" t="str">
        <x:v>Entregue</x:v>
      </x:c>
      <x:c r="U1668" t="n">
        <x:v>3</x:v>
      </x:c>
      <x:c r="V1668" t="str"/>
    </x:row>
    <x:row r="1669">
      <x:c r="A1669" s="52" t="n">
        <x:v>46156</x:v>
      </x:c>
      <x:c r="B1669" t="str">
        <x:v>PED-101668</x:v>
      </x:c>
      <x:c r="C1669" t="str">
        <x:v>Cliente 009</x:v>
      </x:c>
      <x:c r="D1669" t="str">
        <x:v>RS</x:v>
      </x:c>
      <x:c r="E1669" t="str">
        <x:v>Sul</x:v>
      </x:c>
      <x:c r="F1669" t="str">
        <x:v>Marketplace</x:v>
      </x:c>
      <x:c r="G1669" t="str">
        <x:v>Tecnologia</x:v>
      </x:c>
      <x:c r="H1669" t="str">
        <x:v>Headset Office</x:v>
      </x:c>
      <x:c r="I1669" t="str">
        <x:v>Carla</x:v>
      </x:c>
      <x:c r="J1669" s="53" t="n">
        <x:v>6</x:v>
      </x:c>
      <x:c r="K1669" s="54" t="n">
        <x:v>390.93</x:v>
      </x:c>
      <x:c r="L1669" s="54" t="n">
        <x:v>218.52</x:v>
      </x:c>
      <x:c r="M1669" s="55" t="n">
        <x:v>0.0765</x:v>
      </x:c>
      <x:c r="N1669" s="54" t="n">
        <x:f>ROUND(J1669*K1669,2)</x:f>
        <x:v>2345.58</x:v>
      </x:c>
      <x:c r="O1669" s="54" t="n">
        <x:f>ROUND(N1669*(1-M1669),2)</x:f>
        <x:v>2166.14</x:v>
      </x:c>
      <x:c r="P1669" s="54" t="n">
        <x:f>ROUND(J1669*L1669,2)</x:f>
        <x:v>1311.12</x:v>
      </x:c>
      <x:c r="Q1669" s="54" t="n">
        <x:f>ROUND(O1669-P1669,2)</x:f>
        <x:v>855.02</x:v>
      </x:c>
      <x:c r="R1669" s="55" t="n">
        <x:f>IF(O1669=0,0,ROUND(Q1669/O1669,4))</x:f>
        <x:v>0.3947</x:v>
      </x:c>
      <x:c r="S1669" s="53" t="n">
        <x:v>4</x:v>
      </x:c>
      <x:c r="T1669" t="str">
        <x:v>Entregue</x:v>
      </x:c>
      <x:c r="U1669" t="n">
        <x:v>2</x:v>
      </x:c>
      <x:c r="V1669" t="str"/>
    </x:row>
    <x:row r="1670">
      <x:c r="A1670" s="52" t="n">
        <x:v>46193</x:v>
      </x:c>
      <x:c r="B1670" t="str">
        <x:v>PED-101669</x:v>
      </x:c>
      <x:c r="C1670" t="str">
        <x:v>Cliente 038</x:v>
      </x:c>
      <x:c r="D1670" t="str">
        <x:v>BA</x:v>
      </x:c>
      <x:c r="E1670" t="str">
        <x:v>Nordeste</x:v>
      </x:c>
      <x:c r="F1670" t="str">
        <x:v>E-commerce</x:v>
      </x:c>
      <x:c r="G1670" t="str">
        <x:v>Escritório</x:v>
      </x:c>
      <x:c r="H1670" t="str">
        <x:v>Luminária LED</x:v>
      </x:c>
      <x:c r="I1670" t="str">
        <x:v>Henrique</x:v>
      </x:c>
      <x:c r="J1670" s="53" t="n">
        <x:v>3</x:v>
      </x:c>
      <x:c r="K1670" s="54" t="n">
        <x:v>251.63</x:v>
      </x:c>
      <x:c r="L1670" s="54" t="n">
        <x:v>117.98</x:v>
      </x:c>
      <x:c r="M1670" s="55" t="n">
        <x:v>0.0333</x:v>
      </x:c>
      <x:c r="N1670" s="54" t="n">
        <x:f>ROUND(J1670*K1670,2)</x:f>
        <x:v>754.89</x:v>
      </x:c>
      <x:c r="O1670" s="54" t="n">
        <x:f>ROUND(N1670*(1-M1670),2)</x:f>
        <x:v>729.75</x:v>
      </x:c>
      <x:c r="P1670" s="54" t="n">
        <x:f>ROUND(J1670*L1670,2)</x:f>
        <x:v>353.94</x:v>
      </x:c>
      <x:c r="Q1670" s="54" t="n">
        <x:f>ROUND(O1670-P1670,2)</x:f>
        <x:v>375.81</x:v>
      </x:c>
      <x:c r="R1670" s="55" t="n">
        <x:f>IF(O1670=0,0,ROUND(Q1670/O1670,4))</x:f>
        <x:v>0.515</x:v>
      </x:c>
      <x:c r="S1670" s="53" t="n">
        <x:v>7</x:v>
      </x:c>
      <x:c r="T1670" t="str">
        <x:v>Entregue</x:v>
      </x:c>
      <x:c r="U1670" t="n">
        <x:v>4</x:v>
      </x:c>
      <x:c r="V1670" t="str"/>
    </x:row>
    <x:row r="1671">
      <x:c r="A1671" s="52" t="n">
        <x:v>46205</x:v>
      </x:c>
      <x:c r="B1671" t="str">
        <x:v>PED-101670</x:v>
      </x:c>
      <x:c r="C1671" t="str">
        <x:v>Cliente 071</x:v>
      </x:c>
      <x:c r="D1671" t="str">
        <x:v>PA</x:v>
      </x:c>
      <x:c r="E1671" t="str">
        <x:v>Norte</x:v>
      </x:c>
      <x:c r="F1671" t="str">
        <x:v>Televendas</x:v>
      </x:c>
      <x:c r="G1671" t="str">
        <x:v>Tecnologia</x:v>
      </x:c>
      <x:c r="H1671" t="str">
        <x:v>Notebook Pro</x:v>
      </x:c>
      <x:c r="I1671" t="str">
        <x:v>Bruno</x:v>
      </x:c>
      <x:c r="J1671" s="53" t="n">
        <x:v>3</x:v>
      </x:c>
      <x:c r="K1671" s="54" t="n">
        <x:v>5541.76</x:v>
      </x:c>
      <x:c r="L1671" s="54" t="n">
        <x:v>4412.49</x:v>
      </x:c>
      <x:c r="M1671" s="55" t="n">
        <x:v>0.0916</x:v>
      </x:c>
      <x:c r="N1671" s="54" t="n">
        <x:f>ROUND(J1671*K1671,2)</x:f>
        <x:v>16625.28</x:v>
      </x:c>
      <x:c r="O1671" s="54" t="n">
        <x:f>ROUND(N1671*(1-M1671),2)</x:f>
        <x:v>15102.4</x:v>
      </x:c>
      <x:c r="P1671" s="54" t="n">
        <x:f>ROUND(J1671*L1671,2)</x:f>
        <x:v>13237.47</x:v>
      </x:c>
      <x:c r="Q1671" s="54" t="n">
        <x:f>ROUND(O1671-P1671,2)</x:f>
        <x:v>1864.93</x:v>
      </x:c>
      <x:c r="R1671" s="55" t="n">
        <x:f>IF(O1671=0,0,ROUND(Q1671/O1671,4))</x:f>
        <x:v>0.1235</x:v>
      </x:c>
      <x:c r="S1671" s="53" t="n">
        <x:v>9</x:v>
      </x:c>
      <x:c r="T1671" t="str">
        <x:v>Cancelado</x:v>
      </x:c>
      <x:c r="U1671"/>
      <x:c r="V1671" t="str"/>
    </x:row>
    <x:row r="1672">
      <x:c r="A1672" s="52" t="n">
        <x:v>46053</x:v>
      </x:c>
      <x:c r="B1672" t="str">
        <x:v>PED-101671</x:v>
      </x:c>
      <x:c r="C1672" t="str">
        <x:v>Cliente 091</x:v>
      </x:c>
      <x:c r="D1672" t="str">
        <x:v>CE</x:v>
      </x:c>
      <x:c r="E1672" t="str">
        <x:v>Nordeste</x:v>
      </x:c>
      <x:c r="F1672" t="str">
        <x:v>Televendas</x:v>
      </x:c>
      <x:c r="G1672" t="str">
        <x:v>Acessórios</x:v>
      </x:c>
      <x:c r="H1672" t="str">
        <x:v>Hub USB-C</x:v>
      </x:c>
      <x:c r="I1672" t="str">
        <x:v>João</x:v>
      </x:c>
      <x:c r="J1672" s="53" t="n">
        <x:v>4</x:v>
      </x:c>
      <x:c r="K1672" s="54" t="n">
        <x:v>330.73</x:v>
      </x:c>
      <x:c r="L1672" s="54" t="n">
        <x:v>134.41</x:v>
      </x:c>
      <x:c r="M1672" s="55" t="n">
        <x:v>0</x:v>
      </x:c>
      <x:c r="N1672" s="54" t="n">
        <x:f>ROUND(J1672*K1672,2)</x:f>
        <x:v>1322.92</x:v>
      </x:c>
      <x:c r="O1672" s="54" t="n">
        <x:f>ROUND(N1672*(1-M1672),2)</x:f>
        <x:v>1322.92</x:v>
      </x:c>
      <x:c r="P1672" s="54" t="n">
        <x:f>ROUND(J1672*L1672,2)</x:f>
        <x:v>537.64</x:v>
      </x:c>
      <x:c r="Q1672" s="54" t="n">
        <x:f>ROUND(O1672-P1672,2)</x:f>
        <x:v>785.28</x:v>
      </x:c>
      <x:c r="R1672" s="55" t="n">
        <x:f>IF(O1672=0,0,ROUND(Q1672/O1672,4))</x:f>
        <x:v>0.5936</x:v>
      </x:c>
      <x:c r="S1672" s="53" t="n">
        <x:v>13</x:v>
      </x:c>
      <x:c r="T1672" t="str">
        <x:v>Entregue com atraso</x:v>
      </x:c>
      <x:c r="U1672" t="n">
        <x:v>3</x:v>
      </x:c>
      <x:c r="V1672" t="str"/>
    </x:row>
    <x:row r="1673">
      <x:c r="A1673" s="52" t="n">
        <x:v>46037</x:v>
      </x:c>
      <x:c r="B1673" t="str">
        <x:v>PED-101672</x:v>
      </x:c>
      <x:c r="C1673" t="str">
        <x:v>Cliente 011</x:v>
      </x:c>
      <x:c r="D1673" t="str">
        <x:v>AM</x:v>
      </x:c>
      <x:c r="E1673" t="str">
        <x:v>Norte</x:v>
      </x:c>
      <x:c r="F1673" t="str">
        <x:v>Loja</x:v>
      </x:c>
      <x:c r="G1673" t="str">
        <x:v>Tecnologia</x:v>
      </x:c>
      <x:c r="H1673" t="str">
        <x:v>Notebook Pro</x:v>
      </x:c>
      <x:c r="I1673" t="str">
        <x:v>Gabriela</x:v>
      </x:c>
      <x:c r="J1673" s="53" t="n">
        <x:v>4</x:v>
      </x:c>
      <x:c r="K1673" s="54" t="n">
        <x:v>6095.16</x:v>
      </x:c>
      <x:c r="L1673" s="54" t="n">
        <x:v>4547.8</x:v>
      </x:c>
      <x:c r="M1673" s="55" t="n">
        <x:v>0.1133</x:v>
      </x:c>
      <x:c r="N1673" s="54" t="n">
        <x:f>ROUND(J1673*K1673,2)</x:f>
        <x:v>24380.64</x:v>
      </x:c>
      <x:c r="O1673" s="54" t="n">
        <x:f>ROUND(N1673*(1-M1673),2)</x:f>
        <x:v>21618.31</x:v>
      </x:c>
      <x:c r="P1673" s="54" t="n">
        <x:f>ROUND(J1673*L1673,2)</x:f>
        <x:v>18191.2</x:v>
      </x:c>
      <x:c r="Q1673" s="54" t="n">
        <x:f>ROUND(O1673-P1673,2)</x:f>
        <x:v>3427.11</x:v>
      </x:c>
      <x:c r="R1673" s="55" t="n">
        <x:f>IF(O1673=0,0,ROUND(Q1673/O1673,4))</x:f>
        <x:v>0.1585</x:v>
      </x:c>
      <x:c r="S1673" s="53" t="n">
        <x:v>8</x:v>
      </x:c>
      <x:c r="T1673" t="str">
        <x:v>Entregue</x:v>
      </x:c>
      <x:c r="U1673" t="n">
        <x:v>4</x:v>
      </x:c>
      <x:c r="V1673" t="str"/>
    </x:row>
    <x:row r="1674">
      <x:c r="A1674" s="52" t="n">
        <x:v>46067</x:v>
      </x:c>
      <x:c r="B1674" t="str">
        <x:v>PED-101673</x:v>
      </x:c>
      <x:c r="C1674" t="str">
        <x:v>Cliente 024</x:v>
      </x:c>
      <x:c r="D1674" t="str">
        <x:v>SC</x:v>
      </x:c>
      <x:c r="E1674" t="str">
        <x:v>Sul</x:v>
      </x:c>
      <x:c r="F1674" t="str">
        <x:v>Marketplace</x:v>
      </x:c>
      <x:c r="G1674" t="str">
        <x:v>Escritório</x:v>
      </x:c>
      <x:c r="H1674" t="str">
        <x:v>Mesa Ajustável</x:v>
      </x:c>
      <x:c r="I1674" t="str">
        <x:v>Felipe</x:v>
      </x:c>
      <x:c r="J1674" s="53" t="n">
        <x:v>4</x:v>
      </x:c>
      <x:c r="K1674" s="54" t="n">
        <x:v>2703.8</x:v>
      </x:c>
      <x:c r="L1674" s="54" t="n">
        <x:v>1802.76</x:v>
      </x:c>
      <x:c r="M1674" s="55" t="n">
        <x:v>0.035</x:v>
      </x:c>
      <x:c r="N1674" s="54" t="n">
        <x:f>ROUND(J1674*K1674,2)</x:f>
        <x:v>10815.2</x:v>
      </x:c>
      <x:c r="O1674" s="54" t="n">
        <x:f>ROUND(N1674*(1-M1674),2)</x:f>
        <x:v>10436.67</x:v>
      </x:c>
      <x:c r="P1674" s="54" t="n">
        <x:f>ROUND(J1674*L1674,2)</x:f>
        <x:v>7211.04</x:v>
      </x:c>
      <x:c r="Q1674" s="54" t="n">
        <x:f>ROUND(O1674-P1674,2)</x:f>
        <x:v>3225.63</x:v>
      </x:c>
      <x:c r="R1674" s="55" t="n">
        <x:f>IF(O1674=0,0,ROUND(Q1674/O1674,4))</x:f>
        <x:v>0.3091</x:v>
      </x:c>
      <x:c r="S1674" s="53" t="n">
        <x:v>6</x:v>
      </x:c>
      <x:c r="T1674" t="str">
        <x:v>Entregue</x:v>
      </x:c>
      <x:c r="U1674" t="n">
        <x:v>3</x:v>
      </x:c>
      <x:c r="V1674" t="str"/>
    </x:row>
    <x:row r="1675">
      <x:c r="A1675" s="52" t="n">
        <x:v>46202</x:v>
      </x:c>
      <x:c r="B1675" t="str">
        <x:v>PED-101674</x:v>
      </x:c>
      <x:c r="C1675" t="str">
        <x:v>Cliente 080</x:v>
      </x:c>
      <x:c r="D1675" t="str">
        <x:v>DF</x:v>
      </x:c>
      <x:c r="E1675" t="str">
        <x:v>Centro-Oeste</x:v>
      </x:c>
      <x:c r="F1675" t="str">
        <x:v>Loja</x:v>
      </x:c>
      <x:c r="G1675" t="str">
        <x:v>Escritório</x:v>
      </x:c>
      <x:c r="H1675" t="str">
        <x:v>Luminária LED</x:v>
      </x:c>
      <x:c r="I1675" t="str">
        <x:v>Isabela</x:v>
      </x:c>
      <x:c r="J1675" s="53" t="n">
        <x:v>4</x:v>
      </x:c>
      <x:c r="K1675" s="54" t="n">
        <x:v>253.1</x:v>
      </x:c>
      <x:c r="L1675" s="54" t="n">
        <x:v>121.38</x:v>
      </x:c>
      <x:c r="M1675" s="55" t="n">
        <x:v>0.0266</x:v>
      </x:c>
      <x:c r="N1675" s="54" t="n">
        <x:f>ROUND(J1675*K1675,2)</x:f>
        <x:v>1012.4</x:v>
      </x:c>
      <x:c r="O1675" s="54" t="n">
        <x:f>ROUND(N1675*(1-M1675),2)</x:f>
        <x:v>985.47</x:v>
      </x:c>
      <x:c r="P1675" s="54" t="n">
        <x:f>ROUND(J1675*L1675,2)</x:f>
        <x:v>485.52</x:v>
      </x:c>
      <x:c r="Q1675" s="54" t="n">
        <x:f>ROUND(O1675-P1675,2)</x:f>
        <x:v>499.95</x:v>
      </x:c>
      <x:c r="R1675" s="55" t="n">
        <x:f>IF(O1675=0,0,ROUND(Q1675/O1675,4))</x:f>
        <x:v>0.5073</x:v>
      </x:c>
      <x:c r="S1675" s="53" t="n">
        <x:v>11</x:v>
      </x:c>
      <x:c r="T1675" t="str">
        <x:v>Entregue com atraso</x:v>
      </x:c>
      <x:c r="U1675" t="n">
        <x:v>5</x:v>
      </x:c>
      <x:c r="V1675" t="str"/>
    </x:row>
    <x:row r="1676">
      <x:c r="A1676" s="52" t="n">
        <x:v>46179</x:v>
      </x:c>
      <x:c r="B1676" t="str">
        <x:v>PED-101675</x:v>
      </x:c>
      <x:c r="C1676" t="str">
        <x:v>Cliente 004</x:v>
      </x:c>
      <x:c r="D1676" t="str">
        <x:v>PA</x:v>
      </x:c>
      <x:c r="E1676" t="str">
        <x:v>Norte</x:v>
      </x:c>
      <x:c r="F1676" t="str">
        <x:v>Loja</x:v>
      </x:c>
      <x:c r="G1676" t="str">
        <x:v>Escritório</x:v>
      </x:c>
      <x:c r="H1676" t="str">
        <x:v>Mesa Ajustável</x:v>
      </x:c>
      <x:c r="I1676" t="str">
        <x:v>Gabriela</x:v>
      </x:c>
      <x:c r="J1676" s="53" t="n">
        <x:v>2</x:v>
      </x:c>
      <x:c r="K1676" s="54" t="n">
        <x:v>2874.51</x:v>
      </x:c>
      <x:c r="L1676" s="54" t="n">
        <x:v>1884.05</x:v>
      </x:c>
      <x:c r="M1676" s="55" t="n">
        <x:v>0</x:v>
      </x:c>
      <x:c r="N1676" s="54" t="n">
        <x:f>ROUND(J1676*K1676,2)</x:f>
        <x:v>5749.02</x:v>
      </x:c>
      <x:c r="O1676" s="54" t="n">
        <x:f>ROUND(N1676*(1-M1676),2)</x:f>
        <x:v>5749.02</x:v>
      </x:c>
      <x:c r="P1676" s="54" t="n">
        <x:f>ROUND(J1676*L1676,2)</x:f>
        <x:v>3768.1</x:v>
      </x:c>
      <x:c r="Q1676" s="54" t="n">
        <x:f>ROUND(O1676-P1676,2)</x:f>
        <x:v>1980.92</x:v>
      </x:c>
      <x:c r="R1676" s="55" t="n">
        <x:f>IF(O1676=0,0,ROUND(Q1676/O1676,4))</x:f>
        <x:v>0.3446</x:v>
      </x:c>
      <x:c r="S1676" s="53" t="n">
        <x:v>7</x:v>
      </x:c>
      <x:c r="T1676" t="str">
        <x:v>Entregue</x:v>
      </x:c>
      <x:c r="U1676" t="n">
        <x:v>3</x:v>
      </x:c>
      <x:c r="V1676" t="str"/>
    </x:row>
    <x:row r="1677">
      <x:c r="A1677" s="52" t="n">
        <x:v>46198</x:v>
      </x:c>
      <x:c r="B1677" t="str">
        <x:v>PED-101676</x:v>
      </x:c>
      <x:c r="C1677" t="str">
        <x:v>Cliente 029</x:v>
      </x:c>
      <x:c r="D1677" t="str">
        <x:v>PR</x:v>
      </x:c>
      <x:c r="E1677" t="str">
        <x:v>Sul</x:v>
      </x:c>
      <x:c r="F1677" t="str">
        <x:v>Marketplace</x:v>
      </x:c>
      <x:c r="G1677" t="str">
        <x:v>Acessórios</x:v>
      </x:c>
      <x:c r="H1677" t="str">
        <x:v>Mochila Executiva</x:v>
      </x:c>
      <x:c r="I1677" t="str">
        <x:v>João</x:v>
      </x:c>
      <x:c r="J1677" s="53" t="n">
        <x:v>1</x:v>
      </x:c>
      <x:c r="K1677" s="54" t="n">
        <x:v>446.69</x:v>
      </x:c>
      <x:c r="L1677" s="54" t="n">
        <x:v>195.66</x:v>
      </x:c>
      <x:c r="M1677" s="55" t="n">
        <x:v>0.1285</x:v>
      </x:c>
      <x:c r="N1677" s="54" t="n">
        <x:f>ROUND(J1677*K1677,2)</x:f>
        <x:v>446.69</x:v>
      </x:c>
      <x:c r="O1677" s="54" t="n">
        <x:f>ROUND(N1677*(1-M1677),2)</x:f>
        <x:v>389.29</x:v>
      </x:c>
      <x:c r="P1677" s="54" t="n">
        <x:f>ROUND(J1677*L1677,2)</x:f>
        <x:v>195.66</x:v>
      </x:c>
      <x:c r="Q1677" s="54" t="n">
        <x:f>ROUND(O1677-P1677,2)</x:f>
        <x:v>193.63</x:v>
      </x:c>
      <x:c r="R1677" s="55" t="n">
        <x:f>IF(O1677=0,0,ROUND(Q1677/O1677,4))</x:f>
        <x:v>0.4974</x:v>
      </x:c>
      <x:c r="S1677" s="53" t="n">
        <x:v>10</x:v>
      </x:c>
      <x:c r="T1677" t="str">
        <x:v>Entregue</x:v>
      </x:c>
      <x:c r="U1677" t="n">
        <x:v>2</x:v>
      </x:c>
      <x:c r="V1677" t="str"/>
    </x:row>
    <x:row r="1678">
      <x:c r="A1678" s="52" t="n">
        <x:v>46085</x:v>
      </x:c>
      <x:c r="B1678" t="str">
        <x:v>PED-101677</x:v>
      </x:c>
      <x:c r="C1678" t="str">
        <x:v>Cliente 114</x:v>
      </x:c>
      <x:c r="D1678" t="str">
        <x:v>PE</x:v>
      </x:c>
      <x:c r="E1678" t="str">
        <x:v>Nordeste</x:v>
      </x:c>
      <x:c r="F1678" t="str">
        <x:v>Loja</x:v>
      </x:c>
      <x:c r="G1678" t="str">
        <x:v>Acessórios</x:v>
      </x:c>
      <x:c r="H1678" t="str">
        <x:v>Hub USB-C</x:v>
      </x:c>
      <x:c r="I1678" t="str">
        <x:v>Diego</x:v>
      </x:c>
      <x:c r="J1678" s="53" t="n">
        <x:v>4</x:v>
      </x:c>
      <x:c r="K1678" s="54" t="n">
        <x:v>323.78</x:v>
      </x:c>
      <x:c r="L1678" s="54" t="n">
        <x:v>134.67</x:v>
      </x:c>
      <x:c r="M1678" s="55" t="n">
        <x:v>0</x:v>
      </x:c>
      <x:c r="N1678" s="54" t="n">
        <x:f>ROUND(J1678*K1678,2)</x:f>
        <x:v>1295.12</x:v>
      </x:c>
      <x:c r="O1678" s="54" t="n">
        <x:f>ROUND(N1678*(1-M1678),2)</x:f>
        <x:v>1295.12</x:v>
      </x:c>
      <x:c r="P1678" s="54" t="n">
        <x:f>ROUND(J1678*L1678,2)</x:f>
        <x:v>538.68</x:v>
      </x:c>
      <x:c r="Q1678" s="54" t="n">
        <x:f>ROUND(O1678-P1678,2)</x:f>
        <x:v>756.44</x:v>
      </x:c>
      <x:c r="R1678" s="55" t="n">
        <x:f>IF(O1678=0,0,ROUND(Q1678/O1678,4))</x:f>
        <x:v>0.5841</x:v>
      </x:c>
      <x:c r="S1678" s="53" t="n">
        <x:v>12</x:v>
      </x:c>
      <x:c r="T1678" t="str">
        <x:v>Entregue com atraso</x:v>
      </x:c>
      <x:c r="U1678" t="n">
        <x:v>4</x:v>
      </x:c>
      <x:c r="V1678" t="str"/>
    </x:row>
    <x:row r="1679">
      <x:c r="A1679" s="52" t="n">
        <x:v>46146</x:v>
      </x:c>
      <x:c r="B1679" t="str">
        <x:v>PED-101678</x:v>
      </x:c>
      <x:c r="C1679" t="str">
        <x:v>Cliente 081</x:v>
      </x:c>
      <x:c r="D1679" t="str">
        <x:v>PA</x:v>
      </x:c>
      <x:c r="E1679" t="str">
        <x:v>Norte</x:v>
      </x:c>
      <x:c r="F1679" t="str">
        <x:v>Loja</x:v>
      </x:c>
      <x:c r="G1679" t="str">
        <x:v>Escritório</x:v>
      </x:c>
      <x:c r="H1679" t="str">
        <x:v>Luminária LED</x:v>
      </x:c>
      <x:c r="I1679" t="str">
        <x:v>João</x:v>
      </x:c>
      <x:c r="J1679" s="53" t="n">
        <x:v>5</x:v>
      </x:c>
      <x:c r="K1679" s="54" t="n">
        <x:v>272.8</x:v>
      </x:c>
      <x:c r="L1679" s="54" t="n">
        <x:v>127.96</x:v>
      </x:c>
      <x:c r="M1679" s="55" t="n">
        <x:v>0.0152</x:v>
      </x:c>
      <x:c r="N1679" s="54" t="n">
        <x:f>ROUND(J1679*K1679,2)</x:f>
        <x:v>1364</x:v>
      </x:c>
      <x:c r="O1679" s="54" t="n">
        <x:f>ROUND(N1679*(1-M1679),2)</x:f>
        <x:v>1343.27</x:v>
      </x:c>
      <x:c r="P1679" s="54" t="n">
        <x:f>ROUND(J1679*L1679,2)</x:f>
        <x:v>639.8</x:v>
      </x:c>
      <x:c r="Q1679" s="54" t="n">
        <x:f>ROUND(O1679-P1679,2)</x:f>
        <x:v>703.47</x:v>
      </x:c>
      <x:c r="R1679" s="55" t="n">
        <x:f>IF(O1679=0,0,ROUND(Q1679/O1679,4))</x:f>
        <x:v>0.5237</x:v>
      </x:c>
      <x:c r="S1679" s="53" t="n">
        <x:v>10</x:v>
      </x:c>
      <x:c r="T1679" t="str">
        <x:v>Entregue</x:v>
      </x:c>
      <x:c r="U1679" t="n">
        <x:v>5</x:v>
      </x:c>
      <x:c r="V1679" t="str"/>
    </x:row>
    <x:row r="1680">
      <x:c r="A1680" s="52" t="n">
        <x:v>46024</x:v>
      </x:c>
      <x:c r="B1680" t="str">
        <x:v>PED-101679</x:v>
      </x:c>
      <x:c r="C1680" t="str">
        <x:v>Cliente 060</x:v>
      </x:c>
      <x:c r="D1680" t="str">
        <x:v>AM</x:v>
      </x:c>
      <x:c r="E1680" t="str">
        <x:v>Norte</x:v>
      </x:c>
      <x:c r="F1680" t="str">
        <x:v>Marketplace</x:v>
      </x:c>
      <x:c r="G1680" t="str">
        <x:v>Tecnologia</x:v>
      </x:c>
      <x:c r="H1680" t="str">
        <x:v>Notebook Pro</x:v>
      </x:c>
      <x:c r="I1680" t="str">
        <x:v>Carla</x:v>
      </x:c>
      <x:c r="J1680" s="53" t="n">
        <x:v>6</x:v>
      </x:c>
      <x:c r="K1680" s="54" t="n">
        <x:v>5838.04</x:v>
      </x:c>
      <x:c r="L1680" s="54" t="n">
        <x:v>4552.57</x:v>
      </x:c>
      <x:c r="M1680" s="55" t="n">
        <x:v>0.1514</x:v>
      </x:c>
      <x:c r="N1680" s="54" t="n">
        <x:f>ROUND(J1680*K1680,2)</x:f>
        <x:v>35028.24</x:v>
      </x:c>
      <x:c r="O1680" s="54" t="n">
        <x:f>ROUND(N1680*(1-M1680),2)</x:f>
        <x:v>29724.96</x:v>
      </x:c>
      <x:c r="P1680" s="54" t="n">
        <x:f>ROUND(J1680*L1680,2)</x:f>
        <x:v>27315.42</x:v>
      </x:c>
      <x:c r="Q1680" s="54" t="n">
        <x:f>ROUND(O1680-P1680,2)</x:f>
        <x:v>2409.54</x:v>
      </x:c>
      <x:c r="R1680" s="55" t="n">
        <x:f>IF(O1680=0,0,ROUND(Q1680/O1680,4))</x:f>
        <x:v>0.0811</x:v>
      </x:c>
      <x:c r="S1680" s="53" t="n">
        <x:v>4</x:v>
      </x:c>
      <x:c r="T1680" t="str">
        <x:v>Cancelado</x:v>
      </x:c>
      <x:c r="U1680"/>
      <x:c r="V1680" t="str"/>
    </x:row>
    <x:row r="1681">
      <x:c r="A1681" s="52" t="n">
        <x:v>46213</x:v>
      </x:c>
      <x:c r="B1681" t="str">
        <x:v>PED-101680</x:v>
      </x:c>
      <x:c r="C1681" t="str">
        <x:v>Cliente 001</x:v>
      </x:c>
      <x:c r="D1681" t="str">
        <x:v>PA</x:v>
      </x:c>
      <x:c r="E1681" t="str">
        <x:v>Norte</x:v>
      </x:c>
      <x:c r="F1681" t="str">
        <x:v>E-commerce</x:v>
      </x:c>
      <x:c r="G1681" t="str">
        <x:v>Casa</x:v>
      </x:c>
      <x:c r="H1681" t="str">
        <x:v>Cafeteira Smart</x:v>
      </x:c>
      <x:c r="I1681" t="str">
        <x:v>Elaine</x:v>
      </x:c>
      <x:c r="J1681" s="53" t="n">
        <x:v>2</x:v>
      </x:c>
      <x:c r="K1681" s="54" t="n">
        <x:v>818.52</x:v>
      </x:c>
      <x:c r="L1681" s="54" t="n">
        <x:v>460.13</x:v>
      </x:c>
      <x:c r="M1681" s="55" t="n">
        <x:v>0</x:v>
      </x:c>
      <x:c r="N1681" s="54" t="n">
        <x:f>ROUND(J1681*K1681,2)</x:f>
        <x:v>1637.04</x:v>
      </x:c>
      <x:c r="O1681" s="54" t="n">
        <x:f>ROUND(N1681*(1-M1681),2)</x:f>
        <x:v>1637.04</x:v>
      </x:c>
      <x:c r="P1681" s="54" t="n">
        <x:f>ROUND(J1681*L1681,2)</x:f>
        <x:v>920.26</x:v>
      </x:c>
      <x:c r="Q1681" s="54" t="n">
        <x:f>ROUND(O1681-P1681,2)</x:f>
        <x:v>716.78</x:v>
      </x:c>
      <x:c r="R1681" s="55" t="n">
        <x:f>IF(O1681=0,0,ROUND(Q1681/O1681,4))</x:f>
        <x:v>0.4379</x:v>
      </x:c>
      <x:c r="S1681" s="53" t="n">
        <x:v>24</x:v>
      </x:c>
      <x:c r="T1681" t="str">
        <x:v>Entregue com atraso</x:v>
      </x:c>
      <x:c r="U1681" t="n">
        <x:v>2</x:v>
      </x:c>
      <x:c r="V1681" t="str">
        <x:v>Ocorrência logística</x:v>
      </x:c>
    </x:row>
    <x:row r="1682">
      <x:c r="A1682" s="52" t="n">
        <x:v>46110</x:v>
      </x:c>
      <x:c r="B1682" t="str">
        <x:v>PED-101681</x:v>
      </x:c>
      <x:c r="C1682" t="str">
        <x:v>Cliente 096</x:v>
      </x:c>
      <x:c r="D1682" t="str">
        <x:v>ES</x:v>
      </x:c>
      <x:c r="E1682" t="str">
        <x:v>Sudeste</x:v>
      </x:c>
      <x:c r="F1682" t="str">
        <x:v>Marketplace</x:v>
      </x:c>
      <x:c r="G1682" t="str">
        <x:v>Casa</x:v>
      </x:c>
      <x:c r="H1682" t="str">
        <x:v>Cafeteira Smart</x:v>
      </x:c>
      <x:c r="I1682" t="str">
        <x:v>Gabriela</x:v>
      </x:c>
      <x:c r="J1682" s="53" t="n">
        <x:v>2</x:v>
      </x:c>
      <x:c r="K1682" s="54" t="n">
        <x:v>800.82</x:v>
      </x:c>
      <x:c r="L1682" s="54" t="n">
        <x:v>472.8</x:v>
      </x:c>
      <x:c r="M1682" s="55" t="n">
        <x:v>0.0361</x:v>
      </x:c>
      <x:c r="N1682" s="54" t="n">
        <x:f>ROUND(J1682*K1682,2)</x:f>
        <x:v>1601.64</x:v>
      </x:c>
      <x:c r="O1682" s="54" t="n">
        <x:f>ROUND(N1682*(1-M1682),2)</x:f>
        <x:v>1543.82</x:v>
      </x:c>
      <x:c r="P1682" s="54" t="n">
        <x:f>ROUND(J1682*L1682,2)</x:f>
        <x:v>945.6</x:v>
      </x:c>
      <x:c r="Q1682" s="54" t="n">
        <x:f>ROUND(O1682-P1682,2)</x:f>
        <x:v>598.22</x:v>
      </x:c>
      <x:c r="R1682" s="55" t="n">
        <x:f>IF(O1682=0,0,ROUND(Q1682/O1682,4))</x:f>
        <x:v>0.3875</x:v>
      </x:c>
      <x:c r="S1682" s="53" t="n">
        <x:v>6</x:v>
      </x:c>
      <x:c r="T1682" t="str">
        <x:v>Entregue</x:v>
      </x:c>
      <x:c r="U1682" t="n">
        <x:v>3</x:v>
      </x:c>
      <x:c r="V1682" t="str"/>
    </x:row>
    <x:row r="1683">
      <x:c r="A1683" s="52" t="n">
        <x:v>46211</x:v>
      </x:c>
      <x:c r="B1683" t="str">
        <x:v>PED-101682</x:v>
      </x:c>
      <x:c r="C1683" t="str">
        <x:v>Cliente 079</x:v>
      </x:c>
      <x:c r="D1683" t="str">
        <x:v>RS</x:v>
      </x:c>
      <x:c r="E1683" t="str">
        <x:v>Sul</x:v>
      </x:c>
      <x:c r="F1683" t="str">
        <x:v>Marketplace</x:v>
      </x:c>
      <x:c r="G1683" t="str">
        <x:v>Casa</x:v>
      </x:c>
      <x:c r="H1683" t="str">
        <x:v>Cafeteira Smart</x:v>
      </x:c>
      <x:c r="I1683" t="str">
        <x:v>Elaine</x:v>
      </x:c>
      <x:c r="J1683" s="53" t="n">
        <x:v>5</x:v>
      </x:c>
      <x:c r="K1683" s="54" t="n">
        <x:v>767.14</x:v>
      </x:c>
      <x:c r="L1683" s="54" t="n">
        <x:v>468.16</x:v>
      </x:c>
      <x:c r="M1683" s="55" t="n">
        <x:v>0.0478</x:v>
      </x:c>
      <x:c r="N1683" s="54" t="n">
        <x:f>ROUND(J1683*K1683,2)</x:f>
        <x:v>3835.7</x:v>
      </x:c>
      <x:c r="O1683" s="54" t="n">
        <x:f>ROUND(N1683*(1-M1683),2)</x:f>
        <x:v>3652.35</x:v>
      </x:c>
      <x:c r="P1683" s="54" t="n">
        <x:f>ROUND(J1683*L1683,2)</x:f>
        <x:v>2340.8</x:v>
      </x:c>
      <x:c r="Q1683" s="54" t="n">
        <x:f>ROUND(O1683-P1683,2)</x:f>
        <x:v>1311.55</x:v>
      </x:c>
      <x:c r="R1683" s="55" t="n">
        <x:f>IF(O1683=0,0,ROUND(Q1683/O1683,4))</x:f>
        <x:v>0.3591</x:v>
      </x:c>
      <x:c r="S1683" s="53" t="n">
        <x:v>12</x:v>
      </x:c>
      <x:c r="T1683" t="str">
        <x:v>Entregue com atraso</x:v>
      </x:c>
      <x:c r="U1683" t="n">
        <x:v>5</x:v>
      </x:c>
      <x:c r="V1683" t="str"/>
    </x:row>
    <x:row r="1684">
      <x:c r="A1684" s="52" t="n">
        <x:v>46133</x:v>
      </x:c>
      <x:c r="B1684" t="str">
        <x:v>PED-101683</x:v>
      </x:c>
      <x:c r="C1684" t="str">
        <x:v>Cliente 070</x:v>
      </x:c>
      <x:c r="D1684" t="str">
        <x:v>SC</x:v>
      </x:c>
      <x:c r="E1684" t="str">
        <x:v>Sul</x:v>
      </x:c>
      <x:c r="F1684" t="str">
        <x:v>Loja</x:v>
      </x:c>
      <x:c r="G1684" t="str">
        <x:v>Escritório</x:v>
      </x:c>
      <x:c r="H1684" t="str">
        <x:v>Luminária LED</x:v>
      </x:c>
      <x:c r="I1684" t="str">
        <x:v>Elaine</x:v>
      </x:c>
      <x:c r="J1684" s="53" t="n">
        <x:v>7</x:v>
      </x:c>
      <x:c r="K1684" s="54" t="n">
        <x:v>272.89</x:v>
      </x:c>
      <x:c r="L1684" s="54" t="n">
        <x:v>114.32</x:v>
      </x:c>
      <x:c r="M1684" s="55" t="n">
        <x:v>0.1152</x:v>
      </x:c>
      <x:c r="N1684" s="54" t="n">
        <x:f>ROUND(J1684*K1684,2)</x:f>
        <x:v>1910.23</x:v>
      </x:c>
      <x:c r="O1684" s="54" t="n">
        <x:f>ROUND(N1684*(1-M1684),2)</x:f>
        <x:v>1690.17</x:v>
      </x:c>
      <x:c r="P1684" s="54" t="n">
        <x:f>ROUND(J1684*L1684,2)</x:f>
        <x:v>800.24</x:v>
      </x:c>
      <x:c r="Q1684" s="54" t="n">
        <x:f>ROUND(O1684-P1684,2)</x:f>
        <x:v>889.93</x:v>
      </x:c>
      <x:c r="R1684" s="55" t="n">
        <x:f>IF(O1684=0,0,ROUND(Q1684/O1684,4))</x:f>
        <x:v>0.5265</x:v>
      </x:c>
      <x:c r="S1684" s="53" t="n">
        <x:v>4</x:v>
      </x:c>
      <x:c r="T1684" t="str">
        <x:v>Entregue</x:v>
      </x:c>
      <x:c r="U1684" t="n">
        <x:v>4</x:v>
      </x:c>
      <x:c r="V1684" t="str"/>
    </x:row>
    <x:row r="1685">
      <x:c r="A1685" s="52" t="n">
        <x:v>46180</x:v>
      </x:c>
      <x:c r="B1685" t="str">
        <x:v>PED-101684</x:v>
      </x:c>
      <x:c r="C1685" t="str">
        <x:v>Cliente 097</x:v>
      </x:c>
      <x:c r="D1685" t="str">
        <x:v>GO</x:v>
      </x:c>
      <x:c r="E1685" t="str">
        <x:v>Centro-Oeste</x:v>
      </x:c>
      <x:c r="F1685" t="str">
        <x:v>E-commerce</x:v>
      </x:c>
      <x:c r="G1685" t="str">
        <x:v>Escritório</x:v>
      </x:c>
      <x:c r="H1685" t="str">
        <x:v>Cadeira Ergonômica</x:v>
      </x:c>
      <x:c r="I1685" t="str">
        <x:v>Felipe</x:v>
      </x:c>
      <x:c r="J1685" s="53" t="n">
        <x:v>1</x:v>
      </x:c>
      <x:c r="K1685" s="54" t="n">
        <x:v>2289.93</x:v>
      </x:c>
      <x:c r="L1685" s="54" t="n">
        <x:v>1395.11</x:v>
      </x:c>
      <x:c r="M1685" s="55" t="n">
        <x:v>0</x:v>
      </x:c>
      <x:c r="N1685" s="54" t="n">
        <x:f>ROUND(J1685*K1685,2)</x:f>
        <x:v>2289.93</x:v>
      </x:c>
      <x:c r="O1685" s="54" t="n">
        <x:f>ROUND(N1685*(1-M1685),2)</x:f>
        <x:v>2289.93</x:v>
      </x:c>
      <x:c r="P1685" s="54" t="n">
        <x:f>ROUND(J1685*L1685,2)</x:f>
        <x:v>1395.11</x:v>
      </x:c>
      <x:c r="Q1685" s="54" t="n">
        <x:f>ROUND(O1685-P1685,2)</x:f>
        <x:v>894.82</x:v>
      </x:c>
      <x:c r="R1685" s="55" t="n">
        <x:f>IF(O1685=0,0,ROUND(Q1685/O1685,4))</x:f>
        <x:v>0.3908</x:v>
      </x:c>
      <x:c r="S1685" s="53" t="n">
        <x:v>4</x:v>
      </x:c>
      <x:c r="T1685" t="str">
        <x:v>Entregue</x:v>
      </x:c>
      <x:c r="U1685" t="n">
        <x:v>5</x:v>
      </x:c>
      <x:c r="V1685" t="str"/>
    </x:row>
    <x:row r="1686">
      <x:c r="A1686" s="52" t="n">
        <x:v>46046</x:v>
      </x:c>
      <x:c r="B1686" t="str">
        <x:v>PED-101685</x:v>
      </x:c>
      <x:c r="C1686" t="str">
        <x:v>Cliente 117</x:v>
      </x:c>
      <x:c r="D1686" t="str">
        <x:v>RJ</x:v>
      </x:c>
      <x:c r="E1686" t="str">
        <x:v>Sudeste</x:v>
      </x:c>
      <x:c r="F1686" t="str">
        <x:v>Marketplace</x:v>
      </x:c>
      <x:c r="G1686" t="str">
        <x:v>Acessórios</x:v>
      </x:c>
      <x:c r="H1686" t="str">
        <x:v>Webcam HD</x:v>
      </x:c>
      <x:c r="I1686" t="str">
        <x:v>Gabriela</x:v>
      </x:c>
      <x:c r="J1686" s="53" t="n">
        <x:v>4</x:v>
      </x:c>
      <x:c r="K1686" s="54" t="n">
        <x:v>535.46</x:v>
      </x:c>
      <x:c r="L1686" s="54" t="n">
        <x:v>248.76</x:v>
      </x:c>
      <x:c r="M1686" s="55" t="n">
        <x:v>0.0975</x:v>
      </x:c>
      <x:c r="N1686" s="54" t="n">
        <x:f>ROUND(J1686*K1686,2)</x:f>
        <x:v>2141.84</x:v>
      </x:c>
      <x:c r="O1686" s="54" t="n">
        <x:f>ROUND(N1686*(1-M1686),2)</x:f>
        <x:v>1933.01</x:v>
      </x:c>
      <x:c r="P1686" s="54" t="n">
        <x:f>ROUND(J1686*L1686,2)</x:f>
        <x:v>995.04</x:v>
      </x:c>
      <x:c r="Q1686" s="54" t="n">
        <x:f>ROUND(O1686-P1686,2)</x:f>
        <x:v>937.97</x:v>
      </x:c>
      <x:c r="R1686" s="55" t="n">
        <x:f>IF(O1686=0,0,ROUND(Q1686/O1686,4))</x:f>
        <x:v>0.4852</x:v>
      </x:c>
      <x:c r="S1686" s="53" t="n">
        <x:v>2</x:v>
      </x:c>
      <x:c r="T1686" t="str">
        <x:v>Entregue</x:v>
      </x:c>
      <x:c r="U1686" t="n">
        <x:v>2</x:v>
      </x:c>
      <x:c r="V1686" t="str"/>
    </x:row>
    <x:row r="1687">
      <x:c r="A1687" s="52" t="n">
        <x:v>46233</x:v>
      </x:c>
      <x:c r="B1687" t="str">
        <x:v>PED-101686</x:v>
      </x:c>
      <x:c r="C1687" t="str">
        <x:v>Cliente 054</x:v>
      </x:c>
      <x:c r="D1687" t="str">
        <x:v>BA</x:v>
      </x:c>
      <x:c r="E1687" t="str">
        <x:v>Nordeste</x:v>
      </x:c>
      <x:c r="F1687" t="str">
        <x:v>Loja</x:v>
      </x:c>
      <x:c r="G1687" t="str">
        <x:v>Escritório</x:v>
      </x:c>
      <x:c r="H1687" t="str">
        <x:v>Mesa Ajustável</x:v>
      </x:c>
      <x:c r="I1687" t="str">
        <x:v>Diego</x:v>
      </x:c>
      <x:c r="J1687" s="53" t="n">
        <x:v>8</x:v>
      </x:c>
      <x:c r="K1687" s="54" t="n">
        <x:v>2744.08</x:v>
      </x:c>
      <x:c r="L1687" s="54" t="n">
        <x:v>1858.51</x:v>
      </x:c>
      <x:c r="M1687" s="55" t="n">
        <x:v>0.1156</x:v>
      </x:c>
      <x:c r="N1687" s="54" t="n">
        <x:f>ROUND(J1687*K1687,2)</x:f>
        <x:v>21952.64</x:v>
      </x:c>
      <x:c r="O1687" s="54" t="n">
        <x:f>ROUND(N1687*(1-M1687),2)</x:f>
        <x:v>19414.91</x:v>
      </x:c>
      <x:c r="P1687" s="54" t="n">
        <x:f>ROUND(J1687*L1687,2)</x:f>
        <x:v>14868.08</x:v>
      </x:c>
      <x:c r="Q1687" s="54" t="n">
        <x:f>ROUND(O1687-P1687,2)</x:f>
        <x:v>4546.83</x:v>
      </x:c>
      <x:c r="R1687" s="55" t="n">
        <x:f>IF(O1687=0,0,ROUND(Q1687/O1687,4))</x:f>
        <x:v>0.2342</x:v>
      </x:c>
      <x:c r="S1687" s="53" t="n">
        <x:v>13</x:v>
      </x:c>
      <x:c r="T1687" t="str">
        <x:v>Entregue com atraso</x:v>
      </x:c>
      <x:c r="U1687" t="n">
        <x:v>2</x:v>
      </x:c>
      <x:c r="V1687" t="str"/>
    </x:row>
    <x:row r="1688">
      <x:c r="A1688" s="52" t="n">
        <x:v>46029</x:v>
      </x:c>
      <x:c r="B1688" t="str">
        <x:v>PED-101687</x:v>
      </x:c>
      <x:c r="C1688" t="str">
        <x:v>Cliente 083</x:v>
      </x:c>
      <x:c r="D1688" t="str">
        <x:v>GO</x:v>
      </x:c>
      <x:c r="E1688" t="str">
        <x:v>Centro-Oeste</x:v>
      </x:c>
      <x:c r="F1688" t="str">
        <x:v>E-commerce</x:v>
      </x:c>
      <x:c r="G1688" t="str">
        <x:v>Casa</x:v>
      </x:c>
      <x:c r="H1688" t="str">
        <x:v>Cafeteira Smart</x:v>
      </x:c>
      <x:c r="I1688" t="str">
        <x:v>Bruno</x:v>
      </x:c>
      <x:c r="J1688" s="53" t="n">
        <x:v>1</x:v>
      </x:c>
      <x:c r="K1688" s="54" t="n">
        <x:v>797.04</x:v>
      </x:c>
      <x:c r="L1688" s="54" t="n">
        <x:v>441.79</x:v>
      </x:c>
      <x:c r="M1688" s="55" t="n">
        <x:v>0.0495</x:v>
      </x:c>
      <x:c r="N1688" s="54" t="n">
        <x:f>ROUND(J1688*K1688,2)</x:f>
        <x:v>797.04</x:v>
      </x:c>
      <x:c r="O1688" s="54" t="n">
        <x:f>ROUND(N1688*(1-M1688),2)</x:f>
        <x:v>757.59</x:v>
      </x:c>
      <x:c r="P1688" s="54" t="n">
        <x:f>ROUND(J1688*L1688,2)</x:f>
        <x:v>441.79</x:v>
      </x:c>
      <x:c r="Q1688" s="54" t="n">
        <x:f>ROUND(O1688-P1688,2)</x:f>
        <x:v>315.8</x:v>
      </x:c>
      <x:c r="R1688" s="55" t="n">
        <x:f>IF(O1688=0,0,ROUND(Q1688/O1688,4))</x:f>
        <x:v>0.4168</x:v>
      </x:c>
      <x:c r="S1688" s="53" t="n">
        <x:v>12</x:v>
      </x:c>
      <x:c r="T1688" t="str">
        <x:v>Entregue com atraso</x:v>
      </x:c>
      <x:c r="U1688" t="n">
        <x:v>5</x:v>
      </x:c>
      <x:c r="V1688" t="str"/>
    </x:row>
    <x:row r="1689">
      <x:c r="A1689" s="52" t="n">
        <x:v>46127</x:v>
      </x:c>
      <x:c r="B1689" t="str">
        <x:v>PED-101688</x:v>
      </x:c>
      <x:c r="C1689" t="str">
        <x:v>Cliente 024</x:v>
      </x:c>
      <x:c r="D1689" t="str">
        <x:v>DF</x:v>
      </x:c>
      <x:c r="E1689" t="str">
        <x:v>Centro-Oeste</x:v>
      </x:c>
      <x:c r="F1689" t="str">
        <x:v>Televendas</x:v>
      </x:c>
      <x:c r="G1689" t="str">
        <x:v>Casa</x:v>
      </x:c>
      <x:c r="H1689" t="str">
        <x:v>Aspirador Robô</x:v>
      </x:c>
      <x:c r="I1689" t="str">
        <x:v>Diego</x:v>
      </x:c>
      <x:c r="J1689" s="53" t="n">
        <x:v>2</x:v>
      </x:c>
      <x:c r="K1689" s="54" t="n">
        <x:v>1814.98</x:v>
      </x:c>
      <x:c r="L1689" s="54" t="n">
        <x:v>1211.17</x:v>
      </x:c>
      <x:c r="M1689" s="55" t="n">
        <x:v>0.0874</x:v>
      </x:c>
      <x:c r="N1689" s="54" t="n">
        <x:f>ROUND(J1689*K1689,2)</x:f>
        <x:v>3629.96</x:v>
      </x:c>
      <x:c r="O1689" s="54" t="n">
        <x:f>ROUND(N1689*(1-M1689),2)</x:f>
        <x:v>3312.7</x:v>
      </x:c>
      <x:c r="P1689" s="54" t="n">
        <x:f>ROUND(J1689*L1689,2)</x:f>
        <x:v>2422.34</x:v>
      </x:c>
      <x:c r="Q1689" s="54" t="n">
        <x:f>ROUND(O1689-P1689,2)</x:f>
        <x:v>890.36</x:v>
      </x:c>
      <x:c r="R1689" s="55" t="n">
        <x:f>IF(O1689=0,0,ROUND(Q1689/O1689,4))</x:f>
        <x:v>0.2688</x:v>
      </x:c>
      <x:c r="S1689" s="53" t="n">
        <x:v>7</x:v>
      </x:c>
      <x:c r="T1689" t="str">
        <x:v>Entregue</x:v>
      </x:c>
      <x:c r="U1689" t="n">
        <x:v>4</x:v>
      </x:c>
      <x:c r="V1689" t="str"/>
    </x:row>
    <x:row r="1690">
      <x:c r="A1690" s="52" t="n">
        <x:v>46110</x:v>
      </x:c>
      <x:c r="B1690" t="str">
        <x:v>PED-101689</x:v>
      </x:c>
      <x:c r="C1690" t="str">
        <x:v>Cliente 056</x:v>
      </x:c>
      <x:c r="D1690" t="str">
        <x:v>ES</x:v>
      </x:c>
      <x:c r="E1690" t="str">
        <x:v>Sudeste</x:v>
      </x:c>
      <x:c r="F1690" t="str">
        <x:v>Loja</x:v>
      </x:c>
      <x:c r="G1690" t="str">
        <x:v>Escritório</x:v>
      </x:c>
      <x:c r="H1690" t="str">
        <x:v>Luminária LED</x:v>
      </x:c>
      <x:c r="I1690" t="str">
        <x:v>Henrique</x:v>
      </x:c>
      <x:c r="J1690" s="53" t="n">
        <x:v>1</x:v>
      </x:c>
      <x:c r="K1690" s="54" t="n">
        <x:v>259.98</x:v>
      </x:c>
      <x:c r="L1690" s="54" t="n">
        <x:v>303.81</x:v>
      </x:c>
      <x:c r="M1690" s="55" t="n">
        <x:v>0.0466</x:v>
      </x:c>
      <x:c r="N1690" s="54" t="n">
        <x:f>ROUND(J1690*K1690,2)</x:f>
        <x:v>259.98</x:v>
      </x:c>
      <x:c r="O1690" s="54" t="n">
        <x:f>ROUND(N1690*(1-M1690),2)</x:f>
        <x:v>247.86</x:v>
      </x:c>
      <x:c r="P1690" s="54" t="n">
        <x:f>ROUND(J1690*L1690,2)</x:f>
        <x:v>303.81</x:v>
      </x:c>
      <x:c r="Q1690" s="54" t="n">
        <x:f>ROUND(O1690-P1690,2)</x:f>
        <x:v>-55.95</x:v>
      </x:c>
      <x:c r="R1690" s="55" t="n">
        <x:f>IF(O1690=0,0,ROUND(Q1690/O1690,4))</x:f>
        <x:v>-0.2257</x:v>
      </x:c>
      <x:c r="S1690" s="53" t="n">
        <x:v>12</x:v>
      </x:c>
      <x:c r="T1690" t="str">
        <x:v>Entregue com atraso</x:v>
      </x:c>
      <x:c r="U1690" t="n">
        <x:v>4</x:v>
      </x:c>
      <x:c r="V1690" t="str">
        <x:v>Custo revisado após fechamento</x:v>
      </x:c>
    </x:row>
    <x:row r="1691">
      <x:c r="A1691" s="52" t="n">
        <x:v>46206</x:v>
      </x:c>
      <x:c r="B1691" t="str">
        <x:v>PED-101690</x:v>
      </x:c>
      <x:c r="C1691" t="str">
        <x:v>Cliente 054</x:v>
      </x:c>
      <x:c r="D1691" t="str">
        <x:v>MT</x:v>
      </x:c>
      <x:c r="E1691" t="str">
        <x:v>Centro-Oeste</x:v>
      </x:c>
      <x:c r="F1691" t="str">
        <x:v>E-commerce</x:v>
      </x:c>
      <x:c r="G1691" t="str">
        <x:v>Casa</x:v>
      </x:c>
      <x:c r="H1691" t="str">
        <x:v>Cafeteira Smart</x:v>
      </x:c>
      <x:c r="I1691" t="str">
        <x:v>Felipe</x:v>
      </x:c>
      <x:c r="J1691" s="53" t="n">
        <x:v>7</x:v>
      </x:c>
      <x:c r="K1691" s="54" t="n">
        <x:v>803.69</x:v>
      </x:c>
      <x:c r="L1691" s="54" t="n">
        <x:v>458.74</x:v>
      </x:c>
      <x:c r="M1691" s="55" t="n">
        <x:v>0.0736</x:v>
      </x:c>
      <x:c r="N1691" s="54" t="n">
        <x:f>ROUND(J1691*K1691,2)</x:f>
        <x:v>5625.83</x:v>
      </x:c>
      <x:c r="O1691" s="54" t="n">
        <x:f>ROUND(N1691*(1-M1691),2)</x:f>
        <x:v>5211.77</x:v>
      </x:c>
      <x:c r="P1691" s="54" t="n">
        <x:f>ROUND(J1691*L1691,2)</x:f>
        <x:v>3211.18</x:v>
      </x:c>
      <x:c r="Q1691" s="54" t="n">
        <x:f>ROUND(O1691-P1691,2)</x:f>
        <x:v>2000.59</x:v>
      </x:c>
      <x:c r="R1691" s="55" t="n">
        <x:f>IF(O1691=0,0,ROUND(Q1691/O1691,4))</x:f>
        <x:v>0.3839</x:v>
      </x:c>
      <x:c r="S1691" s="53" t="n">
        <x:v>13</x:v>
      </x:c>
      <x:c r="T1691" t="str">
        <x:v>Entregue com atraso</x:v>
      </x:c>
      <x:c r="U1691" t="n">
        <x:v>2</x:v>
      </x:c>
      <x:c r="V1691" t="str"/>
    </x:row>
    <x:row r="1692">
      <x:c r="A1692" s="52" t="n">
        <x:v>46046</x:v>
      </x:c>
      <x:c r="B1692" t="str">
        <x:v>PED-101691</x:v>
      </x:c>
      <x:c r="C1692" t="str">
        <x:v>Cliente 111</x:v>
      </x:c>
      <x:c r="D1692" t="str">
        <x:v>RS</x:v>
      </x:c>
      <x:c r="E1692" t="str">
        <x:v>Sul</x:v>
      </x:c>
      <x:c r="F1692" t="str">
        <x:v>E-commerce</x:v>
      </x:c>
      <x:c r="G1692" t="str">
        <x:v>Acessórios</x:v>
      </x:c>
      <x:c r="H1692" t="str">
        <x:v>Webcam HD</x:v>
      </x:c>
      <x:c r="I1692" t="str">
        <x:v>Carla</x:v>
      </x:c>
      <x:c r="J1692" s="53" t="n">
        <x:v>2</x:v>
      </x:c>
      <x:c r="K1692" s="54" t="n">
        <x:v>519.6</x:v>
      </x:c>
      <x:c r="L1692" s="54" t="n">
        <x:v>235.79</x:v>
      </x:c>
      <x:c r="M1692" s="55" t="n">
        <x:v>0</x:v>
      </x:c>
      <x:c r="N1692" s="54" t="n">
        <x:f>ROUND(J1692*K1692,2)</x:f>
        <x:v>1039.2</x:v>
      </x:c>
      <x:c r="O1692" s="54" t="n">
        <x:f>ROUND(N1692*(1-M1692),2)</x:f>
        <x:v>1039.2</x:v>
      </x:c>
      <x:c r="P1692" s="54" t="n">
        <x:f>ROUND(J1692*L1692,2)</x:f>
        <x:v>471.58</x:v>
      </x:c>
      <x:c r="Q1692" s="54" t="n">
        <x:f>ROUND(O1692-P1692,2)</x:f>
        <x:v>567.62</x:v>
      </x:c>
      <x:c r="R1692" s="55" t="n">
        <x:f>IF(O1692=0,0,ROUND(Q1692/O1692,4))</x:f>
        <x:v>0.5462</x:v>
      </x:c>
      <x:c r="S1692" s="53" t="n">
        <x:v>4</x:v>
      </x:c>
      <x:c r="T1692" t="str">
        <x:v>Entregue</x:v>
      </x:c>
      <x:c r="U1692" t="n">
        <x:v>3</x:v>
      </x:c>
      <x:c r="V1692" t="str"/>
    </x:row>
    <x:row r="1693">
      <x:c r="A1693" s="52" t="n">
        <x:v>46092</x:v>
      </x:c>
      <x:c r="B1693" t="str">
        <x:v>PED-101692</x:v>
      </x:c>
      <x:c r="C1693" t="str">
        <x:v>Cliente 015</x:v>
      </x:c>
      <x:c r="D1693" t="str">
        <x:v>PA</x:v>
      </x:c>
      <x:c r="E1693" t="str">
        <x:v>Norte</x:v>
      </x:c>
      <x:c r="F1693" t="str">
        <x:v>Loja</x:v>
      </x:c>
      <x:c r="G1693" t="str">
        <x:v>Escritório</x:v>
      </x:c>
      <x:c r="H1693" t="str">
        <x:v>Luminária LED</x:v>
      </x:c>
      <x:c r="I1693" t="str">
        <x:v>Elaine</x:v>
      </x:c>
      <x:c r="J1693" s="53" t="n">
        <x:v>4</x:v>
      </x:c>
      <x:c r="K1693" s="54" t="n">
        <x:v>244.97</x:v>
      </x:c>
      <x:c r="L1693" s="54" t="n">
        <x:v>117.45</x:v>
      </x:c>
      <x:c r="M1693" s="55" t="n">
        <x:v>0</x:v>
      </x:c>
      <x:c r="N1693" s="54" t="n">
        <x:f>ROUND(J1693*K1693,2)</x:f>
        <x:v>979.88</x:v>
      </x:c>
      <x:c r="O1693" s="54" t="n">
        <x:f>ROUND(N1693*(1-M1693),2)</x:f>
        <x:v>979.88</x:v>
      </x:c>
      <x:c r="P1693" s="54" t="n">
        <x:f>ROUND(J1693*L1693,2)</x:f>
        <x:v>469.8</x:v>
      </x:c>
      <x:c r="Q1693" s="54" t="n">
        <x:f>ROUND(O1693-P1693,2)</x:f>
        <x:v>510.08</x:v>
      </x:c>
      <x:c r="R1693" s="55" t="n">
        <x:f>IF(O1693=0,0,ROUND(Q1693/O1693,4))</x:f>
        <x:v>0.5206</x:v>
      </x:c>
      <x:c r="S1693" s="53" t="n">
        <x:v>3</x:v>
      </x:c>
      <x:c r="T1693" t="str">
        <x:v>Entregue</x:v>
      </x:c>
      <x:c r="U1693" t="n">
        <x:v>2</x:v>
      </x:c>
      <x:c r="V1693" t="str"/>
    </x:row>
    <x:row r="1694">
      <x:c r="A1694" s="52" t="n">
        <x:v>46138</x:v>
      </x:c>
      <x:c r="B1694" t="str">
        <x:v>PED-101693</x:v>
      </x:c>
      <x:c r="C1694" t="str">
        <x:v>Cliente 040</x:v>
      </x:c>
      <x:c r="D1694" t="str">
        <x:v>RS</x:v>
      </x:c>
      <x:c r="E1694" t="str">
        <x:v>Sul</x:v>
      </x:c>
      <x:c r="F1694" t="str">
        <x:v>E-commerce</x:v>
      </x:c>
      <x:c r="G1694" t="str">
        <x:v>Acessórios</x:v>
      </x:c>
      <x:c r="H1694" t="str">
        <x:v>Webcam HD</x:v>
      </x:c>
      <x:c r="I1694" t="str">
        <x:v>Bruno</x:v>
      </x:c>
      <x:c r="J1694" s="53" t="n">
        <x:v>6</x:v>
      </x:c>
      <x:c r="K1694" s="54" t="n">
        <x:v>490.6</x:v>
      </x:c>
      <x:c r="L1694" s="54" t="n">
        <x:v>231.42</x:v>
      </x:c>
      <x:c r="M1694" s="55" t="n">
        <x:v>0.0707</x:v>
      </x:c>
      <x:c r="N1694" s="54" t="n">
        <x:f>ROUND(J1694*K1694,2)</x:f>
        <x:v>2943.6</x:v>
      </x:c>
      <x:c r="O1694" s="54" t="n">
        <x:f>ROUND(N1694*(1-M1694),2)</x:f>
        <x:v>2735.49</x:v>
      </x:c>
      <x:c r="P1694" s="54" t="n">
        <x:f>ROUND(J1694*L1694,2)</x:f>
        <x:v>1388.52</x:v>
      </x:c>
      <x:c r="Q1694" s="54" t="n">
        <x:f>ROUND(O1694-P1694,2)</x:f>
        <x:v>1346.97</x:v>
      </x:c>
      <x:c r="R1694" s="55" t="n">
        <x:f>IF(O1694=0,0,ROUND(Q1694/O1694,4))</x:f>
        <x:v>0.4924</x:v>
      </x:c>
      <x:c r="S1694" s="53" t="n">
        <x:v>14</x:v>
      </x:c>
      <x:c r="T1694" t="str">
        <x:v>Entregue com atraso</x:v>
      </x:c>
      <x:c r="U1694" t="n">
        <x:v>4</x:v>
      </x:c>
      <x:c r="V1694" t="str"/>
    </x:row>
    <x:row r="1695">
      <x:c r="A1695" s="52" t="n">
        <x:v>46117</x:v>
      </x:c>
      <x:c r="B1695" t="str">
        <x:v>PED-101694</x:v>
      </x:c>
      <x:c r="C1695" t="str">
        <x:v>Cliente 009</x:v>
      </x:c>
      <x:c r="D1695" t="str">
        <x:v>BA</x:v>
      </x:c>
      <x:c r="E1695" t="str">
        <x:v>Nordeste</x:v>
      </x:c>
      <x:c r="F1695" t="str">
        <x:v>E-commerce</x:v>
      </x:c>
      <x:c r="G1695" t="str">
        <x:v>Casa</x:v>
      </x:c>
      <x:c r="H1695" t="str">
        <x:v>Aspirador Robô</x:v>
      </x:c>
      <x:c r="I1695" t="str">
        <x:v>Carla</x:v>
      </x:c>
      <x:c r="J1695" s="53" t="n">
        <x:v>7</x:v>
      </x:c>
      <x:c r="K1695" s="54" t="n">
        <x:v>1984.93</x:v>
      </x:c>
      <x:c r="L1695" s="54" t="n">
        <x:v>1249.65</x:v>
      </x:c>
      <x:c r="M1695" s="55" t="n">
        <x:v>0</x:v>
      </x:c>
      <x:c r="N1695" s="54" t="n">
        <x:f>ROUND(J1695*K1695,2)</x:f>
        <x:v>13894.51</x:v>
      </x:c>
      <x:c r="O1695" s="54" t="n">
        <x:f>ROUND(N1695*(1-M1695),2)</x:f>
        <x:v>13894.51</x:v>
      </x:c>
      <x:c r="P1695" s="54" t="n">
        <x:f>ROUND(J1695*L1695,2)</x:f>
        <x:v>8747.55</x:v>
      </x:c>
      <x:c r="Q1695" s="54" t="n">
        <x:f>ROUND(O1695-P1695,2)</x:f>
        <x:v>5146.96</x:v>
      </x:c>
      <x:c r="R1695" s="55" t="n">
        <x:f>IF(O1695=0,0,ROUND(Q1695/O1695,4))</x:f>
        <x:v>0.3704</x:v>
      </x:c>
      <x:c r="S1695" s="53" t="n">
        <x:v>13</x:v>
      </x:c>
      <x:c r="T1695" t="str">
        <x:v>Entregue com atraso</x:v>
      </x:c>
      <x:c r="U1695" t="n">
        <x:v>4</x:v>
      </x:c>
      <x:c r="V1695" t="str"/>
    </x:row>
    <x:row r="1696">
      <x:c r="A1696" s="52" t="n">
        <x:v>46093</x:v>
      </x:c>
      <x:c r="B1696" t="str">
        <x:v>PED-101695</x:v>
      </x:c>
      <x:c r="C1696" t="str">
        <x:v>Cliente 081</x:v>
      </x:c>
      <x:c r="D1696" t="str">
        <x:v>SC</x:v>
      </x:c>
      <x:c r="E1696" t="str">
        <x:v>Sul</x:v>
      </x:c>
      <x:c r="F1696" t="str">
        <x:v>Televendas</x:v>
      </x:c>
      <x:c r="G1696" t="str">
        <x:v>Acessórios</x:v>
      </x:c>
      <x:c r="H1696" t="str">
        <x:v>Hub USB-C</x:v>
      </x:c>
      <x:c r="I1696" t="str">
        <x:v>Henrique</x:v>
      </x:c>
      <x:c r="J1696" s="53" t="n">
        <x:v>2</x:v>
      </x:c>
      <x:c r="K1696" s="54" t="n">
        <x:v>334.73</x:v>
      </x:c>
      <x:c r="L1696" s="54" t="n">
        <x:v>139.04</x:v>
      </x:c>
      <x:c r="M1696" s="55" t="n">
        <x:v>0</x:v>
      </x:c>
      <x:c r="N1696" s="54" t="n">
        <x:f>ROUND(J1696*K1696,2)</x:f>
        <x:v>669.46</x:v>
      </x:c>
      <x:c r="O1696" s="54" t="n">
        <x:f>ROUND(N1696*(1-M1696),2)</x:f>
        <x:v>669.46</x:v>
      </x:c>
      <x:c r="P1696" s="54" t="n">
        <x:f>ROUND(J1696*L1696,2)</x:f>
        <x:v>278.08</x:v>
      </x:c>
      <x:c r="Q1696" s="54" t="n">
        <x:f>ROUND(O1696-P1696,2)</x:f>
        <x:v>391.38</x:v>
      </x:c>
      <x:c r="R1696" s="55" t="n">
        <x:f>IF(O1696=0,0,ROUND(Q1696/O1696,4))</x:f>
        <x:v>0.5846</x:v>
      </x:c>
      <x:c r="S1696" s="53" t="n">
        <x:v>9</x:v>
      </x:c>
      <x:c r="T1696" t="str">
        <x:v>Entregue</x:v>
      </x:c>
      <x:c r="U1696" t="n">
        <x:v>4</x:v>
      </x:c>
      <x:c r="V1696" t="str"/>
    </x:row>
    <x:row r="1697">
      <x:c r="A1697" s="52" t="n">
        <x:v>46061</x:v>
      </x:c>
      <x:c r="B1697" t="str">
        <x:v>PED-101696</x:v>
      </x:c>
      <x:c r="C1697" t="str">
        <x:v>Cliente 094</x:v>
      </x:c>
      <x:c r="D1697" t="str">
        <x:v>MA</x:v>
      </x:c>
      <x:c r="E1697" t="str">
        <x:v>Nordeste</x:v>
      </x:c>
      <x:c r="F1697" t="str">
        <x:v>Marketplace</x:v>
      </x:c>
      <x:c r="G1697" t="str">
        <x:v>Casa</x:v>
      </x:c>
      <x:c r="H1697" t="str">
        <x:v>Aspirador Robô</x:v>
      </x:c>
      <x:c r="I1697" t="str">
        <x:v>Ana</x:v>
      </x:c>
      <x:c r="J1697" s="53" t="n">
        <x:v>1</x:v>
      </x:c>
      <x:c r="K1697" s="54" t="n">
        <x:v>1816.23</x:v>
      </x:c>
      <x:c r="L1697" s="54" t="n">
        <x:v>1210.58</x:v>
      </x:c>
      <x:c r="M1697" s="55" t="n">
        <x:v>0.035</x:v>
      </x:c>
      <x:c r="N1697" s="54" t="n">
        <x:f>ROUND(J1697*K1697,2)</x:f>
        <x:v>1816.23</x:v>
      </x:c>
      <x:c r="O1697" s="54" t="n">
        <x:f>ROUND(N1697*(1-M1697),2)</x:f>
        <x:v>1752.66</x:v>
      </x:c>
      <x:c r="P1697" s="54" t="n">
        <x:f>ROUND(J1697*L1697,2)</x:f>
        <x:v>1210.58</x:v>
      </x:c>
      <x:c r="Q1697" s="54" t="n">
        <x:f>ROUND(O1697-P1697,2)</x:f>
        <x:v>542.08</x:v>
      </x:c>
      <x:c r="R1697" s="55" t="n">
        <x:f>IF(O1697=0,0,ROUND(Q1697/O1697,4))</x:f>
        <x:v>0.3093</x:v>
      </x:c>
      <x:c r="S1697" s="53" t="n">
        <x:v>10</x:v>
      </x:c>
      <x:c r="T1697" t="str">
        <x:v>Entregue</x:v>
      </x:c>
      <x:c r="U1697" t="n">
        <x:v>2</x:v>
      </x:c>
      <x:c r="V1697" t="str"/>
    </x:row>
    <x:row r="1698">
      <x:c r="A1698" s="52" t="n">
        <x:v>46073</x:v>
      </x:c>
      <x:c r="B1698" t="str">
        <x:v>PED-101697</x:v>
      </x:c>
      <x:c r="C1698" t="str">
        <x:v>Cliente 014</x:v>
      </x:c>
      <x:c r="D1698" t="str">
        <x:v>PE</x:v>
      </x:c>
      <x:c r="E1698" t="str">
        <x:v>Nordeste</x:v>
      </x:c>
      <x:c r="F1698" t="str">
        <x:v>Televendas</x:v>
      </x:c>
      <x:c r="G1698" t="str">
        <x:v>Tecnologia</x:v>
      </x:c>
      <x:c r="H1698" t="str">
        <x:v>Monitor 27</x:v>
      </x:c>
      <x:c r="I1698" t="str">
        <x:v>Henrique</x:v>
      </x:c>
      <x:c r="J1698" s="53" t="n">
        <x:v>7</x:v>
      </x:c>
      <x:c r="K1698" s="54" t="n">
        <x:v>1643.94</x:v>
      </x:c>
      <x:c r="L1698" s="54" t="n">
        <x:v>1102.31</x:v>
      </x:c>
      <x:c r="M1698" s="55" t="n">
        <x:v>0.1122</x:v>
      </x:c>
      <x:c r="N1698" s="54" t="n">
        <x:f>ROUND(J1698*K1698,2)</x:f>
        <x:v>11507.58</x:v>
      </x:c>
      <x:c r="O1698" s="54" t="n">
        <x:f>ROUND(N1698*(1-M1698),2)</x:f>
        <x:v>10216.43</x:v>
      </x:c>
      <x:c r="P1698" s="54" t="n">
        <x:f>ROUND(J1698*L1698,2)</x:f>
        <x:v>7716.17</x:v>
      </x:c>
      <x:c r="Q1698" s="54" t="n">
        <x:f>ROUND(O1698-P1698,2)</x:f>
        <x:v>2500.26</x:v>
      </x:c>
      <x:c r="R1698" s="55" t="n">
        <x:f>IF(O1698=0,0,ROUND(Q1698/O1698,4))</x:f>
        <x:v>0.2447</x:v>
      </x:c>
      <x:c r="S1698" s="53" t="n">
        <x:v>11</x:v>
      </x:c>
      <x:c r="T1698" t="str">
        <x:v>Entregue com atraso</x:v>
      </x:c>
      <x:c r="U1698" t="n">
        <x:v>3</x:v>
      </x:c>
      <x:c r="V1698" t="str"/>
    </x:row>
    <x:row r="1699">
      <x:c r="A1699" s="52" t="n">
        <x:v>46038</x:v>
      </x:c>
      <x:c r="B1699" t="str">
        <x:v>PED-101698</x:v>
      </x:c>
      <x:c r="C1699" t="str">
        <x:v>Cliente 026</x:v>
      </x:c>
      <x:c r="D1699" t="str">
        <x:v>ES</x:v>
      </x:c>
      <x:c r="E1699" t="str">
        <x:v>Sudeste</x:v>
      </x:c>
      <x:c r="F1699" t="str">
        <x:v>Televendas</x:v>
      </x:c>
      <x:c r="G1699" t="str">
        <x:v>Tecnologia</x:v>
      </x:c>
      <x:c r="H1699" t="str">
        <x:v>Headset Office</x:v>
      </x:c>
      <x:c r="I1699" t="str">
        <x:v>Diego</x:v>
      </x:c>
      <x:c r="J1699" s="53" t="n">
        <x:v>8</x:v>
      </x:c>
      <x:c r="K1699" s="54" t="n">
        <x:v>402.75</x:v>
      </x:c>
      <x:c r="L1699" s="54" t="n">
        <x:v>212.44</x:v>
      </x:c>
      <x:c r="M1699" s="55" t="n">
        <x:v>0.1206</x:v>
      </x:c>
      <x:c r="N1699" s="54" t="n">
        <x:f>ROUND(J1699*K1699,2)</x:f>
        <x:v>3222</x:v>
      </x:c>
      <x:c r="O1699" s="54" t="n">
        <x:f>ROUND(N1699*(1-M1699),2)</x:f>
        <x:v>2833.43</x:v>
      </x:c>
      <x:c r="P1699" s="54" t="n">
        <x:f>ROUND(J1699*L1699,2)</x:f>
        <x:v>1699.52</x:v>
      </x:c>
      <x:c r="Q1699" s="54" t="n">
        <x:f>ROUND(O1699-P1699,2)</x:f>
        <x:v>1133.91</x:v>
      </x:c>
      <x:c r="R1699" s="55" t="n">
        <x:f>IF(O1699=0,0,ROUND(Q1699/O1699,4))</x:f>
        <x:v>0.4002</x:v>
      </x:c>
      <x:c r="S1699" s="53" t="n">
        <x:v>9</x:v>
      </x:c>
      <x:c r="T1699" t="str">
        <x:v>Cancelado</x:v>
      </x:c>
      <x:c r="U1699"/>
      <x:c r="V1699" t="str"/>
    </x:row>
    <x:row r="1700">
      <x:c r="A1700" s="52" t="n">
        <x:v>46150</x:v>
      </x:c>
      <x:c r="B1700" t="str">
        <x:v>PED-101699</x:v>
      </x:c>
      <x:c r="C1700" t="str">
        <x:v>Cliente 049</x:v>
      </x:c>
      <x:c r="D1700" t="str">
        <x:v>GO</x:v>
      </x:c>
      <x:c r="E1700" t="str">
        <x:v>Centro-Oeste</x:v>
      </x:c>
      <x:c r="F1700" t="str">
        <x:v>Marketplace</x:v>
      </x:c>
      <x:c r="G1700" t="str">
        <x:v>Acessórios</x:v>
      </x:c>
      <x:c r="H1700" t="str">
        <x:v>Mochila Executiva</x:v>
      </x:c>
      <x:c r="I1700" t="str">
        <x:v>João</x:v>
      </x:c>
      <x:c r="J1700" s="53" t="n">
        <x:v>8</x:v>
      </x:c>
      <x:c r="K1700" s="54" t="n">
        <x:v>430.68</x:v>
      </x:c>
      <x:c r="L1700" s="54" t="n">
        <x:v>186.19</x:v>
      </x:c>
      <x:c r="M1700" s="55" t="n">
        <x:v>0.119</x:v>
      </x:c>
      <x:c r="N1700" s="54" t="n">
        <x:f>ROUND(J1700*K1700,2)</x:f>
        <x:v>3445.44</x:v>
      </x:c>
      <x:c r="O1700" s="54" t="n">
        <x:f>ROUND(N1700*(1-M1700),2)</x:f>
        <x:v>3035.43</x:v>
      </x:c>
      <x:c r="P1700" s="54" t="n">
        <x:f>ROUND(J1700*L1700,2)</x:f>
        <x:v>1489.52</x:v>
      </x:c>
      <x:c r="Q1700" s="54" t="n">
        <x:f>ROUND(O1700-P1700,2)</x:f>
        <x:v>1545.91</x:v>
      </x:c>
      <x:c r="R1700" s="55" t="n">
        <x:f>IF(O1700=0,0,ROUND(Q1700/O1700,4))</x:f>
        <x:v>0.5093</x:v>
      </x:c>
      <x:c r="S1700" s="53" t="n">
        <x:v>14</x:v>
      </x:c>
      <x:c r="T1700" t="str">
        <x:v>Entregue com atraso</x:v>
      </x:c>
      <x:c r="U1700" t="n">
        <x:v>2</x:v>
      </x:c>
      <x:c r="V1700" t="str"/>
    </x:row>
    <x:row r="1701">
      <x:c r="A1701" s="52" t="n">
        <x:v>46210</x:v>
      </x:c>
      <x:c r="B1701" t="str">
        <x:v>PED-101700</x:v>
      </x:c>
      <x:c r="C1701" t="str">
        <x:v>Cliente 112</x:v>
      </x:c>
      <x:c r="D1701" t="str">
        <x:v>BA</x:v>
      </x:c>
      <x:c r="E1701" t="str">
        <x:v>Nordeste</x:v>
      </x:c>
      <x:c r="F1701" t="str">
        <x:v>E-commerce</x:v>
      </x:c>
      <x:c r="G1701" t="str">
        <x:v>Casa</x:v>
      </x:c>
      <x:c r="H1701" t="str">
        <x:v>Purificador</x:v>
      </x:c>
      <x:c r="I1701" t="str">
        <x:v>Bruno</x:v>
      </x:c>
      <x:c r="J1701" s="53" t="n">
        <x:v>2</x:v>
      </x:c>
      <x:c r="K1701" s="54" t="n">
        <x:v>1358.29</x:v>
      </x:c>
      <x:c r="L1701" s="54" t="n">
        <x:v>824.48</x:v>
      </x:c>
      <x:c r="M1701" s="55" t="n">
        <x:v>0.0772</x:v>
      </x:c>
      <x:c r="N1701" s="54" t="n">
        <x:f>ROUND(J1701*K1701,2)</x:f>
        <x:v>2716.58</x:v>
      </x:c>
      <x:c r="O1701" s="54" t="n">
        <x:f>ROUND(N1701*(1-M1701),2)</x:f>
        <x:v>2506.86</x:v>
      </x:c>
      <x:c r="P1701" s="54" t="n">
        <x:f>ROUND(J1701*L1701,2)</x:f>
        <x:v>1648.96</x:v>
      </x:c>
      <x:c r="Q1701" s="54" t="n">
        <x:f>ROUND(O1701-P1701,2)</x:f>
        <x:v>857.9</x:v>
      </x:c>
      <x:c r="R1701" s="55" t="n">
        <x:f>IF(O1701=0,0,ROUND(Q1701/O1701,4))</x:f>
        <x:v>0.3422</x:v>
      </x:c>
      <x:c r="S1701" s="53" t="n">
        <x:v>10</x:v>
      </x:c>
      <x:c r="T1701" t="str">
        <x:v>Entregue</x:v>
      </x:c>
      <x:c r="U1701" t="n">
        <x:v>2</x:v>
      </x:c>
      <x:c r="V1701" t="str"/>
    </x:row>
    <x:row r="1702">
      <x:c r="A1702" s="52" t="n">
        <x:v>46100</x:v>
      </x:c>
      <x:c r="B1702" t="str">
        <x:v>PED-101701</x:v>
      </x:c>
      <x:c r="C1702" t="str">
        <x:v>Cliente 055</x:v>
      </x:c>
      <x:c r="D1702" t="str">
        <x:v>DF</x:v>
      </x:c>
      <x:c r="E1702" t="str">
        <x:v>Centro-Oeste</x:v>
      </x:c>
      <x:c r="F1702" t="str">
        <x:v>Televendas</x:v>
      </x:c>
      <x:c r="G1702" t="str">
        <x:v>Escritório</x:v>
      </x:c>
      <x:c r="H1702" t="str">
        <x:v>Mesa Ajustável</x:v>
      </x:c>
      <x:c r="I1702" t="str">
        <x:v>Elaine</x:v>
      </x:c>
      <x:c r="J1702" s="53" t="n">
        <x:v>2</x:v>
      </x:c>
      <x:c r="K1702" s="54" t="n">
        <x:v>2931.58</x:v>
      </x:c>
      <x:c r="L1702" s="54" t="n">
        <x:v>1802.63</x:v>
      </x:c>
      <x:c r="M1702" s="55" t="n">
        <x:v>0</x:v>
      </x:c>
      <x:c r="N1702" s="54" t="n">
        <x:f>ROUND(J1702*K1702,2)</x:f>
        <x:v>5863.16</x:v>
      </x:c>
      <x:c r="O1702" s="54" t="n">
        <x:f>ROUND(N1702*(1-M1702),2)</x:f>
        <x:v>5863.16</x:v>
      </x:c>
      <x:c r="P1702" s="54" t="n">
        <x:f>ROUND(J1702*L1702,2)</x:f>
        <x:v>3605.26</x:v>
      </x:c>
      <x:c r="Q1702" s="54" t="n">
        <x:f>ROUND(O1702-P1702,2)</x:f>
        <x:v>2257.9</x:v>
      </x:c>
      <x:c r="R1702" s="55" t="n">
        <x:f>IF(O1702=0,0,ROUND(Q1702/O1702,4))</x:f>
        <x:v>0.3851</x:v>
      </x:c>
      <x:c r="S1702" s="53" t="n">
        <x:v>7</x:v>
      </x:c>
      <x:c r="T1702" t="str">
        <x:v>Entregue</x:v>
      </x:c>
      <x:c r="U1702" t="n">
        <x:v>5</x:v>
      </x:c>
      <x:c r="V1702" t="str"/>
    </x:row>
    <x:row r="1703">
      <x:c r="A1703" s="52" t="n">
        <x:v>46205</x:v>
      </x:c>
      <x:c r="B1703" t="str">
        <x:v>PED-101702</x:v>
      </x:c>
      <x:c r="C1703" t="str">
        <x:v>Cliente 099</x:v>
      </x:c>
      <x:c r="D1703" t="str">
        <x:v>BA</x:v>
      </x:c>
      <x:c r="E1703" t="str">
        <x:v>Nordeste</x:v>
      </x:c>
      <x:c r="F1703" t="str">
        <x:v>E-commerce</x:v>
      </x:c>
      <x:c r="G1703" t="str">
        <x:v>Escritório</x:v>
      </x:c>
      <x:c r="H1703" t="str">
        <x:v>Cadeira Ergonômica</x:v>
      </x:c>
      <x:c r="I1703" t="str">
        <x:v>Gabriela</x:v>
      </x:c>
      <x:c r="J1703" s="53" t="n">
        <x:v>7</x:v>
      </x:c>
      <x:c r="K1703" s="54" t="n">
        <x:v>2091.45</x:v>
      </x:c>
      <x:c r="L1703" s="54" t="n">
        <x:v>1466.09</x:v>
      </x:c>
      <x:c r="M1703" s="55" t="n">
        <x:v>0</x:v>
      </x:c>
      <x:c r="N1703" s="54" t="n">
        <x:f>ROUND(J1703*K1703,2)</x:f>
        <x:v>14640.15</x:v>
      </x:c>
      <x:c r="O1703" s="54" t="n">
        <x:f>ROUND(N1703*(1-M1703),2)</x:f>
        <x:v>14640.15</x:v>
      </x:c>
      <x:c r="P1703" s="54" t="n">
        <x:f>ROUND(J1703*L1703,2)</x:f>
        <x:v>10262.63</x:v>
      </x:c>
      <x:c r="Q1703" s="54" t="n">
        <x:f>ROUND(O1703-P1703,2)</x:f>
        <x:v>4377.52</x:v>
      </x:c>
      <x:c r="R1703" s="55" t="n">
        <x:f>IF(O1703=0,0,ROUND(Q1703/O1703,4))</x:f>
        <x:v>0.299</x:v>
      </x:c>
      <x:c r="S1703" s="53" t="n">
        <x:v>13</x:v>
      </x:c>
      <x:c r="T1703" t="str">
        <x:v>Entregue com atraso</x:v>
      </x:c>
      <x:c r="U1703" t="n">
        <x:v>2</x:v>
      </x:c>
      <x:c r="V1703" t="str"/>
    </x:row>
    <x:row r="1704">
      <x:c r="A1704" s="52" t="n">
        <x:v>46215</x:v>
      </x:c>
      <x:c r="B1704" t="str">
        <x:v>PED-101703</x:v>
      </x:c>
      <x:c r="C1704" t="str">
        <x:v>Cliente 056</x:v>
      </x:c>
      <x:c r="D1704" t="str">
        <x:v>DF</x:v>
      </x:c>
      <x:c r="E1704" t="str">
        <x:v>Centro-Oeste</x:v>
      </x:c>
      <x:c r="F1704" t="str">
        <x:v>Marketplace</x:v>
      </x:c>
      <x:c r="G1704" t="str">
        <x:v>Escritório</x:v>
      </x:c>
      <x:c r="H1704" t="str">
        <x:v>Luminária LED</x:v>
      </x:c>
      <x:c r="I1704" t="str">
        <x:v>Diego</x:v>
      </x:c>
      <x:c r="J1704" s="53" t="n">
        <x:v>6</x:v>
      </x:c>
      <x:c r="K1704" s="54" t="n">
        <x:v>275.16</x:v>
      </x:c>
      <x:c r="L1704" s="54" t="n">
        <x:v>116.22</x:v>
      </x:c>
      <x:c r="M1704" s="55" t="n">
        <x:v>0.035</x:v>
      </x:c>
      <x:c r="N1704" s="54" t="n">
        <x:f>ROUND(J1704*K1704,2)</x:f>
        <x:v>1650.96</x:v>
      </x:c>
      <x:c r="O1704" s="54" t="n">
        <x:f>ROUND(N1704*(1-M1704),2)</x:f>
        <x:v>1593.18</x:v>
      </x:c>
      <x:c r="P1704" s="54" t="n">
        <x:f>ROUND(J1704*L1704,2)</x:f>
        <x:v>697.32</x:v>
      </x:c>
      <x:c r="Q1704" s="54" t="n">
        <x:f>ROUND(O1704-P1704,2)</x:f>
        <x:v>895.86</x:v>
      </x:c>
      <x:c r="R1704" s="55" t="n">
        <x:f>IF(O1704=0,0,ROUND(Q1704/O1704,4))</x:f>
        <x:v>0.5623</x:v>
      </x:c>
      <x:c r="S1704" s="53" t="n">
        <x:v>14</x:v>
      </x:c>
      <x:c r="T1704" t="str">
        <x:v>Entregue com atraso</x:v>
      </x:c>
      <x:c r="U1704" t="n">
        <x:v>3</x:v>
      </x:c>
      <x:c r="V1704" t="str"/>
    </x:row>
    <x:row r="1705">
      <x:c r="A1705" s="52" t="n">
        <x:v>46197</x:v>
      </x:c>
      <x:c r="B1705" t="str">
        <x:v>PED-101704</x:v>
      </x:c>
      <x:c r="C1705" t="str">
        <x:v>Cliente 001</x:v>
      </x:c>
      <x:c r="D1705" t="str">
        <x:v>AM</x:v>
      </x:c>
      <x:c r="E1705" t="str">
        <x:v>Norte</x:v>
      </x:c>
      <x:c r="F1705" t="str">
        <x:v>Loja</x:v>
      </x:c>
      <x:c r="G1705" t="str">
        <x:v>Escritório</x:v>
      </x:c>
      <x:c r="H1705" t="str">
        <x:v>Cadeira Ergonômica</x:v>
      </x:c>
      <x:c r="I1705" t="str">
        <x:v>Bruno</x:v>
      </x:c>
      <x:c r="J1705" s="53" t="n">
        <x:v>8</x:v>
      </x:c>
      <x:c r="K1705" s="54" t="n">
        <x:v>2277.49</x:v>
      </x:c>
      <x:c r="L1705" s="54" t="n">
        <x:v>1485.89</x:v>
      </x:c>
      <x:c r="M1705" s="55" t="n">
        <x:v>0.0943</x:v>
      </x:c>
      <x:c r="N1705" s="54" t="n">
        <x:f>ROUND(J1705*K1705,2)</x:f>
        <x:v>18219.92</x:v>
      </x:c>
      <x:c r="O1705" s="54" t="n">
        <x:f>ROUND(N1705*(1-M1705),2)</x:f>
        <x:v>16501.78</x:v>
      </x:c>
      <x:c r="P1705" s="54" t="n">
        <x:f>ROUND(J1705*L1705,2)</x:f>
        <x:v>11887.12</x:v>
      </x:c>
      <x:c r="Q1705" s="54" t="n">
        <x:f>ROUND(O1705-P1705,2)</x:f>
        <x:v>4614.66</x:v>
      </x:c>
      <x:c r="R1705" s="55" t="n">
        <x:f>IF(O1705=0,0,ROUND(Q1705/O1705,4))</x:f>
        <x:v>0.2796</x:v>
      </x:c>
      <x:c r="S1705" s="53" t="n">
        <x:v>9</x:v>
      </x:c>
      <x:c r="T1705" t="str">
        <x:v>Entregue</x:v>
      </x:c>
      <x:c r="U1705" t="n">
        <x:v>3</x:v>
      </x:c>
      <x:c r="V1705" t="str"/>
    </x:row>
    <x:row r="1706">
      <x:c r="A1706" s="52" t="n">
        <x:v>46103</x:v>
      </x:c>
      <x:c r="B1706" t="str">
        <x:v>PED-101705</x:v>
      </x:c>
      <x:c r="C1706" t="str">
        <x:v>Cliente 094</x:v>
      </x:c>
      <x:c r="D1706" t="str">
        <x:v>SP</x:v>
      </x:c>
      <x:c r="E1706" t="str">
        <x:v>Sudeste</x:v>
      </x:c>
      <x:c r="F1706" t="str">
        <x:v>Marketplace</x:v>
      </x:c>
      <x:c r="G1706" t="str">
        <x:v>Tecnologia</x:v>
      </x:c>
      <x:c r="H1706" t="str">
        <x:v>Headset Office</x:v>
      </x:c>
      <x:c r="I1706" t="str">
        <x:v>Diego</x:v>
      </x:c>
      <x:c r="J1706" s="53" t="n">
        <x:v>1</x:v>
      </x:c>
      <x:c r="K1706" s="54" t="n">
        <x:v>369.87</x:v>
      </x:c>
      <x:c r="L1706" s="54" t="n">
        <x:v>214.86</x:v>
      </x:c>
      <x:c r="M1706" s="55" t="n">
        <x:v>0.035</x:v>
      </x:c>
      <x:c r="N1706" s="54" t="n">
        <x:f>ROUND(J1706*K1706,2)</x:f>
        <x:v>369.87</x:v>
      </x:c>
      <x:c r="O1706" s="54" t="n">
        <x:f>ROUND(N1706*(1-M1706),2)</x:f>
        <x:v>356.92</x:v>
      </x:c>
      <x:c r="P1706" s="54" t="n">
        <x:f>ROUND(J1706*L1706,2)</x:f>
        <x:v>214.86</x:v>
      </x:c>
      <x:c r="Q1706" s="54" t="n">
        <x:f>ROUND(O1706-P1706,2)</x:f>
        <x:v>142.06</x:v>
      </x:c>
      <x:c r="R1706" s="55" t="n">
        <x:f>IF(O1706=0,0,ROUND(Q1706/O1706,4))</x:f>
        <x:v>0.398</x:v>
      </x:c>
      <x:c r="S1706" s="53" t="n">
        <x:v>8</x:v>
      </x:c>
      <x:c r="T1706" t="str">
        <x:v>Entregue</x:v>
      </x:c>
      <x:c r="U1706" t="n">
        <x:v>3</x:v>
      </x:c>
      <x:c r="V1706" t="str"/>
    </x:row>
    <x:row r="1707">
      <x:c r="A1707" s="52" t="n">
        <x:v>46140</x:v>
      </x:c>
      <x:c r="B1707" t="str">
        <x:v>PED-101706</x:v>
      </x:c>
      <x:c r="C1707" t="str">
        <x:v>Cliente 045</x:v>
      </x:c>
      <x:c r="D1707" t="str">
        <x:v>RJ</x:v>
      </x:c>
      <x:c r="E1707" t="str">
        <x:v>Sudeste</x:v>
      </x:c>
      <x:c r="F1707" t="str">
        <x:v>Loja</x:v>
      </x:c>
      <x:c r="G1707" t="str">
        <x:v>Tecnologia</x:v>
      </x:c>
      <x:c r="H1707" t="str">
        <x:v>Notebook Pro</x:v>
      </x:c>
      <x:c r="I1707" t="str">
        <x:v>Isabela</x:v>
      </x:c>
      <x:c r="J1707" s="53" t="n">
        <x:v>5</x:v>
      </x:c>
      <x:c r="K1707" s="54" t="n">
        <x:v>6192.95</x:v>
      </x:c>
      <x:c r="L1707" s="54" t="n">
        <x:v>4324.73</x:v>
      </x:c>
      <x:c r="M1707" s="55" t="n">
        <x:v>0</x:v>
      </x:c>
      <x:c r="N1707" s="54" t="n">
        <x:f>ROUND(J1707*K1707,2)</x:f>
        <x:v>30964.75</x:v>
      </x:c>
      <x:c r="O1707" s="54" t="n">
        <x:f>ROUND(N1707*(1-M1707),2)</x:f>
        <x:v>30964.75</x:v>
      </x:c>
      <x:c r="P1707" s="54" t="n">
        <x:f>ROUND(J1707*L1707,2)</x:f>
        <x:v>21623.65</x:v>
      </x:c>
      <x:c r="Q1707" s="54" t="n">
        <x:f>ROUND(O1707-P1707,2)</x:f>
        <x:v>9341.1</x:v>
      </x:c>
      <x:c r="R1707" s="55" t="n">
        <x:f>IF(O1707=0,0,ROUND(Q1707/O1707,4))</x:f>
        <x:v>0.3017</x:v>
      </x:c>
      <x:c r="S1707" s="53" t="n">
        <x:v>11</x:v>
      </x:c>
      <x:c r="T1707" t="str">
        <x:v>Entregue com atraso</x:v>
      </x:c>
      <x:c r="U1707" t="n">
        <x:v>2</x:v>
      </x:c>
      <x:c r="V1707" t="str"/>
    </x:row>
    <x:row r="1708">
      <x:c r="A1708" s="52" t="n">
        <x:v>46189</x:v>
      </x:c>
      <x:c r="B1708" t="str">
        <x:v>PED-101707</x:v>
      </x:c>
      <x:c r="C1708" t="str">
        <x:v>Cliente 038</x:v>
      </x:c>
      <x:c r="D1708" t="str">
        <x:v>SC</x:v>
      </x:c>
      <x:c r="E1708" t="str">
        <x:v>Sul</x:v>
      </x:c>
      <x:c r="F1708" t="str">
        <x:v>Marketplace</x:v>
      </x:c>
      <x:c r="G1708" t="str">
        <x:v>Casa</x:v>
      </x:c>
      <x:c r="H1708" t="str">
        <x:v>Cafeteira Smart</x:v>
      </x:c>
      <x:c r="I1708" t="str">
        <x:v>Elaine</x:v>
      </x:c>
      <x:c r="J1708" s="53" t="n">
        <x:v>6</x:v>
      </x:c>
      <x:c r="K1708" s="54" t="n">
        <x:v>784.91</x:v>
      </x:c>
      <x:c r="L1708" s="54" t="n">
        <x:v>440.43</x:v>
      </x:c>
      <x:c r="M1708" s="55" t="n">
        <x:v>0.035</x:v>
      </x:c>
      <x:c r="N1708" s="54" t="n">
        <x:f>ROUND(J1708*K1708,2)</x:f>
        <x:v>4709.46</x:v>
      </x:c>
      <x:c r="O1708" s="54" t="n">
        <x:f>ROUND(N1708*(1-M1708),2)</x:f>
        <x:v>4544.63</x:v>
      </x:c>
      <x:c r="P1708" s="54" t="n">
        <x:f>ROUND(J1708*L1708,2)</x:f>
        <x:v>2642.58</x:v>
      </x:c>
      <x:c r="Q1708" s="54" t="n">
        <x:f>ROUND(O1708-P1708,2)</x:f>
        <x:v>1902.05</x:v>
      </x:c>
      <x:c r="R1708" s="55" t="n">
        <x:f>IF(O1708=0,0,ROUND(Q1708/O1708,4))</x:f>
        <x:v>0.4185</x:v>
      </x:c>
      <x:c r="S1708" s="53" t="n">
        <x:v>8</x:v>
      </x:c>
      <x:c r="T1708" t="str">
        <x:v>Entregue</x:v>
      </x:c>
      <x:c r="U1708" t="n">
        <x:v>5</x:v>
      </x:c>
      <x:c r="V1708" t="str"/>
    </x:row>
    <x:row r="1709">
      <x:c r="A1709" s="52" t="n">
        <x:v>46057</x:v>
      </x:c>
      <x:c r="B1709" t="str">
        <x:v>PED-101708</x:v>
      </x:c>
      <x:c r="C1709" t="str">
        <x:v>Cliente 009</x:v>
      </x:c>
      <x:c r="D1709" t="str">
        <x:v>MA</x:v>
      </x:c>
      <x:c r="E1709" t="str">
        <x:v>Nordeste</x:v>
      </x:c>
      <x:c r="F1709" t="str">
        <x:v>Marketplace</x:v>
      </x:c>
      <x:c r="G1709" t="str">
        <x:v>Escritório</x:v>
      </x:c>
      <x:c r="H1709" t="str">
        <x:v>Cadeira Ergonômica</x:v>
      </x:c>
      <x:c r="I1709" t="str">
        <x:v>Gabriela</x:v>
      </x:c>
      <x:c r="J1709" s="53" t="n">
        <x:v>7</x:v>
      </x:c>
      <x:c r="K1709" s="54" t="n">
        <x:v>2313.49</x:v>
      </x:c>
      <x:c r="L1709" s="54" t="n">
        <x:v>1493.55</x:v>
      </x:c>
      <x:c r="M1709" s="55" t="n">
        <x:v>0.0961</x:v>
      </x:c>
      <x:c r="N1709" s="54" t="n">
        <x:f>ROUND(J1709*K1709,2)</x:f>
        <x:v>16194.43</x:v>
      </x:c>
      <x:c r="O1709" s="54" t="n">
        <x:f>ROUND(N1709*(1-M1709),2)</x:f>
        <x:v>14638.15</x:v>
      </x:c>
      <x:c r="P1709" s="54" t="n">
        <x:f>ROUND(J1709*L1709,2)</x:f>
        <x:v>10454.85</x:v>
      </x:c>
      <x:c r="Q1709" s="54" t="n">
        <x:f>ROUND(O1709-P1709,2)</x:f>
        <x:v>4183.3</x:v>
      </x:c>
      <x:c r="R1709" s="55" t="n">
        <x:f>IF(O1709=0,0,ROUND(Q1709/O1709,4))</x:f>
        <x:v>0.2858</x:v>
      </x:c>
      <x:c r="S1709" s="53" t="n">
        <x:v>4</x:v>
      </x:c>
      <x:c r="T1709" t="str">
        <x:v>Entregue</x:v>
      </x:c>
      <x:c r="U1709" t="n">
        <x:v>4</x:v>
      </x:c>
      <x:c r="V1709" t="str"/>
    </x:row>
    <x:row r="1710">
      <x:c r="A1710" s="52" t="n">
        <x:v>46177</x:v>
      </x:c>
      <x:c r="B1710" t="str">
        <x:v>PED-101709</x:v>
      </x:c>
      <x:c r="C1710" t="str">
        <x:v>Cliente 002</x:v>
      </x:c>
      <x:c r="D1710" t="str">
        <x:v>PE</x:v>
      </x:c>
      <x:c r="E1710" t="str">
        <x:v>Nordeste</x:v>
      </x:c>
      <x:c r="F1710" t="str">
        <x:v>Marketplace</x:v>
      </x:c>
      <x:c r="G1710" t="str">
        <x:v>Escritório</x:v>
      </x:c>
      <x:c r="H1710" t="str">
        <x:v>Cadeira Ergonômica</x:v>
      </x:c>
      <x:c r="I1710" t="str">
        <x:v>Elaine</x:v>
      </x:c>
      <x:c r="J1710" s="53" t="n">
        <x:v>8</x:v>
      </x:c>
      <x:c r="K1710" s="54" t="n">
        <x:v>2307.77</x:v>
      </x:c>
      <x:c r="L1710" s="54" t="n">
        <x:v>1414.53</x:v>
      </x:c>
      <x:c r="M1710" s="55" t="n">
        <x:v>0.0887</x:v>
      </x:c>
      <x:c r="N1710" s="54" t="n">
        <x:f>ROUND(J1710*K1710,2)</x:f>
        <x:v>18462.16</x:v>
      </x:c>
      <x:c r="O1710" s="54" t="n">
        <x:f>ROUND(N1710*(1-M1710),2)</x:f>
        <x:v>16824.57</x:v>
      </x:c>
      <x:c r="P1710" s="54" t="n">
        <x:f>ROUND(J1710*L1710,2)</x:f>
        <x:v>11316.24</x:v>
      </x:c>
      <x:c r="Q1710" s="54" t="n">
        <x:f>ROUND(O1710-P1710,2)</x:f>
        <x:v>5508.33</x:v>
      </x:c>
      <x:c r="R1710" s="55" t="n">
        <x:f>IF(O1710=0,0,ROUND(Q1710/O1710,4))</x:f>
        <x:v>0.3274</x:v>
      </x:c>
      <x:c r="S1710" s="53" t="n">
        <x:v>5</x:v>
      </x:c>
      <x:c r="T1710" t="str">
        <x:v>Entregue</x:v>
      </x:c>
      <x:c r="U1710" t="n">
        <x:v>3</x:v>
      </x:c>
      <x:c r="V1710" t="str"/>
    </x:row>
    <x:row r="1711">
      <x:c r="A1711" s="52" t="n">
        <x:v>46214</x:v>
      </x:c>
      <x:c r="B1711" t="str">
        <x:v>PED-101710</x:v>
      </x:c>
      <x:c r="C1711" t="str">
        <x:v>Cliente 061</x:v>
      </x:c>
      <x:c r="D1711" t="str">
        <x:v>RJ</x:v>
      </x:c>
      <x:c r="E1711" t="str">
        <x:v>Sudeste</x:v>
      </x:c>
      <x:c r="F1711" t="str">
        <x:v>Marketplace</x:v>
      </x:c>
      <x:c r="G1711" t="str">
        <x:v>Tecnologia</x:v>
      </x:c>
      <x:c r="H1711" t="str">
        <x:v>Monitor 27</x:v>
      </x:c>
      <x:c r="I1711" t="str">
        <x:v>Felipe</x:v>
      </x:c>
      <x:c r="J1711" s="53" t="n">
        <x:v>1</x:v>
      </x:c>
      <x:c r="K1711" s="54" t="n">
        <x:v>1720.56</x:v>
      </x:c>
      <x:c r="L1711" s="54" t="n">
        <x:v>1110.2</x:v>
      </x:c>
      <x:c r="M1711" s="55" t="n">
        <x:v>0.035</x:v>
      </x:c>
      <x:c r="N1711" s="54" t="n">
        <x:f>ROUND(J1711*K1711,2)</x:f>
        <x:v>1720.56</x:v>
      </x:c>
      <x:c r="O1711" s="54" t="n">
        <x:f>ROUND(N1711*(1-M1711),2)</x:f>
        <x:v>1660.34</x:v>
      </x:c>
      <x:c r="P1711" s="54" t="n">
        <x:f>ROUND(J1711*L1711,2)</x:f>
        <x:v>1110.2</x:v>
      </x:c>
      <x:c r="Q1711" s="54" t="n">
        <x:f>ROUND(O1711-P1711,2)</x:f>
        <x:v>550.14</x:v>
      </x:c>
      <x:c r="R1711" s="55" t="n">
        <x:f>IF(O1711=0,0,ROUND(Q1711/O1711,4))</x:f>
        <x:v>0.3313</x:v>
      </x:c>
      <x:c r="S1711" s="53" t="n">
        <x:v>14</x:v>
      </x:c>
      <x:c r="T1711" t="str">
        <x:v>Entregue com atraso</x:v>
      </x:c>
      <x:c r="U1711" t="n">
        <x:v>5</x:v>
      </x:c>
      <x:c r="V1711" t="str"/>
    </x:row>
    <x:row r="1712">
      <x:c r="A1712" s="52" t="n">
        <x:v>46187</x:v>
      </x:c>
      <x:c r="B1712" t="str">
        <x:v>PED-101711</x:v>
      </x:c>
      <x:c r="C1712" t="str">
        <x:v>Cliente 046</x:v>
      </x:c>
      <x:c r="D1712" t="str">
        <x:v>BA</x:v>
      </x:c>
      <x:c r="E1712" t="str">
        <x:v>Nordeste</x:v>
      </x:c>
      <x:c r="F1712" t="str">
        <x:v>Marketplace</x:v>
      </x:c>
      <x:c r="G1712" t="str">
        <x:v>Tecnologia</x:v>
      </x:c>
      <x:c r="H1712" t="str">
        <x:v>Headset Office</x:v>
      </x:c>
      <x:c r="I1712" t="str">
        <x:v>João</x:v>
      </x:c>
      <x:c r="J1712" s="53" t="n">
        <x:v>3</x:v>
      </x:c>
      <x:c r="K1712" s="54" t="n">
        <x:v>382.93</x:v>
      </x:c>
      <x:c r="L1712" s="54" t="n">
        <x:v>216.38</x:v>
      </x:c>
      <x:c r="M1712" s="55" t="n">
        <x:v>0.044</x:v>
      </x:c>
      <x:c r="N1712" s="54" t="n">
        <x:f>ROUND(J1712*K1712,2)</x:f>
        <x:v>1148.79</x:v>
      </x:c>
      <x:c r="O1712" s="54" t="n">
        <x:f>ROUND(N1712*(1-M1712),2)</x:f>
        <x:v>1098.24</x:v>
      </x:c>
      <x:c r="P1712" s="54" t="n">
        <x:f>ROUND(J1712*L1712,2)</x:f>
        <x:v>649.14</x:v>
      </x:c>
      <x:c r="Q1712" s="54" t="n">
        <x:f>ROUND(O1712-P1712,2)</x:f>
        <x:v>449.1</x:v>
      </x:c>
      <x:c r="R1712" s="55" t="n">
        <x:f>IF(O1712=0,0,ROUND(Q1712/O1712,4))</x:f>
        <x:v>0.4089</x:v>
      </x:c>
      <x:c r="S1712" s="53" t="n">
        <x:v>13</x:v>
      </x:c>
      <x:c r="T1712" t="str">
        <x:v>Entregue com atraso</x:v>
      </x:c>
      <x:c r="U1712" t="n">
        <x:v>4</x:v>
      </x:c>
      <x:c r="V1712" t="str"/>
    </x:row>
    <x:row r="1713">
      <x:c r="A1713" s="52" t="n">
        <x:v>46140</x:v>
      </x:c>
      <x:c r="B1713" t="str">
        <x:v>PED-101712</x:v>
      </x:c>
      <x:c r="C1713" t="str">
        <x:v>Cliente 102</x:v>
      </x:c>
      <x:c r="D1713" t="str">
        <x:v>PA</x:v>
      </x:c>
      <x:c r="E1713" t="str">
        <x:v>Norte</x:v>
      </x:c>
      <x:c r="F1713" t="str">
        <x:v>E-commerce</x:v>
      </x:c>
      <x:c r="G1713" t="str">
        <x:v>Tecnologia</x:v>
      </x:c>
      <x:c r="H1713" t="str">
        <x:v>Monitor 27</x:v>
      </x:c>
      <x:c r="I1713" t="str">
        <x:v>Elaine</x:v>
      </x:c>
      <x:c r="J1713" s="53" t="n">
        <x:v>5</x:v>
      </x:c>
      <x:c r="K1713" s="54" t="n">
        <x:v>1603.16</x:v>
      </x:c>
      <x:c r="L1713" s="54" t="n">
        <x:v>1170.38</x:v>
      </x:c>
      <x:c r="M1713" s="55" t="n">
        <x:v>0</x:v>
      </x:c>
      <x:c r="N1713" s="54" t="n">
        <x:f>ROUND(J1713*K1713,2)</x:f>
        <x:v>8015.8</x:v>
      </x:c>
      <x:c r="O1713" s="54" t="n">
        <x:f>ROUND(N1713*(1-M1713),2)</x:f>
        <x:v>8015.8</x:v>
      </x:c>
      <x:c r="P1713" s="54" t="n">
        <x:f>ROUND(J1713*L1713,2)</x:f>
        <x:v>5851.9</x:v>
      </x:c>
      <x:c r="Q1713" s="54" t="n">
        <x:f>ROUND(O1713-P1713,2)</x:f>
        <x:v>2163.9</x:v>
      </x:c>
      <x:c r="R1713" s="55" t="n">
        <x:f>IF(O1713=0,0,ROUND(Q1713/O1713,4))</x:f>
        <x:v>0.27</x:v>
      </x:c>
      <x:c r="S1713" s="53" t="n">
        <x:v>2</x:v>
      </x:c>
      <x:c r="T1713" t="str">
        <x:v>Entregue</x:v>
      </x:c>
      <x:c r="U1713" t="n">
        <x:v>2</x:v>
      </x:c>
      <x:c r="V1713" t="str"/>
    </x:row>
    <x:row r="1714">
      <x:c r="A1714" s="52" t="n">
        <x:v>46214</x:v>
      </x:c>
      <x:c r="B1714" t="str">
        <x:v>PED-101713</x:v>
      </x:c>
      <x:c r="C1714" t="str">
        <x:v>Cliente 087</x:v>
      </x:c>
      <x:c r="D1714" t="str">
        <x:v>RS</x:v>
      </x:c>
      <x:c r="E1714" t="str">
        <x:v>Sul</x:v>
      </x:c>
      <x:c r="F1714" t="str">
        <x:v>E-commerce</x:v>
      </x:c>
      <x:c r="G1714" t="str">
        <x:v>Escritório</x:v>
      </x:c>
      <x:c r="H1714" t="str">
        <x:v>Cadeira Ergonômica</x:v>
      </x:c>
      <x:c r="I1714" t="str">
        <x:v>Gabriela</x:v>
      </x:c>
      <x:c r="J1714" s="53" t="n">
        <x:v>1</x:v>
      </x:c>
      <x:c r="K1714" s="54" t="n">
        <x:v>2317.86</x:v>
      </x:c>
      <x:c r="L1714" s="54" t="n">
        <x:v>1375.23</x:v>
      </x:c>
      <x:c r="M1714" s="55" t="n">
        <x:v>0</x:v>
      </x:c>
      <x:c r="N1714" s="54" t="n">
        <x:f>ROUND(J1714*K1714,2)</x:f>
        <x:v>2317.86</x:v>
      </x:c>
      <x:c r="O1714" s="54" t="n">
        <x:f>ROUND(N1714*(1-M1714),2)</x:f>
        <x:v>2317.86</x:v>
      </x:c>
      <x:c r="P1714" s="54" t="n">
        <x:f>ROUND(J1714*L1714,2)</x:f>
        <x:v>1375.23</x:v>
      </x:c>
      <x:c r="Q1714" s="54" t="n">
        <x:f>ROUND(O1714-P1714,2)</x:f>
        <x:v>942.63</x:v>
      </x:c>
      <x:c r="R1714" s="55" t="n">
        <x:f>IF(O1714=0,0,ROUND(Q1714/O1714,4))</x:f>
        <x:v>0.4067</x:v>
      </x:c>
      <x:c r="S1714" s="53" t="n">
        <x:v>9</x:v>
      </x:c>
      <x:c r="T1714" t="str">
        <x:v>Cancelado</x:v>
      </x:c>
      <x:c r="U1714"/>
      <x:c r="V1714" t="str"/>
    </x:row>
    <x:row r="1715">
      <x:c r="A1715" s="52" t="n">
        <x:v>46043</x:v>
      </x:c>
      <x:c r="B1715" t="str">
        <x:v>PED-101714</x:v>
      </x:c>
      <x:c r="C1715" t="str">
        <x:v>Cliente 101</x:v>
      </x:c>
      <x:c r="D1715" t="str">
        <x:v>RJ</x:v>
      </x:c>
      <x:c r="E1715" t="str">
        <x:v>Sudeste</x:v>
      </x:c>
      <x:c r="F1715" t="str">
        <x:v>Marketplace</x:v>
      </x:c>
      <x:c r="G1715" t="str">
        <x:v>Acessórios</x:v>
      </x:c>
      <x:c r="H1715" t="str">
        <x:v>Webcam HD</x:v>
      </x:c>
      <x:c r="I1715" t="str">
        <x:v>Isabela</x:v>
      </x:c>
      <x:c r="J1715" s="53" t="n">
        <x:v>1</x:v>
      </x:c>
      <x:c r="K1715" s="54" t="n">
        <x:v>480.54</x:v>
      </x:c>
      <x:c r="L1715" s="54" t="n">
        <x:v>240.3</x:v>
      </x:c>
      <x:c r="M1715" s="55" t="n">
        <x:v>0.035</x:v>
      </x:c>
      <x:c r="N1715" s="54" t="n">
        <x:f>ROUND(J1715*K1715,2)</x:f>
        <x:v>480.54</x:v>
      </x:c>
      <x:c r="O1715" s="54" t="n">
        <x:f>ROUND(N1715*(1-M1715),2)</x:f>
        <x:v>463.72</x:v>
      </x:c>
      <x:c r="P1715" s="54" t="n">
        <x:f>ROUND(J1715*L1715,2)</x:f>
        <x:v>240.3</x:v>
      </x:c>
      <x:c r="Q1715" s="54" t="n">
        <x:f>ROUND(O1715-P1715,2)</x:f>
        <x:v>223.42</x:v>
      </x:c>
      <x:c r="R1715" s="55" t="n">
        <x:f>IF(O1715=0,0,ROUND(Q1715/O1715,4))</x:f>
        <x:v>0.4818</x:v>
      </x:c>
      <x:c r="S1715" s="53" t="n">
        <x:v>7</x:v>
      </x:c>
      <x:c r="T1715" t="str">
        <x:v>Entregue</x:v>
      </x:c>
      <x:c r="U1715" t="n">
        <x:v>2</x:v>
      </x:c>
      <x:c r="V1715" t="str"/>
    </x:row>
    <x:row r="1716">
      <x:c r="A1716" s="52" t="n">
        <x:v>46052</x:v>
      </x:c>
      <x:c r="B1716" t="str">
        <x:v>PED-101715</x:v>
      </x:c>
      <x:c r="C1716" t="str">
        <x:v>Cliente 061</x:v>
      </x:c>
      <x:c r="D1716" t="str">
        <x:v>ES</x:v>
      </x:c>
      <x:c r="E1716" t="str">
        <x:v>Sudeste</x:v>
      </x:c>
      <x:c r="F1716" t="str">
        <x:v>Loja</x:v>
      </x:c>
      <x:c r="G1716" t="str">
        <x:v>Casa</x:v>
      </x:c>
      <x:c r="H1716" t="str">
        <x:v>Cafeteira Smart</x:v>
      </x:c>
      <x:c r="I1716" t="str">
        <x:v>Bruno</x:v>
      </x:c>
      <x:c r="J1716" s="53" t="n">
        <x:v>5</x:v>
      </x:c>
      <x:c r="K1716" s="54" t="n">
        <x:v>836.72</x:v>
      </x:c>
      <x:c r="L1716" s="54" t="n">
        <x:v>454.21</x:v>
      </x:c>
      <x:c r="M1716" s="55" t="n">
        <x:v>0</x:v>
      </x:c>
      <x:c r="N1716" s="54" t="n">
        <x:f>ROUND(J1716*K1716,2)</x:f>
        <x:v>4183.6</x:v>
      </x:c>
      <x:c r="O1716" s="54" t="n">
        <x:f>ROUND(N1716*(1-M1716),2)</x:f>
        <x:v>4183.6</x:v>
      </x:c>
      <x:c r="P1716" s="54" t="n">
        <x:f>ROUND(J1716*L1716,2)</x:f>
        <x:v>2271.05</x:v>
      </x:c>
      <x:c r="Q1716" s="54" t="n">
        <x:f>ROUND(O1716-P1716,2)</x:f>
        <x:v>1912.55</x:v>
      </x:c>
      <x:c r="R1716" s="55" t="n">
        <x:f>IF(O1716=0,0,ROUND(Q1716/O1716,4))</x:f>
        <x:v>0.4572</x:v>
      </x:c>
      <x:c r="S1716" s="53" t="n">
        <x:v>3</x:v>
      </x:c>
      <x:c r="T1716" t="str">
        <x:v>Entregue</x:v>
      </x:c>
      <x:c r="U1716" t="n">
        <x:v>2</x:v>
      </x:c>
      <x:c r="V1716" t="str"/>
    </x:row>
    <x:row r="1717">
      <x:c r="A1717" s="52" t="n">
        <x:v>46131</x:v>
      </x:c>
      <x:c r="B1717" t="str">
        <x:v>PED-101716</x:v>
      </x:c>
      <x:c r="C1717" t="str">
        <x:v>Cliente 119</x:v>
      </x:c>
      <x:c r="D1717" t="str">
        <x:v>SC</x:v>
      </x:c>
      <x:c r="E1717" t="str">
        <x:v>Sul</x:v>
      </x:c>
      <x:c r="F1717" t="str">
        <x:v>Loja</x:v>
      </x:c>
      <x:c r="G1717" t="str">
        <x:v>Tecnologia</x:v>
      </x:c>
      <x:c r="H1717" t="str">
        <x:v>Headset Office</x:v>
      </x:c>
      <x:c r="I1717" t="str">
        <x:v>Felipe</x:v>
      </x:c>
      <x:c r="J1717" s="53" t="n">
        <x:v>8</x:v>
      </x:c>
      <x:c r="K1717" s="54" t="n">
        <x:v>368.52</x:v>
      </x:c>
      <x:c r="L1717" s="54" t="n">
        <x:v>205.92</x:v>
      </x:c>
      <x:c r="M1717" s="55" t="n">
        <x:v>0.0702</x:v>
      </x:c>
      <x:c r="N1717" s="54" t="n">
        <x:f>ROUND(J1717*K1717,2)</x:f>
        <x:v>2948.16</x:v>
      </x:c>
      <x:c r="O1717" s="54" t="n">
        <x:f>ROUND(N1717*(1-M1717),2)</x:f>
        <x:v>2741.2</x:v>
      </x:c>
      <x:c r="P1717" s="54" t="n">
        <x:f>ROUND(J1717*L1717,2)</x:f>
        <x:v>1647.36</x:v>
      </x:c>
      <x:c r="Q1717" s="54" t="n">
        <x:f>ROUND(O1717-P1717,2)</x:f>
        <x:v>1093.84</x:v>
      </x:c>
      <x:c r="R1717" s="55" t="n">
        <x:f>IF(O1717=0,0,ROUND(Q1717/O1717,4))</x:f>
        <x:v>0.399</x:v>
      </x:c>
      <x:c r="S1717" s="53" t="n">
        <x:v>3</x:v>
      </x:c>
      <x:c r="T1717" t="str">
        <x:v>Entregue</x:v>
      </x:c>
      <x:c r="U1717" t="n">
        <x:v>2</x:v>
      </x:c>
      <x:c r="V1717" t="str"/>
    </x:row>
    <x:row r="1718">
      <x:c r="A1718" s="52" t="n">
        <x:v>46089</x:v>
      </x:c>
      <x:c r="B1718" t="str">
        <x:v>PED-101717</x:v>
      </x:c>
      <x:c r="C1718" t="str">
        <x:v>Cliente 106</x:v>
      </x:c>
      <x:c r="D1718" t="str">
        <x:v>PA</x:v>
      </x:c>
      <x:c r="E1718" t="str">
        <x:v>Norte</x:v>
      </x:c>
      <x:c r="F1718" t="str">
        <x:v>E-commerce</x:v>
      </x:c>
      <x:c r="G1718" t="str">
        <x:v>Casa</x:v>
      </x:c>
      <x:c r="H1718" t="str">
        <x:v>Cafeteira Smart</x:v>
      </x:c>
      <x:c r="I1718" t="str">
        <x:v>Carla</x:v>
      </x:c>
      <x:c r="J1718" s="53" t="n">
        <x:v>8</x:v>
      </x:c>
      <x:c r="K1718" s="54" t="n">
        <x:v>779.35</x:v>
      </x:c>
      <x:c r="L1718" s="54" t="n">
        <x:v>471.38</x:v>
      </x:c>
      <x:c r="M1718" s="55" t="n">
        <x:v>0</x:v>
      </x:c>
      <x:c r="N1718" s="54" t="n">
        <x:f>ROUND(J1718*K1718,2)</x:f>
        <x:v>6234.8</x:v>
      </x:c>
      <x:c r="O1718" s="54" t="n">
        <x:f>ROUND(N1718*(1-M1718),2)</x:f>
        <x:v>6234.8</x:v>
      </x:c>
      <x:c r="P1718" s="54" t="n">
        <x:f>ROUND(J1718*L1718,2)</x:f>
        <x:v>3771.04</x:v>
      </x:c>
      <x:c r="Q1718" s="54" t="n">
        <x:f>ROUND(O1718-P1718,2)</x:f>
        <x:v>2463.76</x:v>
      </x:c>
      <x:c r="R1718" s="55" t="n">
        <x:f>IF(O1718=0,0,ROUND(Q1718/O1718,4))</x:f>
        <x:v>0.3952</x:v>
      </x:c>
      <x:c r="S1718" s="53" t="n">
        <x:v>12</x:v>
      </x:c>
      <x:c r="T1718" t="str">
        <x:v>Entregue com atraso</x:v>
      </x:c>
      <x:c r="U1718" t="n">
        <x:v>4</x:v>
      </x:c>
      <x:c r="V1718" t="str"/>
    </x:row>
    <x:row r="1719">
      <x:c r="A1719" s="52" t="n">
        <x:v>46215</x:v>
      </x:c>
      <x:c r="B1719" t="str">
        <x:v>PED-101718</x:v>
      </x:c>
      <x:c r="C1719" t="str">
        <x:v>Cliente 090</x:v>
      </x:c>
      <x:c r="D1719" t="str">
        <x:v>DF</x:v>
      </x:c>
      <x:c r="E1719" t="str">
        <x:v>Centro-Oeste</x:v>
      </x:c>
      <x:c r="F1719" t="str">
        <x:v>Loja</x:v>
      </x:c>
      <x:c r="G1719" t="str">
        <x:v>Escritório</x:v>
      </x:c>
      <x:c r="H1719" t="str">
        <x:v>Cadeira Ergonômica</x:v>
      </x:c>
      <x:c r="I1719" t="str">
        <x:v>Carla</x:v>
      </x:c>
      <x:c r="J1719" s="53" t="n">
        <x:v>4</x:v>
      </x:c>
      <x:c r="K1719" s="54" t="n">
        <x:v>2275.98</x:v>
      </x:c>
      <x:c r="L1719" s="54" t="n">
        <x:v>1447.2</x:v>
      </x:c>
      <x:c r="M1719" s="55" t="n">
        <x:v>0.1239</x:v>
      </x:c>
      <x:c r="N1719" s="54" t="n">
        <x:f>ROUND(J1719*K1719,2)</x:f>
        <x:v>9103.92</x:v>
      </x:c>
      <x:c r="O1719" s="54" t="n">
        <x:f>ROUND(N1719*(1-M1719),2)</x:f>
        <x:v>7975.94</x:v>
      </x:c>
      <x:c r="P1719" s="54" t="n">
        <x:f>ROUND(J1719*L1719,2)</x:f>
        <x:v>5788.8</x:v>
      </x:c>
      <x:c r="Q1719" s="54" t="n">
        <x:f>ROUND(O1719-P1719,2)</x:f>
        <x:v>2187.14</x:v>
      </x:c>
      <x:c r="R1719" s="55" t="n">
        <x:f>IF(O1719=0,0,ROUND(Q1719/O1719,4))</x:f>
        <x:v>0.2742</x:v>
      </x:c>
      <x:c r="S1719" s="53" t="n">
        <x:v>2</x:v>
      </x:c>
      <x:c r="T1719" t="str">
        <x:v>Entregue</x:v>
      </x:c>
      <x:c r="U1719" t="n">
        <x:v>3</x:v>
      </x:c>
      <x:c r="V1719" t="str"/>
    </x:row>
    <x:row r="1720">
      <x:c r="A1720" s="52" t="n">
        <x:v>46109</x:v>
      </x:c>
      <x:c r="B1720" t="str">
        <x:v>PED-101719</x:v>
      </x:c>
      <x:c r="C1720" t="str">
        <x:v>Cliente 078</x:v>
      </x:c>
      <x:c r="D1720" t="str">
        <x:v>RS</x:v>
      </x:c>
      <x:c r="E1720" t="str">
        <x:v>Sul</x:v>
      </x:c>
      <x:c r="F1720" t="str">
        <x:v>Televendas</x:v>
      </x:c>
      <x:c r="G1720" t="str">
        <x:v>Tecnologia</x:v>
      </x:c>
      <x:c r="H1720" t="str">
        <x:v>Monitor 27</x:v>
      </x:c>
      <x:c r="I1720" t="str">
        <x:v>Elaine</x:v>
      </x:c>
      <x:c r="J1720" s="53" t="n">
        <x:v>1</x:v>
      </x:c>
      <x:c r="K1720" s="54" t="n">
        <x:v>1617.96</x:v>
      </x:c>
      <x:c r="L1720" s="54" t="n">
        <x:v>1091.06</x:v>
      </x:c>
      <x:c r="M1720" s="55" t="n">
        <x:v>0.0436</x:v>
      </x:c>
      <x:c r="N1720" s="54" t="n">
        <x:f>ROUND(J1720*K1720,2)</x:f>
        <x:v>1617.96</x:v>
      </x:c>
      <x:c r="O1720" s="54" t="n">
        <x:f>ROUND(N1720*(1-M1720),2)</x:f>
        <x:v>1547.42</x:v>
      </x:c>
      <x:c r="P1720" s="54" t="n">
        <x:f>ROUND(J1720*L1720,2)</x:f>
        <x:v>1091.06</x:v>
      </x:c>
      <x:c r="Q1720" s="54" t="n">
        <x:f>ROUND(O1720-P1720,2)</x:f>
        <x:v>456.36</x:v>
      </x:c>
      <x:c r="R1720" s="55" t="n">
        <x:f>IF(O1720=0,0,ROUND(Q1720/O1720,4))</x:f>
        <x:v>0.2949</x:v>
      </x:c>
      <x:c r="S1720" s="53" t="n">
        <x:v>8</x:v>
      </x:c>
      <x:c r="T1720" t="str">
        <x:v>Entregue</x:v>
      </x:c>
      <x:c r="U1720" t="n">
        <x:v>4</x:v>
      </x:c>
      <x:c r="V1720" t="str"/>
    </x:row>
    <x:row r="1721">
      <x:c r="A1721" s="52" t="n">
        <x:v>46220</x:v>
      </x:c>
      <x:c r="B1721" t="str">
        <x:v>PED-101720</x:v>
      </x:c>
      <x:c r="C1721" t="str">
        <x:v>Cliente 029</x:v>
      </x:c>
      <x:c r="D1721" t="str">
        <x:v>ES</x:v>
      </x:c>
      <x:c r="E1721" t="str">
        <x:v>Sudeste</x:v>
      </x:c>
      <x:c r="F1721" t="str">
        <x:v>Loja</x:v>
      </x:c>
      <x:c r="G1721" t="str">
        <x:v>Casa</x:v>
      </x:c>
      <x:c r="H1721" t="str">
        <x:v>Cafeteira Smart</x:v>
      </x:c>
      <x:c r="I1721" t="str">
        <x:v>Henrique</x:v>
      </x:c>
      <x:c r="J1721" s="53" t="n">
        <x:v>2</x:v>
      </x:c>
      <x:c r="K1721" s="54" t="n">
        <x:v>767.05</x:v>
      </x:c>
      <x:c r="L1721" s="54" t="n">
        <x:v>443.25</x:v>
      </x:c>
      <x:c r="M1721" s="55" t="n">
        <x:v>0</x:v>
      </x:c>
      <x:c r="N1721" s="54" t="n">
        <x:f>ROUND(J1721*K1721,2)</x:f>
        <x:v>1534.1</x:v>
      </x:c>
      <x:c r="O1721" s="54" t="n">
        <x:f>ROUND(N1721*(1-M1721),2)</x:f>
        <x:v>1534.1</x:v>
      </x:c>
      <x:c r="P1721" s="54" t="n">
        <x:f>ROUND(J1721*L1721,2)</x:f>
        <x:v>886.5</x:v>
      </x:c>
      <x:c r="Q1721" s="54" t="n">
        <x:f>ROUND(O1721-P1721,2)</x:f>
        <x:v>647.6</x:v>
      </x:c>
      <x:c r="R1721" s="55" t="n">
        <x:f>IF(O1721=0,0,ROUND(Q1721/O1721,4))</x:f>
        <x:v>0.4221</x:v>
      </x:c>
      <x:c r="S1721" s="53" t="n">
        <x:v>2</x:v>
      </x:c>
      <x:c r="T1721" t="str">
        <x:v>Entregue</x:v>
      </x:c>
      <x:c r="U1721" t="n">
        <x:v>5</x:v>
      </x:c>
      <x:c r="V1721" t="str"/>
    </x:row>
    <x:row r="1722">
      <x:c r="A1722" s="52" t="n">
        <x:v>46208</x:v>
      </x:c>
      <x:c r="B1722" t="str">
        <x:v>PED-101721</x:v>
      </x:c>
      <x:c r="C1722" t="str">
        <x:v>Cliente 096</x:v>
      </x:c>
      <x:c r="D1722" t="str">
        <x:v>PR</x:v>
      </x:c>
      <x:c r="E1722" t="str">
        <x:v>Sul</x:v>
      </x:c>
      <x:c r="F1722" t="str">
        <x:v>Televendas</x:v>
      </x:c>
      <x:c r="G1722" t="str">
        <x:v>Tecnologia</x:v>
      </x:c>
      <x:c r="H1722" t="str">
        <x:v>Notebook Pro</x:v>
      </x:c>
      <x:c r="I1722" t="str">
        <x:v>Ana</x:v>
      </x:c>
      <x:c r="J1722" s="53" t="n">
        <x:v>8</x:v>
      </x:c>
      <x:c r="K1722" s="54" t="n">
        <x:v>6192.68</x:v>
      </x:c>
      <x:c r="L1722" s="54" t="n">
        <x:v>4459.01</x:v>
      </x:c>
      <x:c r="M1722" s="55" t="n">
        <x:v>0.1071</x:v>
      </x:c>
      <x:c r="N1722" s="54" t="n">
        <x:f>ROUND(J1722*K1722,2)</x:f>
        <x:v>49541.44</x:v>
      </x:c>
      <x:c r="O1722" s="54" t="n">
        <x:f>ROUND(N1722*(1-M1722),2)</x:f>
        <x:v>44235.55</x:v>
      </x:c>
      <x:c r="P1722" s="54" t="n">
        <x:f>ROUND(J1722*L1722,2)</x:f>
        <x:v>35672.08</x:v>
      </x:c>
      <x:c r="Q1722" s="54" t="n">
        <x:f>ROUND(O1722-P1722,2)</x:f>
        <x:v>8563.47</x:v>
      </x:c>
      <x:c r="R1722" s="55" t="n">
        <x:f>IF(O1722=0,0,ROUND(Q1722/O1722,4))</x:f>
        <x:v>0.1936</x:v>
      </x:c>
      <x:c r="S1722" s="53" t="n">
        <x:v>11</x:v>
      </x:c>
      <x:c r="T1722" t="str">
        <x:v>Entregue com atraso</x:v>
      </x:c>
      <x:c r="U1722" t="n">
        <x:v>5</x:v>
      </x:c>
      <x:c r="V1722" t="str"/>
    </x:row>
    <x:row r="1723">
      <x:c r="A1723" s="52" t="n">
        <x:v>46216</x:v>
      </x:c>
      <x:c r="B1723" t="str">
        <x:v>PED-100904</x:v>
      </x:c>
      <x:c r="C1723" t="str">
        <x:v>Cliente 022</x:v>
      </x:c>
      <x:c r="D1723" t="str">
        <x:v>RJ</x:v>
      </x:c>
      <x:c r="E1723" t="str">
        <x:v>Sudeste</x:v>
      </x:c>
      <x:c r="F1723" t="str">
        <x:v>Televendas</x:v>
      </x:c>
      <x:c r="G1723" t="str">
        <x:v>Tecnologia</x:v>
      </x:c>
      <x:c r="H1723" t="str">
        <x:v>Monitor 27</x:v>
      </x:c>
      <x:c r="I1723" t="str">
        <x:v>Ana</x:v>
      </x:c>
      <x:c r="J1723" s="53" t="n">
        <x:v>3</x:v>
      </x:c>
      <x:c r="K1723" s="54" t="n">
        <x:v>1712.97</x:v>
      </x:c>
      <x:c r="L1723" s="54" t="n">
        <x:v>1057.65</x:v>
      </x:c>
      <x:c r="M1723" s="55" t="n">
        <x:v>0</x:v>
      </x:c>
      <x:c r="N1723" s="54" t="n">
        <x:f>ROUND(J1723*K1723,2)</x:f>
        <x:v>5138.91</x:v>
      </x:c>
      <x:c r="O1723" s="54" t="n">
        <x:f>ROUND(N1723*(1-M1723),2)</x:f>
        <x:v>5138.91</x:v>
      </x:c>
      <x:c r="P1723" s="54" t="n">
        <x:f>ROUND(J1723*L1723,2)</x:f>
        <x:v>3172.95</x:v>
      </x:c>
      <x:c r="Q1723" s="54" t="n">
        <x:f>ROUND(O1723-P1723,2)</x:f>
        <x:v>1965.96</x:v>
      </x:c>
      <x:c r="R1723" s="55" t="n">
        <x:f>IF(O1723=0,0,ROUND(Q1723/O1723,4))</x:f>
        <x:v>0.3826</x:v>
      </x:c>
      <x:c r="S1723" s="53" t="n">
        <x:v>5</x:v>
      </x:c>
      <x:c r="T1723" t="str">
        <x:v>Entregue</x:v>
      </x:c>
      <x:c r="U1723" t="n">
        <x:v>4</x:v>
      </x:c>
      <x:c r="V1723" t="str"/>
    </x:row>
    <x:row r="1724">
      <x:c r="A1724" s="52" t="n">
        <x:v>46140</x:v>
      </x:c>
      <x:c r="B1724" t="str">
        <x:v>PED-101723</x:v>
      </x:c>
      <x:c r="C1724" t="str">
        <x:v>Cliente 014</x:v>
      </x:c>
      <x:c r="D1724" t="str">
        <x:v>DF</x:v>
      </x:c>
      <x:c r="E1724" t="str">
        <x:v>Centro-Oeste</x:v>
      </x:c>
      <x:c r="F1724" t="str">
        <x:v>Marketplace</x:v>
      </x:c>
      <x:c r="G1724" t="str">
        <x:v>Escritório</x:v>
      </x:c>
      <x:c r="H1724" t="str">
        <x:v>Luminária LED</x:v>
      </x:c>
      <x:c r="I1724" t="str">
        <x:v>João</x:v>
      </x:c>
      <x:c r="J1724" s="53" t="n">
        <x:v>1</x:v>
      </x:c>
      <x:c r="K1724" s="54" t="n">
        <x:v>254.48</x:v>
      </x:c>
      <x:c r="L1724" s="54" t="n">
        <x:v>120.12</x:v>
      </x:c>
      <x:c r="M1724" s="55" t="n">
        <x:v>0.0588</x:v>
      </x:c>
      <x:c r="N1724" s="54" t="n">
        <x:f>ROUND(J1724*K1724,2)</x:f>
        <x:v>254.48</x:v>
      </x:c>
      <x:c r="O1724" s="54" t="n">
        <x:f>ROUND(N1724*(1-M1724),2)</x:f>
        <x:v>239.52</x:v>
      </x:c>
      <x:c r="P1724" s="54" t="n">
        <x:f>ROUND(J1724*L1724,2)</x:f>
        <x:v>120.12</x:v>
      </x:c>
      <x:c r="Q1724" s="54" t="n">
        <x:f>ROUND(O1724-P1724,2)</x:f>
        <x:v>119.4</x:v>
      </x:c>
      <x:c r="R1724" s="55" t="n">
        <x:f>IF(O1724=0,0,ROUND(Q1724/O1724,4))</x:f>
        <x:v>0.4985</x:v>
      </x:c>
      <x:c r="S1724" s="53" t="n">
        <x:v>14</x:v>
      </x:c>
      <x:c r="T1724" t="str">
        <x:v>Cancelado</x:v>
      </x:c>
      <x:c r="U1724"/>
      <x:c r="V1724" t="str"/>
    </x:row>
    <x:row r="1725">
      <x:c r="A1725" s="52" t="n">
        <x:v>46113</x:v>
      </x:c>
      <x:c r="B1725" t="str">
        <x:v>PED-101724</x:v>
      </x:c>
      <x:c r="C1725" t="str">
        <x:v>Cliente 066</x:v>
      </x:c>
      <x:c r="D1725" t="str">
        <x:v>MT</x:v>
      </x:c>
      <x:c r="E1725" t="str">
        <x:v>Centro-Oeste</x:v>
      </x:c>
      <x:c r="F1725" t="str">
        <x:v>Loja</x:v>
      </x:c>
      <x:c r="G1725" t="str">
        <x:v>Acessórios</x:v>
      </x:c>
      <x:c r="H1725" t="str">
        <x:v>Mochila Executiva</x:v>
      </x:c>
      <x:c r="I1725" t="str">
        <x:v>Isabela</x:v>
      </x:c>
      <x:c r="J1725" s="53" t="n">
        <x:v>4</x:v>
      </x:c>
      <x:c r="K1725" s="54" t="n">
        <x:v>429.12</x:v>
      </x:c>
      <x:c r="L1725" s="54" t="n">
        <x:v>198.05</x:v>
      </x:c>
      <x:c r="M1725" s="55" t="n">
        <x:v>0</x:v>
      </x:c>
      <x:c r="N1725" s="54" t="n">
        <x:f>ROUND(J1725*K1725,2)</x:f>
        <x:v>1716.48</x:v>
      </x:c>
      <x:c r="O1725" s="54" t="n">
        <x:f>ROUND(N1725*(1-M1725),2)</x:f>
        <x:v>1716.48</x:v>
      </x:c>
      <x:c r="P1725" s="54" t="n">
        <x:f>ROUND(J1725*L1725,2)</x:f>
        <x:v>792.2</x:v>
      </x:c>
      <x:c r="Q1725" s="54" t="n">
        <x:f>ROUND(O1725-P1725,2)</x:f>
        <x:v>924.28</x:v>
      </x:c>
      <x:c r="R1725" s="55" t="n">
        <x:f>IF(O1725=0,0,ROUND(Q1725/O1725,4))</x:f>
        <x:v>0.5385</x:v>
      </x:c>
      <x:c r="S1725" s="53" t="n">
        <x:v>12</x:v>
      </x:c>
      <x:c r="T1725" t="str">
        <x:v>Entregue com atraso</x:v>
      </x:c>
      <x:c r="U1725" t="n">
        <x:v>3</x:v>
      </x:c>
      <x:c r="V1725" t="str"/>
    </x:row>
    <x:row r="1726">
      <x:c r="A1726" s="52" t="n">
        <x:v>46180</x:v>
      </x:c>
      <x:c r="B1726" t="str">
        <x:v>PED-101725</x:v>
      </x:c>
      <x:c r="C1726" t="str">
        <x:v>Cliente 013</x:v>
      </x:c>
      <x:c r="D1726" t="str">
        <x:v>PE</x:v>
      </x:c>
      <x:c r="E1726" t="str">
        <x:v>Nordeste</x:v>
      </x:c>
      <x:c r="F1726" t="str">
        <x:v>E-commerce</x:v>
      </x:c>
      <x:c r="G1726" t="str">
        <x:v>Acessórios</x:v>
      </x:c>
      <x:c r="H1726" t="str">
        <x:v>Hub USB-C</x:v>
      </x:c>
      <x:c r="I1726" t="str">
        <x:v>Felipe</x:v>
      </x:c>
      <x:c r="J1726" s="53" t="n">
        <x:v>4</x:v>
      </x:c>
      <x:c r="K1726" s="54" t="n">
        <x:v>324.94</x:v>
      </x:c>
      <x:c r="L1726" s="54" t="n">
        <x:v>139.26</x:v>
      </x:c>
      <x:c r="M1726" s="55" t="n">
        <x:v>0.0136</x:v>
      </x:c>
      <x:c r="N1726" s="54" t="n">
        <x:f>ROUND(J1726*K1726,2)</x:f>
        <x:v>1299.76</x:v>
      </x:c>
      <x:c r="O1726" s="54" t="n">
        <x:f>ROUND(N1726*(1-M1726),2)</x:f>
        <x:v>1282.08</x:v>
      </x:c>
      <x:c r="P1726" s="54" t="n">
        <x:f>ROUND(J1726*L1726,2)</x:f>
        <x:v>557.04</x:v>
      </x:c>
      <x:c r="Q1726" s="54" t="n">
        <x:f>ROUND(O1726-P1726,2)</x:f>
        <x:v>725.04</x:v>
      </x:c>
      <x:c r="R1726" s="55" t="n">
        <x:f>IF(O1726=0,0,ROUND(Q1726/O1726,4))</x:f>
        <x:v>0.5655</x:v>
      </x:c>
      <x:c r="S1726" s="53" t="n">
        <x:v>4</x:v>
      </x:c>
      <x:c r="T1726" t="str">
        <x:v>Entregue</x:v>
      </x:c>
      <x:c r="U1726" t="n">
        <x:v>3</x:v>
      </x:c>
      <x:c r="V1726" t="str"/>
    </x:row>
    <x:row r="1727">
      <x:c r="A1727" s="52" t="n">
        <x:v>46207</x:v>
      </x:c>
      <x:c r="B1727" t="str">
        <x:v>PED-101726</x:v>
      </x:c>
      <x:c r="C1727" t="str">
        <x:v>Cliente 104</x:v>
      </x:c>
      <x:c r="D1727" t="str">
        <x:v>ES</x:v>
      </x:c>
      <x:c r="E1727" t="str">
        <x:v>Sudeste</x:v>
      </x:c>
      <x:c r="F1727" t="str">
        <x:v>Loja</x:v>
      </x:c>
      <x:c r="G1727" t="str">
        <x:v>Acessórios</x:v>
      </x:c>
      <x:c r="H1727" t="str">
        <x:v>Mochila Executiva</x:v>
      </x:c>
      <x:c r="I1727" t="str">
        <x:v>Henrique</x:v>
      </x:c>
      <x:c r="J1727" s="53" t="n">
        <x:v>4</x:v>
      </x:c>
      <x:c r="K1727" s="54" t="n">
        <x:v>438.28</x:v>
      </x:c>
      <x:c r="L1727" s="54" t="n">
        <x:v>196.43</x:v>
      </x:c>
      <x:c r="M1727" s="55" t="n">
        <x:v>0.1215</x:v>
      </x:c>
      <x:c r="N1727" s="54" t="n">
        <x:f>ROUND(J1727*K1727,2)</x:f>
        <x:v>1753.12</x:v>
      </x:c>
      <x:c r="O1727" s="54" t="n">
        <x:f>ROUND(N1727*(1-M1727),2)</x:f>
        <x:v>1540.12</x:v>
      </x:c>
      <x:c r="P1727" s="54" t="n">
        <x:f>ROUND(J1727*L1727,2)</x:f>
        <x:v>785.72</x:v>
      </x:c>
      <x:c r="Q1727" s="54" t="n">
        <x:f>ROUND(O1727-P1727,2)</x:f>
        <x:v>754.4</x:v>
      </x:c>
      <x:c r="R1727" s="55" t="n">
        <x:f>IF(O1727=0,0,ROUND(Q1727/O1727,4))</x:f>
        <x:v>0.4898</x:v>
      </x:c>
      <x:c r="S1727" s="53" t="n">
        <x:v>2</x:v>
      </x:c>
      <x:c r="T1727" t="str">
        <x:v>Entregue</x:v>
      </x:c>
      <x:c r="U1727" t="n">
        <x:v>5</x:v>
      </x:c>
      <x:c r="V1727" t="str"/>
    </x:row>
    <x:row r="1728">
      <x:c r="A1728" s="52" t="n">
        <x:v>46069</x:v>
      </x:c>
      <x:c r="B1728" t="str">
        <x:v>PED-101727</x:v>
      </x:c>
      <x:c r="C1728" t="str">
        <x:v>Cliente 010</x:v>
      </x:c>
      <x:c r="D1728" t="str">
        <x:v>AM</x:v>
      </x:c>
      <x:c r="E1728" t="str">
        <x:v>Norte</x:v>
      </x:c>
      <x:c r="F1728" t="str">
        <x:v>Televendas</x:v>
      </x:c>
      <x:c r="G1728" t="str">
        <x:v>Tecnologia</x:v>
      </x:c>
      <x:c r="H1728" t="str">
        <x:v>Headset Office</x:v>
      </x:c>
      <x:c r="I1728" t="str">
        <x:v>Gabriela</x:v>
      </x:c>
      <x:c r="J1728" s="53" t="n">
        <x:v>3</x:v>
      </x:c>
      <x:c r="K1728" s="54" t="n">
        <x:v>368.9</x:v>
      </x:c>
      <x:c r="L1728" s="54" t="n">
        <x:v>227.36</x:v>
      </x:c>
      <x:c r="M1728" s="55" t="n">
        <x:v>0</x:v>
      </x:c>
      <x:c r="N1728" s="54" t="n">
        <x:f>ROUND(J1728*K1728,2)</x:f>
        <x:v>1106.7</x:v>
      </x:c>
      <x:c r="O1728" s="54" t="n">
        <x:f>ROUND(N1728*(1-M1728),2)</x:f>
        <x:v>1106.7</x:v>
      </x:c>
      <x:c r="P1728" s="54" t="n">
        <x:f>ROUND(J1728*L1728,2)</x:f>
        <x:v>682.08</x:v>
      </x:c>
      <x:c r="Q1728" s="54" t="n">
        <x:f>ROUND(O1728-P1728,2)</x:f>
        <x:v>424.62</x:v>
      </x:c>
      <x:c r="R1728" s="55" t="n">
        <x:f>IF(O1728=0,0,ROUND(Q1728/O1728,4))</x:f>
        <x:v>0.3837</x:v>
      </x:c>
      <x:c r="S1728" s="53" t="n">
        <x:v>11</x:v>
      </x:c>
      <x:c r="T1728" t="str">
        <x:v>Entregue com atraso</x:v>
      </x:c>
      <x:c r="U1728" t="n">
        <x:v>4</x:v>
      </x:c>
      <x:c r="V1728" t="str"/>
    </x:row>
    <x:row r="1729">
      <x:c r="A1729" s="52" t="n">
        <x:v>46214</x:v>
      </x:c>
      <x:c r="B1729" t="str">
        <x:v>PED-101728</x:v>
      </x:c>
      <x:c r="C1729" t="str">
        <x:v>Cliente 113</x:v>
      </x:c>
      <x:c r="D1729" t="str">
        <x:v>SC</x:v>
      </x:c>
      <x:c r="E1729" t="str">
        <x:v>Sul</x:v>
      </x:c>
      <x:c r="F1729" t="str">
        <x:v>Loja</x:v>
      </x:c>
      <x:c r="G1729" t="str">
        <x:v>Casa</x:v>
      </x:c>
      <x:c r="H1729" t="str">
        <x:v>Cafeteira Smart</x:v>
      </x:c>
      <x:c r="I1729" t="str">
        <x:v>Gabriela</x:v>
      </x:c>
      <x:c r="J1729" s="53" t="n">
        <x:v>2</x:v>
      </x:c>
      <x:c r="K1729" s="54" t="n">
        <x:v>765.87</x:v>
      </x:c>
      <x:c r="L1729" s="54" t="n">
        <x:v>461.75</x:v>
      </x:c>
      <x:c r="M1729" s="55" t="n">
        <x:v>0</x:v>
      </x:c>
      <x:c r="N1729" s="54" t="n">
        <x:f>ROUND(J1729*K1729,2)</x:f>
        <x:v>1531.74</x:v>
      </x:c>
      <x:c r="O1729" s="54" t="n">
        <x:f>ROUND(N1729*(1-M1729),2)</x:f>
        <x:v>1531.74</x:v>
      </x:c>
      <x:c r="P1729" s="54" t="n">
        <x:f>ROUND(J1729*L1729,2)</x:f>
        <x:v>923.5</x:v>
      </x:c>
      <x:c r="Q1729" s="54" t="n">
        <x:f>ROUND(O1729-P1729,2)</x:f>
        <x:v>608.24</x:v>
      </x:c>
      <x:c r="R1729" s="55" t="n">
        <x:f>IF(O1729=0,0,ROUND(Q1729/O1729,4))</x:f>
        <x:v>0.3971</x:v>
      </x:c>
      <x:c r="S1729" s="53" t="n">
        <x:v>6</x:v>
      </x:c>
      <x:c r="T1729" t="str">
        <x:v>Entregue</x:v>
      </x:c>
      <x:c r="U1729" t="n">
        <x:v>5</x:v>
      </x:c>
      <x:c r="V1729" t="str"/>
    </x:row>
    <x:row r="1730">
      <x:c r="A1730" s="52" t="n">
        <x:v>46222</x:v>
      </x:c>
      <x:c r="B1730" t="str">
        <x:v>PED-101729</x:v>
      </x:c>
      <x:c r="C1730" t="str">
        <x:v>Cliente 103</x:v>
      </x:c>
      <x:c r="D1730" t="str">
        <x:v>AM</x:v>
      </x:c>
      <x:c r="E1730" t="str">
        <x:v>Norte</x:v>
      </x:c>
      <x:c r="F1730" t="str">
        <x:v>Loja</x:v>
      </x:c>
      <x:c r="G1730" t="str">
        <x:v>Escritório</x:v>
      </x:c>
      <x:c r="H1730" t="str">
        <x:v>Luminária LED</x:v>
      </x:c>
      <x:c r="I1730" t="str">
        <x:v>Gabriela</x:v>
      </x:c>
      <x:c r="J1730" s="53" t="n">
        <x:v>3</x:v>
      </x:c>
      <x:c r="K1730" s="54" t="n">
        <x:v>267.05</x:v>
      </x:c>
      <x:c r="L1730" s="54" t="n">
        <x:v>120.54</x:v>
      </x:c>
      <x:c r="M1730" s="55" t="n">
        <x:v>0</x:v>
      </x:c>
      <x:c r="N1730" s="54" t="n">
        <x:f>ROUND(J1730*K1730,2)</x:f>
        <x:v>801.15</x:v>
      </x:c>
      <x:c r="O1730" s="54" t="n">
        <x:f>ROUND(N1730*(1-M1730),2)</x:f>
        <x:v>801.15</x:v>
      </x:c>
      <x:c r="P1730" s="54" t="n">
        <x:f>ROUND(J1730*L1730,2)</x:f>
        <x:v>361.62</x:v>
      </x:c>
      <x:c r="Q1730" s="54" t="n">
        <x:f>ROUND(O1730-P1730,2)</x:f>
        <x:v>439.53</x:v>
      </x:c>
      <x:c r="R1730" s="55" t="n">
        <x:f>IF(O1730=0,0,ROUND(Q1730/O1730,4))</x:f>
        <x:v>0.5486</x:v>
      </x:c>
      <x:c r="S1730" s="53" t="n">
        <x:v>13</x:v>
      </x:c>
      <x:c r="T1730" t="str">
        <x:v>Entregue com atraso</x:v>
      </x:c>
      <x:c r="U1730" t="n">
        <x:v>2</x:v>
      </x:c>
      <x:c r="V1730" t="str"/>
    </x:row>
    <x:row r="1731">
      <x:c r="A1731" s="52" t="n">
        <x:v>46199</x:v>
      </x:c>
      <x:c r="B1731" t="str">
        <x:v>PED-101730</x:v>
      </x:c>
      <x:c r="C1731" t="str">
        <x:v>Cliente 003</x:v>
      </x:c>
      <x:c r="D1731" t="str">
        <x:v>CE</x:v>
      </x:c>
      <x:c r="E1731" t="str">
        <x:v>Nordeste</x:v>
      </x:c>
      <x:c r="F1731" t="str">
        <x:v>E-commerce</x:v>
      </x:c>
      <x:c r="G1731" t="str">
        <x:v>Tecnologia</x:v>
      </x:c>
      <x:c r="H1731" t="str">
        <x:v>Notebook Pro</x:v>
      </x:c>
      <x:c r="I1731" t="str">
        <x:v>Diego</x:v>
      </x:c>
      <x:c r="J1731" s="53" t="n">
        <x:v>3</x:v>
      </x:c>
      <x:c r="K1731" s="54" t="n">
        <x:v>5662.61</x:v>
      </x:c>
      <x:c r="L1731" s="54" t="n">
        <x:v>4463.34</x:v>
      </x:c>
      <x:c r="M1731" s="55" t="n">
        <x:v>0</x:v>
      </x:c>
      <x:c r="N1731" s="54" t="n">
        <x:f>ROUND(J1731*K1731,2)</x:f>
        <x:v>16987.83</x:v>
      </x:c>
      <x:c r="O1731" s="54" t="n">
        <x:f>ROUND(N1731*(1-M1731),2)</x:f>
        <x:v>16987.83</x:v>
      </x:c>
      <x:c r="P1731" s="54" t="n">
        <x:f>ROUND(J1731*L1731,2)</x:f>
        <x:v>13390.02</x:v>
      </x:c>
      <x:c r="Q1731" s="54" t="n">
        <x:f>ROUND(O1731-P1731,2)</x:f>
        <x:v>3597.81</x:v>
      </x:c>
      <x:c r="R1731" s="55" t="n">
        <x:f>IF(O1731=0,0,ROUND(Q1731/O1731,4))</x:f>
        <x:v>0.2118</x:v>
      </x:c>
      <x:c r="S1731" s="53" t="n">
        <x:v>11</x:v>
      </x:c>
      <x:c r="T1731" t="str">
        <x:v>Entregue com atraso</x:v>
      </x:c>
      <x:c r="U1731" t="n">
        <x:v>5</x:v>
      </x:c>
      <x:c r="V1731" t="str"/>
    </x:row>
    <x:row r="1732">
      <x:c r="A1732" s="52" t="n">
        <x:v>46101</x:v>
      </x:c>
      <x:c r="B1732" t="str">
        <x:v>PED-101731</x:v>
      </x:c>
      <x:c r="C1732" t="str">
        <x:v>Cliente 089</x:v>
      </x:c>
      <x:c r="D1732" t="str">
        <x:v>BA</x:v>
      </x:c>
      <x:c r="E1732" t="str">
        <x:v>Nordeste</x:v>
      </x:c>
      <x:c r="F1732" t="str">
        <x:v>Loja</x:v>
      </x:c>
      <x:c r="G1732" t="str">
        <x:v>Acessórios</x:v>
      </x:c>
      <x:c r="H1732" t="str">
        <x:v>Hub USB-C</x:v>
      </x:c>
      <x:c r="I1732" t="str">
        <x:v>Isabela</x:v>
      </x:c>
      <x:c r="J1732" s="53" t="n">
        <x:v>4</x:v>
      </x:c>
      <x:c r="K1732" s="54" t="n">
        <x:v>303.47</x:v>
      </x:c>
      <x:c r="L1732" s="54" t="n">
        <x:v>137.67</x:v>
      </x:c>
      <x:c r="M1732" s="55" t="n">
        <x:v>0</x:v>
      </x:c>
      <x:c r="N1732" s="54" t="n">
        <x:f>ROUND(J1732*K1732,2)</x:f>
        <x:v>1213.88</x:v>
      </x:c>
      <x:c r="O1732" s="54" t="n">
        <x:f>ROUND(N1732*(1-M1732),2)</x:f>
        <x:v>1213.88</x:v>
      </x:c>
      <x:c r="P1732" s="54" t="n">
        <x:f>ROUND(J1732*L1732,2)</x:f>
        <x:v>550.68</x:v>
      </x:c>
      <x:c r="Q1732" s="54" t="n">
        <x:f>ROUND(O1732-P1732,2)</x:f>
        <x:v>663.2</x:v>
      </x:c>
      <x:c r="R1732" s="55" t="n">
        <x:f>IF(O1732=0,0,ROUND(Q1732/O1732,4))</x:f>
        <x:v>0.5463</x:v>
      </x:c>
      <x:c r="S1732" s="53" t="n">
        <x:v>14</x:v>
      </x:c>
      <x:c r="T1732" t="str">
        <x:v>Entregue com atraso</x:v>
      </x:c>
      <x:c r="U1732" t="n">
        <x:v>5</x:v>
      </x:c>
      <x:c r="V1732" t="str"/>
    </x:row>
    <x:row r="1733">
      <x:c r="A1733" s="52" t="n">
        <x:v>46177</x:v>
      </x:c>
      <x:c r="B1733" t="str">
        <x:v>PED-101732</x:v>
      </x:c>
      <x:c r="C1733" t="str">
        <x:v>Cliente 052</x:v>
      </x:c>
      <x:c r="D1733" t="str">
        <x:v>GO</x:v>
      </x:c>
      <x:c r="E1733" t="str">
        <x:v>Centro-Oeste</x:v>
      </x:c>
      <x:c r="F1733" t="str">
        <x:v>Loja</x:v>
      </x:c>
      <x:c r="G1733" t="str">
        <x:v>Acessórios</x:v>
      </x:c>
      <x:c r="H1733" t="str">
        <x:v>Mochila Executiva</x:v>
      </x:c>
      <x:c r="I1733" t="str">
        <x:v>Bruno</x:v>
      </x:c>
      <x:c r="J1733" s="53" t="n">
        <x:v>4</x:v>
      </x:c>
      <x:c r="K1733" s="54" t="n">
        <x:v>411.32</x:v>
      </x:c>
      <x:c r="L1733" s="54" t="n">
        <x:v>184.67</x:v>
      </x:c>
      <x:c r="M1733" s="55" t="n">
        <x:v>0.0886</x:v>
      </x:c>
      <x:c r="N1733" s="54" t="n">
        <x:f>ROUND(J1733*K1733,2)</x:f>
        <x:v>1645.28</x:v>
      </x:c>
      <x:c r="O1733" s="54" t="n">
        <x:f>ROUND(N1733*(1-M1733),2)</x:f>
        <x:v>1499.51</x:v>
      </x:c>
      <x:c r="P1733" s="54" t="n">
        <x:f>ROUND(J1733*L1733,2)</x:f>
        <x:v>738.68</x:v>
      </x:c>
      <x:c r="Q1733" s="54" t="n">
        <x:f>ROUND(O1733-P1733,2)</x:f>
        <x:v>760.83</x:v>
      </x:c>
      <x:c r="R1733" s="55" t="n">
        <x:f>IF(O1733=0,0,ROUND(Q1733/O1733,4))</x:f>
        <x:v>0.5074</x:v>
      </x:c>
      <x:c r="S1733" s="53" t="n">
        <x:v>12</x:v>
      </x:c>
      <x:c r="T1733" t="str">
        <x:v>Entregue com atraso</x:v>
      </x:c>
      <x:c r="U1733" t="n">
        <x:v>3</x:v>
      </x:c>
      <x:c r="V1733" t="str"/>
    </x:row>
    <x:row r="1734">
      <x:c r="A1734" s="52" t="n">
        <x:v>46134</x:v>
      </x:c>
      <x:c r="B1734" t="str">
        <x:v>PED-101733</x:v>
      </x:c>
      <x:c r="C1734" t="str">
        <x:v>Cliente 081</x:v>
      </x:c>
      <x:c r="D1734" t="str">
        <x:v>MG</x:v>
      </x:c>
      <x:c r="E1734" t="str">
        <x:v>Sudeste</x:v>
      </x:c>
      <x:c r="F1734" t="str">
        <x:v>Loja</x:v>
      </x:c>
      <x:c r="G1734" t="str">
        <x:v>Acessórios</x:v>
      </x:c>
      <x:c r="H1734" t="str">
        <x:v>Mochila Executiva</x:v>
      </x:c>
      <x:c r="I1734" t="str">
        <x:v>Carla</x:v>
      </x:c>
      <x:c r="J1734" s="53" t="n">
        <x:v>1</x:v>
      </x:c>
      <x:c r="K1734" s="54" t="n">
        <x:v>405.56</x:v>
      </x:c>
      <x:c r="L1734" s="54" t="n">
        <x:v>186.82</x:v>
      </x:c>
      <x:c r="M1734" s="55" t="n">
        <x:v>0.0901</x:v>
      </x:c>
      <x:c r="N1734" s="54" t="n">
        <x:f>ROUND(J1734*K1734,2)</x:f>
        <x:v>405.56</x:v>
      </x:c>
      <x:c r="O1734" s="54" t="n">
        <x:f>ROUND(N1734*(1-M1734),2)</x:f>
        <x:v>369.02</x:v>
      </x:c>
      <x:c r="P1734" s="54" t="n">
        <x:f>ROUND(J1734*L1734,2)</x:f>
        <x:v>186.82</x:v>
      </x:c>
      <x:c r="Q1734" s="54" t="n">
        <x:f>ROUND(O1734-P1734,2)</x:f>
        <x:v>182.2</x:v>
      </x:c>
      <x:c r="R1734" s="55" t="n">
        <x:f>IF(O1734=0,0,ROUND(Q1734/O1734,4))</x:f>
        <x:v>0.4937</x:v>
      </x:c>
      <x:c r="S1734" s="53" t="n">
        <x:v>12</x:v>
      </x:c>
      <x:c r="T1734" t="str">
        <x:v>Entregue com atraso</x:v>
      </x:c>
      <x:c r="U1734" t="n">
        <x:v>3</x:v>
      </x:c>
      <x:c r="V1734" t="str"/>
    </x:row>
    <x:row r="1735">
      <x:c r="A1735" s="52" t="n">
        <x:v>46221</x:v>
      </x:c>
      <x:c r="B1735" t="str">
        <x:v>PED-101734</x:v>
      </x:c>
      <x:c r="C1735" t="str">
        <x:v>Cliente 004</x:v>
      </x:c>
      <x:c r="D1735" t="str">
        <x:v>GO</x:v>
      </x:c>
      <x:c r="E1735" t="str">
        <x:v>Centro-Oeste</x:v>
      </x:c>
      <x:c r="F1735" t="str">
        <x:v>E-commerce</x:v>
      </x:c>
      <x:c r="G1735" t="str">
        <x:v>Casa</x:v>
      </x:c>
      <x:c r="H1735" t="str">
        <x:v>Purificador</x:v>
      </x:c>
      <x:c r="I1735" t="str">
        <x:v>Bruno</x:v>
      </x:c>
      <x:c r="J1735" s="53" t="n">
        <x:v>8</x:v>
      </x:c>
      <x:c r="K1735" s="54" t="n">
        <x:v>1219.78</x:v>
      </x:c>
      <x:c r="L1735" s="54" t="n">
        <x:v>762.14</x:v>
      </x:c>
      <x:c r="M1735" s="55" t="n">
        <x:v>0</x:v>
      </x:c>
      <x:c r="N1735" s="54" t="n">
        <x:f>ROUND(J1735*K1735,2)</x:f>
        <x:v>9758.24</x:v>
      </x:c>
      <x:c r="O1735" s="54" t="n">
        <x:f>ROUND(N1735*(1-M1735),2)</x:f>
        <x:v>9758.24</x:v>
      </x:c>
      <x:c r="P1735" s="54" t="n">
        <x:f>ROUND(J1735*L1735,2)</x:f>
        <x:v>6097.12</x:v>
      </x:c>
      <x:c r="Q1735" s="54" t="n">
        <x:f>ROUND(O1735-P1735,2)</x:f>
        <x:v>3661.12</x:v>
      </x:c>
      <x:c r="R1735" s="55" t="n">
        <x:f>IF(O1735=0,0,ROUND(Q1735/O1735,4))</x:f>
        <x:v>0.3752</x:v>
      </x:c>
      <x:c r="S1735" s="53" t="n">
        <x:v>3</x:v>
      </x:c>
      <x:c r="T1735" t="str">
        <x:v>Entregue</x:v>
      </x:c>
      <x:c r="U1735" t="n">
        <x:v>2</x:v>
      </x:c>
      <x:c r="V1735" t="str"/>
    </x:row>
    <x:row r="1736">
      <x:c r="A1736" s="52" t="n">
        <x:v>46024</x:v>
      </x:c>
      <x:c r="B1736" t="str">
        <x:v>PED-101735</x:v>
      </x:c>
      <x:c r="C1736" t="str">
        <x:v>Cliente 044</x:v>
      </x:c>
      <x:c r="D1736" t="str">
        <x:v>GO</x:v>
      </x:c>
      <x:c r="E1736" t="str">
        <x:v>Centro-Oeste</x:v>
      </x:c>
      <x:c r="F1736" t="str">
        <x:v>Marketplace</x:v>
      </x:c>
      <x:c r="G1736" t="str">
        <x:v>Casa</x:v>
      </x:c>
      <x:c r="H1736" t="str">
        <x:v>Cafeteira Smart</x:v>
      </x:c>
      <x:c r="I1736" t="str">
        <x:v>Gabriela</x:v>
      </x:c>
      <x:c r="J1736" s="53" t="n">
        <x:v>5</x:v>
      </x:c>
      <x:c r="K1736" s="54" t="n">
        <x:v>786.91</x:v>
      </x:c>
      <x:c r="L1736" s="54" t="n">
        <x:v>443.86</x:v>
      </x:c>
      <x:c r="M1736" s="55" t="n">
        <x:v>0.0579</x:v>
      </x:c>
      <x:c r="N1736" s="54" t="n">
        <x:f>ROUND(J1736*K1736,2)</x:f>
        <x:v>3934.55</x:v>
      </x:c>
      <x:c r="O1736" s="54" t="n">
        <x:f>ROUND(N1736*(1-M1736),2)</x:f>
        <x:v>3706.74</x:v>
      </x:c>
      <x:c r="P1736" s="54" t="n">
        <x:f>ROUND(J1736*L1736,2)</x:f>
        <x:v>2219.3</x:v>
      </x:c>
      <x:c r="Q1736" s="54" t="n">
        <x:f>ROUND(O1736-P1736,2)</x:f>
        <x:v>1487.44</x:v>
      </x:c>
      <x:c r="R1736" s="55" t="n">
        <x:f>IF(O1736=0,0,ROUND(Q1736/O1736,4))</x:f>
        <x:v>0.4013</x:v>
      </x:c>
      <x:c r="S1736" s="53" t="n">
        <x:v>7</x:v>
      </x:c>
      <x:c r="T1736" t="str">
        <x:v>Entregue</x:v>
      </x:c>
      <x:c r="U1736" t="n">
        <x:v>3</x:v>
      </x:c>
      <x:c r="V1736" t="str"/>
    </x:row>
    <x:row r="1737">
      <x:c r="A1737" s="52" t="n">
        <x:v>46065</x:v>
      </x:c>
      <x:c r="B1737" t="str">
        <x:v>PED-101736</x:v>
      </x:c>
      <x:c r="C1737" t="str">
        <x:v>Cliente 085</x:v>
      </x:c>
      <x:c r="D1737" t="str">
        <x:v>MG</x:v>
      </x:c>
      <x:c r="E1737" t="str">
        <x:v>Sudeste</x:v>
      </x:c>
      <x:c r="F1737" t="str">
        <x:v>Televendas</x:v>
      </x:c>
      <x:c r="G1737" t="str">
        <x:v>Acessórios</x:v>
      </x:c>
      <x:c r="H1737" t="str">
        <x:v>Hub USB-C</x:v>
      </x:c>
      <x:c r="I1737" t="str">
        <x:v>Felipe</x:v>
      </x:c>
      <x:c r="J1737" s="53" t="n">
        <x:v>2</x:v>
      </x:c>
      <x:c r="K1737" s="54" t="n">
        <x:v>333.8</x:v>
      </x:c>
      <x:c r="L1737" s="54" t="n">
        <x:v>140.32</x:v>
      </x:c>
      <x:c r="M1737" s="55" t="n">
        <x:v>0.1007</x:v>
      </x:c>
      <x:c r="N1737" s="54" t="n">
        <x:f>ROUND(J1737*K1737,2)</x:f>
        <x:v>667.6</x:v>
      </x:c>
      <x:c r="O1737" s="54" t="n">
        <x:f>ROUND(N1737*(1-M1737),2)</x:f>
        <x:v>600.37</x:v>
      </x:c>
      <x:c r="P1737" s="54" t="n">
        <x:f>ROUND(J1737*L1737,2)</x:f>
        <x:v>280.64</x:v>
      </x:c>
      <x:c r="Q1737" s="54" t="n">
        <x:f>ROUND(O1737-P1737,2)</x:f>
        <x:v>319.73</x:v>
      </x:c>
      <x:c r="R1737" s="55" t="n">
        <x:f>IF(O1737=0,0,ROUND(Q1737/O1737,4))</x:f>
        <x:v>0.5326</x:v>
      </x:c>
      <x:c r="S1737" s="53" t="n">
        <x:v>13</x:v>
      </x:c>
      <x:c r="T1737" t="str">
        <x:v>Entregue com atraso</x:v>
      </x:c>
      <x:c r="U1737" t="n">
        <x:v>4</x:v>
      </x:c>
      <x:c r="V1737" t="str"/>
    </x:row>
    <x:row r="1738">
      <x:c r="A1738" s="52" t="n">
        <x:v>46050</x:v>
      </x:c>
      <x:c r="B1738" t="str">
        <x:v>PED-101737</x:v>
      </x:c>
      <x:c r="C1738" t="str">
        <x:v>Cliente 090</x:v>
      </x:c>
      <x:c r="D1738" t="str">
        <x:v>AM</x:v>
      </x:c>
      <x:c r="E1738" t="str">
        <x:v>Norte</x:v>
      </x:c>
      <x:c r="F1738" t="str">
        <x:v>Marketplace</x:v>
      </x:c>
      <x:c r="G1738" t="str">
        <x:v>Escritório</x:v>
      </x:c>
      <x:c r="H1738" t="str">
        <x:v>Mesa Ajustável</x:v>
      </x:c>
      <x:c r="I1738" t="str">
        <x:v>Bruno</x:v>
      </x:c>
      <x:c r="J1738" s="53" t="n">
        <x:v>7</x:v>
      </x:c>
      <x:c r="K1738" s="54" t="n">
        <x:v>2858.9</x:v>
      </x:c>
      <x:c r="L1738" s="54" t="n">
        <x:v>1900.99</x:v>
      </x:c>
      <x:c r="M1738" s="55" t="n">
        <x:v>0.035</x:v>
      </x:c>
      <x:c r="N1738" s="54" t="n">
        <x:f>ROUND(J1738*K1738,2)</x:f>
        <x:v>20012.3</x:v>
      </x:c>
      <x:c r="O1738" s="54" t="n">
        <x:f>ROUND(N1738*(1-M1738),2)</x:f>
        <x:v>19311.87</x:v>
      </x:c>
      <x:c r="P1738" s="54" t="n">
        <x:f>ROUND(J1738*L1738,2)</x:f>
        <x:v>13306.93</x:v>
      </x:c>
      <x:c r="Q1738" s="54" t="n">
        <x:f>ROUND(O1738-P1738,2)</x:f>
        <x:v>6004.94</x:v>
      </x:c>
      <x:c r="R1738" s="55" t="n">
        <x:f>IF(O1738=0,0,ROUND(Q1738/O1738,4))</x:f>
        <x:v>0.3109</x:v>
      </x:c>
      <x:c r="S1738" s="53" t="n">
        <x:v>8</x:v>
      </x:c>
      <x:c r="T1738" t="str">
        <x:v>Entregue</x:v>
      </x:c>
      <x:c r="U1738" t="n">
        <x:v>3</x:v>
      </x:c>
      <x:c r="V1738" t="str"/>
    </x:row>
    <x:row r="1739">
      <x:c r="A1739" s="52" t="n">
        <x:v>46123</x:v>
      </x:c>
      <x:c r="B1739" t="str">
        <x:v>PED-101738</x:v>
      </x:c>
      <x:c r="C1739" t="str">
        <x:v>Cliente 119</x:v>
      </x:c>
      <x:c r="D1739" t="str">
        <x:v>SP</x:v>
      </x:c>
      <x:c r="E1739" t="str">
        <x:v>Sudeste</x:v>
      </x:c>
      <x:c r="F1739" t="str">
        <x:v>E-commerce</x:v>
      </x:c>
      <x:c r="G1739" t="str">
        <x:v>Tecnologia</x:v>
      </x:c>
      <x:c r="H1739" t="str">
        <x:v>Headset Office</x:v>
      </x:c>
      <x:c r="I1739" t="str">
        <x:v>Henrique</x:v>
      </x:c>
      <x:c r="J1739" s="53" t="n">
        <x:v>8</x:v>
      </x:c>
      <x:c r="K1739" s="54" t="n">
        <x:v>375.48</x:v>
      </x:c>
      <x:c r="L1739" s="54" t="n">
        <x:v>219.29</x:v>
      </x:c>
      <x:c r="M1739" s="55" t="n">
        <x:v>0.0987</x:v>
      </x:c>
      <x:c r="N1739" s="54" t="n">
        <x:f>ROUND(J1739*K1739,2)</x:f>
        <x:v>3003.84</x:v>
      </x:c>
      <x:c r="O1739" s="54" t="n">
        <x:f>ROUND(N1739*(1-M1739),2)</x:f>
        <x:v>2707.36</x:v>
      </x:c>
      <x:c r="P1739" s="54" t="n">
        <x:f>ROUND(J1739*L1739,2)</x:f>
        <x:v>1754.32</x:v>
      </x:c>
      <x:c r="Q1739" s="54" t="n">
        <x:f>ROUND(O1739-P1739,2)</x:f>
        <x:v>953.04</x:v>
      </x:c>
      <x:c r="R1739" s="55" t="n">
        <x:f>IF(O1739=0,0,ROUND(Q1739/O1739,4))</x:f>
        <x:v>0.352</x:v>
      </x:c>
      <x:c r="S1739" s="53" t="n">
        <x:v>13</x:v>
      </x:c>
      <x:c r="T1739" t="str">
        <x:v>Entregue com atraso</x:v>
      </x:c>
      <x:c r="U1739" t="n">
        <x:v>4</x:v>
      </x:c>
      <x:c r="V1739" t="str"/>
    </x:row>
    <x:row r="1740">
      <x:c r="A1740" s="52" t="n">
        <x:v>46033</x:v>
      </x:c>
      <x:c r="B1740" t="str">
        <x:v>PED-101739</x:v>
      </x:c>
      <x:c r="C1740" t="str">
        <x:v>Cliente 021</x:v>
      </x:c>
      <x:c r="D1740" t="str">
        <x:v>MT</x:v>
      </x:c>
      <x:c r="E1740" t="str">
        <x:v>Centro-Oeste</x:v>
      </x:c>
      <x:c r="F1740" t="str">
        <x:v>Televendas</x:v>
      </x:c>
      <x:c r="G1740" t="str">
        <x:v>Tecnologia</x:v>
      </x:c>
      <x:c r="H1740" t="str">
        <x:v>Notebook Pro</x:v>
      </x:c>
      <x:c r="I1740" t="str">
        <x:v>Elaine</x:v>
      </x:c>
      <x:c r="J1740" s="53" t="n">
        <x:v>3</x:v>
      </x:c>
      <x:c r="K1740" s="54" t="n">
        <x:v>5568.57</x:v>
      </x:c>
      <x:c r="L1740" s="54" t="n">
        <x:v>4356.43</x:v>
      </x:c>
      <x:c r="M1740" s="55" t="n">
        <x:v>0</x:v>
      </x:c>
      <x:c r="N1740" s="54" t="n">
        <x:f>ROUND(J1740*K1740,2)</x:f>
        <x:v>16705.71</x:v>
      </x:c>
      <x:c r="O1740" s="54" t="n">
        <x:f>ROUND(N1740*(1-M1740),2)</x:f>
        <x:v>16705.71</x:v>
      </x:c>
      <x:c r="P1740" s="54" t="n">
        <x:f>ROUND(J1740*L1740,2)</x:f>
        <x:v>13069.29</x:v>
      </x:c>
      <x:c r="Q1740" s="54" t="n">
        <x:f>ROUND(O1740-P1740,2)</x:f>
        <x:v>3636.42</x:v>
      </x:c>
      <x:c r="R1740" s="55" t="n">
        <x:f>IF(O1740=0,0,ROUND(Q1740/O1740,4))</x:f>
        <x:v>0.2177</x:v>
      </x:c>
      <x:c r="S1740" s="53" t="n">
        <x:v>7</x:v>
      </x:c>
      <x:c r="T1740" t="str">
        <x:v>Entregue</x:v>
      </x:c>
      <x:c r="U1740" t="n">
        <x:v>3</x:v>
      </x:c>
      <x:c r="V1740" t="str"/>
    </x:row>
    <x:row r="1741">
      <x:c r="A1741" s="52" t="n">
        <x:v>46043</x:v>
      </x:c>
      <x:c r="B1741" t="str">
        <x:v>PED-101740</x:v>
      </x:c>
      <x:c r="C1741" t="str">
        <x:v>Cliente 069</x:v>
      </x:c>
      <x:c r="D1741" t="str">
        <x:v>RJ</x:v>
      </x:c>
      <x:c r="E1741" t="str">
        <x:v>Sudeste</x:v>
      </x:c>
      <x:c r="F1741" t="str">
        <x:v>Televendas</x:v>
      </x:c>
      <x:c r="G1741" t="str">
        <x:v>Escritório</x:v>
      </x:c>
      <x:c r="H1741" t="str">
        <x:v>Cadeira Ergonômica</x:v>
      </x:c>
      <x:c r="I1741" t="str">
        <x:v>Diego</x:v>
      </x:c>
      <x:c r="J1741" s="53" t="n">
        <x:v>1</x:v>
      </x:c>
      <x:c r="K1741" s="54" t="n">
        <x:v>2231.57</x:v>
      </x:c>
      <x:c r="L1741" s="54" t="n">
        <x:v>1452.99</x:v>
      </x:c>
      <x:c r="M1741" s="55" t="n">
        <x:v>0</x:v>
      </x:c>
      <x:c r="N1741" s="54" t="n">
        <x:f>ROUND(J1741*K1741,2)</x:f>
        <x:v>2231.57</x:v>
      </x:c>
      <x:c r="O1741" s="54" t="n">
        <x:f>ROUND(N1741*(1-M1741),2)</x:f>
        <x:v>2231.57</x:v>
      </x:c>
      <x:c r="P1741" s="54" t="n">
        <x:f>ROUND(J1741*L1741,2)</x:f>
        <x:v>1452.99</x:v>
      </x:c>
      <x:c r="Q1741" s="54" t="n">
        <x:f>ROUND(O1741-P1741,2)</x:f>
        <x:v>778.58</x:v>
      </x:c>
      <x:c r="R1741" s="55" t="n">
        <x:f>IF(O1741=0,0,ROUND(Q1741/O1741,4))</x:f>
        <x:v>0.3489</x:v>
      </x:c>
      <x:c r="S1741" s="53" t="n">
        <x:v>4</x:v>
      </x:c>
      <x:c r="T1741" t="str">
        <x:v>Entregue</x:v>
      </x:c>
      <x:c r="U1741" t="n">
        <x:v>3</x:v>
      </x:c>
      <x:c r="V1741" t="str"/>
    </x:row>
    <x:row r="1742">
      <x:c r="A1742" s="52" t="n">
        <x:v>46218</x:v>
      </x:c>
      <x:c r="B1742" t="str">
        <x:v>PED-101741</x:v>
      </x:c>
      <x:c r="C1742" t="str">
        <x:v>Cliente 080</x:v>
      </x:c>
      <x:c r="D1742" t="str">
        <x:v>MG</x:v>
      </x:c>
      <x:c r="E1742" t="str">
        <x:v>Sudeste</x:v>
      </x:c>
      <x:c r="F1742" t="str">
        <x:v>E-commerce</x:v>
      </x:c>
      <x:c r="G1742" t="str">
        <x:v>Acessórios</x:v>
      </x:c>
      <x:c r="H1742" t="str">
        <x:v>Mochila Executiva</x:v>
      </x:c>
      <x:c r="I1742" t="str">
        <x:v>Elaine</x:v>
      </x:c>
      <x:c r="J1742" s="53" t="n">
        <x:v>8</x:v>
      </x:c>
      <x:c r="K1742" s="54" t="n">
        <x:v>404.28</x:v>
      </x:c>
      <x:c r="L1742" s="54" t="n">
        <x:v>185.17</x:v>
      </x:c>
      <x:c r="M1742" s="55" t="n">
        <x:v>0</x:v>
      </x:c>
      <x:c r="N1742" s="54" t="n">
        <x:f>ROUND(J1742*K1742,2)</x:f>
        <x:v>3234.24</x:v>
      </x:c>
      <x:c r="O1742" s="54" t="n">
        <x:f>ROUND(N1742*(1-M1742),2)</x:f>
        <x:v>3234.24</x:v>
      </x:c>
      <x:c r="P1742" s="54" t="n">
        <x:f>ROUND(J1742*L1742,2)</x:f>
        <x:v>1481.36</x:v>
      </x:c>
      <x:c r="Q1742" s="54" t="n">
        <x:f>ROUND(O1742-P1742,2)</x:f>
        <x:v>1752.88</x:v>
      </x:c>
      <x:c r="R1742" s="55" t="n">
        <x:f>IF(O1742=0,0,ROUND(Q1742/O1742,4))</x:f>
        <x:v>0.542</x:v>
      </x:c>
      <x:c r="S1742" s="53" t="n">
        <x:v>7</x:v>
      </x:c>
      <x:c r="T1742" t="str">
        <x:v>Entregue</x:v>
      </x:c>
      <x:c r="U1742" t="n">
        <x:v>3</x:v>
      </x:c>
      <x:c r="V1742" t="str"/>
    </x:row>
    <x:row r="1743">
      <x:c r="A1743" s="52" t="n">
        <x:v>46118</x:v>
      </x:c>
      <x:c r="B1743" t="str">
        <x:v>PED-101742</x:v>
      </x:c>
      <x:c r="C1743" t="str">
        <x:v>Cliente 059</x:v>
      </x:c>
      <x:c r="D1743" t="str">
        <x:v>MT</x:v>
      </x:c>
      <x:c r="E1743" t="str">
        <x:v>Centro-Oeste</x:v>
      </x:c>
      <x:c r="F1743" t="str">
        <x:v>Loja</x:v>
      </x:c>
      <x:c r="G1743" t="str">
        <x:v>Escritório</x:v>
      </x:c>
      <x:c r="H1743" t="str">
        <x:v>Mesa Ajustável</x:v>
      </x:c>
      <x:c r="I1743" t="str">
        <x:v>Elaine</x:v>
      </x:c>
      <x:c r="J1743" s="53" t="n">
        <x:v>5</x:v>
      </x:c>
      <x:c r="K1743" s="54" t="n">
        <x:v>2637.24</x:v>
      </x:c>
      <x:c r="L1743" s="54" t="n">
        <x:v>1775.19</x:v>
      </x:c>
      <x:c r="M1743" s="55" t="n">
        <x:v>0</x:v>
      </x:c>
      <x:c r="N1743" s="54" t="n">
        <x:f>ROUND(J1743*K1743,2)</x:f>
        <x:v>13186.2</x:v>
      </x:c>
      <x:c r="O1743" s="54" t="n">
        <x:f>ROUND(N1743*(1-M1743),2)</x:f>
        <x:v>13186.2</x:v>
      </x:c>
      <x:c r="P1743" s="54" t="n">
        <x:f>ROUND(J1743*L1743,2)</x:f>
        <x:v>8875.95</x:v>
      </x:c>
      <x:c r="Q1743" s="54" t="n">
        <x:f>ROUND(O1743-P1743,2)</x:f>
        <x:v>4310.25</x:v>
      </x:c>
      <x:c r="R1743" s="55" t="n">
        <x:f>IF(O1743=0,0,ROUND(Q1743/O1743,4))</x:f>
        <x:v>0.3269</x:v>
      </x:c>
      <x:c r="S1743" s="53" t="n">
        <x:v>12</x:v>
      </x:c>
      <x:c r="T1743" t="str">
        <x:v>Entregue com atraso</x:v>
      </x:c>
      <x:c r="U1743" t="n">
        <x:v>4</x:v>
      </x:c>
      <x:c r="V1743" t="str"/>
    </x:row>
    <x:row r="1744">
      <x:c r="A1744" s="52" t="n">
        <x:v>46126</x:v>
      </x:c>
      <x:c r="B1744" t="str">
        <x:v>PED-101743</x:v>
      </x:c>
      <x:c r="C1744" t="str">
        <x:v>Cliente 106</x:v>
      </x:c>
      <x:c r="D1744" t="str">
        <x:v>PR</x:v>
      </x:c>
      <x:c r="E1744" t="str">
        <x:v>Sul</x:v>
      </x:c>
      <x:c r="F1744" t="str">
        <x:v>Loja</x:v>
      </x:c>
      <x:c r="G1744" t="str">
        <x:v>Escritório</x:v>
      </x:c>
      <x:c r="H1744" t="str">
        <x:v>Mesa Ajustável</x:v>
      </x:c>
      <x:c r="I1744" t="str">
        <x:v>Isabela</x:v>
      </x:c>
      <x:c r="J1744" s="53" t="n">
        <x:v>7</x:v>
      </x:c>
      <x:c r="K1744" s="54" t="n">
        <x:v>2914.08</x:v>
      </x:c>
      <x:c r="L1744" s="54" t="n">
        <x:v>1814.84</x:v>
      </x:c>
      <x:c r="M1744" s="55" t="n">
        <x:v>0</x:v>
      </x:c>
      <x:c r="N1744" s="54" t="n">
        <x:f>ROUND(J1744*K1744,2)</x:f>
        <x:v>20398.56</x:v>
      </x:c>
      <x:c r="O1744" s="54" t="n">
        <x:f>ROUND(N1744*(1-M1744),2)</x:f>
        <x:v>20398.56</x:v>
      </x:c>
      <x:c r="P1744" s="54" t="n">
        <x:f>ROUND(J1744*L1744,2)</x:f>
        <x:v>12703.88</x:v>
      </x:c>
      <x:c r="Q1744" s="54" t="n">
        <x:f>ROUND(O1744-P1744,2)</x:f>
        <x:v>7694.68</x:v>
      </x:c>
      <x:c r="R1744" s="55" t="n">
        <x:f>IF(O1744=0,0,ROUND(Q1744/O1744,4))</x:f>
        <x:v>0.3772</x:v>
      </x:c>
      <x:c r="S1744" s="53" t="n">
        <x:v>9</x:v>
      </x:c>
      <x:c r="T1744" t="str">
        <x:v>Entregue</x:v>
      </x:c>
      <x:c r="U1744" t="n">
        <x:v>3</x:v>
      </x:c>
      <x:c r="V1744" t="str"/>
    </x:row>
    <x:row r="1745">
      <x:c r="A1745" s="52" t="n">
        <x:v>46169</x:v>
      </x:c>
      <x:c r="B1745" t="str">
        <x:v>PED-101744</x:v>
      </x:c>
      <x:c r="C1745" t="str">
        <x:v>Cliente 018</x:v>
      </x:c>
      <x:c r="D1745" t="str">
        <x:v>DF</x:v>
      </x:c>
      <x:c r="E1745" t="str">
        <x:v>Centro-Oeste</x:v>
      </x:c>
      <x:c r="F1745" t="str">
        <x:v>Loja</x:v>
      </x:c>
      <x:c r="G1745" t="str">
        <x:v>Casa</x:v>
      </x:c>
      <x:c r="H1745" t="str">
        <x:v>Aspirador Robô</x:v>
      </x:c>
      <x:c r="I1745" t="str">
        <x:v>Ana</x:v>
      </x:c>
      <x:c r="J1745" s="53" t="n">
        <x:v>4</x:v>
      </x:c>
      <x:c r="K1745" s="54" t="n">
        <x:v>1887.5</x:v>
      </x:c>
      <x:c r="L1745" s="54" t="n">
        <x:v>1145.31</x:v>
      </x:c>
      <x:c r="M1745" s="55" t="n">
        <x:v>0</x:v>
      </x:c>
      <x:c r="N1745" s="54" t="n">
        <x:f>ROUND(J1745*K1745,2)</x:f>
        <x:v>7550</x:v>
      </x:c>
      <x:c r="O1745" s="54" t="n">
        <x:f>ROUND(N1745*(1-M1745),2)</x:f>
        <x:v>7550</x:v>
      </x:c>
      <x:c r="P1745" s="54" t="n">
        <x:f>ROUND(J1745*L1745,2)</x:f>
        <x:v>4581.24</x:v>
      </x:c>
      <x:c r="Q1745" s="54" t="n">
        <x:f>ROUND(O1745-P1745,2)</x:f>
        <x:v>2968.76</x:v>
      </x:c>
      <x:c r="R1745" s="55" t="n">
        <x:f>IF(O1745=0,0,ROUND(Q1745/O1745,4))</x:f>
        <x:v>0.3932</x:v>
      </x:c>
      <x:c r="S1745" s="53" t="n">
        <x:v>10</x:v>
      </x:c>
      <x:c r="T1745" t="str">
        <x:v>Entregue</x:v>
      </x:c>
      <x:c r="U1745" t="n">
        <x:v>4</x:v>
      </x:c>
      <x:c r="V1745" t="str"/>
    </x:row>
    <x:row r="1746">
      <x:c r="A1746" s="52" t="n">
        <x:v>46095</x:v>
      </x:c>
      <x:c r="B1746" t="str">
        <x:v>PED-101745</x:v>
      </x:c>
      <x:c r="C1746" t="str">
        <x:v>Cliente 061</x:v>
      </x:c>
      <x:c r="D1746" t="str">
        <x:v>AM</x:v>
      </x:c>
      <x:c r="E1746" t="str">
        <x:v>Norte</x:v>
      </x:c>
      <x:c r="F1746" t="str">
        <x:v>Televendas</x:v>
      </x:c>
      <x:c r="G1746" t="str">
        <x:v>Casa</x:v>
      </x:c>
      <x:c r="H1746" t="str">
        <x:v>Aspirador Robô</x:v>
      </x:c>
      <x:c r="I1746" t="str">
        <x:v>Bruno</x:v>
      </x:c>
      <x:c r="J1746" s="53" t="n">
        <x:v>2</x:v>
      </x:c>
      <x:c r="K1746" s="54" t="n">
        <x:v>1997</x:v>
      </x:c>
      <x:c r="L1746" s="54" t="n">
        <x:v>1284.8</x:v>
      </x:c>
      <x:c r="M1746" s="55" t="n">
        <x:v>0</x:v>
      </x:c>
      <x:c r="N1746" s="54" t="n">
        <x:f>ROUND(J1746*K1746,2)</x:f>
        <x:v>3994</x:v>
      </x:c>
      <x:c r="O1746" s="54" t="n">
        <x:f>ROUND(N1746*(1-M1746),2)</x:f>
        <x:v>3994</x:v>
      </x:c>
      <x:c r="P1746" s="54" t="n">
        <x:f>ROUND(J1746*L1746,2)</x:f>
        <x:v>2569.6</x:v>
      </x:c>
      <x:c r="Q1746" s="54" t="n">
        <x:f>ROUND(O1746-P1746,2)</x:f>
        <x:v>1424.4</x:v>
      </x:c>
      <x:c r="R1746" s="55" t="n">
        <x:f>IF(O1746=0,0,ROUND(Q1746/O1746,4))</x:f>
        <x:v>0.3566</x:v>
      </x:c>
      <x:c r="S1746" s="53" t="n">
        <x:v>13</x:v>
      </x:c>
      <x:c r="T1746" t="str">
        <x:v>Entregue com atraso</x:v>
      </x:c>
      <x:c r="U1746" t="n">
        <x:v>5</x:v>
      </x:c>
      <x:c r="V1746" t="str"/>
    </x:row>
    <x:row r="1747">
      <x:c r="A1747" s="52" t="n">
        <x:v>46129</x:v>
      </x:c>
      <x:c r="B1747" t="str">
        <x:v>PED-101746</x:v>
      </x:c>
      <x:c r="C1747" t="str">
        <x:v>Cliente 098</x:v>
      </x:c>
      <x:c r="D1747" t="str">
        <x:v>GO</x:v>
      </x:c>
      <x:c r="E1747" t="str">
        <x:v>Centro-Oeste</x:v>
      </x:c>
      <x:c r="F1747" t="str">
        <x:v>E-commerce</x:v>
      </x:c>
      <x:c r="G1747" t="str">
        <x:v>Escritório</x:v>
      </x:c>
      <x:c r="H1747" t="str">
        <x:v>Mesa Ajustável</x:v>
      </x:c>
      <x:c r="I1747" t="str">
        <x:v>Bruno</x:v>
      </x:c>
      <x:c r="J1747" s="53" t="n">
        <x:v>3</x:v>
      </x:c>
      <x:c r="K1747" s="54" t="n">
        <x:v>2684.68</x:v>
      </x:c>
      <x:c r="L1747" s="54" t="n">
        <x:v>1852.43</x:v>
      </x:c>
      <x:c r="M1747" s="55" t="n">
        <x:v>0.0189</x:v>
      </x:c>
      <x:c r="N1747" s="54" t="n">
        <x:f>ROUND(J1747*K1747,2)</x:f>
        <x:v>8054.04</x:v>
      </x:c>
      <x:c r="O1747" s="54" t="n">
        <x:f>ROUND(N1747*(1-M1747),2)</x:f>
        <x:v>7901.82</x:v>
      </x:c>
      <x:c r="P1747" s="54" t="n">
        <x:f>ROUND(J1747*L1747,2)</x:f>
        <x:v>5557.29</x:v>
      </x:c>
      <x:c r="Q1747" s="54" t="n">
        <x:f>ROUND(O1747-P1747,2)</x:f>
        <x:v>2344.53</x:v>
      </x:c>
      <x:c r="R1747" s="55" t="n">
        <x:f>IF(O1747=0,0,ROUND(Q1747/O1747,4))</x:f>
        <x:v>0.2967</x:v>
      </x:c>
      <x:c r="S1747" s="53" t="n">
        <x:v>7</x:v>
      </x:c>
      <x:c r="T1747" t="str">
        <x:v>Entregue</x:v>
      </x:c>
      <x:c r="U1747" t="n">
        <x:v>2</x:v>
      </x:c>
      <x:c r="V1747" t="str"/>
    </x:row>
    <x:row r="1748">
      <x:c r="A1748" s="52" t="n">
        <x:v>46068</x:v>
      </x:c>
      <x:c r="B1748" t="str">
        <x:v>PED-101747</x:v>
      </x:c>
      <x:c r="C1748" t="str">
        <x:v>Cliente 038</x:v>
      </x:c>
      <x:c r="D1748" t="str">
        <x:v>SP</x:v>
      </x:c>
      <x:c r="E1748" t="str">
        <x:v>Sudeste</x:v>
      </x:c>
      <x:c r="F1748" t="str">
        <x:v>Loja</x:v>
      </x:c>
      <x:c r="G1748" t="str">
        <x:v>Tecnologia</x:v>
      </x:c>
      <x:c r="H1748" t="str">
        <x:v>Headset Office</x:v>
      </x:c>
      <x:c r="I1748" t="str">
        <x:v>João</x:v>
      </x:c>
      <x:c r="J1748" s="53" t="n">
        <x:v>7</x:v>
      </x:c>
      <x:c r="K1748" s="54" t="n">
        <x:v>410.45</x:v>
      </x:c>
      <x:c r="L1748" s="54" t="n">
        <x:v>212.3</x:v>
      </x:c>
      <x:c r="M1748" s="55" t="n">
        <x:v>0.0571</x:v>
      </x:c>
      <x:c r="N1748" s="54" t="n">
        <x:f>ROUND(J1748*K1748,2)</x:f>
        <x:v>2873.15</x:v>
      </x:c>
      <x:c r="O1748" s="54" t="n">
        <x:f>ROUND(N1748*(1-M1748),2)</x:f>
        <x:v>2709.09</x:v>
      </x:c>
      <x:c r="P1748" s="54" t="n">
        <x:f>ROUND(J1748*L1748,2)</x:f>
        <x:v>1486.1</x:v>
      </x:c>
      <x:c r="Q1748" s="54" t="n">
        <x:f>ROUND(O1748-P1748,2)</x:f>
        <x:v>1222.99</x:v>
      </x:c>
      <x:c r="R1748" s="55" t="n">
        <x:f>IF(O1748=0,0,ROUND(Q1748/O1748,4))</x:f>
        <x:v>0.4514</x:v>
      </x:c>
      <x:c r="S1748" s="53" t="n">
        <x:v>5</x:v>
      </x:c>
      <x:c r="T1748" t="str">
        <x:v>Entregue</x:v>
      </x:c>
      <x:c r="U1748" t="n">
        <x:v>5</x:v>
      </x:c>
      <x:c r="V1748" t="str"/>
    </x:row>
    <x:row r="1749">
      <x:c r="A1749" s="52" t="n">
        <x:v>46221</x:v>
      </x:c>
      <x:c r="B1749" t="str">
        <x:v>PED-101748</x:v>
      </x:c>
      <x:c r="C1749" t="str">
        <x:v>Cliente 043</x:v>
      </x:c>
      <x:c r="D1749" t="str">
        <x:v>PA</x:v>
      </x:c>
      <x:c r="E1749" t="str">
        <x:v>Norte</x:v>
      </x:c>
      <x:c r="F1749" t="str">
        <x:v>Televendas</x:v>
      </x:c>
      <x:c r="G1749" t="str">
        <x:v>Escritório</x:v>
      </x:c>
      <x:c r="H1749" t="str">
        <x:v>Cadeira Ergonômica</x:v>
      </x:c>
      <x:c r="I1749" t="str">
        <x:v>Isabela</x:v>
      </x:c>
      <x:c r="J1749" s="53" t="n">
        <x:v>8</x:v>
      </x:c>
      <x:c r="K1749" s="54" t="n">
        <x:v>2220.08</x:v>
      </x:c>
      <x:c r="L1749" s="54" t="n">
        <x:v>1463.74</x:v>
      </x:c>
      <x:c r="M1749" s="55" t="n">
        <x:v>0.0906</x:v>
      </x:c>
      <x:c r="N1749" s="54" t="n">
        <x:f>ROUND(J1749*K1749,2)</x:f>
        <x:v>17760.64</x:v>
      </x:c>
      <x:c r="O1749" s="54" t="n">
        <x:f>ROUND(N1749*(1-M1749),2)</x:f>
        <x:v>16151.53</x:v>
      </x:c>
      <x:c r="P1749" s="54" t="n">
        <x:f>ROUND(J1749*L1749,2)</x:f>
        <x:v>11709.92</x:v>
      </x:c>
      <x:c r="Q1749" s="54" t="n">
        <x:f>ROUND(O1749-P1749,2)</x:f>
        <x:v>4441.61</x:v>
      </x:c>
      <x:c r="R1749" s="55" t="n">
        <x:f>IF(O1749=0,0,ROUND(Q1749/O1749,4))</x:f>
        <x:v>0.275</x:v>
      </x:c>
      <x:c r="S1749" s="53" t="n">
        <x:v>5</x:v>
      </x:c>
      <x:c r="T1749" t="str">
        <x:v>Entregue</x:v>
      </x:c>
      <x:c r="U1749" t="n">
        <x:v>3</x:v>
      </x:c>
      <x:c r="V1749" t="str"/>
    </x:row>
    <x:row r="1750">
      <x:c r="A1750" s="52" t="n">
        <x:v>46157</x:v>
      </x:c>
      <x:c r="B1750" t="str">
        <x:v>PED-101749</x:v>
      </x:c>
      <x:c r="C1750" t="str">
        <x:v>Cliente 061</x:v>
      </x:c>
      <x:c r="D1750" t="str">
        <x:v>ES</x:v>
      </x:c>
      <x:c r="E1750" t="str">
        <x:v>Sudeste</x:v>
      </x:c>
      <x:c r="F1750" t="str">
        <x:v>Marketplace</x:v>
      </x:c>
      <x:c r="G1750" t="str">
        <x:v>Escritório</x:v>
      </x:c>
      <x:c r="H1750" t="str">
        <x:v>Mesa Ajustável</x:v>
      </x:c>
      <x:c r="I1750" t="str">
        <x:v>João</x:v>
      </x:c>
      <x:c r="J1750" s="53" t="n">
        <x:v>4</x:v>
      </x:c>
      <x:c r="K1750" s="54" t="n">
        <x:v>2721.73</x:v>
      </x:c>
      <x:c r="L1750" s="54" t="n">
        <x:v>1829.64</x:v>
      </x:c>
      <x:c r="M1750" s="55" t="n">
        <x:v>0.1078</x:v>
      </x:c>
      <x:c r="N1750" s="54" t="n">
        <x:f>ROUND(J1750*K1750,2)</x:f>
        <x:v>10886.92</x:v>
      </x:c>
      <x:c r="O1750" s="54" t="n">
        <x:f>ROUND(N1750*(1-M1750),2)</x:f>
        <x:v>9713.31</x:v>
      </x:c>
      <x:c r="P1750" s="54" t="n">
        <x:f>ROUND(J1750*L1750,2)</x:f>
        <x:v>7318.56</x:v>
      </x:c>
      <x:c r="Q1750" s="54" t="n">
        <x:f>ROUND(O1750-P1750,2)</x:f>
        <x:v>2394.75</x:v>
      </x:c>
      <x:c r="R1750" s="55" t="n">
        <x:f>IF(O1750=0,0,ROUND(Q1750/O1750,4))</x:f>
        <x:v>0.2465</x:v>
      </x:c>
      <x:c r="S1750" s="53" t="n">
        <x:v>13</x:v>
      </x:c>
      <x:c r="T1750" t="str">
        <x:v>Entregue com atraso</x:v>
      </x:c>
      <x:c r="U1750" t="n">
        <x:v>5</x:v>
      </x:c>
      <x:c r="V1750" t="str"/>
    </x:row>
    <x:row r="1751">
      <x:c r="A1751" s="52" t="n">
        <x:v>46029</x:v>
      </x:c>
      <x:c r="B1751" t="str">
        <x:v>PED-101750</x:v>
      </x:c>
      <x:c r="C1751" t="str">
        <x:v>Cliente 022</x:v>
      </x:c>
      <x:c r="D1751" t="str">
        <x:v>SP</x:v>
      </x:c>
      <x:c r="E1751" t="str">
        <x:v>Sudeste</x:v>
      </x:c>
      <x:c r="F1751" t="str">
        <x:v>E-commerce</x:v>
      </x:c>
      <x:c r="G1751" t="str">
        <x:v>Tecnologia</x:v>
      </x:c>
      <x:c r="H1751" t="str">
        <x:v>Notebook Pro</x:v>
      </x:c>
      <x:c r="I1751" t="str">
        <x:v>Elaine</x:v>
      </x:c>
      <x:c r="J1751" s="53" t="n">
        <x:v>7</x:v>
      </x:c>
      <x:c r="K1751" s="54" t="n">
        <x:v>5737.41</x:v>
      </x:c>
      <x:c r="L1751" s="54" t="n">
        <x:v>4503.87</x:v>
      </x:c>
      <x:c r="M1751" s="55" t="n">
        <x:v>0</x:v>
      </x:c>
      <x:c r="N1751" s="54" t="n">
        <x:f>ROUND(J1751*K1751,2)</x:f>
        <x:v>40161.87</x:v>
      </x:c>
      <x:c r="O1751" s="54" t="n">
        <x:f>ROUND(N1751*(1-M1751),2)</x:f>
        <x:v>40161.87</x:v>
      </x:c>
      <x:c r="P1751" s="54" t="n">
        <x:f>ROUND(J1751*L1751,2)</x:f>
        <x:v>31527.09</x:v>
      </x:c>
      <x:c r="Q1751" s="54" t="n">
        <x:f>ROUND(O1751-P1751,2)</x:f>
        <x:v>8634.78</x:v>
      </x:c>
      <x:c r="R1751" s="55" t="n">
        <x:f>IF(O1751=0,0,ROUND(Q1751/O1751,4))</x:f>
        <x:v>0.215</x:v>
      </x:c>
      <x:c r="S1751" s="53" t="n">
        <x:v>2</x:v>
      </x:c>
      <x:c r="T1751" t="str">
        <x:v>Entregue</x:v>
      </x:c>
      <x:c r="U1751" t="n">
        <x:v>5</x:v>
      </x:c>
      <x:c r="V1751" t="str"/>
    </x:row>
    <x:row r="1752">
      <x:c r="A1752" s="52" t="n">
        <x:v>46187</x:v>
      </x:c>
      <x:c r="B1752" t="str">
        <x:v>PED-101751</x:v>
      </x:c>
      <x:c r="C1752" t="str">
        <x:v>Cliente 086</x:v>
      </x:c>
      <x:c r="D1752" t="str">
        <x:v>BA</x:v>
      </x:c>
      <x:c r="E1752" t="str">
        <x:v>Nordeste</x:v>
      </x:c>
      <x:c r="F1752" t="str">
        <x:v>E-commerce</x:v>
      </x:c>
      <x:c r="G1752" t="str">
        <x:v>Casa</x:v>
      </x:c>
      <x:c r="H1752" t="str">
        <x:v>Cafeteira Smart</x:v>
      </x:c>
      <x:c r="I1752" t="str">
        <x:v>Diego</x:v>
      </x:c>
      <x:c r="J1752" s="53" t="n">
        <x:v>7</x:v>
      </x:c>
      <x:c r="K1752" s="54" t="n">
        <x:v>756.7</x:v>
      </x:c>
      <x:c r="L1752" s="54" t="n">
        <x:v>489.74</x:v>
      </x:c>
      <x:c r="M1752" s="55" t="n">
        <x:v>0</x:v>
      </x:c>
      <x:c r="N1752" s="54" t="n">
        <x:f>ROUND(J1752*K1752,2)</x:f>
        <x:v>5296.9</x:v>
      </x:c>
      <x:c r="O1752" s="54" t="n">
        <x:f>ROUND(N1752*(1-M1752),2)</x:f>
        <x:v>5296.9</x:v>
      </x:c>
      <x:c r="P1752" s="54" t="n">
        <x:f>ROUND(J1752*L1752,2)</x:f>
        <x:v>3428.18</x:v>
      </x:c>
      <x:c r="Q1752" s="54" t="n">
        <x:f>ROUND(O1752-P1752,2)</x:f>
        <x:v>1868.72</x:v>
      </x:c>
      <x:c r="R1752" s="55" t="n">
        <x:f>IF(O1752=0,0,ROUND(Q1752/O1752,4))</x:f>
        <x:v>0.3528</x:v>
      </x:c>
      <x:c r="S1752" s="53" t="n">
        <x:v>4</x:v>
      </x:c>
      <x:c r="T1752" t="str">
        <x:v>Entregue</x:v>
      </x:c>
      <x:c r="U1752" t="n">
        <x:v>3</x:v>
      </x:c>
      <x:c r="V1752" t="str"/>
    </x:row>
    <x:row r="1753">
      <x:c r="A1753" s="52" t="n">
        <x:v>46156</x:v>
      </x:c>
      <x:c r="B1753" t="str">
        <x:v>PED-101752</x:v>
      </x:c>
      <x:c r="C1753" t="str">
        <x:v>Cliente 064</x:v>
      </x:c>
      <x:c r="D1753" t="str">
        <x:v>SP</x:v>
      </x:c>
      <x:c r="E1753" t="str">
        <x:v>Sudeste</x:v>
      </x:c>
      <x:c r="F1753" t="str">
        <x:v>Televendas</x:v>
      </x:c>
      <x:c r="G1753" t="str">
        <x:v>Escritório</x:v>
      </x:c>
      <x:c r="H1753" t="str">
        <x:v>Cadeira Ergonômica</x:v>
      </x:c>
      <x:c r="I1753" t="str">
        <x:v>Henrique</x:v>
      </x:c>
      <x:c r="J1753" s="53" t="n">
        <x:v>2</x:v>
      </x:c>
      <x:c r="K1753" s="54" t="n">
        <x:v>2115.63</x:v>
      </x:c>
      <x:c r="L1753" s="54" t="n">
        <x:v>1474.56</x:v>
      </x:c>
      <x:c r="M1753" s="55" t="n">
        <x:v>0.0053</x:v>
      </x:c>
      <x:c r="N1753" s="54" t="n">
        <x:f>ROUND(J1753*K1753,2)</x:f>
        <x:v>4231.26</x:v>
      </x:c>
      <x:c r="O1753" s="54" t="n">
        <x:f>ROUND(N1753*(1-M1753),2)</x:f>
        <x:v>4208.83</x:v>
      </x:c>
      <x:c r="P1753" s="54" t="n">
        <x:f>ROUND(J1753*L1753,2)</x:f>
        <x:v>2949.12</x:v>
      </x:c>
      <x:c r="Q1753" s="54" t="n">
        <x:f>ROUND(O1753-P1753,2)</x:f>
        <x:v>1259.71</x:v>
      </x:c>
      <x:c r="R1753" s="55" t="n">
        <x:f>IF(O1753=0,0,ROUND(Q1753/O1753,4))</x:f>
        <x:v>0.2993</x:v>
      </x:c>
      <x:c r="S1753" s="53" t="n">
        <x:v>9</x:v>
      </x:c>
      <x:c r="T1753" t="str">
        <x:v>Entregue</x:v>
      </x:c>
      <x:c r="U1753" t="n">
        <x:v>5</x:v>
      </x:c>
      <x:c r="V1753" t="str"/>
    </x:row>
    <x:row r="1754">
      <x:c r="A1754" s="52" t="n">
        <x:v>46168</x:v>
      </x:c>
      <x:c r="B1754" t="str">
        <x:v>PED-101753</x:v>
      </x:c>
      <x:c r="C1754" t="str">
        <x:v>Cliente 115</x:v>
      </x:c>
      <x:c r="D1754" t="str">
        <x:v>PA</x:v>
      </x:c>
      <x:c r="E1754" t="str">
        <x:v>Norte</x:v>
      </x:c>
      <x:c r="F1754" t="str">
        <x:v>E-commerce</x:v>
      </x:c>
      <x:c r="G1754" t="str">
        <x:v>Casa</x:v>
      </x:c>
      <x:c r="H1754" t="str">
        <x:v>Purificador</x:v>
      </x:c>
      <x:c r="I1754" t="str">
        <x:v>Gabriela</x:v>
      </x:c>
      <x:c r="J1754" s="53" t="n">
        <x:v>8</x:v>
      </x:c>
      <x:c r="K1754" s="54" t="n">
        <x:v>1341.68</x:v>
      </x:c>
      <x:c r="L1754" s="54" t="n">
        <x:v>789.99</x:v>
      </x:c>
      <x:c r="M1754" s="55" t="n">
        <x:v>0.0376</x:v>
      </x:c>
      <x:c r="N1754" s="54" t="n">
        <x:f>ROUND(J1754*K1754,2)</x:f>
        <x:v>10733.44</x:v>
      </x:c>
      <x:c r="O1754" s="54" t="n">
        <x:f>ROUND(N1754*(1-M1754),2)</x:f>
        <x:v>10329.86</x:v>
      </x:c>
      <x:c r="P1754" s="54" t="n">
        <x:f>ROUND(J1754*L1754,2)</x:f>
        <x:v>6319.92</x:v>
      </x:c>
      <x:c r="Q1754" s="54" t="n">
        <x:f>ROUND(O1754-P1754,2)</x:f>
        <x:v>4009.94</x:v>
      </x:c>
      <x:c r="R1754" s="55" t="n">
        <x:f>IF(O1754=0,0,ROUND(Q1754/O1754,4))</x:f>
        <x:v>0.3882</x:v>
      </x:c>
      <x:c r="S1754" s="53" t="n">
        <x:v>20</x:v>
      </x:c>
      <x:c r="T1754" t="str">
        <x:v>Entregue com atraso</x:v>
      </x:c>
      <x:c r="U1754" t="n">
        <x:v>2</x:v>
      </x:c>
      <x:c r="V1754" t="str">
        <x:v>Ocorrência logística</x:v>
      </x:c>
    </x:row>
    <x:row r="1755">
      <x:c r="A1755" s="52" t="n">
        <x:v>46115</x:v>
      </x:c>
      <x:c r="B1755" t="str">
        <x:v>PED-101754</x:v>
      </x:c>
      <x:c r="C1755" t="str">
        <x:v>Cliente 014</x:v>
      </x:c>
      <x:c r="D1755" t="str">
        <x:v>GO</x:v>
      </x:c>
      <x:c r="E1755" t="str">
        <x:v>Centro-Oeste</x:v>
      </x:c>
      <x:c r="F1755" t="str">
        <x:v>Marketplace</x:v>
      </x:c>
      <x:c r="G1755" t="str">
        <x:v>Casa</x:v>
      </x:c>
      <x:c r="H1755" t="str">
        <x:v>Purificador</x:v>
      </x:c>
      <x:c r="I1755" t="str">
        <x:v>Felipe</x:v>
      </x:c>
      <x:c r="J1755" s="53" t="n">
        <x:v>4</x:v>
      </x:c>
      <x:c r="K1755" s="54" t="n">
        <x:v>1346.83</x:v>
      </x:c>
      <x:c r="L1755" s="54" t="n">
        <x:v>747.04</x:v>
      </x:c>
      <x:c r="M1755" s="55" t="n">
        <x:v>0.035</x:v>
      </x:c>
      <x:c r="N1755" s="54" t="n">
        <x:f>ROUND(J1755*K1755,2)</x:f>
        <x:v>5387.32</x:v>
      </x:c>
      <x:c r="O1755" s="54" t="n">
        <x:f>ROUND(N1755*(1-M1755),2)</x:f>
        <x:v>5198.76</x:v>
      </x:c>
      <x:c r="P1755" s="54" t="n">
        <x:f>ROUND(J1755*L1755,2)</x:f>
        <x:v>2988.16</x:v>
      </x:c>
      <x:c r="Q1755" s="54" t="n">
        <x:f>ROUND(O1755-P1755,2)</x:f>
        <x:v>2210.6</x:v>
      </x:c>
      <x:c r="R1755" s="55" t="n">
        <x:f>IF(O1755=0,0,ROUND(Q1755/O1755,4))</x:f>
        <x:v>0.4252</x:v>
      </x:c>
      <x:c r="S1755" s="53" t="n">
        <x:v>6</x:v>
      </x:c>
      <x:c r="T1755" t="str">
        <x:v>Entregue</x:v>
      </x:c>
      <x:c r="U1755" t="n">
        <x:v>5</x:v>
      </x:c>
      <x:c r="V1755" t="str"/>
    </x:row>
    <x:row r="1756">
      <x:c r="A1756" s="52" t="n">
        <x:v>46221</x:v>
      </x:c>
      <x:c r="B1756" t="str">
        <x:v>PED-101755</x:v>
      </x:c>
      <x:c r="C1756" t="str">
        <x:v>Cliente 051</x:v>
      </x:c>
      <x:c r="D1756" t="str">
        <x:v>MG</x:v>
      </x:c>
      <x:c r="E1756" t="str">
        <x:v>Sudeste</x:v>
      </x:c>
      <x:c r="F1756" t="str">
        <x:v>Televendas</x:v>
      </x:c>
      <x:c r="G1756" t="str">
        <x:v>Escritório</x:v>
      </x:c>
      <x:c r="H1756" t="str">
        <x:v>Cadeira Ergonômica</x:v>
      </x:c>
      <x:c r="I1756" t="str">
        <x:v>Bruno</x:v>
      </x:c>
      <x:c r="J1756" s="53" t="n">
        <x:v>2</x:v>
      </x:c>
      <x:c r="K1756" s="54" t="n">
        <x:v>2298.31</x:v>
      </x:c>
      <x:c r="L1756" s="54" t="n">
        <x:v>1434.15</x:v>
      </x:c>
      <x:c r="M1756" s="55" t="n">
        <x:v>0</x:v>
      </x:c>
      <x:c r="N1756" s="54" t="n">
        <x:f>ROUND(J1756*K1756,2)</x:f>
        <x:v>4596.62</x:v>
      </x:c>
      <x:c r="O1756" s="54" t="n">
        <x:f>ROUND(N1756*(1-M1756),2)</x:f>
        <x:v>4596.62</x:v>
      </x:c>
      <x:c r="P1756" s="54" t="n">
        <x:f>ROUND(J1756*L1756,2)</x:f>
        <x:v>2868.3</x:v>
      </x:c>
      <x:c r="Q1756" s="54" t="n">
        <x:f>ROUND(O1756-P1756,2)</x:f>
        <x:v>1728.32</x:v>
      </x:c>
      <x:c r="R1756" s="55" t="n">
        <x:f>IF(O1756=0,0,ROUND(Q1756/O1756,4))</x:f>
        <x:v>0.376</x:v>
      </x:c>
      <x:c r="S1756" s="53" t="n">
        <x:v>13</x:v>
      </x:c>
      <x:c r="T1756" t="str">
        <x:v>Entregue com atraso</x:v>
      </x:c>
      <x:c r="U1756" t="n">
        <x:v>5</x:v>
      </x:c>
      <x:c r="V1756" t="str"/>
    </x:row>
    <x:row r="1757">
      <x:c r="A1757" s="52" t="n">
        <x:v>46075</x:v>
      </x:c>
      <x:c r="B1757" t="str">
        <x:v>PED-101756</x:v>
      </x:c>
      <x:c r="C1757" t="str">
        <x:v>Cliente 041</x:v>
      </x:c>
      <x:c r="D1757" t="str">
        <x:v>RJ</x:v>
      </x:c>
      <x:c r="E1757" t="str">
        <x:v>Sudeste</x:v>
      </x:c>
      <x:c r="F1757" t="str">
        <x:v>E-commerce</x:v>
      </x:c>
      <x:c r="G1757" t="str">
        <x:v>Escritório</x:v>
      </x:c>
      <x:c r="H1757" t="str">
        <x:v>Luminária LED</x:v>
      </x:c>
      <x:c r="I1757" t="str">
        <x:v>Gabriela</x:v>
      </x:c>
      <x:c r="J1757" s="53" t="n">
        <x:v>2</x:v>
      </x:c>
      <x:c r="K1757" s="54" t="n">
        <x:v>248.93</x:v>
      </x:c>
      <x:c r="L1757" s="54" t="n">
        <x:v>117.92</x:v>
      </x:c>
      <x:c r="M1757" s="55" t="n">
        <x:v>0.0903</x:v>
      </x:c>
      <x:c r="N1757" s="54" t="n">
        <x:f>ROUND(J1757*K1757,2)</x:f>
        <x:v>497.86</x:v>
      </x:c>
      <x:c r="O1757" s="54" t="n">
        <x:f>ROUND(N1757*(1-M1757),2)</x:f>
        <x:v>452.9</x:v>
      </x:c>
      <x:c r="P1757" s="54" t="n">
        <x:f>ROUND(J1757*L1757,2)</x:f>
        <x:v>235.84</x:v>
      </x:c>
      <x:c r="Q1757" s="54" t="n">
        <x:f>ROUND(O1757-P1757,2)</x:f>
        <x:v>217.06</x:v>
      </x:c>
      <x:c r="R1757" s="55" t="n">
        <x:f>IF(O1757=0,0,ROUND(Q1757/O1757,4))</x:f>
        <x:v>0.4793</x:v>
      </x:c>
      <x:c r="S1757" s="53" t="n">
        <x:v>10</x:v>
      </x:c>
      <x:c r="T1757" t="str">
        <x:v>Entregue</x:v>
      </x:c>
      <x:c r="U1757" t="n">
        <x:v>5</x:v>
      </x:c>
      <x:c r="V1757" t="str"/>
    </x:row>
    <x:row r="1758">
      <x:c r="A1758" s="52" t="n">
        <x:v>46230</x:v>
      </x:c>
      <x:c r="B1758" t="str">
        <x:v>PED-101757</x:v>
      </x:c>
      <x:c r="C1758" t="str">
        <x:v>Cliente 033</x:v>
      </x:c>
      <x:c r="D1758" t="str">
        <x:v>RJ</x:v>
      </x:c>
      <x:c r="E1758" t="str">
        <x:v>Sudeste</x:v>
      </x:c>
      <x:c r="F1758" t="str">
        <x:v>Marketplace</x:v>
      </x:c>
      <x:c r="G1758" t="str">
        <x:v>Tecnologia</x:v>
      </x:c>
      <x:c r="H1758" t="str">
        <x:v>Monitor 27</x:v>
      </x:c>
      <x:c r="I1758" t="str">
        <x:v>Bruno</x:v>
      </x:c>
      <x:c r="J1758" s="53" t="n">
        <x:v>2</x:v>
      </x:c>
      <x:c r="K1758" s="54" t="n">
        <x:v>1702.35</x:v>
      </x:c>
      <x:c r="L1758" s="54" t="n">
        <x:v>1098.77</x:v>
      </x:c>
      <x:c r="M1758" s="55" t="n">
        <x:v>0.1634</x:v>
      </x:c>
      <x:c r="N1758" s="54" t="n">
        <x:f>ROUND(J1758*K1758,2)</x:f>
        <x:v>3404.7</x:v>
      </x:c>
      <x:c r="O1758" s="54" t="n">
        <x:f>ROUND(N1758*(1-M1758),2)</x:f>
        <x:v>2848.37</x:v>
      </x:c>
      <x:c r="P1758" s="54" t="n">
        <x:f>ROUND(J1758*L1758,2)</x:f>
        <x:v>2197.54</x:v>
      </x:c>
      <x:c r="Q1758" s="54" t="n">
        <x:f>ROUND(O1758-P1758,2)</x:f>
        <x:v>650.83</x:v>
      </x:c>
      <x:c r="R1758" s="55" t="n">
        <x:f>IF(O1758=0,0,ROUND(Q1758/O1758,4))</x:f>
        <x:v>0.2285</x:v>
      </x:c>
      <x:c r="S1758" s="53" t="n">
        <x:v>9</x:v>
      </x:c>
      <x:c r="T1758" t="str">
        <x:v>Entregue</x:v>
      </x:c>
      <x:c r="U1758" t="n">
        <x:v>4</x:v>
      </x:c>
      <x:c r="V1758" t="str"/>
    </x:row>
    <x:row r="1759">
      <x:c r="A1759" s="52" t="n">
        <x:v>46172</x:v>
      </x:c>
      <x:c r="B1759" t="str">
        <x:v>PED-101758</x:v>
      </x:c>
      <x:c r="C1759" t="str">
        <x:v>Cliente 094</x:v>
      </x:c>
      <x:c r="D1759" t="str">
        <x:v>MA</x:v>
      </x:c>
      <x:c r="E1759" t="str">
        <x:v>Nordeste</x:v>
      </x:c>
      <x:c r="F1759" t="str">
        <x:v>Televendas</x:v>
      </x:c>
      <x:c r="G1759" t="str">
        <x:v>Escritório</x:v>
      </x:c>
      <x:c r="H1759" t="str">
        <x:v>Cadeira Ergonômica</x:v>
      </x:c>
      <x:c r="I1759" t="str">
        <x:v>Carla</x:v>
      </x:c>
      <x:c r="J1759" s="53" t="n">
        <x:v>2</x:v>
      </x:c>
      <x:c r="K1759" s="54" t="n">
        <x:v>2203.74</x:v>
      </x:c>
      <x:c r="L1759" s="54" t="n">
        <x:v>1408.82</x:v>
      </x:c>
      <x:c r="M1759" s="55" t="n">
        <x:v>0</x:v>
      </x:c>
      <x:c r="N1759" s="54" t="n">
        <x:f>ROUND(J1759*K1759,2)</x:f>
        <x:v>4407.48</x:v>
      </x:c>
      <x:c r="O1759" s="54" t="n">
        <x:f>ROUND(N1759*(1-M1759),2)</x:f>
        <x:v>4407.48</x:v>
      </x:c>
      <x:c r="P1759" s="54" t="n">
        <x:f>ROUND(J1759*L1759,2)</x:f>
        <x:v>2817.64</x:v>
      </x:c>
      <x:c r="Q1759" s="54" t="n">
        <x:f>ROUND(O1759-P1759,2)</x:f>
        <x:v>1589.84</x:v>
      </x:c>
      <x:c r="R1759" s="55" t="n">
        <x:f>IF(O1759=0,0,ROUND(Q1759/O1759,4))</x:f>
        <x:v>0.3607</x:v>
      </x:c>
      <x:c r="S1759" s="53" t="n">
        <x:v>7</x:v>
      </x:c>
      <x:c r="T1759" t="str">
        <x:v>Entregue</x:v>
      </x:c>
      <x:c r="U1759" t="n">
        <x:v>2</x:v>
      </x:c>
      <x:c r="V1759" t="str"/>
    </x:row>
    <x:row r="1760">
      <x:c r="A1760" s="52" t="n">
        <x:v>46106</x:v>
      </x:c>
      <x:c r="B1760" t="str">
        <x:v>PED-101759</x:v>
      </x:c>
      <x:c r="C1760" t="str">
        <x:v>Cliente 116</x:v>
      </x:c>
      <x:c r="D1760" t="str">
        <x:v>PE</x:v>
      </x:c>
      <x:c r="E1760" t="str">
        <x:v>Nordeste</x:v>
      </x:c>
      <x:c r="F1760" t="str">
        <x:v>Marketplace</x:v>
      </x:c>
      <x:c r="G1760" t="str">
        <x:v>Tecnologia</x:v>
      </x:c>
      <x:c r="H1760" t="str">
        <x:v>Monitor 27</x:v>
      </x:c>
      <x:c r="I1760" t="str">
        <x:v>Gabriela</x:v>
      </x:c>
      <x:c r="J1760" s="53" t="n">
        <x:v>6</x:v>
      </x:c>
      <x:c r="K1760" s="54" t="n">
        <x:v>1736.11</x:v>
      </x:c>
      <x:c r="L1760" s="54" t="n">
        <x:v>1173.48</x:v>
      </x:c>
      <x:c r="M1760" s="55" t="n">
        <x:v>0.035</x:v>
      </x:c>
      <x:c r="N1760" s="54" t="n">
        <x:f>ROUND(J1760*K1760,2)</x:f>
        <x:v>10416.66</x:v>
      </x:c>
      <x:c r="O1760" s="54" t="n">
        <x:f>ROUND(N1760*(1-M1760),2)</x:f>
        <x:v>10052.08</x:v>
      </x:c>
      <x:c r="P1760" s="54" t="n">
        <x:f>ROUND(J1760*L1760,2)</x:f>
        <x:v>7040.88</x:v>
      </x:c>
      <x:c r="Q1760" s="54" t="n">
        <x:f>ROUND(O1760-P1760,2)</x:f>
        <x:v>3011.2</x:v>
      </x:c>
      <x:c r="R1760" s="55" t="n">
        <x:f>IF(O1760=0,0,ROUND(Q1760/O1760,4))</x:f>
        <x:v>0.2996</x:v>
      </x:c>
      <x:c r="S1760" s="53" t="n">
        <x:v>12</x:v>
      </x:c>
      <x:c r="T1760" t="str">
        <x:v>Entregue com atraso</x:v>
      </x:c>
      <x:c r="U1760" t="n">
        <x:v>5</x:v>
      </x:c>
      <x:c r="V1760" t="str"/>
    </x:row>
    <x:row r="1761">
      <x:c r="A1761" s="52" t="n">
        <x:v>46186</x:v>
      </x:c>
      <x:c r="B1761" t="str">
        <x:v>PED-101760</x:v>
      </x:c>
      <x:c r="C1761" t="str">
        <x:v>Cliente 102</x:v>
      </x:c>
      <x:c r="D1761" t="str">
        <x:v>SP</x:v>
      </x:c>
      <x:c r="E1761" t="str">
        <x:v>Sudeste</x:v>
      </x:c>
      <x:c r="F1761" t="str">
        <x:v>E-commerce</x:v>
      </x:c>
      <x:c r="G1761" t="str">
        <x:v>Tecnologia</x:v>
      </x:c>
      <x:c r="H1761" t="str">
        <x:v>Monitor 27</x:v>
      </x:c>
      <x:c r="I1761" t="str">
        <x:v>Felipe</x:v>
      </x:c>
      <x:c r="J1761" s="53" t="n">
        <x:v>3</x:v>
      </x:c>
      <x:c r="K1761" s="54" t="n">
        <x:v>1623.75</x:v>
      </x:c>
      <x:c r="L1761" s="54" t="n">
        <x:v>1040.91</x:v>
      </x:c>
      <x:c r="M1761" s="55" t="n">
        <x:v>0.0993</x:v>
      </x:c>
      <x:c r="N1761" s="54" t="n">
        <x:f>ROUND(J1761*K1761,2)</x:f>
        <x:v>4871.25</x:v>
      </x:c>
      <x:c r="O1761" s="54" t="n">
        <x:f>ROUND(N1761*(1-M1761),2)</x:f>
        <x:v>4387.53</x:v>
      </x:c>
      <x:c r="P1761" s="54" t="n">
        <x:f>ROUND(J1761*L1761,2)</x:f>
        <x:v>3122.73</x:v>
      </x:c>
      <x:c r="Q1761" s="54" t="n">
        <x:f>ROUND(O1761-P1761,2)</x:f>
        <x:v>1264.8</x:v>
      </x:c>
      <x:c r="R1761" s="55" t="n">
        <x:f>IF(O1761=0,0,ROUND(Q1761/O1761,4))</x:f>
        <x:v>0.2883</x:v>
      </x:c>
      <x:c r="S1761" s="53" t="n">
        <x:v>9</x:v>
      </x:c>
      <x:c r="T1761" t="str">
        <x:v>Entregue</x:v>
      </x:c>
      <x:c r="U1761" t="n">
        <x:v>2</x:v>
      </x:c>
      <x:c r="V1761" t="str"/>
    </x:row>
    <x:row r="1762">
      <x:c r="A1762" s="52" t="n">
        <x:v>46135</x:v>
      </x:c>
      <x:c r="B1762" t="str">
        <x:v>PED-101761</x:v>
      </x:c>
      <x:c r="C1762" t="str">
        <x:v>Cliente 020</x:v>
      </x:c>
      <x:c r="D1762" t="str">
        <x:v>MA</x:v>
      </x:c>
      <x:c r="E1762" t="str">
        <x:v>Nordeste</x:v>
      </x:c>
      <x:c r="F1762" t="str">
        <x:v>Televendas</x:v>
      </x:c>
      <x:c r="G1762" t="str">
        <x:v>Acessórios</x:v>
      </x:c>
      <x:c r="H1762" t="str">
        <x:v>Webcam HD</x:v>
      </x:c>
      <x:c r="I1762" t="str">
        <x:v>Gabriela</x:v>
      </x:c>
      <x:c r="J1762" s="53" t="n">
        <x:v>4</x:v>
      </x:c>
      <x:c r="K1762" s="54" t="n">
        <x:v>533.52</x:v>
      </x:c>
      <x:c r="L1762" s="54" t="n">
        <x:v>255.03</x:v>
      </x:c>
      <x:c r="M1762" s="55" t="n">
        <x:v>0.0144</x:v>
      </x:c>
      <x:c r="N1762" s="54" t="n">
        <x:f>ROUND(J1762*K1762,2)</x:f>
        <x:v>2134.08</x:v>
      </x:c>
      <x:c r="O1762" s="54" t="n">
        <x:f>ROUND(N1762*(1-M1762),2)</x:f>
        <x:v>2103.35</x:v>
      </x:c>
      <x:c r="P1762" s="54" t="n">
        <x:f>ROUND(J1762*L1762,2)</x:f>
        <x:v>1020.12</x:v>
      </x:c>
      <x:c r="Q1762" s="54" t="n">
        <x:f>ROUND(O1762-P1762,2)</x:f>
        <x:v>1083.23</x:v>
      </x:c>
      <x:c r="R1762" s="55" t="n">
        <x:f>IF(O1762=0,0,ROUND(Q1762/O1762,4))</x:f>
        <x:v>0.515</x:v>
      </x:c>
      <x:c r="S1762" s="53" t="n">
        <x:v>2</x:v>
      </x:c>
      <x:c r="T1762" t="str">
        <x:v>Entregue</x:v>
      </x:c>
      <x:c r="U1762" t="n">
        <x:v>4</x:v>
      </x:c>
      <x:c r="V1762" t="str"/>
    </x:row>
    <x:row r="1763">
      <x:c r="A1763" s="52" t="n">
        <x:v>46158</x:v>
      </x:c>
      <x:c r="B1763" t="str">
        <x:v>PED-101762</x:v>
      </x:c>
      <x:c r="C1763" t="str">
        <x:v>Cliente 085</x:v>
      </x:c>
      <x:c r="D1763" t="str">
        <x:v>MG</x:v>
      </x:c>
      <x:c r="E1763" t="str">
        <x:v>Sudeste</x:v>
      </x:c>
      <x:c r="F1763" t="str">
        <x:v>Loja</x:v>
      </x:c>
      <x:c r="G1763" t="str">
        <x:v>Escritório</x:v>
      </x:c>
      <x:c r="H1763" t="str">
        <x:v>Mesa Ajustável</x:v>
      </x:c>
      <x:c r="I1763" t="str">
        <x:v>Diego</x:v>
      </x:c>
      <x:c r="J1763" s="53" t="n">
        <x:v>2</x:v>
      </x:c>
      <x:c r="K1763" s="54" t="n">
        <x:v>2777.29</x:v>
      </x:c>
      <x:c r="L1763" s="54" t="n">
        <x:v>1822.05</x:v>
      </x:c>
      <x:c r="M1763" s="55" t="n">
        <x:v>0</x:v>
      </x:c>
      <x:c r="N1763" s="54" t="n">
        <x:f>ROUND(J1763*K1763,2)</x:f>
        <x:v>5554.58</x:v>
      </x:c>
      <x:c r="O1763" s="54" t="n">
        <x:f>ROUND(N1763*(1-M1763),2)</x:f>
        <x:v>5554.58</x:v>
      </x:c>
      <x:c r="P1763" s="54" t="n">
        <x:f>ROUND(J1763*L1763,2)</x:f>
        <x:v>3644.1</x:v>
      </x:c>
      <x:c r="Q1763" s="54" t="n">
        <x:f>ROUND(O1763-P1763,2)</x:f>
        <x:v>1910.48</x:v>
      </x:c>
      <x:c r="R1763" s="55" t="n">
        <x:f>IF(O1763=0,0,ROUND(Q1763/O1763,4))</x:f>
        <x:v>0.3439</x:v>
      </x:c>
      <x:c r="S1763" s="53" t="n">
        <x:v>8</x:v>
      </x:c>
      <x:c r="T1763" t="str">
        <x:v>Entregue</x:v>
      </x:c>
      <x:c r="U1763" t="n">
        <x:v>2</x:v>
      </x:c>
      <x:c r="V1763" t="str"/>
    </x:row>
    <x:row r="1764">
      <x:c r="A1764" s="52" t="n">
        <x:v>46179</x:v>
      </x:c>
      <x:c r="B1764" t="str">
        <x:v>PED-101763</x:v>
      </x:c>
      <x:c r="C1764" t="str">
        <x:v>Cliente 096</x:v>
      </x:c>
      <x:c r="D1764" t="str">
        <x:v>PA</x:v>
      </x:c>
      <x:c r="E1764" t="str">
        <x:v>Norte</x:v>
      </x:c>
      <x:c r="F1764" t="str">
        <x:v>Marketplace</x:v>
      </x:c>
      <x:c r="G1764" t="str">
        <x:v>Tecnologia</x:v>
      </x:c>
      <x:c r="H1764" t="str">
        <x:v>Monitor 27</x:v>
      </x:c>
      <x:c r="I1764" t="str">
        <x:v>Ana</x:v>
      </x:c>
      <x:c r="J1764" s="53" t="n">
        <x:v>3</x:v>
      </x:c>
      <x:c r="K1764" s="54" t="n">
        <x:v>1729.19</x:v>
      </x:c>
      <x:c r="L1764" s="54" t="n">
        <x:v>1079.98</x:v>
      </x:c>
      <x:c r="M1764" s="55" t="n">
        <x:v>0.0655</x:v>
      </x:c>
      <x:c r="N1764" s="54" t="n">
        <x:f>ROUND(J1764*K1764,2)</x:f>
        <x:v>5187.57</x:v>
      </x:c>
      <x:c r="O1764" s="54" t="n">
        <x:f>ROUND(N1764*(1-M1764),2)</x:f>
        <x:v>4847.78</x:v>
      </x:c>
      <x:c r="P1764" s="54" t="n">
        <x:f>ROUND(J1764*L1764,2)</x:f>
        <x:v>3239.94</x:v>
      </x:c>
      <x:c r="Q1764" s="54" t="n">
        <x:f>ROUND(O1764-P1764,2)</x:f>
        <x:v>1607.84</x:v>
      </x:c>
      <x:c r="R1764" s="55" t="n">
        <x:f>IF(O1764=0,0,ROUND(Q1764/O1764,4))</x:f>
        <x:v>0.3317</x:v>
      </x:c>
      <x:c r="S1764" s="53" t="n">
        <x:v>12</x:v>
      </x:c>
      <x:c r="T1764" t="str">
        <x:v>Entregue com atraso</x:v>
      </x:c>
      <x:c r="U1764" t="n">
        <x:v>5</x:v>
      </x:c>
      <x:c r="V1764" t="str"/>
    </x:row>
    <x:row r="1765">
      <x:c r="A1765" s="52" t="n">
        <x:v>46212</x:v>
      </x:c>
      <x:c r="B1765" t="str">
        <x:v>PED-101764</x:v>
      </x:c>
      <x:c r="C1765" t="str">
        <x:v>Cliente 080</x:v>
      </x:c>
      <x:c r="D1765" t="str">
        <x:v>PR</x:v>
      </x:c>
      <x:c r="E1765" t="str">
        <x:v>Sul</x:v>
      </x:c>
      <x:c r="F1765" t="str">
        <x:v>Marketplace</x:v>
      </x:c>
      <x:c r="G1765" t="str">
        <x:v>Tecnologia</x:v>
      </x:c>
      <x:c r="H1765" t="str">
        <x:v>Headset Office</x:v>
      </x:c>
      <x:c r="I1765" t="str">
        <x:v>Bruno</x:v>
      </x:c>
      <x:c r="J1765" s="53" t="n">
        <x:v>5</x:v>
      </x:c>
      <x:c r="K1765" s="54" t="n">
        <x:v>405.24</x:v>
      </x:c>
      <x:c r="L1765" s="54" t="n">
        <x:v>219.32</x:v>
      </x:c>
      <x:c r="M1765" s="55" t="n">
        <x:v>0.1342</x:v>
      </x:c>
      <x:c r="N1765" s="54" t="n">
        <x:f>ROUND(J1765*K1765,2)</x:f>
        <x:v>2026.2</x:v>
      </x:c>
      <x:c r="O1765" s="54" t="n">
        <x:f>ROUND(N1765*(1-M1765),2)</x:f>
        <x:v>1754.28</x:v>
      </x:c>
      <x:c r="P1765" s="54" t="n">
        <x:f>ROUND(J1765*L1765,2)</x:f>
        <x:v>1096.6</x:v>
      </x:c>
      <x:c r="Q1765" s="54" t="n">
        <x:f>ROUND(O1765-P1765,2)</x:f>
        <x:v>657.68</x:v>
      </x:c>
      <x:c r="R1765" s="55" t="n">
        <x:f>IF(O1765=0,0,ROUND(Q1765/O1765,4))</x:f>
        <x:v>0.3749</x:v>
      </x:c>
      <x:c r="S1765" s="53" t="n">
        <x:v>3</x:v>
      </x:c>
      <x:c r="T1765" t="str">
        <x:v>Entregue</x:v>
      </x:c>
      <x:c r="U1765" t="n">
        <x:v>5</x:v>
      </x:c>
      <x:c r="V1765" t="str"/>
    </x:row>
    <x:row r="1766">
      <x:c r="A1766" s="52" t="n">
        <x:v>46051</x:v>
      </x:c>
      <x:c r="B1766" t="str">
        <x:v>PED-101765</x:v>
      </x:c>
      <x:c r="C1766" t="str">
        <x:v>Cliente 079</x:v>
      </x:c>
      <x:c r="D1766" t="str">
        <x:v>PR</x:v>
      </x:c>
      <x:c r="E1766" t="str">
        <x:v>Sul</x:v>
      </x:c>
      <x:c r="F1766" t="str">
        <x:v>Marketplace</x:v>
      </x:c>
      <x:c r="G1766" t="str">
        <x:v>Casa</x:v>
      </x:c>
      <x:c r="H1766" t="str">
        <x:v>Aspirador Robô</x:v>
      </x:c>
      <x:c r="I1766" t="str">
        <x:v>Elaine</x:v>
      </x:c>
      <x:c r="J1766" s="53" t="n">
        <x:v>5</x:v>
      </x:c>
      <x:c r="K1766" s="54" t="n">
        <x:v>1892.05</x:v>
      </x:c>
      <x:c r="L1766" s="54" t="n">
        <x:v>1190.66</x:v>
      </x:c>
      <x:c r="M1766" s="55" t="n">
        <x:v>0.0893</x:v>
      </x:c>
      <x:c r="N1766" s="54" t="n">
        <x:f>ROUND(J1766*K1766,2)</x:f>
        <x:v>9460.25</x:v>
      </x:c>
      <x:c r="O1766" s="54" t="n">
        <x:f>ROUND(N1766*(1-M1766),2)</x:f>
        <x:v>8615.45</x:v>
      </x:c>
      <x:c r="P1766" s="54" t="n">
        <x:f>ROUND(J1766*L1766,2)</x:f>
        <x:v>5953.3</x:v>
      </x:c>
      <x:c r="Q1766" s="54" t="n">
        <x:f>ROUND(O1766-P1766,2)</x:f>
        <x:v>2662.15</x:v>
      </x:c>
      <x:c r="R1766" s="55" t="n">
        <x:f>IF(O1766=0,0,ROUND(Q1766/O1766,4))</x:f>
        <x:v>0.309</x:v>
      </x:c>
      <x:c r="S1766" s="53" t="n">
        <x:v>6</x:v>
      </x:c>
      <x:c r="T1766" t="str">
        <x:v>Entregue</x:v>
      </x:c>
      <x:c r="U1766" t="n">
        <x:v>2</x:v>
      </x:c>
      <x:c r="V1766" t="str"/>
    </x:row>
    <x:row r="1767">
      <x:c r="A1767" s="52" t="n">
        <x:v>46124</x:v>
      </x:c>
      <x:c r="B1767" t="str">
        <x:v>PED-101766</x:v>
      </x:c>
      <x:c r="C1767" t="str">
        <x:v>Cliente 042</x:v>
      </x:c>
      <x:c r="D1767" t="str">
        <x:v>MG</x:v>
      </x:c>
      <x:c r="E1767" t="str">
        <x:v>Sudeste</x:v>
      </x:c>
      <x:c r="F1767" t="str">
        <x:v>Marketplace</x:v>
      </x:c>
      <x:c r="G1767" t="str">
        <x:v>Escritório</x:v>
      </x:c>
      <x:c r="H1767" t="str">
        <x:v>Cadeira Ergonômica</x:v>
      </x:c>
      <x:c r="I1767" t="str">
        <x:v>Bruno</x:v>
      </x:c>
      <x:c r="J1767" s="53" t="n">
        <x:v>1</x:v>
      </x:c>
      <x:c r="K1767" s="54" t="n">
        <x:v>2207.21</x:v>
      </x:c>
      <x:c r="L1767" s="54" t="n">
        <x:v>1360.14</x:v>
      </x:c>
      <x:c r="M1767" s="55" t="n">
        <x:v>0.1639</x:v>
      </x:c>
      <x:c r="N1767" s="54" t="n">
        <x:f>ROUND(J1767*K1767,2)</x:f>
        <x:v>2207.21</x:v>
      </x:c>
      <x:c r="O1767" s="54" t="n">
        <x:f>ROUND(N1767*(1-M1767),2)</x:f>
        <x:v>1845.45</x:v>
      </x:c>
      <x:c r="P1767" s="54" t="n">
        <x:f>ROUND(J1767*L1767,2)</x:f>
        <x:v>1360.14</x:v>
      </x:c>
      <x:c r="Q1767" s="54" t="n">
        <x:f>ROUND(O1767-P1767,2)</x:f>
        <x:v>485.31</x:v>
      </x:c>
      <x:c r="R1767" s="55" t="n">
        <x:f>IF(O1767=0,0,ROUND(Q1767/O1767,4))</x:f>
        <x:v>0.263</x:v>
      </x:c>
      <x:c r="S1767" s="53" t="n">
        <x:v>3</x:v>
      </x:c>
      <x:c r="T1767" t="str">
        <x:v>Entregue</x:v>
      </x:c>
      <x:c r="U1767" t="n">
        <x:v>3</x:v>
      </x:c>
      <x:c r="V1767" t="str"/>
    </x:row>
    <x:row r="1768">
      <x:c r="A1768" s="52" t="n">
        <x:v>46147</x:v>
      </x:c>
      <x:c r="B1768" t="str">
        <x:v>PED-101767</x:v>
      </x:c>
      <x:c r="C1768" t="str">
        <x:v>Cliente 034</x:v>
      </x:c>
      <x:c r="D1768" t="str">
        <x:v>MT</x:v>
      </x:c>
      <x:c r="E1768" t="str">
        <x:v>Centro-Oeste</x:v>
      </x:c>
      <x:c r="F1768" t="str">
        <x:v>Marketplace</x:v>
      </x:c>
      <x:c r="G1768" t="str">
        <x:v>Escritório</x:v>
      </x:c>
      <x:c r="H1768" t="str">
        <x:v>Mesa Ajustável</x:v>
      </x:c>
      <x:c r="I1768" t="str">
        <x:v>Felipe</x:v>
      </x:c>
      <x:c r="J1768" s="53" t="n">
        <x:v>6</x:v>
      </x:c>
      <x:c r="K1768" s="54" t="n">
        <x:v>2705.88</x:v>
      </x:c>
      <x:c r="L1768" s="54" t="n">
        <x:v>1883.59</x:v>
      </x:c>
      <x:c r="M1768" s="55" t="n">
        <x:v>0.1065</x:v>
      </x:c>
      <x:c r="N1768" s="54" t="n">
        <x:f>ROUND(J1768*K1768,2)</x:f>
        <x:v>16235.28</x:v>
      </x:c>
      <x:c r="O1768" s="54" t="n">
        <x:f>ROUND(N1768*(1-M1768),2)</x:f>
        <x:v>14506.22</x:v>
      </x:c>
      <x:c r="P1768" s="54" t="n">
        <x:f>ROUND(J1768*L1768,2)</x:f>
        <x:v>11301.54</x:v>
      </x:c>
      <x:c r="Q1768" s="54" t="n">
        <x:f>ROUND(O1768-P1768,2)</x:f>
        <x:v>3204.68</x:v>
      </x:c>
      <x:c r="R1768" s="55" t="n">
        <x:f>IF(O1768=0,0,ROUND(Q1768/O1768,4))</x:f>
        <x:v>0.2209</x:v>
      </x:c>
      <x:c r="S1768" s="53" t="n">
        <x:v>11</x:v>
      </x:c>
      <x:c r="T1768" t="str">
        <x:v>Cancelado</x:v>
      </x:c>
      <x:c r="U1768"/>
      <x:c r="V1768" t="str"/>
    </x:row>
    <x:row r="1769">
      <x:c r="A1769" s="52" t="n">
        <x:v>46116</x:v>
      </x:c>
      <x:c r="B1769" t="str">
        <x:v>PED-101768</x:v>
      </x:c>
      <x:c r="C1769" t="str">
        <x:v>Cliente 114</x:v>
      </x:c>
      <x:c r="D1769" t="str">
        <x:v>AM</x:v>
      </x:c>
      <x:c r="E1769" t="str">
        <x:v>Norte</x:v>
      </x:c>
      <x:c r="F1769" t="str">
        <x:v>Marketplace</x:v>
      </x:c>
      <x:c r="G1769" t="str">
        <x:v>Acessórios</x:v>
      </x:c>
      <x:c r="H1769" t="str">
        <x:v>Mochila Executiva</x:v>
      </x:c>
      <x:c r="I1769" t="str">
        <x:v>Diego</x:v>
      </x:c>
      <x:c r="J1769" s="53" t="n">
        <x:v>8</x:v>
      </x:c>
      <x:c r="K1769" s="54" t="n">
        <x:v>454.12</x:v>
      </x:c>
      <x:c r="L1769" s="54" t="n">
        <x:v>202.65</x:v>
      </x:c>
      <x:c r="M1769" s="55" t="n">
        <x:v>0.0992</x:v>
      </x:c>
      <x:c r="N1769" s="54" t="n">
        <x:f>ROUND(J1769*K1769,2)</x:f>
        <x:v>3632.96</x:v>
      </x:c>
      <x:c r="O1769" s="54" t="n">
        <x:f>ROUND(N1769*(1-M1769),2)</x:f>
        <x:v>3272.57</x:v>
      </x:c>
      <x:c r="P1769" s="54" t="n">
        <x:f>ROUND(J1769*L1769,2)</x:f>
        <x:v>1621.2</x:v>
      </x:c>
      <x:c r="Q1769" s="54" t="n">
        <x:f>ROUND(O1769-P1769,2)</x:f>
        <x:v>1651.37</x:v>
      </x:c>
      <x:c r="R1769" s="55" t="n">
        <x:f>IF(O1769=0,0,ROUND(Q1769/O1769,4))</x:f>
        <x:v>0.5046</x:v>
      </x:c>
      <x:c r="S1769" s="53" t="n">
        <x:v>13</x:v>
      </x:c>
      <x:c r="T1769" t="str">
        <x:v>Entregue com atraso</x:v>
      </x:c>
      <x:c r="U1769" t="n">
        <x:v>2</x:v>
      </x:c>
      <x:c r="V1769" t="str"/>
    </x:row>
    <x:row r="1770">
      <x:c r="A1770" s="52" t="n">
        <x:v>46230</x:v>
      </x:c>
      <x:c r="B1770" t="str">
        <x:v>PED-101769</x:v>
      </x:c>
      <x:c r="C1770" t="str">
        <x:v>Cliente 025</x:v>
      </x:c>
      <x:c r="D1770" t="str">
        <x:v>SP</x:v>
      </x:c>
      <x:c r="E1770" t="str">
        <x:v>Sudeste</x:v>
      </x:c>
      <x:c r="F1770" t="str">
        <x:v>Loja</x:v>
      </x:c>
      <x:c r="G1770" t="str">
        <x:v>Acessórios</x:v>
      </x:c>
      <x:c r="H1770" t="str">
        <x:v>Webcam HD</x:v>
      </x:c>
      <x:c r="I1770" t="str">
        <x:v>Carla</x:v>
      </x:c>
      <x:c r="J1770" s="53" t="n">
        <x:v>1</x:v>
      </x:c>
      <x:c r="K1770" s="54" t="n">
        <x:v>520.4</x:v>
      </x:c>
      <x:c r="L1770" s="54" t="n">
        <x:v>251.73</x:v>
      </x:c>
      <x:c r="M1770" s="55" t="n">
        <x:v>0</x:v>
      </x:c>
      <x:c r="N1770" s="54" t="n">
        <x:f>ROUND(J1770*K1770,2)</x:f>
        <x:v>520.4</x:v>
      </x:c>
      <x:c r="O1770" s="54" t="n">
        <x:f>ROUND(N1770*(1-M1770),2)</x:f>
        <x:v>520.4</x:v>
      </x:c>
      <x:c r="P1770" s="54" t="n">
        <x:f>ROUND(J1770*L1770,2)</x:f>
        <x:v>251.73</x:v>
      </x:c>
      <x:c r="Q1770" s="54" t="n">
        <x:f>ROUND(O1770-P1770,2)</x:f>
        <x:v>268.67</x:v>
      </x:c>
      <x:c r="R1770" s="55" t="n">
        <x:f>IF(O1770=0,0,ROUND(Q1770/O1770,4))</x:f>
        <x:v>0.5163</x:v>
      </x:c>
      <x:c r="S1770" s="53" t="n">
        <x:v>5</x:v>
      </x:c>
      <x:c r="T1770" t="str">
        <x:v>Entregue</x:v>
      </x:c>
      <x:c r="U1770" t="n">
        <x:v>2</x:v>
      </x:c>
      <x:c r="V1770" t="str"/>
    </x:row>
    <x:row r="1771">
      <x:c r="A1771" s="52" t="n">
        <x:v>46101</x:v>
      </x:c>
      <x:c r="B1771" t="str">
        <x:v>PED-101770</x:v>
      </x:c>
      <x:c r="C1771" t="str">
        <x:v>Cliente 111</x:v>
      </x:c>
      <x:c r="D1771" t="str">
        <x:v>RS</x:v>
      </x:c>
      <x:c r="E1771" t="str">
        <x:v>Sul</x:v>
      </x:c>
      <x:c r="F1771" t="str">
        <x:v>Loja</x:v>
      </x:c>
      <x:c r="G1771" t="str">
        <x:v>Tecnologia</x:v>
      </x:c>
      <x:c r="H1771" t="str">
        <x:v>Monitor 27</x:v>
      </x:c>
      <x:c r="I1771" t="str">
        <x:v>Isabela</x:v>
      </x:c>
      <x:c r="J1771" s="53" t="n">
        <x:v>3</x:v>
      </x:c>
      <x:c r="K1771" s="54" t="n">
        <x:v>1666.74</x:v>
      </x:c>
      <x:c r="L1771" s="54" t="n">
        <x:v>1118.15</x:v>
      </x:c>
      <x:c r="M1771" s="55" t="n">
        <x:v>0</x:v>
      </x:c>
      <x:c r="N1771" s="54" t="n">
        <x:f>ROUND(J1771*K1771,2)</x:f>
        <x:v>5000.22</x:v>
      </x:c>
      <x:c r="O1771" s="54" t="n">
        <x:f>ROUND(N1771*(1-M1771),2)</x:f>
        <x:v>5000.22</x:v>
      </x:c>
      <x:c r="P1771" s="54" t="n">
        <x:f>ROUND(J1771*L1771,2)</x:f>
        <x:v>3354.45</x:v>
      </x:c>
      <x:c r="Q1771" s="54" t="n">
        <x:f>ROUND(O1771-P1771,2)</x:f>
        <x:v>1645.77</x:v>
      </x:c>
      <x:c r="R1771" s="55" t="n">
        <x:f>IF(O1771=0,0,ROUND(Q1771/O1771,4))</x:f>
        <x:v>0.3291</x:v>
      </x:c>
      <x:c r="S1771" s="53" t="n">
        <x:v>10</x:v>
      </x:c>
      <x:c r="T1771" t="str">
        <x:v>Entregue</x:v>
      </x:c>
      <x:c r="U1771" t="n">
        <x:v>4</x:v>
      </x:c>
      <x:c r="V1771" t="str"/>
    </x:row>
    <x:row r="1772">
      <x:c r="A1772" s="52" t="n">
        <x:v>46110</x:v>
      </x:c>
      <x:c r="B1772" t="str">
        <x:v>PED-101771</x:v>
      </x:c>
      <x:c r="C1772" t="str">
        <x:v>Cliente 070</x:v>
      </x:c>
      <x:c r="D1772" t="str">
        <x:v>MG</x:v>
      </x:c>
      <x:c r="E1772" t="str">
        <x:v>Sudeste</x:v>
      </x:c>
      <x:c r="F1772" t="str">
        <x:v>Loja</x:v>
      </x:c>
      <x:c r="G1772" t="str">
        <x:v>Casa</x:v>
      </x:c>
      <x:c r="H1772" t="str">
        <x:v>Purificador</x:v>
      </x:c>
      <x:c r="I1772" t="str">
        <x:v>Ana</x:v>
      </x:c>
      <x:c r="J1772" s="53" t="n">
        <x:v>3</x:v>
      </x:c>
      <x:c r="K1772" s="54" t="n">
        <x:v>1275.32</x:v>
      </x:c>
      <x:c r="L1772" s="54" t="n">
        <x:v>758.91</x:v>
      </x:c>
      <x:c r="M1772" s="55" t="n">
        <x:v>0</x:v>
      </x:c>
      <x:c r="N1772" s="54" t="n">
        <x:f>ROUND(J1772*K1772,2)</x:f>
        <x:v>3825.96</x:v>
      </x:c>
      <x:c r="O1772" s="54" t="n">
        <x:f>ROUND(N1772*(1-M1772),2)</x:f>
        <x:v>3825.96</x:v>
      </x:c>
      <x:c r="P1772" s="54" t="n">
        <x:f>ROUND(J1772*L1772,2)</x:f>
        <x:v>2276.73</x:v>
      </x:c>
      <x:c r="Q1772" s="54" t="n">
        <x:f>ROUND(O1772-P1772,2)</x:f>
        <x:v>1549.23</x:v>
      </x:c>
      <x:c r="R1772" s="55" t="n">
        <x:f>IF(O1772=0,0,ROUND(Q1772/O1772,4))</x:f>
        <x:v>0.4049</x:v>
      </x:c>
      <x:c r="S1772" s="53" t="n">
        <x:v>4</x:v>
      </x:c>
      <x:c r="T1772" t="str">
        <x:v>Entregue</x:v>
      </x:c>
      <x:c r="U1772" t="n">
        <x:v>4</x:v>
      </x:c>
      <x:c r="V1772" t="str"/>
    </x:row>
    <x:row r="1773">
      <x:c r="A1773" s="52" t="n">
        <x:v>46032</x:v>
      </x:c>
      <x:c r="B1773" t="str">
        <x:v>PED-101772</x:v>
      </x:c>
      <x:c r="C1773" t="str">
        <x:v>Cliente 019</x:v>
      </x:c>
      <x:c r="D1773" t="str">
        <x:v>MG</x:v>
      </x:c>
      <x:c r="E1773" t="str">
        <x:v>Sudeste</x:v>
      </x:c>
      <x:c r="F1773" t="str">
        <x:v>Televendas</x:v>
      </x:c>
      <x:c r="G1773" t="str">
        <x:v>Casa</x:v>
      </x:c>
      <x:c r="H1773" t="str">
        <x:v>Aspirador Robô</x:v>
      </x:c>
      <x:c r="I1773" t="str">
        <x:v>João</x:v>
      </x:c>
      <x:c r="J1773" s="53" t="n">
        <x:v>4</x:v>
      </x:c>
      <x:c r="K1773" s="54" t="n">
        <x:v>1998.86</x:v>
      </x:c>
      <x:c r="L1773" s="54" t="n">
        <x:v>1244.61</x:v>
      </x:c>
      <x:c r="M1773" s="55" t="n">
        <x:v>0</x:v>
      </x:c>
      <x:c r="N1773" s="54" t="n">
        <x:f>ROUND(J1773*K1773,2)</x:f>
        <x:v>7995.44</x:v>
      </x:c>
      <x:c r="O1773" s="54" t="n">
        <x:f>ROUND(N1773*(1-M1773),2)</x:f>
        <x:v>7995.44</x:v>
      </x:c>
      <x:c r="P1773" s="54" t="n">
        <x:f>ROUND(J1773*L1773,2)</x:f>
        <x:v>4978.44</x:v>
      </x:c>
      <x:c r="Q1773" s="54" t="n">
        <x:f>ROUND(O1773-P1773,2)</x:f>
        <x:v>3017</x:v>
      </x:c>
      <x:c r="R1773" s="55" t="n">
        <x:f>IF(O1773=0,0,ROUND(Q1773/O1773,4))</x:f>
        <x:v>0.3773</x:v>
      </x:c>
      <x:c r="S1773" s="53" t="n">
        <x:v>9</x:v>
      </x:c>
      <x:c r="T1773" t="str">
        <x:v>Cancelado</x:v>
      </x:c>
      <x:c r="U1773"/>
      <x:c r="V1773" t="str"/>
    </x:row>
    <x:row r="1774">
      <x:c r="A1774" s="52" t="n">
        <x:v>46037</x:v>
      </x:c>
      <x:c r="B1774" t="str">
        <x:v>PED-101773</x:v>
      </x:c>
      <x:c r="C1774" t="str">
        <x:v>Cliente 057</x:v>
      </x:c>
      <x:c r="D1774" t="str">
        <x:v>PE</x:v>
      </x:c>
      <x:c r="E1774" t="str">
        <x:v>Nordeste</x:v>
      </x:c>
      <x:c r="F1774" t="str">
        <x:v>Marketplace</x:v>
      </x:c>
      <x:c r="G1774" t="str">
        <x:v>Escritório</x:v>
      </x:c>
      <x:c r="H1774" t="str">
        <x:v>Mesa Ajustável</x:v>
      </x:c>
      <x:c r="I1774" t="str">
        <x:v>Bruno</x:v>
      </x:c>
      <x:c r="J1774" s="53" t="n">
        <x:v>7</x:v>
      </x:c>
      <x:c r="K1774" s="54" t="n">
        <x:v>2663.07</x:v>
      </x:c>
      <x:c r="L1774" s="54" t="n">
        <x:v>1839.05</x:v>
      </x:c>
      <x:c r="M1774" s="55" t="n">
        <x:v>0.0927</x:v>
      </x:c>
      <x:c r="N1774" s="54" t="n">
        <x:f>ROUND(J1774*K1774,2)</x:f>
        <x:v>18641.49</x:v>
      </x:c>
      <x:c r="O1774" s="54" t="n">
        <x:f>ROUND(N1774*(1-M1774),2)</x:f>
        <x:v>16913.42</x:v>
      </x:c>
      <x:c r="P1774" s="54" t="n">
        <x:f>ROUND(J1774*L1774,2)</x:f>
        <x:v>12873.35</x:v>
      </x:c>
      <x:c r="Q1774" s="54" t="n">
        <x:f>ROUND(O1774-P1774,2)</x:f>
        <x:v>4040.07</x:v>
      </x:c>
      <x:c r="R1774" s="55" t="n">
        <x:f>IF(O1774=0,0,ROUND(Q1774/O1774,4))</x:f>
        <x:v>0.2389</x:v>
      </x:c>
      <x:c r="S1774" s="53" t="n">
        <x:v>7</x:v>
      </x:c>
      <x:c r="T1774" t="str">
        <x:v>Entregue</x:v>
      </x:c>
      <x:c r="U1774" t="n">
        <x:v>4</x:v>
      </x:c>
      <x:c r="V1774" t="str"/>
    </x:row>
    <x:row r="1775">
      <x:c r="A1775" s="52" t="n">
        <x:v>46197</x:v>
      </x:c>
      <x:c r="B1775" t="str">
        <x:v>PED-101774</x:v>
      </x:c>
      <x:c r="C1775" t="str">
        <x:v>Cliente 112</x:v>
      </x:c>
      <x:c r="D1775" t="str">
        <x:v>DF</x:v>
      </x:c>
      <x:c r="E1775" t="str">
        <x:v>Centro-Oeste</x:v>
      </x:c>
      <x:c r="F1775" t="str">
        <x:v>Loja</x:v>
      </x:c>
      <x:c r="G1775" t="str">
        <x:v>Tecnologia</x:v>
      </x:c>
      <x:c r="H1775" t="str">
        <x:v>Headset Office</x:v>
      </x:c>
      <x:c r="I1775" t="str">
        <x:v>Ana</x:v>
      </x:c>
      <x:c r="J1775" s="53" t="n">
        <x:v>7</x:v>
      </x:c>
      <x:c r="K1775" s="54" t="n">
        <x:v>405.35</x:v>
      </x:c>
      <x:c r="L1775" s="54" t="n">
        <x:v>207.07</x:v>
      </x:c>
      <x:c r="M1775" s="55" t="n">
        <x:v>0.4734</x:v>
      </x:c>
      <x:c r="N1775" s="54" t="n">
        <x:f>ROUND(J1775*K1775,2)</x:f>
        <x:v>2837.45</x:v>
      </x:c>
      <x:c r="O1775" s="54" t="n">
        <x:f>ROUND(N1775*(1-M1775),2)</x:f>
        <x:v>1494.2</x:v>
      </x:c>
      <x:c r="P1775" s="54" t="n">
        <x:f>ROUND(J1775*L1775,2)</x:f>
        <x:v>1449.49</x:v>
      </x:c>
      <x:c r="Q1775" s="54" t="n">
        <x:f>ROUND(O1775-P1775,2)</x:f>
        <x:v>44.71</x:v>
      </x:c>
      <x:c r="R1775" s="55" t="n">
        <x:f>IF(O1775=0,0,ROUND(Q1775/O1775,4))</x:f>
        <x:v>0.0299</x:v>
      </x:c>
      <x:c r="S1775" s="53" t="n">
        <x:v>11</x:v>
      </x:c>
      <x:c r="T1775" t="str">
        <x:v>Entregue com atraso</x:v>
      </x:c>
      <x:c r="U1775" t="n">
        <x:v>2</x:v>
      </x:c>
      <x:c r="V1775" t="str">
        <x:v>Desconto autorizado fora da campanha</x:v>
      </x:c>
    </x:row>
    <x:row r="1776">
      <x:c r="A1776" s="52" t="n">
        <x:v>46042</x:v>
      </x:c>
      <x:c r="B1776" t="str">
        <x:v>PED-101775</x:v>
      </x:c>
      <x:c r="C1776" t="str">
        <x:v>Cliente 016</x:v>
      </x:c>
      <x:c r="D1776" t="str">
        <x:v>PR</x:v>
      </x:c>
      <x:c r="E1776" t="str">
        <x:v>Sul</x:v>
      </x:c>
      <x:c r="F1776" t="str">
        <x:v>Loja</x:v>
      </x:c>
      <x:c r="G1776" t="str">
        <x:v>Acessórios</x:v>
      </x:c>
      <x:c r="H1776" t="str">
        <x:v>Webcam HD</x:v>
      </x:c>
      <x:c r="I1776" t="str">
        <x:v>Elaine</x:v>
      </x:c>
      <x:c r="J1776" s="53" t="n">
        <x:v>7</x:v>
      </x:c>
      <x:c r="K1776" s="54" t="n">
        <x:v>486.73</x:v>
      </x:c>
      <x:c r="L1776" s="54" t="n">
        <x:v>243.85</x:v>
      </x:c>
      <x:c r="M1776" s="55" t="n">
        <x:v>0</x:v>
      </x:c>
      <x:c r="N1776" s="54" t="n">
        <x:f>ROUND(J1776*K1776,2)</x:f>
        <x:v>3407.11</x:v>
      </x:c>
      <x:c r="O1776" s="54" t="n">
        <x:f>ROUND(N1776*(1-M1776),2)</x:f>
        <x:v>3407.11</x:v>
      </x:c>
      <x:c r="P1776" s="54" t="n">
        <x:f>ROUND(J1776*L1776,2)</x:f>
        <x:v>1706.95</x:v>
      </x:c>
      <x:c r="Q1776" s="54" t="n">
        <x:f>ROUND(O1776-P1776,2)</x:f>
        <x:v>1700.16</x:v>
      </x:c>
      <x:c r="R1776" s="55" t="n">
        <x:f>IF(O1776=0,0,ROUND(Q1776/O1776,4))</x:f>
        <x:v>0.499</x:v>
      </x:c>
      <x:c r="S1776" s="53" t="n">
        <x:v>11</x:v>
      </x:c>
      <x:c r="T1776" t="str">
        <x:v>Entregue com atraso</x:v>
      </x:c>
      <x:c r="U1776" t="n">
        <x:v>3</x:v>
      </x:c>
      <x:c r="V1776" t="str"/>
    </x:row>
    <x:row r="1777">
      <x:c r="A1777" s="52" t="n">
        <x:v>46232</x:v>
      </x:c>
      <x:c r="B1777" t="str">
        <x:v>PED-101776</x:v>
      </x:c>
      <x:c r="C1777" t="str">
        <x:v>Cliente 050</x:v>
      </x:c>
      <x:c r="D1777" t="str">
        <x:v>MG</x:v>
      </x:c>
      <x:c r="E1777" t="str">
        <x:v>Sudeste</x:v>
      </x:c>
      <x:c r="F1777" t="str">
        <x:v>Loja</x:v>
      </x:c>
      <x:c r="G1777" t="str">
        <x:v>Escritório</x:v>
      </x:c>
      <x:c r="H1777" t="str">
        <x:v>Mesa Ajustável</x:v>
      </x:c>
      <x:c r="I1777" t="str">
        <x:v>Gabriela</x:v>
      </x:c>
      <x:c r="J1777" s="53" t="n">
        <x:v>8</x:v>
      </x:c>
      <x:c r="K1777" s="54" t="n">
        <x:v>2766.74</x:v>
      </x:c>
      <x:c r="L1777" s="54" t="n">
        <x:v>1783.76</x:v>
      </x:c>
      <x:c r="M1777" s="55" t="n">
        <x:v>0.0127</x:v>
      </x:c>
      <x:c r="N1777" s="54" t="n">
        <x:f>ROUND(J1777*K1777,2)</x:f>
        <x:v>22133.92</x:v>
      </x:c>
      <x:c r="O1777" s="54" t="n">
        <x:f>ROUND(N1777*(1-M1777),2)</x:f>
        <x:v>21852.82</x:v>
      </x:c>
      <x:c r="P1777" s="54" t="n">
        <x:f>ROUND(J1777*L1777,2)</x:f>
        <x:v>14270.08</x:v>
      </x:c>
      <x:c r="Q1777" s="54" t="n">
        <x:f>ROUND(O1777-P1777,2)</x:f>
        <x:v>7582.74</x:v>
      </x:c>
      <x:c r="R1777" s="55" t="n">
        <x:f>IF(O1777=0,0,ROUND(Q1777/O1777,4))</x:f>
        <x:v>0.347</x:v>
      </x:c>
      <x:c r="S1777" s="53" t="n">
        <x:v>9</x:v>
      </x:c>
      <x:c r="T1777" t="str">
        <x:v>Entregue</x:v>
      </x:c>
      <x:c r="U1777" t="n">
        <x:v>5</x:v>
      </x:c>
      <x:c r="V1777" t="str"/>
    </x:row>
    <x:row r="1778">
      <x:c r="A1778" s="52" t="n">
        <x:v>46222</x:v>
      </x:c>
      <x:c r="B1778" t="str">
        <x:v>PED-101777</x:v>
      </x:c>
      <x:c r="C1778" t="str">
        <x:v>Cliente 081</x:v>
      </x:c>
      <x:c r="D1778" t="str">
        <x:v>PR</x:v>
      </x:c>
      <x:c r="E1778" t="str">
        <x:v>Sul</x:v>
      </x:c>
      <x:c r="F1778" t="str">
        <x:v>E-commerce</x:v>
      </x:c>
      <x:c r="G1778" t="str">
        <x:v>Escritório</x:v>
      </x:c>
      <x:c r="H1778" t="str">
        <x:v>Mesa Ajustável</x:v>
      </x:c>
      <x:c r="I1778" t="str">
        <x:v>Gabriela</x:v>
      </x:c>
      <x:c r="J1778" s="53" t="n">
        <x:v>8</x:v>
      </x:c>
      <x:c r="K1778" s="54" t="n">
        <x:v>2644.96</x:v>
      </x:c>
      <x:c r="L1778" s="54" t="n">
        <x:v>1885.5</x:v>
      </x:c>
      <x:c r="M1778" s="55" t="n">
        <x:v>0</x:v>
      </x:c>
      <x:c r="N1778" s="54" t="n">
        <x:f>ROUND(J1778*K1778,2)</x:f>
        <x:v>21159.68</x:v>
      </x:c>
      <x:c r="O1778" s="54" t="n">
        <x:f>ROUND(N1778*(1-M1778),2)</x:f>
        <x:v>21159.68</x:v>
      </x:c>
      <x:c r="P1778" s="54" t="n">
        <x:f>ROUND(J1778*L1778,2)</x:f>
        <x:v>15084</x:v>
      </x:c>
      <x:c r="Q1778" s="54" t="n">
        <x:f>ROUND(O1778-P1778,2)</x:f>
        <x:v>6075.68</x:v>
      </x:c>
      <x:c r="R1778" s="55" t="n">
        <x:f>IF(O1778=0,0,ROUND(Q1778/O1778,4))</x:f>
        <x:v>0.2871</x:v>
      </x:c>
      <x:c r="S1778" s="53" t="n">
        <x:v>9</x:v>
      </x:c>
      <x:c r="T1778" t="str">
        <x:v>Entregue</x:v>
      </x:c>
      <x:c r="U1778" t="n">
        <x:v>4</x:v>
      </x:c>
      <x:c r="V1778" t="str"/>
    </x:row>
    <x:row r="1779">
      <x:c r="A1779" s="52" t="n">
        <x:v>46080</x:v>
      </x:c>
      <x:c r="B1779" t="str">
        <x:v>PED-101778</x:v>
      </x:c>
      <x:c r="C1779" t="str">
        <x:v>Cliente 004</x:v>
      </x:c>
      <x:c r="D1779" t="str">
        <x:v>PR</x:v>
      </x:c>
      <x:c r="E1779" t="str">
        <x:v>Sul</x:v>
      </x:c>
      <x:c r="F1779" t="str">
        <x:v>Marketplace</x:v>
      </x:c>
      <x:c r="G1779" t="str">
        <x:v>Acessórios</x:v>
      </x:c>
      <x:c r="H1779" t="str">
        <x:v>Webcam HD</x:v>
      </x:c>
      <x:c r="I1779" t="str">
        <x:v>Gabriela</x:v>
      </x:c>
      <x:c r="J1779" s="53" t="n">
        <x:v>1</x:v>
      </x:c>
      <x:c r="K1779" s="54" t="n">
        <x:v>504.8</x:v>
      </x:c>
      <x:c r="L1779" s="54" t="n">
        <x:v>232.12</x:v>
      </x:c>
      <x:c r="M1779" s="55" t="n">
        <x:v>0.1296</x:v>
      </x:c>
      <x:c r="N1779" s="54" t="n">
        <x:f>ROUND(J1779*K1779,2)</x:f>
        <x:v>504.8</x:v>
      </x:c>
      <x:c r="O1779" s="54" t="n">
        <x:f>ROUND(N1779*(1-M1779),2)</x:f>
        <x:v>439.38</x:v>
      </x:c>
      <x:c r="P1779" s="54" t="n">
        <x:f>ROUND(J1779*L1779,2)</x:f>
        <x:v>232.12</x:v>
      </x:c>
      <x:c r="Q1779" s="54" t="n">
        <x:f>ROUND(O1779-P1779,2)</x:f>
        <x:v>207.26</x:v>
      </x:c>
      <x:c r="R1779" s="55" t="n">
        <x:f>IF(O1779=0,0,ROUND(Q1779/O1779,4))</x:f>
        <x:v>0.4717</x:v>
      </x:c>
      <x:c r="S1779" s="53" t="n">
        <x:v>11</x:v>
      </x:c>
      <x:c r="T1779" t="str">
        <x:v>Entregue com atraso</x:v>
      </x:c>
      <x:c r="U1779" t="n">
        <x:v>2</x:v>
      </x:c>
      <x:c r="V1779" t="str"/>
    </x:row>
    <x:row r="1780">
      <x:c r="A1780" s="52" t="n">
        <x:v>46086</x:v>
      </x:c>
      <x:c r="B1780" t="str">
        <x:v>PED-101779</x:v>
      </x:c>
      <x:c r="C1780" t="str">
        <x:v>Cliente 038</x:v>
      </x:c>
      <x:c r="D1780" t="str">
        <x:v>SP</x:v>
      </x:c>
      <x:c r="E1780" t="str">
        <x:v>Sudeste</x:v>
      </x:c>
      <x:c r="F1780" t="str">
        <x:v>Televendas</x:v>
      </x:c>
      <x:c r="G1780" t="str">
        <x:v>Acessórios</x:v>
      </x:c>
      <x:c r="H1780" t="str">
        <x:v>Webcam HD</x:v>
      </x:c>
      <x:c r="I1780" t="str">
        <x:v>Isabela</x:v>
      </x:c>
      <x:c r="J1780" s="53" t="n">
        <x:v>4</x:v>
      </x:c>
      <x:c r="K1780" s="54" t="n">
        <x:v>482.21</x:v>
      </x:c>
      <x:c r="L1780" s="54" t="n">
        <x:v>244.92</x:v>
      </x:c>
      <x:c r="M1780" s="55" t="n">
        <x:v>0.0382</x:v>
      </x:c>
      <x:c r="N1780" s="54" t="n">
        <x:f>ROUND(J1780*K1780,2)</x:f>
        <x:v>1928.84</x:v>
      </x:c>
      <x:c r="O1780" s="54" t="n">
        <x:f>ROUND(N1780*(1-M1780),2)</x:f>
        <x:v>1855.16</x:v>
      </x:c>
      <x:c r="P1780" s="54" t="n">
        <x:f>ROUND(J1780*L1780,2)</x:f>
        <x:v>979.68</x:v>
      </x:c>
      <x:c r="Q1780" s="54" t="n">
        <x:f>ROUND(O1780-P1780,2)</x:f>
        <x:v>875.48</x:v>
      </x:c>
      <x:c r="R1780" s="55" t="n">
        <x:f>IF(O1780=0,0,ROUND(Q1780/O1780,4))</x:f>
        <x:v>0.4719</x:v>
      </x:c>
      <x:c r="S1780" s="53" t="n">
        <x:v>8</x:v>
      </x:c>
      <x:c r="T1780" t="str">
        <x:v>Entregue</x:v>
      </x:c>
      <x:c r="U1780" t="n">
        <x:v>5</x:v>
      </x:c>
      <x:c r="V1780" t="str"/>
    </x:row>
    <x:row r="1781">
      <x:c r="A1781" s="52" t="n">
        <x:v>46143</x:v>
      </x:c>
      <x:c r="B1781" t="str">
        <x:v>PED-101780</x:v>
      </x:c>
      <x:c r="C1781" t="str">
        <x:v>Cliente 082</x:v>
      </x:c>
      <x:c r="D1781" t="str">
        <x:v>PE</x:v>
      </x:c>
      <x:c r="E1781" t="str">
        <x:v>Nordeste</x:v>
      </x:c>
      <x:c r="F1781" t="str">
        <x:v>Loja</x:v>
      </x:c>
      <x:c r="G1781" t="str">
        <x:v>Escritório</x:v>
      </x:c>
      <x:c r="H1781" t="str">
        <x:v>Mesa Ajustável</x:v>
      </x:c>
      <x:c r="I1781" t="str">
        <x:v>Gabriela</x:v>
      </x:c>
      <x:c r="J1781" s="53" t="n">
        <x:v>6</x:v>
      </x:c>
      <x:c r="K1781" s="54" t="n">
        <x:v>2956.27</x:v>
      </x:c>
      <x:c r="L1781" s="54" t="n">
        <x:v>1803</x:v>
      </x:c>
      <x:c r="M1781" s="55" t="n">
        <x:v>0</x:v>
      </x:c>
      <x:c r="N1781" s="54" t="n">
        <x:f>ROUND(J1781*K1781,2)</x:f>
        <x:v>17737.62</x:v>
      </x:c>
      <x:c r="O1781" s="54" t="n">
        <x:f>ROUND(N1781*(1-M1781),2)</x:f>
        <x:v>17737.62</x:v>
      </x:c>
      <x:c r="P1781" s="54" t="n">
        <x:f>ROUND(J1781*L1781,2)</x:f>
        <x:v>10818</x:v>
      </x:c>
      <x:c r="Q1781" s="54" t="n">
        <x:f>ROUND(O1781-P1781,2)</x:f>
        <x:v>6919.62</x:v>
      </x:c>
      <x:c r="R1781" s="55" t="n">
        <x:f>IF(O1781=0,0,ROUND(Q1781/O1781,4))</x:f>
        <x:v>0.3901</x:v>
      </x:c>
      <x:c r="S1781" s="53" t="n">
        <x:v>7</x:v>
      </x:c>
      <x:c r="T1781" t="str">
        <x:v>Cancelado</x:v>
      </x:c>
      <x:c r="U1781"/>
      <x:c r="V1781" t="str"/>
    </x:row>
    <x:row r="1782">
      <x:c r="A1782" s="52" t="n">
        <x:v>46085</x:v>
      </x:c>
      <x:c r="B1782" t="str">
        <x:v>PED-101781</x:v>
      </x:c>
      <x:c r="C1782" t="str">
        <x:v>Cliente 093</x:v>
      </x:c>
      <x:c r="D1782" t="str">
        <x:v>ES</x:v>
      </x:c>
      <x:c r="E1782" t="str">
        <x:v>Sudeste</x:v>
      </x:c>
      <x:c r="F1782" t="str">
        <x:v>E-commerce</x:v>
      </x:c>
      <x:c r="G1782" t="str">
        <x:v>Tecnologia</x:v>
      </x:c>
      <x:c r="H1782" t="str">
        <x:v>Monitor 27</x:v>
      </x:c>
      <x:c r="I1782" t="str">
        <x:v>Felipe</x:v>
      </x:c>
      <x:c r="J1782" s="53" t="n">
        <x:v>4</x:v>
      </x:c>
      <x:c r="K1782" s="54" t="n">
        <x:v>1592.35</x:v>
      </x:c>
      <x:c r="L1782" s="54" t="n">
        <x:v>1100.12</x:v>
      </x:c>
      <x:c r="M1782" s="55" t="n">
        <x:v>0.0004</x:v>
      </x:c>
      <x:c r="N1782" s="54" t="n">
        <x:f>ROUND(J1782*K1782,2)</x:f>
        <x:v>6369.4</x:v>
      </x:c>
      <x:c r="O1782" s="54" t="n">
        <x:f>ROUND(N1782*(1-M1782),2)</x:f>
        <x:v>6366.85</x:v>
      </x:c>
      <x:c r="P1782" s="54" t="n">
        <x:f>ROUND(J1782*L1782,2)</x:f>
        <x:v>4400.48</x:v>
      </x:c>
      <x:c r="Q1782" s="54" t="n">
        <x:f>ROUND(O1782-P1782,2)</x:f>
        <x:v>1966.37</x:v>
      </x:c>
      <x:c r="R1782" s="55" t="n">
        <x:f>IF(O1782=0,0,ROUND(Q1782/O1782,4))</x:f>
        <x:v>0.3088</x:v>
      </x:c>
      <x:c r="S1782" s="53" t="n">
        <x:v>14</x:v>
      </x:c>
      <x:c r="T1782" t="str">
        <x:v>Entregue com atraso</x:v>
      </x:c>
      <x:c r="U1782" t="n">
        <x:v>5</x:v>
      </x:c>
      <x:c r="V1782" t="str"/>
    </x:row>
    <x:row r="1783">
      <x:c r="A1783" s="52" t="n">
        <x:v>46169</x:v>
      </x:c>
      <x:c r="B1783" t="str">
        <x:v>PED-101782</x:v>
      </x:c>
      <x:c r="C1783" t="str">
        <x:v>Cliente 054</x:v>
      </x:c>
      <x:c r="D1783" t="str">
        <x:v>DF</x:v>
      </x:c>
      <x:c r="E1783" t="str">
        <x:v>Centro-Oeste</x:v>
      </x:c>
      <x:c r="F1783" t="str">
        <x:v>E-commerce</x:v>
      </x:c>
      <x:c r="G1783" t="str">
        <x:v>Escritório</x:v>
      </x:c>
      <x:c r="H1783" t="str">
        <x:v>Mesa Ajustável</x:v>
      </x:c>
      <x:c r="I1783" t="str">
        <x:v>Elaine</x:v>
      </x:c>
      <x:c r="J1783" s="53" t="n">
        <x:v>8</x:v>
      </x:c>
      <x:c r="K1783" s="54" t="n">
        <x:v>2922.65</x:v>
      </x:c>
      <x:c r="L1783" s="54" t="n">
        <x:v>1881.56</x:v>
      </x:c>
      <x:c r="M1783" s="55" t="n">
        <x:v>0.1194</x:v>
      </x:c>
      <x:c r="N1783" s="54" t="n">
        <x:f>ROUND(J1783*K1783,2)</x:f>
        <x:v>23381.2</x:v>
      </x:c>
      <x:c r="O1783" s="54" t="n">
        <x:f>ROUND(N1783*(1-M1783),2)</x:f>
        <x:v>20589.48</x:v>
      </x:c>
      <x:c r="P1783" s="54" t="n">
        <x:f>ROUND(J1783*L1783,2)</x:f>
        <x:v>15052.48</x:v>
      </x:c>
      <x:c r="Q1783" s="54" t="n">
        <x:f>ROUND(O1783-P1783,2)</x:f>
        <x:v>5537</x:v>
      </x:c>
      <x:c r="R1783" s="55" t="n">
        <x:f>IF(O1783=0,0,ROUND(Q1783/O1783,4))</x:f>
        <x:v>0.2689</x:v>
      </x:c>
      <x:c r="S1783" s="53" t="n">
        <x:v>10</x:v>
      </x:c>
      <x:c r="T1783" t="str">
        <x:v>Entregue</x:v>
      </x:c>
      <x:c r="U1783" t="n">
        <x:v>5</x:v>
      </x:c>
      <x:c r="V1783" t="str"/>
    </x:row>
    <x:row r="1784">
      <x:c r="A1784" s="52" t="n">
        <x:v>46065</x:v>
      </x:c>
      <x:c r="B1784" t="str">
        <x:v>PED-101783</x:v>
      </x:c>
      <x:c r="C1784" t="str">
        <x:v>Cliente 071</x:v>
      </x:c>
      <x:c r="D1784" t="str">
        <x:v>ES</x:v>
      </x:c>
      <x:c r="E1784" t="str">
        <x:v>Sudeste</x:v>
      </x:c>
      <x:c r="F1784" t="str">
        <x:v>Televendas</x:v>
      </x:c>
      <x:c r="G1784" t="str">
        <x:v>Tecnologia</x:v>
      </x:c>
      <x:c r="H1784" t="str">
        <x:v>Headset Office</x:v>
      </x:c>
      <x:c r="I1784" t="str">
        <x:v>Carla</x:v>
      </x:c>
      <x:c r="J1784" s="53" t="n">
        <x:v>6</x:v>
      </x:c>
      <x:c r="K1784" s="54" t="n">
        <x:v>393.91</x:v>
      </x:c>
      <x:c r="L1784" s="54" t="n">
        <x:v>219.03</x:v>
      </x:c>
      <x:c r="M1784" s="55" t="n">
        <x:v>0.1156</x:v>
      </x:c>
      <x:c r="N1784" s="54" t="n">
        <x:f>ROUND(J1784*K1784,2)</x:f>
        <x:v>2363.46</x:v>
      </x:c>
      <x:c r="O1784" s="54" t="n">
        <x:f>ROUND(N1784*(1-M1784),2)</x:f>
        <x:v>2090.24</x:v>
      </x:c>
      <x:c r="P1784" s="54" t="n">
        <x:f>ROUND(J1784*L1784,2)</x:f>
        <x:v>1314.18</x:v>
      </x:c>
      <x:c r="Q1784" s="54" t="n">
        <x:f>ROUND(O1784-P1784,2)</x:f>
        <x:v>776.06</x:v>
      </x:c>
      <x:c r="R1784" s="55" t="n">
        <x:f>IF(O1784=0,0,ROUND(Q1784/O1784,4))</x:f>
        <x:v>0.3713</x:v>
      </x:c>
      <x:c r="S1784" s="53" t="n">
        <x:v>5</x:v>
      </x:c>
      <x:c r="T1784" t="str">
        <x:v>Entregue</x:v>
      </x:c>
      <x:c r="U1784" t="n">
        <x:v>3</x:v>
      </x:c>
      <x:c r="V1784" t="str"/>
    </x:row>
    <x:row r="1785">
      <x:c r="A1785" s="52" t="n">
        <x:v>46139</x:v>
      </x:c>
      <x:c r="B1785" t="str">
        <x:v>PED-101784</x:v>
      </x:c>
      <x:c r="C1785" t="str">
        <x:v>Cliente 114</x:v>
      </x:c>
      <x:c r="D1785" t="str">
        <x:v>PA</x:v>
      </x:c>
      <x:c r="E1785" t="str">
        <x:v>Norte</x:v>
      </x:c>
      <x:c r="F1785" t="str">
        <x:v>E-commerce</x:v>
      </x:c>
      <x:c r="G1785" t="str">
        <x:v>Acessórios</x:v>
      </x:c>
      <x:c r="H1785" t="str">
        <x:v>Mochila Executiva</x:v>
      </x:c>
      <x:c r="I1785" t="str">
        <x:v>Henrique</x:v>
      </x:c>
      <x:c r="J1785" s="53" t="n">
        <x:v>6</x:v>
      </x:c>
      <x:c r="K1785" s="54" t="n">
        <x:v>448.01</x:v>
      </x:c>
      <x:c r="L1785" s="54" t="n">
        <x:v>205.29</x:v>
      </x:c>
      <x:c r="M1785" s="55" t="n">
        <x:v>0.0413</x:v>
      </x:c>
      <x:c r="N1785" s="54" t="n">
        <x:f>ROUND(J1785*K1785,2)</x:f>
        <x:v>2688.06</x:v>
      </x:c>
      <x:c r="O1785" s="54" t="n">
        <x:f>ROUND(N1785*(1-M1785),2)</x:f>
        <x:v>2577.04</x:v>
      </x:c>
      <x:c r="P1785" s="54" t="n">
        <x:f>ROUND(J1785*L1785,2)</x:f>
        <x:v>1231.74</x:v>
      </x:c>
      <x:c r="Q1785" s="54" t="n">
        <x:f>ROUND(O1785-P1785,2)</x:f>
        <x:v>1345.3</x:v>
      </x:c>
      <x:c r="R1785" s="55" t="n">
        <x:f>IF(O1785=0,0,ROUND(Q1785/O1785,4))</x:f>
        <x:v>0.522</x:v>
      </x:c>
      <x:c r="S1785" s="53" t="n">
        <x:v>11</x:v>
      </x:c>
      <x:c r="T1785" t="str">
        <x:v>Entregue com atraso</x:v>
      </x:c>
      <x:c r="U1785" t="n">
        <x:v>3</x:v>
      </x:c>
      <x:c r="V1785" t="str"/>
    </x:row>
    <x:row r="1786">
      <x:c r="A1786" s="52" t="n">
        <x:v>46139</x:v>
      </x:c>
      <x:c r="B1786" t="str">
        <x:v>PED-101785</x:v>
      </x:c>
      <x:c r="C1786" t="str">
        <x:v>Cliente 100</x:v>
      </x:c>
      <x:c r="D1786" t="str">
        <x:v>ES</x:v>
      </x:c>
      <x:c r="E1786" t="str">
        <x:v>Sudeste</x:v>
      </x:c>
      <x:c r="F1786" t="str">
        <x:v>E-commerce</x:v>
      </x:c>
      <x:c r="G1786" t="str">
        <x:v>Escritório</x:v>
      </x:c>
      <x:c r="H1786" t="str">
        <x:v>Luminária LED</x:v>
      </x:c>
      <x:c r="I1786" t="str">
        <x:v>Felipe</x:v>
      </x:c>
      <x:c r="J1786" s="53" t="n">
        <x:v>8</x:v>
      </x:c>
      <x:c r="K1786" s="54" t="n">
        <x:v>248.13</x:v>
      </x:c>
      <x:c r="L1786" s="54" t="n">
        <x:v>120.82</x:v>
      </x:c>
      <x:c r="M1786" s="55" t="n">
        <x:v>0.0565</x:v>
      </x:c>
      <x:c r="N1786" s="54" t="n">
        <x:f>ROUND(J1786*K1786,2)</x:f>
        <x:v>1985.04</x:v>
      </x:c>
      <x:c r="O1786" s="54" t="n">
        <x:f>ROUND(N1786*(1-M1786),2)</x:f>
        <x:v>1872.89</x:v>
      </x:c>
      <x:c r="P1786" s="54" t="n">
        <x:f>ROUND(J1786*L1786,2)</x:f>
        <x:v>966.56</x:v>
      </x:c>
      <x:c r="Q1786" s="54" t="n">
        <x:f>ROUND(O1786-P1786,2)</x:f>
        <x:v>906.33</x:v>
      </x:c>
      <x:c r="R1786" s="55" t="n">
        <x:f>IF(O1786=0,0,ROUND(Q1786/O1786,4))</x:f>
        <x:v>0.4839</x:v>
      </x:c>
      <x:c r="S1786" s="53" t="n">
        <x:v>5</x:v>
      </x:c>
      <x:c r="T1786" t="str">
        <x:v>Entregue</x:v>
      </x:c>
      <x:c r="U1786" t="n">
        <x:v>5</x:v>
      </x:c>
      <x:c r="V1786" t="str"/>
    </x:row>
    <x:row r="1787">
      <x:c r="A1787" s="52" t="n">
        <x:v>46202</x:v>
      </x:c>
      <x:c r="B1787" t="str">
        <x:v>PED-101786</x:v>
      </x:c>
      <x:c r="C1787" t="str">
        <x:v>Cliente 112</x:v>
      </x:c>
      <x:c r="D1787" t="str">
        <x:v>PA</x:v>
      </x:c>
      <x:c r="E1787" t="str">
        <x:v>Norte</x:v>
      </x:c>
      <x:c r="F1787" t="str">
        <x:v>Televendas</x:v>
      </x:c>
      <x:c r="G1787" t="str">
        <x:v>Tecnologia</x:v>
      </x:c>
      <x:c r="H1787" t="str">
        <x:v>Notebook Pro</x:v>
      </x:c>
      <x:c r="I1787" t="str">
        <x:v>João</x:v>
      </x:c>
      <x:c r="J1787" s="53" t="n">
        <x:v>8</x:v>
      </x:c>
      <x:c r="K1787" s="54" t="n">
        <x:v>6102.95</x:v>
      </x:c>
      <x:c r="L1787" s="54" t="n">
        <x:v>4437.97</x:v>
      </x:c>
      <x:c r="M1787" s="55" t="n">
        <x:v>0</x:v>
      </x:c>
      <x:c r="N1787" s="54" t="n">
        <x:f>ROUND(J1787*K1787,2)</x:f>
        <x:v>48823.6</x:v>
      </x:c>
      <x:c r="O1787" s="54" t="n">
        <x:f>ROUND(N1787*(1-M1787),2)</x:f>
        <x:v>48823.6</x:v>
      </x:c>
      <x:c r="P1787" s="54" t="n">
        <x:f>ROUND(J1787*L1787,2)</x:f>
        <x:v>35503.76</x:v>
      </x:c>
      <x:c r="Q1787" s="54" t="n">
        <x:f>ROUND(O1787-P1787,2)</x:f>
        <x:v>13319.84</x:v>
      </x:c>
      <x:c r="R1787" s="55" t="n">
        <x:f>IF(O1787=0,0,ROUND(Q1787/O1787,4))</x:f>
        <x:v>0.2728</x:v>
      </x:c>
      <x:c r="S1787" s="53" t="n">
        <x:v>10</x:v>
      </x:c>
      <x:c r="T1787" t="str">
        <x:v>Entregue</x:v>
      </x:c>
      <x:c r="U1787" t="n">
        <x:v>3</x:v>
      </x:c>
      <x:c r="V1787" t="str"/>
    </x:row>
    <x:row r="1788">
      <x:c r="A1788" s="52" t="n">
        <x:v>46049</x:v>
      </x:c>
      <x:c r="B1788" t="str">
        <x:v>PED-101787</x:v>
      </x:c>
      <x:c r="C1788" t="str">
        <x:v>Cliente 095</x:v>
      </x:c>
      <x:c r="D1788" t="str">
        <x:v>AM</x:v>
      </x:c>
      <x:c r="E1788" t="str">
        <x:v>Norte</x:v>
      </x:c>
      <x:c r="F1788" t="str">
        <x:v>Televendas</x:v>
      </x:c>
      <x:c r="G1788" t="str">
        <x:v>Casa</x:v>
      </x:c>
      <x:c r="H1788" t="str">
        <x:v>Aspirador Robô</x:v>
      </x:c>
      <x:c r="I1788" t="str">
        <x:v>Isabela</x:v>
      </x:c>
      <x:c r="J1788" s="53" t="n">
        <x:v>8</x:v>
      </x:c>
      <x:c r="K1788" s="54" t="n">
        <x:v>1958.88</x:v>
      </x:c>
      <x:c r="L1788" s="54" t="n">
        <x:v>1229.67</x:v>
      </x:c>
      <x:c r="M1788" s="55" t="n">
        <x:v>0</x:v>
      </x:c>
      <x:c r="N1788" s="54" t="n">
        <x:f>ROUND(J1788*K1788,2)</x:f>
        <x:v>15671.04</x:v>
      </x:c>
      <x:c r="O1788" s="54" t="n">
        <x:f>ROUND(N1788*(1-M1788),2)</x:f>
        <x:v>15671.04</x:v>
      </x:c>
      <x:c r="P1788" s="54" t="n">
        <x:f>ROUND(J1788*L1788,2)</x:f>
        <x:v>9837.36</x:v>
      </x:c>
      <x:c r="Q1788" s="54" t="n">
        <x:f>ROUND(O1788-P1788,2)</x:f>
        <x:v>5833.68</x:v>
      </x:c>
      <x:c r="R1788" s="55" t="n">
        <x:f>IF(O1788=0,0,ROUND(Q1788/O1788,4))</x:f>
        <x:v>0.3723</x:v>
      </x:c>
      <x:c r="S1788" s="53" t="n">
        <x:v>12</x:v>
      </x:c>
      <x:c r="T1788" t="str">
        <x:v>Entregue com atraso</x:v>
      </x:c>
      <x:c r="U1788" t="n">
        <x:v>3</x:v>
      </x:c>
      <x:c r="V1788" t="str"/>
    </x:row>
    <x:row r="1789">
      <x:c r="A1789" s="52" t="n">
        <x:v>46206</x:v>
      </x:c>
      <x:c r="B1789" t="str">
        <x:v>PED-101788</x:v>
      </x:c>
      <x:c r="C1789" t="str">
        <x:v>Cliente 044</x:v>
      </x:c>
      <x:c r="D1789" t="str">
        <x:v>PR</x:v>
      </x:c>
      <x:c r="E1789" t="str">
        <x:v>Sul</x:v>
      </x:c>
      <x:c r="F1789" t="str">
        <x:v>Marketplace</x:v>
      </x:c>
      <x:c r="G1789" t="str">
        <x:v>Acessórios</x:v>
      </x:c>
      <x:c r="H1789" t="str">
        <x:v>Hub USB-C</x:v>
      </x:c>
      <x:c r="I1789" t="str">
        <x:v>Bruno</x:v>
      </x:c>
      <x:c r="J1789" s="53" t="n">
        <x:v>4</x:v>
      </x:c>
      <x:c r="K1789" s="54" t="n">
        <x:v>335.01</x:v>
      </x:c>
      <x:c r="L1789" s="54" t="n">
        <x:v>138.47</x:v>
      </x:c>
      <x:c r="M1789" s="55" t="n">
        <x:v>0.0985</x:v>
      </x:c>
      <x:c r="N1789" s="54" t="n">
        <x:f>ROUND(J1789*K1789,2)</x:f>
        <x:v>1340.04</x:v>
      </x:c>
      <x:c r="O1789" s="54" t="n">
        <x:f>ROUND(N1789*(1-M1789),2)</x:f>
        <x:v>1208.05</x:v>
      </x:c>
      <x:c r="P1789" s="54" t="n">
        <x:f>ROUND(J1789*L1789,2)</x:f>
        <x:v>553.88</x:v>
      </x:c>
      <x:c r="Q1789" s="54" t="n">
        <x:f>ROUND(O1789-P1789,2)</x:f>
        <x:v>654.17</x:v>
      </x:c>
      <x:c r="R1789" s="55" t="n">
        <x:f>IF(O1789=0,0,ROUND(Q1789/O1789,4))</x:f>
        <x:v>0.5415</x:v>
      </x:c>
      <x:c r="S1789" s="53" t="n">
        <x:v>6</x:v>
      </x:c>
      <x:c r="T1789" t="str">
        <x:v>Entregue</x:v>
      </x:c>
      <x:c r="U1789" t="n">
        <x:v>4</x:v>
      </x:c>
      <x:c r="V1789" t="str"/>
    </x:row>
    <x:row r="1790">
      <x:c r="A1790" s="52" t="n">
        <x:v>46187</x:v>
      </x:c>
      <x:c r="B1790" t="str">
        <x:v>PED-101789</x:v>
      </x:c>
      <x:c r="C1790" t="str">
        <x:v>Cliente 014</x:v>
      </x:c>
      <x:c r="D1790" t="str">
        <x:v>PE</x:v>
      </x:c>
      <x:c r="E1790" t="str">
        <x:v>Nordeste</x:v>
      </x:c>
      <x:c r="F1790" t="str">
        <x:v>Loja</x:v>
      </x:c>
      <x:c r="G1790" t="str">
        <x:v>Escritório</x:v>
      </x:c>
      <x:c r="H1790" t="str">
        <x:v>Luminária LED</x:v>
      </x:c>
      <x:c r="I1790" t="str">
        <x:v>Diego</x:v>
      </x:c>
      <x:c r="J1790" s="53" t="n">
        <x:v>6</x:v>
      </x:c>
      <x:c r="K1790" s="54" t="n">
        <x:v>248.18</x:v>
      </x:c>
      <x:c r="L1790" s="54" t="n">
        <x:v>117.33</x:v>
      </x:c>
      <x:c r="M1790" s="55" t="n">
        <x:v>0.0547</x:v>
      </x:c>
      <x:c r="N1790" s="54" t="n">
        <x:f>ROUND(J1790*K1790,2)</x:f>
        <x:v>1489.08</x:v>
      </x:c>
      <x:c r="O1790" s="54" t="n">
        <x:f>ROUND(N1790*(1-M1790),2)</x:f>
        <x:v>1407.63</x:v>
      </x:c>
      <x:c r="P1790" s="54" t="n">
        <x:f>ROUND(J1790*L1790,2)</x:f>
        <x:v>703.98</x:v>
      </x:c>
      <x:c r="Q1790" s="54" t="n">
        <x:f>ROUND(O1790-P1790,2)</x:f>
        <x:v>703.65</x:v>
      </x:c>
      <x:c r="R1790" s="55" t="n">
        <x:f>IF(O1790=0,0,ROUND(Q1790/O1790,4))</x:f>
        <x:v>0.4999</x:v>
      </x:c>
      <x:c r="S1790" s="53" t="n">
        <x:v>8</x:v>
      </x:c>
      <x:c r="T1790" t="str">
        <x:v>Entregue</x:v>
      </x:c>
      <x:c r="U1790" t="n">
        <x:v>2</x:v>
      </x:c>
      <x:c r="V1790" t="str"/>
    </x:row>
    <x:row r="1791">
      <x:c r="A1791" s="52" t="n">
        <x:v>46234</x:v>
      </x:c>
      <x:c r="B1791" t="str">
        <x:v>PED-101790</x:v>
      </x:c>
      <x:c r="C1791" t="str">
        <x:v>Cliente 024</x:v>
      </x:c>
      <x:c r="D1791" t="str">
        <x:v>PR</x:v>
      </x:c>
      <x:c r="E1791" t="str">
        <x:v>Sul</x:v>
      </x:c>
      <x:c r="F1791" t="str">
        <x:v>E-commerce</x:v>
      </x:c>
      <x:c r="G1791" t="str">
        <x:v>Tecnologia</x:v>
      </x:c>
      <x:c r="H1791" t="str">
        <x:v>Headset Office</x:v>
      </x:c>
      <x:c r="I1791" t="str">
        <x:v>Bruno</x:v>
      </x:c>
      <x:c r="J1791" s="53" t="n">
        <x:v>2</x:v>
      </x:c>
      <x:c r="K1791" s="54" t="n">
        <x:v>407.59</x:v>
      </x:c>
      <x:c r="L1791" s="54" t="n">
        <x:v>213.26</x:v>
      </x:c>
      <x:c r="M1791" s="55" t="n">
        <x:v>0</x:v>
      </x:c>
      <x:c r="N1791" s="54" t="n">
        <x:f>ROUND(J1791*K1791,2)</x:f>
        <x:v>815.18</x:v>
      </x:c>
      <x:c r="O1791" s="54" t="n">
        <x:f>ROUND(N1791*(1-M1791),2)</x:f>
        <x:v>815.18</x:v>
      </x:c>
      <x:c r="P1791" s="54" t="n">
        <x:f>ROUND(J1791*L1791,2)</x:f>
        <x:v>426.52</x:v>
      </x:c>
      <x:c r="Q1791" s="54" t="n">
        <x:f>ROUND(O1791-P1791,2)</x:f>
        <x:v>388.66</x:v>
      </x:c>
      <x:c r="R1791" s="55" t="n">
        <x:f>IF(O1791=0,0,ROUND(Q1791/O1791,4))</x:f>
        <x:v>0.4768</x:v>
      </x:c>
      <x:c r="S1791" s="53" t="n">
        <x:v>5</x:v>
      </x:c>
      <x:c r="T1791" t="str">
        <x:v>Entregue</x:v>
      </x:c>
      <x:c r="U1791" t="n">
        <x:v>4</x:v>
      </x:c>
      <x:c r="V1791" t="str"/>
    </x:row>
    <x:row r="1792">
      <x:c r="A1792" s="52" t="n">
        <x:v>46170</x:v>
      </x:c>
      <x:c r="B1792" t="str">
        <x:v>PED-101791</x:v>
      </x:c>
      <x:c r="C1792" t="str">
        <x:v>Cliente 054</x:v>
      </x:c>
      <x:c r="D1792" t="str">
        <x:v>PR</x:v>
      </x:c>
      <x:c r="E1792" t="str">
        <x:v>Sul</x:v>
      </x:c>
      <x:c r="F1792" t="str">
        <x:v>Loja</x:v>
      </x:c>
      <x:c r="G1792" t="str">
        <x:v>Tecnologia</x:v>
      </x:c>
      <x:c r="H1792" t="str">
        <x:v>Monitor 27</x:v>
      </x:c>
      <x:c r="I1792" t="str">
        <x:v>Felipe</x:v>
      </x:c>
      <x:c r="J1792" s="53" t="n">
        <x:v>6</x:v>
      </x:c>
      <x:c r="K1792" s="54" t="n">
        <x:v>1790.37</x:v>
      </x:c>
      <x:c r="L1792" s="54" t="n">
        <x:v>1121.7</x:v>
      </x:c>
      <x:c r="M1792" s="55" t="n">
        <x:v>0</x:v>
      </x:c>
      <x:c r="N1792" s="54" t="n">
        <x:f>ROUND(J1792*K1792,2)</x:f>
        <x:v>10742.22</x:v>
      </x:c>
      <x:c r="O1792" s="54" t="n">
        <x:f>ROUND(N1792*(1-M1792),2)</x:f>
        <x:v>10742.22</x:v>
      </x:c>
      <x:c r="P1792" s="54" t="n">
        <x:f>ROUND(J1792*L1792,2)</x:f>
        <x:v>6730.2</x:v>
      </x:c>
      <x:c r="Q1792" s="54" t="n">
        <x:f>ROUND(O1792-P1792,2)</x:f>
        <x:v>4012.02</x:v>
      </x:c>
      <x:c r="R1792" s="55" t="n">
        <x:f>IF(O1792=0,0,ROUND(Q1792/O1792,4))</x:f>
        <x:v>0.3735</x:v>
      </x:c>
      <x:c r="S1792" s="53" t="n">
        <x:v>6</x:v>
      </x:c>
      <x:c r="T1792" t="str">
        <x:v>Entregue</x:v>
      </x:c>
      <x:c r="U1792" t="n">
        <x:v>5</x:v>
      </x:c>
      <x:c r="V1792" t="str"/>
    </x:row>
    <x:row r="1793">
      <x:c r="A1793" s="52" t="n">
        <x:v>46208</x:v>
      </x:c>
      <x:c r="B1793" t="str">
        <x:v>PED-101792</x:v>
      </x:c>
      <x:c r="C1793" t="str">
        <x:v>Cliente 117</x:v>
      </x:c>
      <x:c r="D1793" t="str">
        <x:v>PA</x:v>
      </x:c>
      <x:c r="E1793" t="str">
        <x:v>Norte</x:v>
      </x:c>
      <x:c r="F1793" t="str">
        <x:v>Marketplace</x:v>
      </x:c>
      <x:c r="G1793" t="str">
        <x:v>Casa</x:v>
      </x:c>
      <x:c r="H1793" t="str">
        <x:v>Purificador</x:v>
      </x:c>
      <x:c r="I1793" t="str">
        <x:v>Ana</x:v>
      </x:c>
      <x:c r="J1793" s="53" t="n">
        <x:v>1</x:v>
      </x:c>
      <x:c r="K1793" s="54" t="n">
        <x:v>1351.63</x:v>
      </x:c>
      <x:c r="L1793" s="54" t="n">
        <x:v>830.95</x:v>
      </x:c>
      <x:c r="M1793" s="55" t="n">
        <x:v>0.1383</x:v>
      </x:c>
      <x:c r="N1793" s="54" t="n">
        <x:f>ROUND(J1793*K1793,2)</x:f>
        <x:v>1351.63</x:v>
      </x:c>
      <x:c r="O1793" s="54" t="n">
        <x:f>ROUND(N1793*(1-M1793),2)</x:f>
        <x:v>1164.7</x:v>
      </x:c>
      <x:c r="P1793" s="54" t="n">
        <x:f>ROUND(J1793*L1793,2)</x:f>
        <x:v>830.95</x:v>
      </x:c>
      <x:c r="Q1793" s="54" t="n">
        <x:f>ROUND(O1793-P1793,2)</x:f>
        <x:v>333.75</x:v>
      </x:c>
      <x:c r="R1793" s="55" t="n">
        <x:f>IF(O1793=0,0,ROUND(Q1793/O1793,4))</x:f>
        <x:v>0.2866</x:v>
      </x:c>
      <x:c r="S1793" s="53" t="n">
        <x:v>2</x:v>
      </x:c>
      <x:c r="T1793" t="str">
        <x:v>Entregue</x:v>
      </x:c>
      <x:c r="U1793" t="n">
        <x:v>3</x:v>
      </x:c>
      <x:c r="V1793" t="str"/>
    </x:row>
    <x:row r="1794">
      <x:c r="A1794" s="52" t="n">
        <x:v>46069</x:v>
      </x:c>
      <x:c r="B1794" t="str">
        <x:v>PED-101793</x:v>
      </x:c>
      <x:c r="C1794" t="str">
        <x:v>Cliente 049</x:v>
      </x:c>
      <x:c r="D1794" t="str">
        <x:v>GO</x:v>
      </x:c>
      <x:c r="E1794" t="str">
        <x:v>Centro-Oeste</x:v>
      </x:c>
      <x:c r="F1794" t="str">
        <x:v>Loja</x:v>
      </x:c>
      <x:c r="G1794" t="str">
        <x:v>Acessórios</x:v>
      </x:c>
      <x:c r="H1794" t="str">
        <x:v>Mochila Executiva</x:v>
      </x:c>
      <x:c r="I1794" t="str">
        <x:v>Elaine</x:v>
      </x:c>
      <x:c r="J1794" s="53" t="n">
        <x:v>3</x:v>
      </x:c>
      <x:c r="K1794" s="54" t="n">
        <x:v>454.04</x:v>
      </x:c>
      <x:c r="L1794" s="54" t="n">
        <x:v>185.86</x:v>
      </x:c>
      <x:c r="M1794" s="55" t="n">
        <x:v>0</x:v>
      </x:c>
      <x:c r="N1794" s="54" t="n">
        <x:f>ROUND(J1794*K1794,2)</x:f>
        <x:v>1362.12</x:v>
      </x:c>
      <x:c r="O1794" s="54" t="n">
        <x:f>ROUND(N1794*(1-M1794),2)</x:f>
        <x:v>1362.12</x:v>
      </x:c>
      <x:c r="P1794" s="54" t="n">
        <x:f>ROUND(J1794*L1794,2)</x:f>
        <x:v>557.58</x:v>
      </x:c>
      <x:c r="Q1794" s="54" t="n">
        <x:f>ROUND(O1794-P1794,2)</x:f>
        <x:v>804.54</x:v>
      </x:c>
      <x:c r="R1794" s="55" t="n">
        <x:f>IF(O1794=0,0,ROUND(Q1794/O1794,4))</x:f>
        <x:v>0.5907</x:v>
      </x:c>
      <x:c r="S1794" s="53" t="n">
        <x:v>5</x:v>
      </x:c>
      <x:c r="T1794" t="str">
        <x:v>Entregue</x:v>
      </x:c>
      <x:c r="U1794" t="n">
        <x:v>3</x:v>
      </x:c>
      <x:c r="V1794" t="str"/>
    </x:row>
    <x:row r="1795">
      <x:c r="A1795" s="52" t="n">
        <x:v>46174</x:v>
      </x:c>
      <x:c r="B1795" t="str">
        <x:v>PED-101794</x:v>
      </x:c>
      <x:c r="C1795" t="str">
        <x:v>Cliente 076</x:v>
      </x:c>
      <x:c r="D1795" t="str">
        <x:v>RJ</x:v>
      </x:c>
      <x:c r="E1795" t="str">
        <x:v>Sudeste</x:v>
      </x:c>
      <x:c r="F1795" t="str">
        <x:v>Loja</x:v>
      </x:c>
      <x:c r="G1795" t="str">
        <x:v>Escritório</x:v>
      </x:c>
      <x:c r="H1795" t="str">
        <x:v>Luminária LED</x:v>
      </x:c>
      <x:c r="I1795" t="str">
        <x:v>Ana</x:v>
      </x:c>
      <x:c r="J1795" s="53" t="n">
        <x:v>5</x:v>
      </x:c>
      <x:c r="K1795" s="54" t="n">
        <x:v>264.75</x:v>
      </x:c>
      <x:c r="L1795" s="54" t="n">
        <x:v>116.99</x:v>
      </x:c>
      <x:c r="M1795" s="55" t="n">
        <x:v>0</x:v>
      </x:c>
      <x:c r="N1795" s="54" t="n">
        <x:f>ROUND(J1795*K1795,2)</x:f>
        <x:v>1323.75</x:v>
      </x:c>
      <x:c r="O1795" s="54" t="n">
        <x:f>ROUND(N1795*(1-M1795),2)</x:f>
        <x:v>1323.75</x:v>
      </x:c>
      <x:c r="P1795" s="54" t="n">
        <x:f>ROUND(J1795*L1795,2)</x:f>
        <x:v>584.95</x:v>
      </x:c>
      <x:c r="Q1795" s="54" t="n">
        <x:f>ROUND(O1795-P1795,2)</x:f>
        <x:v>738.8</x:v>
      </x:c>
      <x:c r="R1795" s="55" t="n">
        <x:f>IF(O1795=0,0,ROUND(Q1795/O1795,4))</x:f>
        <x:v>0.5581</x:v>
      </x:c>
      <x:c r="S1795" s="53" t="n">
        <x:v>3</x:v>
      </x:c>
      <x:c r="T1795" t="str">
        <x:v>Entregue</x:v>
      </x:c>
      <x:c r="U1795" t="n">
        <x:v>5</x:v>
      </x:c>
      <x:c r="V1795" t="str"/>
    </x:row>
    <x:row r="1796">
      <x:c r="A1796" s="52" t="n">
        <x:v>46135</x:v>
      </x:c>
      <x:c r="B1796" t="str">
        <x:v>PED-101795</x:v>
      </x:c>
      <x:c r="C1796" t="str">
        <x:v>Cliente 032</x:v>
      </x:c>
      <x:c r="D1796" t="str">
        <x:v>PE</x:v>
      </x:c>
      <x:c r="E1796" t="str">
        <x:v>Nordeste</x:v>
      </x:c>
      <x:c r="F1796" t="str">
        <x:v>Loja</x:v>
      </x:c>
      <x:c r="G1796" t="str">
        <x:v>Acessórios</x:v>
      </x:c>
      <x:c r="H1796" t="str">
        <x:v>Mochila Executiva</x:v>
      </x:c>
      <x:c r="I1796" t="str">
        <x:v>Isabela</x:v>
      </x:c>
      <x:c r="J1796" s="53" t="n">
        <x:v>1</x:v>
      </x:c>
      <x:c r="K1796" s="54" t="n">
        <x:v>449.66</x:v>
      </x:c>
      <x:c r="L1796" s="54" t="n">
        <x:v>192.57</x:v>
      </x:c>
      <x:c r="M1796" s="55" t="n">
        <x:v>0</x:v>
      </x:c>
      <x:c r="N1796" s="54" t="n">
        <x:f>ROUND(J1796*K1796,2)</x:f>
        <x:v>449.66</x:v>
      </x:c>
      <x:c r="O1796" s="54" t="n">
        <x:f>ROUND(N1796*(1-M1796),2)</x:f>
        <x:v>449.66</x:v>
      </x:c>
      <x:c r="P1796" s="54" t="n">
        <x:f>ROUND(J1796*L1796,2)</x:f>
        <x:v>192.57</x:v>
      </x:c>
      <x:c r="Q1796" s="54" t="n">
        <x:f>ROUND(O1796-P1796,2)</x:f>
        <x:v>257.09</x:v>
      </x:c>
      <x:c r="R1796" s="55" t="n">
        <x:f>IF(O1796=0,0,ROUND(Q1796/O1796,4))</x:f>
        <x:v>0.5717</x:v>
      </x:c>
      <x:c r="S1796" s="53" t="n">
        <x:v>6</x:v>
      </x:c>
      <x:c r="T1796" t="str">
        <x:v>Entregue</x:v>
      </x:c>
      <x:c r="U1796" t="n">
        <x:v>2</x:v>
      </x:c>
      <x:c r="V1796" t="str"/>
    </x:row>
    <x:row r="1797">
      <x:c r="A1797" s="52" t="n">
        <x:v>46148</x:v>
      </x:c>
      <x:c r="B1797" t="str">
        <x:v>PED-101796</x:v>
      </x:c>
      <x:c r="C1797" t="str">
        <x:v>Cliente 054</x:v>
      </x:c>
      <x:c r="D1797" t="str">
        <x:v>GO</x:v>
      </x:c>
      <x:c r="E1797" t="str">
        <x:v>Centro-Oeste</x:v>
      </x:c>
      <x:c r="F1797" t="str">
        <x:v>Marketplace</x:v>
      </x:c>
      <x:c r="G1797" t="str">
        <x:v>Casa</x:v>
      </x:c>
      <x:c r="H1797" t="str">
        <x:v>Aspirador Robô</x:v>
      </x:c>
      <x:c r="I1797" t="str">
        <x:v>Diego</x:v>
      </x:c>
      <x:c r="J1797" s="53" t="n">
        <x:v>5</x:v>
      </x:c>
      <x:c r="K1797" s="54" t="n">
        <x:v>1944.39</x:v>
      </x:c>
      <x:c r="L1797" s="54" t="n">
        <x:v>1244.29</x:v>
      </x:c>
      <x:c r="M1797" s="55" t="n">
        <x:v>0.109</x:v>
      </x:c>
      <x:c r="N1797" s="54" t="n">
        <x:f>ROUND(J1797*K1797,2)</x:f>
        <x:v>9721.95</x:v>
      </x:c>
      <x:c r="O1797" s="54" t="n">
        <x:f>ROUND(N1797*(1-M1797),2)</x:f>
        <x:v>8662.26</x:v>
      </x:c>
      <x:c r="P1797" s="54" t="n">
        <x:f>ROUND(J1797*L1797,2)</x:f>
        <x:v>6221.45</x:v>
      </x:c>
      <x:c r="Q1797" s="54" t="n">
        <x:f>ROUND(O1797-P1797,2)</x:f>
        <x:v>2440.81</x:v>
      </x:c>
      <x:c r="R1797" s="55" t="n">
        <x:f>IF(O1797=0,0,ROUND(Q1797/O1797,4))</x:f>
        <x:v>0.2818</x:v>
      </x:c>
      <x:c r="S1797" s="53" t="n">
        <x:v>8</x:v>
      </x:c>
      <x:c r="T1797" t="str">
        <x:v>Entregue</x:v>
      </x:c>
      <x:c r="U1797" t="n">
        <x:v>3</x:v>
      </x:c>
      <x:c r="V1797" t="str"/>
    </x:row>
    <x:row r="1798">
      <x:c r="A1798" s="52" t="n">
        <x:v>46138</x:v>
      </x:c>
      <x:c r="B1798" t="str">
        <x:v>PED-101797</x:v>
      </x:c>
      <x:c r="C1798" t="str">
        <x:v>Cliente 091</x:v>
      </x:c>
      <x:c r="D1798" t="str">
        <x:v>BA</x:v>
      </x:c>
      <x:c r="E1798" t="str">
        <x:v>Nordeste</x:v>
      </x:c>
      <x:c r="F1798" t="str">
        <x:v>Televendas</x:v>
      </x:c>
      <x:c r="G1798" t="str">
        <x:v>Acessórios</x:v>
      </x:c>
      <x:c r="H1798" t="str">
        <x:v>Mochila Executiva</x:v>
      </x:c>
      <x:c r="I1798" t="str">
        <x:v>João</x:v>
      </x:c>
      <x:c r="J1798" s="53" t="n">
        <x:v>5</x:v>
      </x:c>
      <x:c r="K1798" s="54" t="n">
        <x:v>434.07</x:v>
      </x:c>
      <x:c r="L1798" s="54" t="n">
        <x:v>198.09</x:v>
      </x:c>
      <x:c r="M1798" s="55" t="n">
        <x:v>0.0246</x:v>
      </x:c>
      <x:c r="N1798" s="54" t="n">
        <x:f>ROUND(J1798*K1798,2)</x:f>
        <x:v>2170.35</x:v>
      </x:c>
      <x:c r="O1798" s="54" t="n">
        <x:f>ROUND(N1798*(1-M1798),2)</x:f>
        <x:v>2116.96</x:v>
      </x:c>
      <x:c r="P1798" s="54" t="n">
        <x:f>ROUND(J1798*L1798,2)</x:f>
        <x:v>990.45</x:v>
      </x:c>
      <x:c r="Q1798" s="54" t="n">
        <x:f>ROUND(O1798-P1798,2)</x:f>
        <x:v>1126.51</x:v>
      </x:c>
      <x:c r="R1798" s="55" t="n">
        <x:f>IF(O1798=0,0,ROUND(Q1798/O1798,4))</x:f>
        <x:v>0.5321</x:v>
      </x:c>
      <x:c r="S1798" s="53" t="n">
        <x:v>2</x:v>
      </x:c>
      <x:c r="T1798" t="str">
        <x:v>Entregue</x:v>
      </x:c>
      <x:c r="U1798" t="n">
        <x:v>4</x:v>
      </x:c>
      <x:c r="V1798" t="str"/>
    </x:row>
    <x:row r="1799">
      <x:c r="A1799" s="52" t="n">
        <x:v>46136</x:v>
      </x:c>
      <x:c r="B1799" t="str">
        <x:v>PED-101798</x:v>
      </x:c>
      <x:c r="C1799" t="str">
        <x:v>Cliente 047</x:v>
      </x:c>
      <x:c r="D1799" t="str">
        <x:v>SP</x:v>
      </x:c>
      <x:c r="E1799" t="str">
        <x:v>Sudeste</x:v>
      </x:c>
      <x:c r="F1799" t="str">
        <x:v>E-commerce</x:v>
      </x:c>
      <x:c r="G1799" t="str">
        <x:v>Escritório</x:v>
      </x:c>
      <x:c r="H1799" t="str">
        <x:v>Luminária LED</x:v>
      </x:c>
      <x:c r="I1799" t="str">
        <x:v>Gabriela</x:v>
      </x:c>
      <x:c r="J1799" s="53" t="n">
        <x:v>7</x:v>
      </x:c>
      <x:c r="K1799" s="54" t="n">
        <x:v>273.13</x:v>
      </x:c>
      <x:c r="L1799" s="54" t="n">
        <x:v>119.09</x:v>
      </x:c>
      <x:c r="M1799" s="55" t="n">
        <x:v>0</x:v>
      </x:c>
      <x:c r="N1799" s="54" t="n">
        <x:f>ROUND(J1799*K1799,2)</x:f>
        <x:v>1911.91</x:v>
      </x:c>
      <x:c r="O1799" s="54" t="n">
        <x:f>ROUND(N1799*(1-M1799),2)</x:f>
        <x:v>1911.91</x:v>
      </x:c>
      <x:c r="P1799" s="54" t="n">
        <x:f>ROUND(J1799*L1799,2)</x:f>
        <x:v>833.63</x:v>
      </x:c>
      <x:c r="Q1799" s="54" t="n">
        <x:f>ROUND(O1799-P1799,2)</x:f>
        <x:v>1078.28</x:v>
      </x:c>
      <x:c r="R1799" s="55" t="n">
        <x:f>IF(O1799=0,0,ROUND(Q1799/O1799,4))</x:f>
        <x:v>0.564</x:v>
      </x:c>
      <x:c r="S1799" s="53" t="n">
        <x:v>9</x:v>
      </x:c>
      <x:c r="T1799" t="str">
        <x:v>Entregue</x:v>
      </x:c>
      <x:c r="U1799" t="n">
        <x:v>4</x:v>
      </x:c>
      <x:c r="V1799" t="str"/>
    </x:row>
    <x:row r="1800">
      <x:c r="A1800" s="52" t="n">
        <x:v>46031</x:v>
      </x:c>
      <x:c r="B1800" t="str">
        <x:v>PED-101799</x:v>
      </x:c>
      <x:c r="C1800" t="str">
        <x:v>Cliente 091</x:v>
      </x:c>
      <x:c r="D1800" t="str">
        <x:v>PE</x:v>
      </x:c>
      <x:c r="E1800" t="str">
        <x:v>Nordeste</x:v>
      </x:c>
      <x:c r="F1800" t="str">
        <x:v>Televendas</x:v>
      </x:c>
      <x:c r="G1800" t="str">
        <x:v>Escritório</x:v>
      </x:c>
      <x:c r="H1800" t="str">
        <x:v>Luminária LED</x:v>
      </x:c>
      <x:c r="I1800" t="str">
        <x:v>Elaine</x:v>
      </x:c>
      <x:c r="J1800" s="53" t="n">
        <x:v>5</x:v>
      </x:c>
      <x:c r="K1800" s="54" t="n">
        <x:v>265.59</x:v>
      </x:c>
      <x:c r="L1800" s="54" t="n">
        <x:v>118.88</x:v>
      </x:c>
      <x:c r="M1800" s="55" t="n">
        <x:v>0.0735</x:v>
      </x:c>
      <x:c r="N1800" s="54" t="n">
        <x:f>ROUND(J1800*K1800,2)</x:f>
        <x:v>1327.95</x:v>
      </x:c>
      <x:c r="O1800" s="54" t="n">
        <x:f>ROUND(N1800*(1-M1800),2)</x:f>
        <x:v>1230.35</x:v>
      </x:c>
      <x:c r="P1800" s="54" t="n">
        <x:f>ROUND(J1800*L1800,2)</x:f>
        <x:v>594.4</x:v>
      </x:c>
      <x:c r="Q1800" s="54" t="n">
        <x:f>ROUND(O1800-P1800,2)</x:f>
        <x:v>635.95</x:v>
      </x:c>
      <x:c r="R1800" s="55" t="n">
        <x:f>IF(O1800=0,0,ROUND(Q1800/O1800,4))</x:f>
        <x:v>0.5169</x:v>
      </x:c>
      <x:c r="S1800" s="53" t="n">
        <x:v>6</x:v>
      </x:c>
      <x:c r="T1800" t="str">
        <x:v>Entregue</x:v>
      </x:c>
      <x:c r="U1800" t="n">
        <x:v>2</x:v>
      </x:c>
      <x:c r="V1800" t="str"/>
    </x:row>
    <x:row r="1801">
      <x:c r="A1801" s="52" t="n">
        <x:v>46211</x:v>
      </x:c>
      <x:c r="B1801" t="str">
        <x:v>PED-101800</x:v>
      </x:c>
      <x:c r="C1801" t="str">
        <x:v>Cliente 113</x:v>
      </x:c>
      <x:c r="D1801" t="str">
        <x:v>BA</x:v>
      </x:c>
      <x:c r="E1801" t="str">
        <x:v>Nordeste</x:v>
      </x:c>
      <x:c r="F1801" t="str">
        <x:v>E-commerce</x:v>
      </x:c>
      <x:c r="G1801" t="str">
        <x:v>Tecnologia</x:v>
      </x:c>
      <x:c r="H1801" t="str">
        <x:v>Headset Office</x:v>
      </x:c>
      <x:c r="I1801" t="str">
        <x:v>Gabriela</x:v>
      </x:c>
      <x:c r="J1801" s="53" t="n">
        <x:v>3</x:v>
      </x:c>
      <x:c r="K1801" s="54" t="n">
        <x:v>410.76</x:v>
      </x:c>
      <x:c r="L1801" s="54" t="n">
        <x:v>215.24</x:v>
      </x:c>
      <x:c r="M1801" s="55" t="n">
        <x:v>0.1254</x:v>
      </x:c>
      <x:c r="N1801" s="54" t="n">
        <x:f>ROUND(J1801*K1801,2)</x:f>
        <x:v>1232.28</x:v>
      </x:c>
      <x:c r="O1801" s="54" t="n">
        <x:f>ROUND(N1801*(1-M1801),2)</x:f>
        <x:v>1077.75</x:v>
      </x:c>
      <x:c r="P1801" s="54" t="n">
        <x:f>ROUND(J1801*L1801,2)</x:f>
        <x:v>645.72</x:v>
      </x:c>
      <x:c r="Q1801" s="54" t="n">
        <x:f>ROUND(O1801-P1801,2)</x:f>
        <x:v>432.03</x:v>
      </x:c>
      <x:c r="R1801" s="55" t="n">
        <x:f>IF(O1801=0,0,ROUND(Q1801/O1801,4))</x:f>
        <x:v>0.4009</x:v>
      </x:c>
      <x:c r="S1801" s="53" t="n">
        <x:v>12</x:v>
      </x:c>
      <x:c r="T1801" t="str">
        <x:v>Entregue com atraso</x:v>
      </x:c>
      <x:c r="U1801" t="n">
        <x:v>2</x:v>
      </x:c>
      <x:c r="V1801" t="str"/>
    </x:row>
    <x:row r="1802">
      <x:c r="A1802" s="52" t="n">
        <x:v>46157</x:v>
      </x:c>
      <x:c r="B1802" t="str">
        <x:v>PED-101801</x:v>
      </x:c>
      <x:c r="C1802" t="str">
        <x:v>Cliente 017</x:v>
      </x:c>
      <x:c r="D1802" t="str">
        <x:v>PE</x:v>
      </x:c>
      <x:c r="E1802" t="str">
        <x:v>Nordeste</x:v>
      </x:c>
      <x:c r="F1802" t="str">
        <x:v>E-commerce</x:v>
      </x:c>
      <x:c r="G1802" t="str">
        <x:v>Acessórios</x:v>
      </x:c>
      <x:c r="H1802" t="str">
        <x:v>Mochila Executiva</x:v>
      </x:c>
      <x:c r="I1802" t="str">
        <x:v>Carla</x:v>
      </x:c>
      <x:c r="J1802" s="53" t="n">
        <x:v>6</x:v>
      </x:c>
      <x:c r="K1802" s="54" t="n">
        <x:v>406.68</x:v>
      </x:c>
      <x:c r="L1802" s="54" t="n">
        <x:v>199.73</x:v>
      </x:c>
      <x:c r="M1802" s="55" t="n">
        <x:v>0</x:v>
      </x:c>
      <x:c r="N1802" s="54" t="n">
        <x:f>ROUND(J1802*K1802,2)</x:f>
        <x:v>2440.08</x:v>
      </x:c>
      <x:c r="O1802" s="54" t="n">
        <x:f>ROUND(N1802*(1-M1802),2)</x:f>
        <x:v>2440.08</x:v>
      </x:c>
      <x:c r="P1802" s="54" t="n">
        <x:f>ROUND(J1802*L1802,2)</x:f>
        <x:v>1198.38</x:v>
      </x:c>
      <x:c r="Q1802" s="54" t="n">
        <x:f>ROUND(O1802-P1802,2)</x:f>
        <x:v>1241.7</x:v>
      </x:c>
      <x:c r="R1802" s="55" t="n">
        <x:f>IF(O1802=0,0,ROUND(Q1802/O1802,4))</x:f>
        <x:v>0.5089</x:v>
      </x:c>
      <x:c r="S1802" s="53" t="n">
        <x:v>7</x:v>
      </x:c>
      <x:c r="T1802" t="str">
        <x:v>Entregue</x:v>
      </x:c>
      <x:c r="U1802" t="n">
        <x:v>5</x:v>
      </x:c>
      <x:c r="V1802" t="str"/>
    </x:row>
    <x:row r="1803">
      <x:c r="A1803" s="52" t="n">
        <x:v>46110</x:v>
      </x:c>
      <x:c r="B1803" t="str">
        <x:v>PED-101802</x:v>
      </x:c>
      <x:c r="C1803" t="str">
        <x:v>Cliente 050</x:v>
      </x:c>
      <x:c r="D1803" t="str">
        <x:v>AM</x:v>
      </x:c>
      <x:c r="E1803" t="str">
        <x:v>Norte</x:v>
      </x:c>
      <x:c r="F1803" t="str">
        <x:v>Loja</x:v>
      </x:c>
      <x:c r="G1803" t="str">
        <x:v>Casa</x:v>
      </x:c>
      <x:c r="H1803" t="str">
        <x:v>Purificador</x:v>
      </x:c>
      <x:c r="I1803" t="str">
        <x:v>Gabriela</x:v>
      </x:c>
      <x:c r="J1803" s="53" t="n">
        <x:v>4</x:v>
      </x:c>
      <x:c r="K1803" s="54" t="n">
        <x:v>1247.23</x:v>
      </x:c>
      <x:c r="L1803" s="54" t="n">
        <x:v>767.04</x:v>
      </x:c>
      <x:c r="M1803" s="55" t="n">
        <x:v>0</x:v>
      </x:c>
      <x:c r="N1803" s="54" t="n">
        <x:f>ROUND(J1803*K1803,2)</x:f>
        <x:v>4988.92</x:v>
      </x:c>
      <x:c r="O1803" s="54" t="n">
        <x:f>ROUND(N1803*(1-M1803),2)</x:f>
        <x:v>4988.92</x:v>
      </x:c>
      <x:c r="P1803" s="54" t="n">
        <x:f>ROUND(J1803*L1803,2)</x:f>
        <x:v>3068.16</x:v>
      </x:c>
      <x:c r="Q1803" s="54" t="n">
        <x:f>ROUND(O1803-P1803,2)</x:f>
        <x:v>1920.76</x:v>
      </x:c>
      <x:c r="R1803" s="55" t="n">
        <x:f>IF(O1803=0,0,ROUND(Q1803/O1803,4))</x:f>
        <x:v>0.385</x:v>
      </x:c>
      <x:c r="S1803" s="53" t="n">
        <x:v>14</x:v>
      </x:c>
      <x:c r="T1803" t="str">
        <x:v>Entregue com atraso</x:v>
      </x:c>
      <x:c r="U1803" t="n">
        <x:v>4</x:v>
      </x:c>
      <x:c r="V1803" t="str"/>
    </x:row>
    <x:row r="1804">
      <x:c r="A1804" s="52" t="n">
        <x:v>46190</x:v>
      </x:c>
      <x:c r="B1804" t="str">
        <x:v>PED-101803</x:v>
      </x:c>
      <x:c r="C1804" t="str">
        <x:v>Cliente 029</x:v>
      </x:c>
      <x:c r="D1804" t="str">
        <x:v>SP</x:v>
      </x:c>
      <x:c r="E1804" t="str">
        <x:v>Sudeste</x:v>
      </x:c>
      <x:c r="F1804" t="str">
        <x:v>Marketplace</x:v>
      </x:c>
      <x:c r="G1804" t="str">
        <x:v>Acessórios</x:v>
      </x:c>
      <x:c r="H1804" t="str">
        <x:v>Webcam HD</x:v>
      </x:c>
      <x:c r="I1804" t="str">
        <x:v>Elaine</x:v>
      </x:c>
      <x:c r="J1804" s="53" t="n">
        <x:v>3</x:v>
      </x:c>
      <x:c r="K1804" s="54" t="n">
        <x:v>530.58</x:v>
      </x:c>
      <x:c r="L1804" s="54" t="n">
        <x:v>233.89</x:v>
      </x:c>
      <x:c r="M1804" s="55" t="n">
        <x:v>0.084</x:v>
      </x:c>
      <x:c r="N1804" s="54" t="n">
        <x:f>ROUND(J1804*K1804,2)</x:f>
        <x:v>1591.74</x:v>
      </x:c>
      <x:c r="O1804" s="54" t="n">
        <x:f>ROUND(N1804*(1-M1804),2)</x:f>
        <x:v>1458.03</x:v>
      </x:c>
      <x:c r="P1804" s="54" t="n">
        <x:f>ROUND(J1804*L1804,2)</x:f>
        <x:v>701.67</x:v>
      </x:c>
      <x:c r="Q1804" s="54" t="n">
        <x:f>ROUND(O1804-P1804,2)</x:f>
        <x:v>756.36</x:v>
      </x:c>
      <x:c r="R1804" s="55" t="n">
        <x:f>IF(O1804=0,0,ROUND(Q1804/O1804,4))</x:f>
        <x:v>0.5188</x:v>
      </x:c>
      <x:c r="S1804" s="53" t="n">
        <x:v>12</x:v>
      </x:c>
      <x:c r="T1804" t="str">
        <x:v>Entregue com atraso</x:v>
      </x:c>
      <x:c r="U1804" t="n">
        <x:v>3</x:v>
      </x:c>
      <x:c r="V1804" t="str"/>
    </x:row>
    <x:row r="1805">
      <x:c r="A1805" s="52" t="n">
        <x:v>46201</x:v>
      </x:c>
      <x:c r="B1805" t="str">
        <x:v>PED-101804</x:v>
      </x:c>
      <x:c r="C1805" t="str">
        <x:v>Cliente 037</x:v>
      </x:c>
      <x:c r="D1805" t="str">
        <x:v>RJ</x:v>
      </x:c>
      <x:c r="E1805" t="str">
        <x:v>Sudeste</x:v>
      </x:c>
      <x:c r="F1805" t="str">
        <x:v>Televendas</x:v>
      </x:c>
      <x:c r="G1805" t="str">
        <x:v>Tecnologia</x:v>
      </x:c>
      <x:c r="H1805" t="str">
        <x:v>Monitor 27</x:v>
      </x:c>
      <x:c r="I1805" t="str">
        <x:v>Bruno</x:v>
      </x:c>
      <x:c r="J1805" s="53" t="n">
        <x:v>3</x:v>
      </x:c>
      <x:c r="K1805" s="54" t="n">
        <x:v>1749.87</x:v>
      </x:c>
      <x:c r="L1805" s="54" t="n">
        <x:v>1061.52</x:v>
      </x:c>
      <x:c r="M1805" s="55" t="n">
        <x:v>0.006</x:v>
      </x:c>
      <x:c r="N1805" s="54" t="n">
        <x:f>ROUND(J1805*K1805,2)</x:f>
        <x:v>5249.61</x:v>
      </x:c>
      <x:c r="O1805" s="54" t="n">
        <x:f>ROUND(N1805*(1-M1805),2)</x:f>
        <x:v>5218.11</x:v>
      </x:c>
      <x:c r="P1805" s="54" t="n">
        <x:f>ROUND(J1805*L1805,2)</x:f>
        <x:v>3184.56</x:v>
      </x:c>
      <x:c r="Q1805" s="54" t="n">
        <x:f>ROUND(O1805-P1805,2)</x:f>
        <x:v>2033.55</x:v>
      </x:c>
      <x:c r="R1805" s="55" t="n">
        <x:f>IF(O1805=0,0,ROUND(Q1805/O1805,4))</x:f>
        <x:v>0.3897</x:v>
      </x:c>
      <x:c r="S1805" s="53" t="n">
        <x:v>12</x:v>
      </x:c>
      <x:c r="T1805" t="str">
        <x:v>Entregue com atraso</x:v>
      </x:c>
      <x:c r="U1805" t="n">
        <x:v>3</x:v>
      </x:c>
      <x:c r="V1805" t="str"/>
    </x:row>
    <x:row r="1806">
      <x:c r="A1806" s="52" t="n">
        <x:v>46128</x:v>
      </x:c>
      <x:c r="B1806" t="str">
        <x:v>PED-101805</x:v>
      </x:c>
      <x:c r="C1806" t="str">
        <x:v>Cliente 065</x:v>
      </x:c>
      <x:c r="D1806" t="str">
        <x:v>SC</x:v>
      </x:c>
      <x:c r="E1806" t="str">
        <x:v>Sul</x:v>
      </x:c>
      <x:c r="F1806" t="str">
        <x:v>E-commerce</x:v>
      </x:c>
      <x:c r="G1806" t="str">
        <x:v>Escritório</x:v>
      </x:c>
      <x:c r="H1806" t="str">
        <x:v>Mesa Ajustável</x:v>
      </x:c>
      <x:c r="I1806" t="str">
        <x:v>Ana</x:v>
      </x:c>
      <x:c r="J1806" s="53" t="n">
        <x:v>3</x:v>
      </x:c>
      <x:c r="K1806" s="54" t="n">
        <x:v>2887.47</x:v>
      </x:c>
      <x:c r="L1806" s="54" t="n">
        <x:v>1836.25</x:v>
      </x:c>
      <x:c r="M1806" s="55" t="n">
        <x:v>0.0193</x:v>
      </x:c>
      <x:c r="N1806" s="54" t="n">
        <x:f>ROUND(J1806*K1806,2)</x:f>
        <x:v>8662.41</x:v>
      </x:c>
      <x:c r="O1806" s="54" t="n">
        <x:f>ROUND(N1806*(1-M1806),2)</x:f>
        <x:v>8495.23</x:v>
      </x:c>
      <x:c r="P1806" s="54" t="n">
        <x:f>ROUND(J1806*L1806,2)</x:f>
        <x:v>5508.75</x:v>
      </x:c>
      <x:c r="Q1806" s="54" t="n">
        <x:f>ROUND(O1806-P1806,2)</x:f>
        <x:v>2986.48</x:v>
      </x:c>
      <x:c r="R1806" s="55" t="n">
        <x:f>IF(O1806=0,0,ROUND(Q1806/O1806,4))</x:f>
        <x:v>0.3515</x:v>
      </x:c>
      <x:c r="S1806" s="53" t="n">
        <x:v>7</x:v>
      </x:c>
      <x:c r="T1806" t="str">
        <x:v>Entregue</x:v>
      </x:c>
      <x:c r="U1806" t="n">
        <x:v>3</x:v>
      </x:c>
      <x:c r="V1806" t="str"/>
    </x:row>
    <x:row r="1807">
      <x:c r="A1807" s="52" t="n">
        <x:v>46094</x:v>
      </x:c>
      <x:c r="B1807" t="str">
        <x:v>PED-101806</x:v>
      </x:c>
      <x:c r="C1807" t="str">
        <x:v>Cliente 077</x:v>
      </x:c>
      <x:c r="D1807" t="str">
        <x:v>DF</x:v>
      </x:c>
      <x:c r="E1807" t="str">
        <x:v>Centro-Oeste</x:v>
      </x:c>
      <x:c r="F1807" t="str">
        <x:v>Televendas</x:v>
      </x:c>
      <x:c r="G1807" t="str">
        <x:v>Acessórios</x:v>
      </x:c>
      <x:c r="H1807" t="str">
        <x:v>Webcam HD</x:v>
      </x:c>
      <x:c r="I1807" t="str">
        <x:v>Ana</x:v>
      </x:c>
      <x:c r="J1807" s="53" t="n">
        <x:v>5</x:v>
      </x:c>
      <x:c r="K1807" s="54" t="n">
        <x:v>487.91</x:v>
      </x:c>
      <x:c r="L1807" s="54" t="n">
        <x:v>251.38</x:v>
      </x:c>
      <x:c r="M1807" s="55" t="n">
        <x:v>0.0408</x:v>
      </x:c>
      <x:c r="N1807" s="54" t="n">
        <x:f>ROUND(J1807*K1807,2)</x:f>
        <x:v>2439.55</x:v>
      </x:c>
      <x:c r="O1807" s="54" t="n">
        <x:f>ROUND(N1807*(1-M1807),2)</x:f>
        <x:v>2340.02</x:v>
      </x:c>
      <x:c r="P1807" s="54" t="n">
        <x:f>ROUND(J1807*L1807,2)</x:f>
        <x:v>1256.9</x:v>
      </x:c>
      <x:c r="Q1807" s="54" t="n">
        <x:f>ROUND(O1807-P1807,2)</x:f>
        <x:v>1083.12</x:v>
      </x:c>
      <x:c r="R1807" s="55" t="n">
        <x:f>IF(O1807=0,0,ROUND(Q1807/O1807,4))</x:f>
        <x:v>0.4629</x:v>
      </x:c>
      <x:c r="S1807" s="53" t="n">
        <x:v>10</x:v>
      </x:c>
      <x:c r="T1807" t="str">
        <x:v>Entregue</x:v>
      </x:c>
      <x:c r="U1807" t="n">
        <x:v>5</x:v>
      </x:c>
      <x:c r="V1807" t="str"/>
    </x:row>
    <x:row r="1808">
      <x:c r="A1808" s="52" t="n">
        <x:v>46023</x:v>
      </x:c>
      <x:c r="B1808" t="str">
        <x:v>PED-101807</x:v>
      </x:c>
      <x:c r="C1808" t="str">
        <x:v>Cliente 086</x:v>
      </x:c>
      <x:c r="D1808" t="str">
        <x:v>SP</x:v>
      </x:c>
      <x:c r="E1808" t="str">
        <x:v>Sudeste</x:v>
      </x:c>
      <x:c r="F1808" t="str">
        <x:v>Televendas</x:v>
      </x:c>
      <x:c r="G1808" t="str">
        <x:v>Casa</x:v>
      </x:c>
      <x:c r="H1808" t="str">
        <x:v>Aspirador Robô</x:v>
      </x:c>
      <x:c r="I1808" t="str">
        <x:v>Carla</x:v>
      </x:c>
      <x:c r="J1808" s="53" t="n">
        <x:v>1</x:v>
      </x:c>
      <x:c r="K1808" s="54" t="n">
        <x:v>1978.95</x:v>
      </x:c>
      <x:c r="L1808" s="54" t="n">
        <x:v>1171.85</x:v>
      </x:c>
      <x:c r="M1808" s="55" t="n">
        <x:v>0.0581</x:v>
      </x:c>
      <x:c r="N1808" s="54" t="n">
        <x:f>ROUND(J1808*K1808,2)</x:f>
        <x:v>1978.95</x:v>
      </x:c>
      <x:c r="O1808" s="54" t="n">
        <x:f>ROUND(N1808*(1-M1808),2)</x:f>
        <x:v>1863.97</x:v>
      </x:c>
      <x:c r="P1808" s="54" t="n">
        <x:f>ROUND(J1808*L1808,2)</x:f>
        <x:v>1171.85</x:v>
      </x:c>
      <x:c r="Q1808" s="54" t="n">
        <x:f>ROUND(O1808-P1808,2)</x:f>
        <x:v>692.12</x:v>
      </x:c>
      <x:c r="R1808" s="55" t="n">
        <x:f>IF(O1808=0,0,ROUND(Q1808/O1808,4))</x:f>
        <x:v>0.3713</x:v>
      </x:c>
      <x:c r="S1808" s="53" t="n">
        <x:v>5</x:v>
      </x:c>
      <x:c r="T1808" t="str">
        <x:v>Entregue</x:v>
      </x:c>
      <x:c r="U1808" t="n">
        <x:v>2</x:v>
      </x:c>
      <x:c r="V1808" t="str"/>
    </x:row>
    <x:row r="1809">
      <x:c r="A1809" s="52" t="n">
        <x:v>46174</x:v>
      </x:c>
      <x:c r="B1809" t="str">
        <x:v>PED-101808</x:v>
      </x:c>
      <x:c r="C1809" t="str">
        <x:v>Cliente 106</x:v>
      </x:c>
      <x:c r="D1809" t="str">
        <x:v>PE</x:v>
      </x:c>
      <x:c r="E1809" t="str">
        <x:v>Nordeste</x:v>
      </x:c>
      <x:c r="F1809" t="str">
        <x:v>Televendas</x:v>
      </x:c>
      <x:c r="G1809" t="str">
        <x:v>Acessórios</x:v>
      </x:c>
      <x:c r="H1809" t="str">
        <x:v>Hub USB-C</x:v>
      </x:c>
      <x:c r="I1809" t="str">
        <x:v>Gabriela</x:v>
      </x:c>
      <x:c r="J1809" s="53" t="n">
        <x:v>5</x:v>
      </x:c>
      <x:c r="K1809" s="54" t="n">
        <x:v>308.06</x:v>
      </x:c>
      <x:c r="L1809" s="54" t="n">
        <x:v>139.47</x:v>
      </x:c>
      <x:c r="M1809" s="55" t="n">
        <x:v>0.1279</x:v>
      </x:c>
      <x:c r="N1809" s="54" t="n">
        <x:f>ROUND(J1809*K1809,2)</x:f>
        <x:v>1540.3</x:v>
      </x:c>
      <x:c r="O1809" s="54" t="n">
        <x:f>ROUND(N1809*(1-M1809),2)</x:f>
        <x:v>1343.3</x:v>
      </x:c>
      <x:c r="P1809" s="54" t="n">
        <x:f>ROUND(J1809*L1809,2)</x:f>
        <x:v>697.35</x:v>
      </x:c>
      <x:c r="Q1809" s="54" t="n">
        <x:f>ROUND(O1809-P1809,2)</x:f>
        <x:v>645.95</x:v>
      </x:c>
      <x:c r="R1809" s="55" t="n">
        <x:f>IF(O1809=0,0,ROUND(Q1809/O1809,4))</x:f>
        <x:v>0.4809</x:v>
      </x:c>
      <x:c r="S1809" s="53" t="n">
        <x:v>13</x:v>
      </x:c>
      <x:c r="T1809" t="str">
        <x:v>Entregue com atraso</x:v>
      </x:c>
      <x:c r="U1809" t="n">
        <x:v>5</x:v>
      </x:c>
      <x:c r="V1809" t="str"/>
    </x:row>
    <x:row r="1810">
      <x:c r="A1810" s="52" t="n">
        <x:v>46174</x:v>
      </x:c>
      <x:c r="B1810" t="str">
        <x:v>PED-101809</x:v>
      </x:c>
      <x:c r="C1810" t="str">
        <x:v>Cliente 056</x:v>
      </x:c>
      <x:c r="D1810" t="str">
        <x:v>AM</x:v>
      </x:c>
      <x:c r="E1810" t="str">
        <x:v>Norte</x:v>
      </x:c>
      <x:c r="F1810" t="str">
        <x:v>Televendas</x:v>
      </x:c>
      <x:c r="G1810" t="str">
        <x:v>Casa</x:v>
      </x:c>
      <x:c r="H1810" t="str">
        <x:v>Cafeteira Smart</x:v>
      </x:c>
      <x:c r="I1810" t="str">
        <x:v>Bruno</x:v>
      </x:c>
      <x:c r="J1810" s="53" t="n">
        <x:v>8</x:v>
      </x:c>
      <x:c r="K1810" s="54" t="n">
        <x:v>749.93</x:v>
      </x:c>
      <x:c r="L1810" s="54" t="n">
        <x:v>491.58</x:v>
      </x:c>
      <x:c r="M1810" s="55" t="n">
        <x:v>0.0698</x:v>
      </x:c>
      <x:c r="N1810" s="54" t="n">
        <x:f>ROUND(J1810*K1810,2)</x:f>
        <x:v>5999.44</x:v>
      </x:c>
      <x:c r="O1810" s="54" t="n">
        <x:f>ROUND(N1810*(1-M1810),2)</x:f>
        <x:v>5580.68</x:v>
      </x:c>
      <x:c r="P1810" s="54" t="n">
        <x:f>ROUND(J1810*L1810,2)</x:f>
        <x:v>3932.64</x:v>
      </x:c>
      <x:c r="Q1810" s="54" t="n">
        <x:f>ROUND(O1810-P1810,2)</x:f>
        <x:v>1648.04</x:v>
      </x:c>
      <x:c r="R1810" s="55" t="n">
        <x:f>IF(O1810=0,0,ROUND(Q1810/O1810,4))</x:f>
        <x:v>0.2953</x:v>
      </x:c>
      <x:c r="S1810" s="53" t="n">
        <x:v>3</x:v>
      </x:c>
      <x:c r="T1810" t="str">
        <x:v>Entregue</x:v>
      </x:c>
      <x:c r="U1810" t="n">
        <x:v>4</x:v>
      </x:c>
      <x:c r="V1810" t="str"/>
    </x:row>
    <x:row r="1811">
      <x:c r="A1811" s="52" t="n">
        <x:v>46140</x:v>
      </x:c>
      <x:c r="B1811" t="str">
        <x:v>PED-101810</x:v>
      </x:c>
      <x:c r="C1811" t="str">
        <x:v>Cliente 118</x:v>
      </x:c>
      <x:c r="D1811" t="str">
        <x:v>PE</x:v>
      </x:c>
      <x:c r="E1811" t="str">
        <x:v>Nordeste</x:v>
      </x:c>
      <x:c r="F1811" t="str">
        <x:v>Marketplace</x:v>
      </x:c>
      <x:c r="G1811" t="str">
        <x:v>Escritório</x:v>
      </x:c>
      <x:c r="H1811" t="str">
        <x:v>Luminária LED</x:v>
      </x:c>
      <x:c r="I1811" t="str">
        <x:v>Diego</x:v>
      </x:c>
      <x:c r="J1811" s="53" t="n">
        <x:v>2</x:v>
      </x:c>
      <x:c r="K1811" s="54" t="n">
        <x:v>253.67</x:v>
      </x:c>
      <x:c r="L1811" s="54" t="n">
        <x:v>123.14</x:v>
      </x:c>
      <x:c r="M1811" s="55" t="n">
        <x:v>0.1157</x:v>
      </x:c>
      <x:c r="N1811" s="54" t="n">
        <x:f>ROUND(J1811*K1811,2)</x:f>
        <x:v>507.34</x:v>
      </x:c>
      <x:c r="O1811" s="54" t="n">
        <x:f>ROUND(N1811*(1-M1811),2)</x:f>
        <x:v>448.64</x:v>
      </x:c>
      <x:c r="P1811" s="54" t="n">
        <x:f>ROUND(J1811*L1811,2)</x:f>
        <x:v>246.28</x:v>
      </x:c>
      <x:c r="Q1811" s="54" t="n">
        <x:f>ROUND(O1811-P1811,2)</x:f>
        <x:v>202.36</x:v>
      </x:c>
      <x:c r="R1811" s="55" t="n">
        <x:f>IF(O1811=0,0,ROUND(Q1811/O1811,4))</x:f>
        <x:v>0.4511</x:v>
      </x:c>
      <x:c r="S1811" s="53" t="n">
        <x:v>13</x:v>
      </x:c>
      <x:c r="T1811" t="str">
        <x:v>Entregue com atraso</x:v>
      </x:c>
      <x:c r="U1811" t="n">
        <x:v>4</x:v>
      </x:c>
      <x:c r="V1811" t="str"/>
    </x:row>
    <x:row r="1812">
      <x:c r="A1812" s="52" t="n">
        <x:v>46206</x:v>
      </x:c>
      <x:c r="B1812" t="str">
        <x:v>PED-101811</x:v>
      </x:c>
      <x:c r="C1812" t="str">
        <x:v>Cliente 023</x:v>
      </x:c>
      <x:c r="D1812" t="str">
        <x:v>SC</x:v>
      </x:c>
      <x:c r="E1812" t="str">
        <x:v>Sul</x:v>
      </x:c>
      <x:c r="F1812" t="str">
        <x:v>E-commerce</x:v>
      </x:c>
      <x:c r="G1812" t="str">
        <x:v>Escritório</x:v>
      </x:c>
      <x:c r="H1812" t="str">
        <x:v>Luminária LED</x:v>
      </x:c>
      <x:c r="I1812" t="str">
        <x:v>Isabela</x:v>
      </x:c>
      <x:c r="J1812" s="53" t="n">
        <x:v>3</x:v>
      </x:c>
      <x:c r="K1812" s="54" t="n">
        <x:v>266.32</x:v>
      </x:c>
      <x:c r="L1812" s="54" t="n">
        <x:v>116.55</x:v>
      </x:c>
      <x:c r="M1812" s="55" t="n">
        <x:v>0.1291</x:v>
      </x:c>
      <x:c r="N1812" s="54" t="n">
        <x:f>ROUND(J1812*K1812,2)</x:f>
        <x:v>798.96</x:v>
      </x:c>
      <x:c r="O1812" s="54" t="n">
        <x:f>ROUND(N1812*(1-M1812),2)</x:f>
        <x:v>695.81</x:v>
      </x:c>
      <x:c r="P1812" s="54" t="n">
        <x:f>ROUND(J1812*L1812,2)</x:f>
        <x:v>349.65</x:v>
      </x:c>
      <x:c r="Q1812" s="54" t="n">
        <x:f>ROUND(O1812-P1812,2)</x:f>
        <x:v>346.16</x:v>
      </x:c>
      <x:c r="R1812" s="55" t="n">
        <x:f>IF(O1812=0,0,ROUND(Q1812/O1812,4))</x:f>
        <x:v>0.4975</x:v>
      </x:c>
      <x:c r="S1812" s="53" t="n">
        <x:v>13</x:v>
      </x:c>
      <x:c r="T1812" t="str">
        <x:v>Entregue com atraso</x:v>
      </x:c>
      <x:c r="U1812" t="n">
        <x:v>4</x:v>
      </x:c>
      <x:c r="V1812" t="str"/>
    </x:row>
    <x:row r="1813">
      <x:c r="A1813" s="52" t="n">
        <x:v>46076</x:v>
      </x:c>
      <x:c r="B1813" t="str">
        <x:v>PED-101812</x:v>
      </x:c>
      <x:c r="C1813" t="str">
        <x:v>Cliente 110</x:v>
      </x:c>
      <x:c r="D1813" t="str">
        <x:v>GO</x:v>
      </x:c>
      <x:c r="E1813" t="str">
        <x:v>Centro-Oeste</x:v>
      </x:c>
      <x:c r="F1813" t="str">
        <x:v>Marketplace</x:v>
      </x:c>
      <x:c r="G1813" t="str">
        <x:v>Acessórios</x:v>
      </x:c>
      <x:c r="H1813" t="str">
        <x:v>Mochila Executiva</x:v>
      </x:c>
      <x:c r="I1813" t="str">
        <x:v>João</x:v>
      </x:c>
      <x:c r="J1813" s="53" t="n">
        <x:v>3</x:v>
      </x:c>
      <x:c r="K1813" s="54" t="n">
        <x:v>430.72</x:v>
      </x:c>
      <x:c r="L1813" s="54" t="n">
        <x:v>198.78</x:v>
      </x:c>
      <x:c r="M1813" s="55" t="n">
        <x:v>0.0591</x:v>
      </x:c>
      <x:c r="N1813" s="54" t="n">
        <x:f>ROUND(J1813*K1813,2)</x:f>
        <x:v>1292.16</x:v>
      </x:c>
      <x:c r="O1813" s="54" t="n">
        <x:f>ROUND(N1813*(1-M1813),2)</x:f>
        <x:v>1215.79</x:v>
      </x:c>
      <x:c r="P1813" s="54" t="n">
        <x:f>ROUND(J1813*L1813,2)</x:f>
        <x:v>596.34</x:v>
      </x:c>
      <x:c r="Q1813" s="54" t="n">
        <x:f>ROUND(O1813-P1813,2)</x:f>
        <x:v>619.45</x:v>
      </x:c>
      <x:c r="R1813" s="55" t="n">
        <x:f>IF(O1813=0,0,ROUND(Q1813/O1813,4))</x:f>
        <x:v>0.5095</x:v>
      </x:c>
      <x:c r="S1813" s="53" t="n">
        <x:v>4</x:v>
      </x:c>
      <x:c r="T1813" t="str">
        <x:v>Entregue</x:v>
      </x:c>
      <x:c r="U1813" t="n">
        <x:v>3</x:v>
      </x:c>
      <x:c r="V1813" t="str"/>
    </x:row>
    <x:row r="1814">
      <x:c r="A1814" s="52" t="n">
        <x:v>46225</x:v>
      </x:c>
      <x:c r="B1814" t="str">
        <x:v>PED-101813</x:v>
      </x:c>
      <x:c r="C1814" t="str">
        <x:v>Cliente 104</x:v>
      </x:c>
      <x:c r="D1814" t="str">
        <x:v>MA</x:v>
      </x:c>
      <x:c r="E1814" t="str">
        <x:v>Nordeste</x:v>
      </x:c>
      <x:c r="F1814" t="str">
        <x:v>Marketplace</x:v>
      </x:c>
      <x:c r="G1814" t="str">
        <x:v>Escritório</x:v>
      </x:c>
      <x:c r="H1814" t="str">
        <x:v>Cadeira Ergonômica</x:v>
      </x:c>
      <x:c r="I1814" t="str">
        <x:v>Ana</x:v>
      </x:c>
      <x:c r="J1814" s="53" t="n">
        <x:v>8</x:v>
      </x:c>
      <x:c r="K1814" s="54" t="n">
        <x:v>2086.75</x:v>
      </x:c>
      <x:c r="L1814" s="54" t="n">
        <x:v>1487.68</x:v>
      </x:c>
      <x:c r="M1814" s="55" t="n">
        <x:v>0.035</x:v>
      </x:c>
      <x:c r="N1814" s="54" t="n">
        <x:f>ROUND(J1814*K1814,2)</x:f>
        <x:v>16694</x:v>
      </x:c>
      <x:c r="O1814" s="54" t="n">
        <x:f>ROUND(N1814*(1-M1814),2)</x:f>
        <x:v>16109.71</x:v>
      </x:c>
      <x:c r="P1814" s="54" t="n">
        <x:f>ROUND(J1814*L1814,2)</x:f>
        <x:v>11901.44</x:v>
      </x:c>
      <x:c r="Q1814" s="54" t="n">
        <x:f>ROUND(O1814-P1814,2)</x:f>
        <x:v>4208.27</x:v>
      </x:c>
      <x:c r="R1814" s="55" t="n">
        <x:f>IF(O1814=0,0,ROUND(Q1814/O1814,4))</x:f>
        <x:v>0.2612</x:v>
      </x:c>
      <x:c r="S1814" s="53" t="n">
        <x:v>13</x:v>
      </x:c>
      <x:c r="T1814" t="str">
        <x:v>Entregue com atraso</x:v>
      </x:c>
      <x:c r="U1814" t="n">
        <x:v>4</x:v>
      </x:c>
      <x:c r="V1814" t="str"/>
    </x:row>
    <x:row r="1815">
      <x:c r="A1815" s="52" t="n">
        <x:v>46220</x:v>
      </x:c>
      <x:c r="B1815" t="str">
        <x:v>PED-101814</x:v>
      </x:c>
      <x:c r="C1815" t="str">
        <x:v>Cliente 083</x:v>
      </x:c>
      <x:c r="D1815" t="str">
        <x:v>ES</x:v>
      </x:c>
      <x:c r="E1815" t="str">
        <x:v>Sudeste</x:v>
      </x:c>
      <x:c r="F1815" t="str">
        <x:v>Televendas</x:v>
      </x:c>
      <x:c r="G1815" t="str">
        <x:v>Tecnologia</x:v>
      </x:c>
      <x:c r="H1815" t="str">
        <x:v>Headset Office</x:v>
      </x:c>
      <x:c r="I1815" t="str">
        <x:v>Carla</x:v>
      </x:c>
      <x:c r="J1815" s="53" t="n">
        <x:v>2</x:v>
      </x:c>
      <x:c r="K1815" s="54" t="n">
        <x:v>404.56</x:v>
      </x:c>
      <x:c r="L1815" s="54" t="n">
        <x:v>203.31</x:v>
      </x:c>
      <x:c r="M1815" s="55" t="n">
        <x:v>0</x:v>
      </x:c>
      <x:c r="N1815" s="54" t="n">
        <x:f>ROUND(J1815*K1815,2)</x:f>
        <x:v>809.12</x:v>
      </x:c>
      <x:c r="O1815" s="54" t="n">
        <x:f>ROUND(N1815*(1-M1815),2)</x:f>
        <x:v>809.12</x:v>
      </x:c>
      <x:c r="P1815" s="54" t="n">
        <x:f>ROUND(J1815*L1815,2)</x:f>
        <x:v>406.62</x:v>
      </x:c>
      <x:c r="Q1815" s="54" t="n">
        <x:f>ROUND(O1815-P1815,2)</x:f>
        <x:v>402.5</x:v>
      </x:c>
      <x:c r="R1815" s="55" t="n">
        <x:f>IF(O1815=0,0,ROUND(Q1815/O1815,4))</x:f>
        <x:v>0.4975</x:v>
      </x:c>
      <x:c r="S1815" s="53" t="n">
        <x:v>2</x:v>
      </x:c>
      <x:c r="T1815" t="str">
        <x:v>Entregue</x:v>
      </x:c>
      <x:c r="U1815" t="n">
        <x:v>5</x:v>
      </x:c>
      <x:c r="V1815" t="str"/>
    </x:row>
    <x:row r="1816">
      <x:c r="A1816" s="52" t="n">
        <x:v>46060</x:v>
      </x:c>
      <x:c r="B1816" t="str">
        <x:v>PED-101815</x:v>
      </x:c>
      <x:c r="C1816" t="str">
        <x:v>Cliente 056</x:v>
      </x:c>
      <x:c r="D1816" t="str">
        <x:v>MT</x:v>
      </x:c>
      <x:c r="E1816" t="str">
        <x:v>Centro-Oeste</x:v>
      </x:c>
      <x:c r="F1816" t="str">
        <x:v>Loja</x:v>
      </x:c>
      <x:c r="G1816" t="str">
        <x:v>Casa</x:v>
      </x:c>
      <x:c r="H1816" t="str">
        <x:v>Cafeteira Smart</x:v>
      </x:c>
      <x:c r="I1816" t="str">
        <x:v>Henrique</x:v>
      </x:c>
      <x:c r="J1816" s="53" t="n">
        <x:v>6</x:v>
      </x:c>
      <x:c r="K1816" s="54" t="n">
        <x:v>825.66</x:v>
      </x:c>
      <x:c r="L1816" s="54" t="n">
        <x:v>475.55</x:v>
      </x:c>
      <x:c r="M1816" s="55" t="n">
        <x:v>0.0147</x:v>
      </x:c>
      <x:c r="N1816" s="54" t="n">
        <x:f>ROUND(J1816*K1816,2)</x:f>
        <x:v>4953.96</x:v>
      </x:c>
      <x:c r="O1816" s="54" t="n">
        <x:f>ROUND(N1816*(1-M1816),2)</x:f>
        <x:v>4881.14</x:v>
      </x:c>
      <x:c r="P1816" s="54" t="n">
        <x:f>ROUND(J1816*L1816,2)</x:f>
        <x:v>2853.3</x:v>
      </x:c>
      <x:c r="Q1816" s="54" t="n">
        <x:f>ROUND(O1816-P1816,2)</x:f>
        <x:v>2027.84</x:v>
      </x:c>
      <x:c r="R1816" s="55" t="n">
        <x:f>IF(O1816=0,0,ROUND(Q1816/O1816,4))</x:f>
        <x:v>0.4154</x:v>
      </x:c>
      <x:c r="S1816" s="53" t="n">
        <x:v>13</x:v>
      </x:c>
      <x:c r="T1816" t="str">
        <x:v>Entregue com atraso</x:v>
      </x:c>
      <x:c r="U1816" t="n">
        <x:v>5</x:v>
      </x:c>
      <x:c r="V1816" t="str"/>
    </x:row>
    <x:row r="1817">
      <x:c r="A1817" s="52" t="n">
        <x:v>46129</x:v>
      </x:c>
      <x:c r="B1817" t="str">
        <x:v>PED-101816</x:v>
      </x:c>
      <x:c r="C1817" t="str">
        <x:v>Cliente 015</x:v>
      </x:c>
      <x:c r="D1817" t="str">
        <x:v>RJ</x:v>
      </x:c>
      <x:c r="E1817" t="str">
        <x:v>Sudeste</x:v>
      </x:c>
      <x:c r="F1817" t="str">
        <x:v>E-commerce</x:v>
      </x:c>
      <x:c r="G1817" t="str">
        <x:v>Acessórios</x:v>
      </x:c>
      <x:c r="H1817" t="str">
        <x:v>Hub USB-C</x:v>
      </x:c>
      <x:c r="I1817" t="str">
        <x:v>Elaine</x:v>
      </x:c>
      <x:c r="J1817" s="53" t="n">
        <x:v>7</x:v>
      </x:c>
      <x:c r="K1817" s="54" t="n">
        <x:v>325.87</x:v>
      </x:c>
      <x:c r="L1817" s="54" t="n">
        <x:v>130.33</x:v>
      </x:c>
      <x:c r="M1817" s="55" t="n">
        <x:v>0.1277</x:v>
      </x:c>
      <x:c r="N1817" s="54" t="n">
        <x:f>ROUND(J1817*K1817,2)</x:f>
        <x:v>2281.09</x:v>
      </x:c>
      <x:c r="O1817" s="54" t="n">
        <x:f>ROUND(N1817*(1-M1817),2)</x:f>
        <x:v>1989.79</x:v>
      </x:c>
      <x:c r="P1817" s="54" t="n">
        <x:f>ROUND(J1817*L1817,2)</x:f>
        <x:v>912.31</x:v>
      </x:c>
      <x:c r="Q1817" s="54" t="n">
        <x:f>ROUND(O1817-P1817,2)</x:f>
        <x:v>1077.48</x:v>
      </x:c>
      <x:c r="R1817" s="55" t="n">
        <x:f>IF(O1817=0,0,ROUND(Q1817/O1817,4))</x:f>
        <x:v>0.5415</x:v>
      </x:c>
      <x:c r="S1817" s="53" t="n">
        <x:v>8</x:v>
      </x:c>
      <x:c r="T1817" t="str">
        <x:v>Entregue</x:v>
      </x:c>
      <x:c r="U1817" t="n">
        <x:v>2</x:v>
      </x:c>
      <x:c r="V1817" t="str"/>
    </x:row>
    <x:row r="1818">
      <x:c r="A1818" s="52" t="n">
        <x:v>46059</x:v>
      </x:c>
      <x:c r="B1818" t="str">
        <x:v>PED-101817</x:v>
      </x:c>
      <x:c r="C1818" t="str">
        <x:v>Cliente 009</x:v>
      </x:c>
      <x:c r="D1818" t="str">
        <x:v>CE</x:v>
      </x:c>
      <x:c r="E1818" t="str">
        <x:v>Nordeste</x:v>
      </x:c>
      <x:c r="F1818" t="str">
        <x:v>Loja</x:v>
      </x:c>
      <x:c r="G1818" t="str">
        <x:v>Escritório</x:v>
      </x:c>
      <x:c r="H1818" t="str">
        <x:v>Mesa Ajustável</x:v>
      </x:c>
      <x:c r="I1818" t="str">
        <x:v>Diego</x:v>
      </x:c>
      <x:c r="J1818" s="53" t="n">
        <x:v>4</x:v>
      </x:c>
      <x:c r="K1818" s="54" t="n">
        <x:v>2906.69</x:v>
      </x:c>
      <x:c r="L1818" s="54" t="n">
        <x:v>1961.73</x:v>
      </x:c>
      <x:c r="M1818" s="55" t="n">
        <x:v>0.0882</x:v>
      </x:c>
      <x:c r="N1818" s="54" t="n">
        <x:f>ROUND(J1818*K1818,2)</x:f>
        <x:v>11626.76</x:v>
      </x:c>
      <x:c r="O1818" s="54" t="n">
        <x:f>ROUND(N1818*(1-M1818),2)</x:f>
        <x:v>10601.28</x:v>
      </x:c>
      <x:c r="P1818" s="54" t="n">
        <x:f>ROUND(J1818*L1818,2)</x:f>
        <x:v>7846.92</x:v>
      </x:c>
      <x:c r="Q1818" s="54" t="n">
        <x:f>ROUND(O1818-P1818,2)</x:f>
        <x:v>2754.36</x:v>
      </x:c>
      <x:c r="R1818" s="55" t="n">
        <x:f>IF(O1818=0,0,ROUND(Q1818/O1818,4))</x:f>
        <x:v>0.2598</x:v>
      </x:c>
      <x:c r="S1818" s="53" t="n">
        <x:v>10</x:v>
      </x:c>
      <x:c r="T1818" t="str">
        <x:v>Entregue</x:v>
      </x:c>
      <x:c r="U1818" t="n">
        <x:v>3</x:v>
      </x:c>
      <x:c r="V1818" t="str"/>
    </x:row>
    <x:row r="1819">
      <x:c r="A1819" s="52" t="n">
        <x:v>46233</x:v>
      </x:c>
      <x:c r="B1819" t="str">
        <x:v>PED-101818</x:v>
      </x:c>
      <x:c r="C1819" t="str">
        <x:v>Cliente 046</x:v>
      </x:c>
      <x:c r="D1819" t="str">
        <x:v>PR</x:v>
      </x:c>
      <x:c r="E1819" t="str">
        <x:v>Sul</x:v>
      </x:c>
      <x:c r="F1819" t="str">
        <x:v>Loja</x:v>
      </x:c>
      <x:c r="G1819" t="str">
        <x:v>Tecnologia</x:v>
      </x:c>
      <x:c r="H1819" t="str">
        <x:v>Notebook Pro</x:v>
      </x:c>
      <x:c r="I1819" t="str">
        <x:v>Diego</x:v>
      </x:c>
      <x:c r="J1819" s="53" t="n">
        <x:v>2</x:v>
      </x:c>
      <x:c r="K1819" s="54" t="n">
        <x:v>6059.21</x:v>
      </x:c>
      <x:c r="L1819" s="54" t="n">
        <x:v>4532.2</x:v>
      </x:c>
      <x:c r="M1819" s="55" t="n">
        <x:v>0</x:v>
      </x:c>
      <x:c r="N1819" s="54" t="n">
        <x:f>ROUND(J1819*K1819,2)</x:f>
        <x:v>12118.42</x:v>
      </x:c>
      <x:c r="O1819" s="54" t="n">
        <x:f>ROUND(N1819*(1-M1819),2)</x:f>
        <x:v>12118.42</x:v>
      </x:c>
      <x:c r="P1819" s="54" t="n">
        <x:f>ROUND(J1819*L1819,2)</x:f>
        <x:v>9064.4</x:v>
      </x:c>
      <x:c r="Q1819" s="54" t="n">
        <x:f>ROUND(O1819-P1819,2)</x:f>
        <x:v>3054.02</x:v>
      </x:c>
      <x:c r="R1819" s="55" t="n">
        <x:f>IF(O1819=0,0,ROUND(Q1819/O1819,4))</x:f>
        <x:v>0.252</x:v>
      </x:c>
      <x:c r="S1819" s="53" t="n">
        <x:v>13</x:v>
      </x:c>
      <x:c r="T1819" t="str">
        <x:v>Entregue com atraso</x:v>
      </x:c>
      <x:c r="U1819" t="n">
        <x:v>2</x:v>
      </x:c>
      <x:c r="V1819" t="str"/>
    </x:row>
    <x:row r="1820">
      <x:c r="A1820" s="52" t="n">
        <x:v>46133</x:v>
      </x:c>
      <x:c r="B1820" t="str">
        <x:v>PED-101819</x:v>
      </x:c>
      <x:c r="C1820" t="str">
        <x:v>Cliente 015</x:v>
      </x:c>
      <x:c r="D1820" t="str">
        <x:v>BA</x:v>
      </x:c>
      <x:c r="E1820" t="str">
        <x:v>Nordeste</x:v>
      </x:c>
      <x:c r="F1820" t="str">
        <x:v>Marketplace</x:v>
      </x:c>
      <x:c r="G1820" t="str">
        <x:v>Escritório</x:v>
      </x:c>
      <x:c r="H1820" t="str">
        <x:v>Cadeira Ergonômica</x:v>
      </x:c>
      <x:c r="I1820" t="str">
        <x:v>Elaine</x:v>
      </x:c>
      <x:c r="J1820" s="53" t="n">
        <x:v>6</x:v>
      </x:c>
      <x:c r="K1820" s="54" t="n">
        <x:v>2281.58</x:v>
      </x:c>
      <x:c r="L1820" s="54" t="n">
        <x:v>1419.15</x:v>
      </x:c>
      <x:c r="M1820" s="55" t="n">
        <x:v>0.0868</x:v>
      </x:c>
      <x:c r="N1820" s="54" t="n">
        <x:f>ROUND(J1820*K1820,2)</x:f>
        <x:v>13689.48</x:v>
      </x:c>
      <x:c r="O1820" s="54" t="n">
        <x:f>ROUND(N1820*(1-M1820),2)</x:f>
        <x:v>12501.23</x:v>
      </x:c>
      <x:c r="P1820" s="54" t="n">
        <x:f>ROUND(J1820*L1820,2)</x:f>
        <x:v>8514.9</x:v>
      </x:c>
      <x:c r="Q1820" s="54" t="n">
        <x:f>ROUND(O1820-P1820,2)</x:f>
        <x:v>3986.33</x:v>
      </x:c>
      <x:c r="R1820" s="55" t="n">
        <x:f>IF(O1820=0,0,ROUND(Q1820/O1820,4))</x:f>
        <x:v>0.3189</x:v>
      </x:c>
      <x:c r="S1820" s="53" t="n">
        <x:v>11</x:v>
      </x:c>
      <x:c r="T1820" t="str">
        <x:v>Entregue com atraso</x:v>
      </x:c>
      <x:c r="U1820" t="n">
        <x:v>4</x:v>
      </x:c>
      <x:c r="V1820" t="str"/>
    </x:row>
    <x:row r="1821">
      <x:c r="A1821" s="52" t="n">
        <x:v>46183</x:v>
      </x:c>
      <x:c r="B1821" t="str">
        <x:v>PED-101820</x:v>
      </x:c>
      <x:c r="C1821" t="str">
        <x:v>Cliente 068</x:v>
      </x:c>
      <x:c r="D1821" t="str">
        <x:v>BA</x:v>
      </x:c>
      <x:c r="E1821" t="str">
        <x:v>Nordeste</x:v>
      </x:c>
      <x:c r="F1821" t="str">
        <x:v>Marketplace</x:v>
      </x:c>
      <x:c r="G1821" t="str">
        <x:v>Casa</x:v>
      </x:c>
      <x:c r="H1821" t="str">
        <x:v>Aspirador Robô</x:v>
      </x:c>
      <x:c r="I1821" t="str">
        <x:v>Henrique</x:v>
      </x:c>
      <x:c r="J1821" s="53" t="n">
        <x:v>8</x:v>
      </x:c>
      <x:c r="K1821" s="54" t="n">
        <x:v>1839.03</x:v>
      </x:c>
      <x:c r="L1821" s="54" t="n">
        <x:v>1259.9</x:v>
      </x:c>
      <x:c r="M1821" s="55" t="n">
        <x:v>0.035</x:v>
      </x:c>
      <x:c r="N1821" s="54" t="n">
        <x:f>ROUND(J1821*K1821,2)</x:f>
        <x:v>14712.24</x:v>
      </x:c>
      <x:c r="O1821" s="54" t="n">
        <x:f>ROUND(N1821*(1-M1821),2)</x:f>
        <x:v>14197.31</x:v>
      </x:c>
      <x:c r="P1821" s="54" t="n">
        <x:f>ROUND(J1821*L1821,2)</x:f>
        <x:v>10079.2</x:v>
      </x:c>
      <x:c r="Q1821" s="54" t="n">
        <x:f>ROUND(O1821-P1821,2)</x:f>
        <x:v>4118.11</x:v>
      </x:c>
      <x:c r="R1821" s="55" t="n">
        <x:f>IF(O1821=0,0,ROUND(Q1821/O1821,4))</x:f>
        <x:v>0.2901</x:v>
      </x:c>
      <x:c r="S1821" s="53" t="n">
        <x:v>4</x:v>
      </x:c>
      <x:c r="T1821" t="str">
        <x:v>Entregue</x:v>
      </x:c>
      <x:c r="U1821" t="n">
        <x:v>4</x:v>
      </x:c>
      <x:c r="V1821" t="str"/>
    </x:row>
    <x:row r="1822">
      <x:c r="A1822" s="52" t="n">
        <x:v>46063</x:v>
      </x:c>
      <x:c r="B1822" t="str">
        <x:v>PED-101821</x:v>
      </x:c>
      <x:c r="C1822" t="str">
        <x:v>Cliente 110</x:v>
      </x:c>
      <x:c r="D1822" t="str">
        <x:v>MT</x:v>
      </x:c>
      <x:c r="E1822" t="str">
        <x:v>Centro-Oeste</x:v>
      </x:c>
      <x:c r="F1822" t="str">
        <x:v>Marketplace</x:v>
      </x:c>
      <x:c r="G1822" t="str">
        <x:v>Tecnologia</x:v>
      </x:c>
      <x:c r="H1822" t="str">
        <x:v>Monitor 27</x:v>
      </x:c>
      <x:c r="I1822" t="str">
        <x:v>Henrique</x:v>
      </x:c>
      <x:c r="J1822" s="53" t="n">
        <x:v>1</x:v>
      </x:c>
      <x:c r="K1822" s="54" t="n">
        <x:v>1772.86</x:v>
      </x:c>
      <x:c r="L1822" s="54" t="n">
        <x:v>1111.24</x:v>
      </x:c>
      <x:c r="M1822" s="55" t="n">
        <x:v>0.0891</x:v>
      </x:c>
      <x:c r="N1822" s="54" t="n">
        <x:f>ROUND(J1822*K1822,2)</x:f>
        <x:v>1772.86</x:v>
      </x:c>
      <x:c r="O1822" s="54" t="n">
        <x:f>ROUND(N1822*(1-M1822),2)</x:f>
        <x:v>1614.9</x:v>
      </x:c>
      <x:c r="P1822" s="54" t="n">
        <x:f>ROUND(J1822*L1822,2)</x:f>
        <x:v>1111.24</x:v>
      </x:c>
      <x:c r="Q1822" s="54" t="n">
        <x:f>ROUND(O1822-P1822,2)</x:f>
        <x:v>503.66</x:v>
      </x:c>
      <x:c r="R1822" s="55" t="n">
        <x:f>IF(O1822=0,0,ROUND(Q1822/O1822,4))</x:f>
        <x:v>0.3119</x:v>
      </x:c>
      <x:c r="S1822" s="53" t="n">
        <x:v>7</x:v>
      </x:c>
      <x:c r="T1822" t="str">
        <x:v>Entregue</x:v>
      </x:c>
      <x:c r="U1822" t="n">
        <x:v>4</x:v>
      </x:c>
      <x:c r="V1822" t="str"/>
    </x:row>
    <x:row r="1823">
      <x:c r="A1823" s="52" t="n">
        <x:v>46201</x:v>
      </x:c>
      <x:c r="B1823" t="str">
        <x:v>PED-101822</x:v>
      </x:c>
      <x:c r="C1823" t="str">
        <x:v>Cliente 056</x:v>
      </x:c>
      <x:c r="D1823" t="str">
        <x:v>CE</x:v>
      </x:c>
      <x:c r="E1823" t="str">
        <x:v>Nordeste</x:v>
      </x:c>
      <x:c r="F1823" t="str">
        <x:v>Loja</x:v>
      </x:c>
      <x:c r="G1823" t="str">
        <x:v>Acessórios</x:v>
      </x:c>
      <x:c r="H1823" t="str">
        <x:v>Mochila Executiva</x:v>
      </x:c>
      <x:c r="I1823" t="str">
        <x:v>Henrique</x:v>
      </x:c>
      <x:c r="J1823" s="53" t="n">
        <x:v>7</x:v>
      </x:c>
      <x:c r="K1823" s="54" t="n">
        <x:v>419.96</x:v>
      </x:c>
      <x:c r="L1823" s="54" t="n">
        <x:v>203.08</x:v>
      </x:c>
      <x:c r="M1823" s="55" t="n">
        <x:v>0.0909</x:v>
      </x:c>
      <x:c r="N1823" s="54" t="n">
        <x:f>ROUND(J1823*K1823,2)</x:f>
        <x:v>2939.72</x:v>
      </x:c>
      <x:c r="O1823" s="54" t="n">
        <x:f>ROUND(N1823*(1-M1823),2)</x:f>
        <x:v>2672.5</x:v>
      </x:c>
      <x:c r="P1823" s="54" t="n">
        <x:f>ROUND(J1823*L1823,2)</x:f>
        <x:v>1421.56</x:v>
      </x:c>
      <x:c r="Q1823" s="54" t="n">
        <x:f>ROUND(O1823-P1823,2)</x:f>
        <x:v>1250.94</x:v>
      </x:c>
      <x:c r="R1823" s="55" t="n">
        <x:f>IF(O1823=0,0,ROUND(Q1823/O1823,4))</x:f>
        <x:v>0.4681</x:v>
      </x:c>
      <x:c r="S1823" s="53" t="n">
        <x:v>12</x:v>
      </x:c>
      <x:c r="T1823" t="str">
        <x:v>Entregue com atraso</x:v>
      </x:c>
      <x:c r="U1823" t="n">
        <x:v>3</x:v>
      </x:c>
      <x:c r="V1823" t="str"/>
    </x:row>
    <x:row r="1824">
      <x:c r="A1824" s="52" t="n">
        <x:v>46073</x:v>
      </x:c>
      <x:c r="B1824" t="str">
        <x:v>PED-101823</x:v>
      </x:c>
      <x:c r="C1824" t="str">
        <x:v>Cliente 030</x:v>
      </x:c>
      <x:c r="D1824" t="str">
        <x:v>SC</x:v>
      </x:c>
      <x:c r="E1824" t="str">
        <x:v>Sul</x:v>
      </x:c>
      <x:c r="F1824" t="str">
        <x:v>Marketplace</x:v>
      </x:c>
      <x:c r="G1824" t="str">
        <x:v>Escritório</x:v>
      </x:c>
      <x:c r="H1824" t="str">
        <x:v>Cadeira Ergonômica</x:v>
      </x:c>
      <x:c r="I1824" t="str">
        <x:v>Felipe</x:v>
      </x:c>
      <x:c r="J1824" s="53" t="n">
        <x:v>3</x:v>
      </x:c>
      <x:c r="K1824" s="54" t="n">
        <x:v>2070.6</x:v>
      </x:c>
      <x:c r="L1824" s="54" t="n">
        <x:v>1459.47</x:v>
      </x:c>
      <x:c r="M1824" s="55" t="n">
        <x:v>0.035</x:v>
      </x:c>
      <x:c r="N1824" s="54" t="n">
        <x:f>ROUND(J1824*K1824,2)</x:f>
        <x:v>6211.8</x:v>
      </x:c>
      <x:c r="O1824" s="54" t="n">
        <x:f>ROUND(N1824*(1-M1824),2)</x:f>
        <x:v>5994.39</x:v>
      </x:c>
      <x:c r="P1824" s="54" t="n">
        <x:f>ROUND(J1824*L1824,2)</x:f>
        <x:v>4378.41</x:v>
      </x:c>
      <x:c r="Q1824" s="54" t="n">
        <x:f>ROUND(O1824-P1824,2)</x:f>
        <x:v>1615.98</x:v>
      </x:c>
      <x:c r="R1824" s="55" t="n">
        <x:f>IF(O1824=0,0,ROUND(Q1824/O1824,4))</x:f>
        <x:v>0.2696</x:v>
      </x:c>
      <x:c r="S1824" s="53" t="n">
        <x:v>3</x:v>
      </x:c>
      <x:c r="T1824" t="str">
        <x:v>Entregue</x:v>
      </x:c>
      <x:c r="U1824" t="n">
        <x:v>4</x:v>
      </x:c>
      <x:c r="V1824" t="str"/>
    </x:row>
    <x:row r="1825">
      <x:c r="A1825" s="52" t="n">
        <x:v>46133</x:v>
      </x:c>
      <x:c r="B1825" t="str">
        <x:v>PED-101824</x:v>
      </x:c>
      <x:c r="C1825" t="str">
        <x:v>Cliente 048</x:v>
      </x:c>
      <x:c r="D1825" t="str">
        <x:v>DF</x:v>
      </x:c>
      <x:c r="E1825" t="str">
        <x:v>Centro-Oeste</x:v>
      </x:c>
      <x:c r="F1825" t="str">
        <x:v>E-commerce</x:v>
      </x:c>
      <x:c r="G1825" t="str">
        <x:v>Escritório</x:v>
      </x:c>
      <x:c r="H1825" t="str">
        <x:v>Luminária LED</x:v>
      </x:c>
      <x:c r="I1825" t="str">
        <x:v>Ana</x:v>
      </x:c>
      <x:c r="J1825" s="53" t="n">
        <x:v>2</x:v>
      </x:c>
      <x:c r="K1825" s="54" t="n">
        <x:v>272.24</x:v>
      </x:c>
      <x:c r="L1825" s="54" t="n">
        <x:v>119.04</x:v>
      </x:c>
      <x:c r="M1825" s="55" t="n">
        <x:v>0</x:v>
      </x:c>
      <x:c r="N1825" s="54" t="n">
        <x:f>ROUND(J1825*K1825,2)</x:f>
        <x:v>544.48</x:v>
      </x:c>
      <x:c r="O1825" s="54" t="n">
        <x:f>ROUND(N1825*(1-M1825),2)</x:f>
        <x:v>544.48</x:v>
      </x:c>
      <x:c r="P1825" s="54" t="n">
        <x:f>ROUND(J1825*L1825,2)</x:f>
        <x:v>238.08</x:v>
      </x:c>
      <x:c r="Q1825" s="54" t="n">
        <x:f>ROUND(O1825-P1825,2)</x:f>
        <x:v>306.4</x:v>
      </x:c>
      <x:c r="R1825" s="55" t="n">
        <x:f>IF(O1825=0,0,ROUND(Q1825/O1825,4))</x:f>
        <x:v>0.5627</x:v>
      </x:c>
      <x:c r="S1825" s="53" t="n">
        <x:v>2</x:v>
      </x:c>
      <x:c r="T1825" t="str">
        <x:v>Entregue</x:v>
      </x:c>
      <x:c r="U1825" t="n">
        <x:v>3</x:v>
      </x:c>
      <x:c r="V1825" t="str"/>
    </x:row>
    <x:row r="1826">
      <x:c r="A1826" s="52" t="n">
        <x:v>46094</x:v>
      </x:c>
      <x:c r="B1826" t="str">
        <x:v>PED-101825</x:v>
      </x:c>
      <x:c r="C1826" t="str">
        <x:v>Cliente 076</x:v>
      </x:c>
      <x:c r="D1826" t="str">
        <x:v>GO</x:v>
      </x:c>
      <x:c r="E1826" t="str">
        <x:v>Centro-Oeste</x:v>
      </x:c>
      <x:c r="F1826" t="str">
        <x:v>E-commerce</x:v>
      </x:c>
      <x:c r="G1826" t="str">
        <x:v>Escritório</x:v>
      </x:c>
      <x:c r="H1826" t="str">
        <x:v>Luminária LED</x:v>
      </x:c>
      <x:c r="I1826" t="str">
        <x:v>João</x:v>
      </x:c>
      <x:c r="J1826" s="53" t="n">
        <x:v>3</x:v>
      </x:c>
      <x:c r="K1826" s="54" t="n">
        <x:v>254.57</x:v>
      </x:c>
      <x:c r="L1826" s="54" t="n">
        <x:v>123.63</x:v>
      </x:c>
      <x:c r="M1826" s="55" t="n">
        <x:v>0.0791</x:v>
      </x:c>
      <x:c r="N1826" s="54" t="n">
        <x:f>ROUND(J1826*K1826,2)</x:f>
        <x:v>763.71</x:v>
      </x:c>
      <x:c r="O1826" s="54" t="n">
        <x:f>ROUND(N1826*(1-M1826),2)</x:f>
        <x:v>703.3</x:v>
      </x:c>
      <x:c r="P1826" s="54" t="n">
        <x:f>ROUND(J1826*L1826,2)</x:f>
        <x:v>370.89</x:v>
      </x:c>
      <x:c r="Q1826" s="54" t="n">
        <x:f>ROUND(O1826-P1826,2)</x:f>
        <x:v>332.41</x:v>
      </x:c>
      <x:c r="R1826" s="55" t="n">
        <x:f>IF(O1826=0,0,ROUND(Q1826/O1826,4))</x:f>
        <x:v>0.4726</x:v>
      </x:c>
      <x:c r="S1826" s="53" t="n">
        <x:v>2</x:v>
      </x:c>
      <x:c r="T1826" t="str">
        <x:v>Cancelado</x:v>
      </x:c>
      <x:c r="U1826"/>
      <x:c r="V1826" t="str"/>
    </x:row>
    <x:row r="1827">
      <x:c r="A1827" s="52" t="n">
        <x:v>46176</x:v>
      </x:c>
      <x:c r="B1827" t="str">
        <x:v>PED-101826</x:v>
      </x:c>
      <x:c r="C1827" t="str">
        <x:v>Cliente 056</x:v>
      </x:c>
      <x:c r="D1827" t="str">
        <x:v>DF</x:v>
      </x:c>
      <x:c r="E1827" t="str">
        <x:v>Centro-Oeste</x:v>
      </x:c>
      <x:c r="F1827" t="str">
        <x:v>E-commerce</x:v>
      </x:c>
      <x:c r="G1827" t="str">
        <x:v>Casa</x:v>
      </x:c>
      <x:c r="H1827" t="str">
        <x:v>Aspirador Robô</x:v>
      </x:c>
      <x:c r="I1827" t="str">
        <x:v>Ana</x:v>
      </x:c>
      <x:c r="J1827" s="53" t="n">
        <x:v>3</x:v>
      </x:c>
      <x:c r="K1827" s="54" t="n">
        <x:v>1827.94</x:v>
      </x:c>
      <x:c r="L1827" s="54" t="n">
        <x:v>1157.33</x:v>
      </x:c>
      <x:c r="M1827" s="55" t="n">
        <x:v>0.0679</x:v>
      </x:c>
      <x:c r="N1827" s="54" t="n">
        <x:f>ROUND(J1827*K1827,2)</x:f>
        <x:v>5483.82</x:v>
      </x:c>
      <x:c r="O1827" s="54" t="n">
        <x:f>ROUND(N1827*(1-M1827),2)</x:f>
        <x:v>5111.47</x:v>
      </x:c>
      <x:c r="P1827" s="54" t="n">
        <x:f>ROUND(J1827*L1827,2)</x:f>
        <x:v>3471.99</x:v>
      </x:c>
      <x:c r="Q1827" s="54" t="n">
        <x:f>ROUND(O1827-P1827,2)</x:f>
        <x:v>1639.48</x:v>
      </x:c>
      <x:c r="R1827" s="55" t="n">
        <x:f>IF(O1827=0,0,ROUND(Q1827/O1827,4))</x:f>
        <x:v>0.3207</x:v>
      </x:c>
      <x:c r="S1827" s="53" t="n">
        <x:v>30</x:v>
      </x:c>
      <x:c r="T1827" t="str">
        <x:v>Entregue com atraso</x:v>
      </x:c>
      <x:c r="U1827" t="n">
        <x:v>1</x:v>
      </x:c>
      <x:c r="V1827" t="str">
        <x:v>Ocorrência logística</x:v>
      </x:c>
    </x:row>
    <x:row r="1828">
      <x:c r="A1828" s="52" t="n">
        <x:v>46170</x:v>
      </x:c>
      <x:c r="B1828" t="str">
        <x:v>PED-101827</x:v>
      </x:c>
      <x:c r="C1828" t="str">
        <x:v>Cliente 087</x:v>
      </x:c>
      <x:c r="D1828" t="str">
        <x:v>SC</x:v>
      </x:c>
      <x:c r="E1828" t="str">
        <x:v>Sul</x:v>
      </x:c>
      <x:c r="F1828" t="str">
        <x:v>Marketplace</x:v>
      </x:c>
      <x:c r="G1828" t="str">
        <x:v>Tecnologia</x:v>
      </x:c>
      <x:c r="H1828" t="str">
        <x:v>Notebook Pro</x:v>
      </x:c>
      <x:c r="I1828" t="str">
        <x:v>Carla</x:v>
      </x:c>
      <x:c r="J1828" s="53" t="n">
        <x:v>2</x:v>
      </x:c>
      <x:c r="K1828" s="54" t="n">
        <x:v>5812.89</x:v>
      </x:c>
      <x:c r="L1828" s="54" t="n">
        <x:v>4190.65</x:v>
      </x:c>
      <x:c r="M1828" s="55" t="n">
        <x:v>0.0588</x:v>
      </x:c>
      <x:c r="N1828" s="54" t="n">
        <x:f>ROUND(J1828*K1828,2)</x:f>
        <x:v>11625.78</x:v>
      </x:c>
      <x:c r="O1828" s="54" t="n">
        <x:f>ROUND(N1828*(1-M1828),2)</x:f>
        <x:v>10942.18</x:v>
      </x:c>
      <x:c r="P1828" s="54" t="n">
        <x:f>ROUND(J1828*L1828,2)</x:f>
        <x:v>8381.3</x:v>
      </x:c>
      <x:c r="Q1828" s="54" t="n">
        <x:f>ROUND(O1828-P1828,2)</x:f>
        <x:v>2560.88</x:v>
      </x:c>
      <x:c r="R1828" s="55" t="n">
        <x:f>IF(O1828=0,0,ROUND(Q1828/O1828,4))</x:f>
        <x:v>0.234</x:v>
      </x:c>
      <x:c r="S1828" s="53" t="n">
        <x:v>13</x:v>
      </x:c>
      <x:c r="T1828" t="str">
        <x:v>Entregue com atraso</x:v>
      </x:c>
      <x:c r="U1828" t="n">
        <x:v>2</x:v>
      </x:c>
      <x:c r="V1828" t="str"/>
    </x:row>
    <x:row r="1829">
      <x:c r="A1829" s="52" t="n">
        <x:v>46062</x:v>
      </x:c>
      <x:c r="B1829" t="str">
        <x:v>PED-101828</x:v>
      </x:c>
      <x:c r="C1829" t="str">
        <x:v>Cliente 039</x:v>
      </x:c>
      <x:c r="D1829" t="str">
        <x:v>PA</x:v>
      </x:c>
      <x:c r="E1829" t="str">
        <x:v>Norte</x:v>
      </x:c>
      <x:c r="F1829" t="str">
        <x:v>Loja</x:v>
      </x:c>
      <x:c r="G1829" t="str">
        <x:v>Escritório</x:v>
      </x:c>
      <x:c r="H1829" t="str">
        <x:v>Cadeira Ergonômica</x:v>
      </x:c>
      <x:c r="I1829" t="str">
        <x:v>Elaine</x:v>
      </x:c>
      <x:c r="J1829" s="53" t="n">
        <x:v>1</x:v>
      </x:c>
      <x:c r="K1829" s="54" t="n">
        <x:v>2161.42</x:v>
      </x:c>
      <x:c r="L1829" s="54" t="n">
        <x:v>1492.46</x:v>
      </x:c>
      <x:c r="M1829" s="55" t="n">
        <x:v>0.1148</x:v>
      </x:c>
      <x:c r="N1829" s="54" t="n">
        <x:f>ROUND(J1829*K1829,2)</x:f>
        <x:v>2161.42</x:v>
      </x:c>
      <x:c r="O1829" s="54" t="n">
        <x:f>ROUND(N1829*(1-M1829),2)</x:f>
        <x:v>1913.29</x:v>
      </x:c>
      <x:c r="P1829" s="54" t="n">
        <x:f>ROUND(J1829*L1829,2)</x:f>
        <x:v>1492.46</x:v>
      </x:c>
      <x:c r="Q1829" s="54" t="n">
        <x:f>ROUND(O1829-P1829,2)</x:f>
        <x:v>420.83</x:v>
      </x:c>
      <x:c r="R1829" s="55" t="n">
        <x:f>IF(O1829=0,0,ROUND(Q1829/O1829,4))</x:f>
        <x:v>0.22</x:v>
      </x:c>
      <x:c r="S1829" s="53" t="n">
        <x:v>7</x:v>
      </x:c>
      <x:c r="T1829" t="str">
        <x:v>Entregue</x:v>
      </x:c>
      <x:c r="U1829" t="n">
        <x:v>5</x:v>
      </x:c>
      <x:c r="V1829" t="str"/>
    </x:row>
    <x:row r="1830">
      <x:c r="A1830" s="52" t="n">
        <x:v>46104</x:v>
      </x:c>
      <x:c r="B1830" t="str">
        <x:v>PED-101829</x:v>
      </x:c>
      <x:c r="C1830" t="str">
        <x:v>Cliente 003</x:v>
      </x:c>
      <x:c r="D1830" t="str">
        <x:v>PE</x:v>
      </x:c>
      <x:c r="E1830" t="str">
        <x:v>Nordeste</x:v>
      </x:c>
      <x:c r="F1830" t="str">
        <x:v>Loja</x:v>
      </x:c>
      <x:c r="G1830" t="str">
        <x:v>Escritório</x:v>
      </x:c>
      <x:c r="H1830" t="str">
        <x:v>Cadeira Ergonômica</x:v>
      </x:c>
      <x:c r="I1830" t="str">
        <x:v>Gabriela</x:v>
      </x:c>
      <x:c r="J1830" s="53" t="n">
        <x:v>1</x:v>
      </x:c>
      <x:c r="K1830" s="54" t="n">
        <x:v>2311.28</x:v>
      </x:c>
      <x:c r="L1830" s="54" t="n">
        <x:v>1498.84</x:v>
      </x:c>
      <x:c r="M1830" s="55" t="n">
        <x:v>0.0615</x:v>
      </x:c>
      <x:c r="N1830" s="54" t="n">
        <x:f>ROUND(J1830*K1830,2)</x:f>
        <x:v>2311.28</x:v>
      </x:c>
      <x:c r="O1830" s="54" t="n">
        <x:f>ROUND(N1830*(1-M1830),2)</x:f>
        <x:v>2169.14</x:v>
      </x:c>
      <x:c r="P1830" s="54" t="n">
        <x:f>ROUND(J1830*L1830,2)</x:f>
        <x:v>1498.84</x:v>
      </x:c>
      <x:c r="Q1830" s="54" t="n">
        <x:f>ROUND(O1830-P1830,2)</x:f>
        <x:v>670.3</x:v>
      </x:c>
      <x:c r="R1830" s="55" t="n">
        <x:f>IF(O1830=0,0,ROUND(Q1830/O1830,4))</x:f>
        <x:v>0.309</x:v>
      </x:c>
      <x:c r="S1830" s="53" t="n">
        <x:v>11</x:v>
      </x:c>
      <x:c r="T1830" t="str">
        <x:v>Entregue com atraso</x:v>
      </x:c>
      <x:c r="U1830" t="n">
        <x:v>4</x:v>
      </x:c>
      <x:c r="V1830" t="str"/>
    </x:row>
    <x:row r="1831">
      <x:c r="A1831" s="52" t="n">
        <x:v>46122</x:v>
      </x:c>
      <x:c r="B1831" t="str">
        <x:v>PED-101830</x:v>
      </x:c>
      <x:c r="C1831" t="str">
        <x:v>Cliente 040</x:v>
      </x:c>
      <x:c r="D1831" t="str">
        <x:v>SP</x:v>
      </x:c>
      <x:c r="E1831" t="str">
        <x:v>Sudeste</x:v>
      </x:c>
      <x:c r="F1831" t="str">
        <x:v>E-commerce</x:v>
      </x:c>
      <x:c r="G1831" t="str">
        <x:v>Casa</x:v>
      </x:c>
      <x:c r="H1831" t="str">
        <x:v>Aspirador Robô</x:v>
      </x:c>
      <x:c r="I1831" t="str">
        <x:v>Bruno</x:v>
      </x:c>
      <x:c r="J1831" s="53" t="n">
        <x:v>5</x:v>
      </x:c>
      <x:c r="K1831" s="54" t="n">
        <x:v>1974.87</x:v>
      </x:c>
      <x:c r="L1831" s="54" t="n">
        <x:v>1199.54</x:v>
      </x:c>
      <x:c r="M1831" s="55" t="n">
        <x:v>0</x:v>
      </x:c>
      <x:c r="N1831" s="54" t="n">
        <x:f>ROUND(J1831*K1831,2)</x:f>
        <x:v>9874.35</x:v>
      </x:c>
      <x:c r="O1831" s="54" t="n">
        <x:f>ROUND(N1831*(1-M1831),2)</x:f>
        <x:v>9874.35</x:v>
      </x:c>
      <x:c r="P1831" s="54" t="n">
        <x:f>ROUND(J1831*L1831,2)</x:f>
        <x:v>5997.7</x:v>
      </x:c>
      <x:c r="Q1831" s="54" t="n">
        <x:f>ROUND(O1831-P1831,2)</x:f>
        <x:v>3876.65</x:v>
      </x:c>
      <x:c r="R1831" s="55" t="n">
        <x:f>IF(O1831=0,0,ROUND(Q1831/O1831,4))</x:f>
        <x:v>0.3926</x:v>
      </x:c>
      <x:c r="S1831" s="53" t="n">
        <x:v>5</x:v>
      </x:c>
      <x:c r="T1831" t="str">
        <x:v>Entregue</x:v>
      </x:c>
      <x:c r="U1831" t="n">
        <x:v>3</x:v>
      </x:c>
      <x:c r="V1831" t="str"/>
    </x:row>
    <x:row r="1832">
      <x:c r="A1832" s="52" t="n">
        <x:v>46134</x:v>
      </x:c>
      <x:c r="B1832" t="str">
        <x:v>PED-101831</x:v>
      </x:c>
      <x:c r="C1832" t="str">
        <x:v>Cliente 004</x:v>
      </x:c>
      <x:c r="D1832" t="str">
        <x:v>AM</x:v>
      </x:c>
      <x:c r="E1832" t="str">
        <x:v>Norte</x:v>
      </x:c>
      <x:c r="F1832" t="str">
        <x:v>E-commerce</x:v>
      </x:c>
      <x:c r="G1832" t="str">
        <x:v>Escritório</x:v>
      </x:c>
      <x:c r="H1832" t="str">
        <x:v>Luminária LED</x:v>
      </x:c>
      <x:c r="I1832" t="str">
        <x:v>Carla</x:v>
      </x:c>
      <x:c r="J1832" s="53" t="n">
        <x:v>1</x:v>
      </x:c>
      <x:c r="K1832" s="54" t="n">
        <x:v>256.91</x:v>
      </x:c>
      <x:c r="L1832" s="54" t="n">
        <x:v>124.45</x:v>
      </x:c>
      <x:c r="M1832" s="55" t="n">
        <x:v>0</x:v>
      </x:c>
      <x:c r="N1832" s="54" t="n">
        <x:f>ROUND(J1832*K1832,2)</x:f>
        <x:v>256.91</x:v>
      </x:c>
      <x:c r="O1832" s="54" t="n">
        <x:f>ROUND(N1832*(1-M1832),2)</x:f>
        <x:v>256.91</x:v>
      </x:c>
      <x:c r="P1832" s="54" t="n">
        <x:f>ROUND(J1832*L1832,2)</x:f>
        <x:v>124.45</x:v>
      </x:c>
      <x:c r="Q1832" s="54" t="n">
        <x:f>ROUND(O1832-P1832,2)</x:f>
        <x:v>132.46</x:v>
      </x:c>
      <x:c r="R1832" s="55" t="n">
        <x:f>IF(O1832=0,0,ROUND(Q1832/O1832,4))</x:f>
        <x:v>0.5156</x:v>
      </x:c>
      <x:c r="S1832" s="53" t="n">
        <x:v>14</x:v>
      </x:c>
      <x:c r="T1832" t="str">
        <x:v>Entregue com atraso</x:v>
      </x:c>
      <x:c r="U1832" t="n">
        <x:v>4</x:v>
      </x:c>
      <x:c r="V1832" t="str"/>
    </x:row>
    <x:row r="1833">
      <x:c r="A1833" s="52" t="n">
        <x:v>46089</x:v>
      </x:c>
      <x:c r="B1833" t="str">
        <x:v>PED-101832</x:v>
      </x:c>
      <x:c r="C1833" t="str">
        <x:v>Cliente 052</x:v>
      </x:c>
      <x:c r="D1833" t="str">
        <x:v>AM</x:v>
      </x:c>
      <x:c r="E1833" t="str">
        <x:v>Norte</x:v>
      </x:c>
      <x:c r="F1833" t="str">
        <x:v>Televendas</x:v>
      </x:c>
      <x:c r="G1833" t="str">
        <x:v>Casa</x:v>
      </x:c>
      <x:c r="H1833" t="str">
        <x:v>Cafeteira Smart</x:v>
      </x:c>
      <x:c r="I1833" t="str">
        <x:v>Henrique</x:v>
      </x:c>
      <x:c r="J1833" s="53" t="n">
        <x:v>1</x:v>
      </x:c>
      <x:c r="K1833" s="54" t="n">
        <x:v>765.21</x:v>
      </x:c>
      <x:c r="L1833" s="54" t="n">
        <x:v>486.95</x:v>
      </x:c>
      <x:c r="M1833" s="55" t="n">
        <x:v>0</x:v>
      </x:c>
      <x:c r="N1833" s="54" t="n">
        <x:f>ROUND(J1833*K1833,2)</x:f>
        <x:v>765.21</x:v>
      </x:c>
      <x:c r="O1833" s="54" t="n">
        <x:f>ROUND(N1833*(1-M1833),2)</x:f>
        <x:v>765.21</x:v>
      </x:c>
      <x:c r="P1833" s="54" t="n">
        <x:f>ROUND(J1833*L1833,2)</x:f>
        <x:v>486.95</x:v>
      </x:c>
      <x:c r="Q1833" s="54" t="n">
        <x:f>ROUND(O1833-P1833,2)</x:f>
        <x:v>278.26</x:v>
      </x:c>
      <x:c r="R1833" s="55" t="n">
        <x:f>IF(O1833=0,0,ROUND(Q1833/O1833,4))</x:f>
        <x:v>0.3636</x:v>
      </x:c>
      <x:c r="S1833" s="53" t="n">
        <x:v>2</x:v>
      </x:c>
      <x:c r="T1833" t="str">
        <x:v>Entregue</x:v>
      </x:c>
      <x:c r="U1833" t="n">
        <x:v>2</x:v>
      </x:c>
      <x:c r="V1833" t="str"/>
    </x:row>
    <x:row r="1834">
      <x:c r="A1834" s="52" t="n">
        <x:v>46131</x:v>
      </x:c>
      <x:c r="B1834" t="str">
        <x:v>PED-101833</x:v>
      </x:c>
      <x:c r="C1834" t="str">
        <x:v>Cliente 117</x:v>
      </x:c>
      <x:c r="D1834" t="str">
        <x:v>AM</x:v>
      </x:c>
      <x:c r="E1834" t="str">
        <x:v>Norte</x:v>
      </x:c>
      <x:c r="F1834" t="str">
        <x:v>Loja</x:v>
      </x:c>
      <x:c r="G1834" t="str">
        <x:v>Tecnologia</x:v>
      </x:c>
      <x:c r="H1834" t="str">
        <x:v>Headset Office</x:v>
      </x:c>
      <x:c r="I1834" t="str">
        <x:v>Felipe</x:v>
      </x:c>
      <x:c r="J1834" s="53" t="n">
        <x:v>3</x:v>
      </x:c>
      <x:c r="K1834" s="54" t="n">
        <x:v>412.58</x:v>
      </x:c>
      <x:c r="L1834" s="54" t="n">
        <x:v>225.79</x:v>
      </x:c>
      <x:c r="M1834" s="55" t="n">
        <x:v>0</x:v>
      </x:c>
      <x:c r="N1834" s="54" t="n">
        <x:f>ROUND(J1834*K1834,2)</x:f>
        <x:v>1237.74</x:v>
      </x:c>
      <x:c r="O1834" s="54" t="n">
        <x:f>ROUND(N1834*(1-M1834),2)</x:f>
        <x:v>1237.74</x:v>
      </x:c>
      <x:c r="P1834" s="54" t="n">
        <x:f>ROUND(J1834*L1834,2)</x:f>
        <x:v>677.37</x:v>
      </x:c>
      <x:c r="Q1834" s="54" t="n">
        <x:f>ROUND(O1834-P1834,2)</x:f>
        <x:v>560.37</x:v>
      </x:c>
      <x:c r="R1834" s="55" t="n">
        <x:f>IF(O1834=0,0,ROUND(Q1834/O1834,4))</x:f>
        <x:v>0.4527</x:v>
      </x:c>
      <x:c r="S1834" s="53" t="n">
        <x:v>9</x:v>
      </x:c>
      <x:c r="T1834" t="str">
        <x:v>Entregue</x:v>
      </x:c>
      <x:c r="U1834" t="n">
        <x:v>4</x:v>
      </x:c>
      <x:c r="V1834" t="str"/>
    </x:row>
    <x:row r="1835">
      <x:c r="A1835" s="52" t="n">
        <x:v>46044</x:v>
      </x:c>
      <x:c r="B1835" t="str">
        <x:v>PED-101834</x:v>
      </x:c>
      <x:c r="C1835" t="str">
        <x:v>Cliente 109</x:v>
      </x:c>
      <x:c r="D1835" t="str">
        <x:v>DF</x:v>
      </x:c>
      <x:c r="E1835" t="str">
        <x:v>Centro-Oeste</x:v>
      </x:c>
      <x:c r="F1835" t="str">
        <x:v>Marketplace</x:v>
      </x:c>
      <x:c r="G1835" t="str">
        <x:v>Escritório</x:v>
      </x:c>
      <x:c r="H1835" t="str">
        <x:v>Mesa Ajustável</x:v>
      </x:c>
      <x:c r="I1835" t="str">
        <x:v>Diego</x:v>
      </x:c>
      <x:c r="J1835" s="53" t="n">
        <x:v>3</x:v>
      </x:c>
      <x:c r="K1835" s="54" t="n">
        <x:v>2628</x:v>
      </x:c>
      <x:c r="L1835" s="54" t="n">
        <x:v>1799.96</x:v>
      </x:c>
      <x:c r="M1835" s="55" t="n">
        <x:v>0.1095</x:v>
      </x:c>
      <x:c r="N1835" s="54" t="n">
        <x:f>ROUND(J1835*K1835,2)</x:f>
        <x:v>7884</x:v>
      </x:c>
      <x:c r="O1835" s="54" t="n">
        <x:f>ROUND(N1835*(1-M1835),2)</x:f>
        <x:v>7020.7</x:v>
      </x:c>
      <x:c r="P1835" s="54" t="n">
        <x:f>ROUND(J1835*L1835,2)</x:f>
        <x:v>5399.88</x:v>
      </x:c>
      <x:c r="Q1835" s="54" t="n">
        <x:f>ROUND(O1835-P1835,2)</x:f>
        <x:v>1620.82</x:v>
      </x:c>
      <x:c r="R1835" s="55" t="n">
        <x:f>IF(O1835=0,0,ROUND(Q1835/O1835,4))</x:f>
        <x:v>0.2309</x:v>
      </x:c>
      <x:c r="S1835" s="53" t="n">
        <x:v>4</x:v>
      </x:c>
      <x:c r="T1835" t="str">
        <x:v>Entregue</x:v>
      </x:c>
      <x:c r="U1835" t="n">
        <x:v>4</x:v>
      </x:c>
      <x:c r="V1835" t="str"/>
    </x:row>
    <x:row r="1836">
      <x:c r="A1836" s="52" t="n">
        <x:v>46148</x:v>
      </x:c>
      <x:c r="B1836" t="str">
        <x:v>PED-101835</x:v>
      </x:c>
      <x:c r="C1836" t="str">
        <x:v>Cliente 106</x:v>
      </x:c>
      <x:c r="D1836" t="str">
        <x:v>BA</x:v>
      </x:c>
      <x:c r="E1836" t="str">
        <x:v>Nordeste</x:v>
      </x:c>
      <x:c r="F1836" t="str">
        <x:v>E-commerce</x:v>
      </x:c>
      <x:c r="G1836" t="str">
        <x:v>Escritório</x:v>
      </x:c>
      <x:c r="H1836" t="str">
        <x:v>Mesa Ajustável</x:v>
      </x:c>
      <x:c r="I1836" t="str">
        <x:v>Elaine</x:v>
      </x:c>
      <x:c r="J1836" s="53" t="n">
        <x:v>3</x:v>
      </x:c>
      <x:c r="K1836" s="54" t="n">
        <x:v>2702.79</x:v>
      </x:c>
      <x:c r="L1836" s="54" t="n">
        <x:v>1912.06</x:v>
      </x:c>
      <x:c r="M1836" s="55" t="n">
        <x:v>0</x:v>
      </x:c>
      <x:c r="N1836" s="54" t="n">
        <x:f>ROUND(J1836*K1836,2)</x:f>
        <x:v>8108.37</x:v>
      </x:c>
      <x:c r="O1836" s="54" t="n">
        <x:f>ROUND(N1836*(1-M1836),2)</x:f>
        <x:v>8108.37</x:v>
      </x:c>
      <x:c r="P1836" s="54" t="n">
        <x:f>ROUND(J1836*L1836,2)</x:f>
        <x:v>5736.18</x:v>
      </x:c>
      <x:c r="Q1836" s="54" t="n">
        <x:f>ROUND(O1836-P1836,2)</x:f>
        <x:v>2372.19</x:v>
      </x:c>
      <x:c r="R1836" s="55" t="n">
        <x:f>IF(O1836=0,0,ROUND(Q1836/O1836,4))</x:f>
        <x:v>0.2926</x:v>
      </x:c>
      <x:c r="S1836" s="53" t="n">
        <x:v>6</x:v>
      </x:c>
      <x:c r="T1836" t="str">
        <x:v>Entregue</x:v>
      </x:c>
      <x:c r="U1836" t="n">
        <x:v>5</x:v>
      </x:c>
      <x:c r="V1836" t="str"/>
    </x:row>
    <x:row r="1837">
      <x:c r="A1837" s="52" t="n">
        <x:v>46220</x:v>
      </x:c>
      <x:c r="B1837" t="str">
        <x:v>PED-101836</x:v>
      </x:c>
      <x:c r="C1837" t="str">
        <x:v>Cliente 027</x:v>
      </x:c>
      <x:c r="D1837" t="str">
        <x:v>DF</x:v>
      </x:c>
      <x:c r="E1837" t="str">
        <x:v>Centro-Oeste</x:v>
      </x:c>
      <x:c r="F1837" t="str">
        <x:v>E-commerce</x:v>
      </x:c>
      <x:c r="G1837" t="str">
        <x:v>Tecnologia</x:v>
      </x:c>
      <x:c r="H1837" t="str">
        <x:v>Monitor 27</x:v>
      </x:c>
      <x:c r="I1837" t="str">
        <x:v>Felipe</x:v>
      </x:c>
      <x:c r="J1837" s="53" t="n">
        <x:v>8</x:v>
      </x:c>
      <x:c r="K1837" s="54" t="n">
        <x:v>1609.75</x:v>
      </x:c>
      <x:c r="L1837" s="54" t="n">
        <x:v>1039.63</x:v>
      </x:c>
      <x:c r="M1837" s="55" t="n">
        <x:v>0.0204</x:v>
      </x:c>
      <x:c r="N1837" s="54" t="n">
        <x:f>ROUND(J1837*K1837,2)</x:f>
        <x:v>12878</x:v>
      </x:c>
      <x:c r="O1837" s="54" t="n">
        <x:f>ROUND(N1837*(1-M1837),2)</x:f>
        <x:v>12615.29</x:v>
      </x:c>
      <x:c r="P1837" s="54" t="n">
        <x:f>ROUND(J1837*L1837,2)</x:f>
        <x:v>8317.04</x:v>
      </x:c>
      <x:c r="Q1837" s="54" t="n">
        <x:f>ROUND(O1837-P1837,2)</x:f>
        <x:v>4298.25</x:v>
      </x:c>
      <x:c r="R1837" s="55" t="n">
        <x:f>IF(O1837=0,0,ROUND(Q1837/O1837,4))</x:f>
        <x:v>0.3407</x:v>
      </x:c>
      <x:c r="S1837" s="53" t="n">
        <x:v>5</x:v>
      </x:c>
      <x:c r="T1837" t="str">
        <x:v>Entregue</x:v>
      </x:c>
      <x:c r="U1837" t="n">
        <x:v>2</x:v>
      </x:c>
      <x:c r="V1837" t="str"/>
    </x:row>
    <x:row r="1838">
      <x:c r="A1838" s="52" t="n">
        <x:v>46172</x:v>
      </x:c>
      <x:c r="B1838" t="str">
        <x:v>PED-101837</x:v>
      </x:c>
      <x:c r="C1838" t="str">
        <x:v>Cliente 068</x:v>
      </x:c>
      <x:c r="D1838" t="str">
        <x:v>PR</x:v>
      </x:c>
      <x:c r="E1838" t="str">
        <x:v>Sul</x:v>
      </x:c>
      <x:c r="F1838" t="str">
        <x:v>E-commerce</x:v>
      </x:c>
      <x:c r="G1838" t="str">
        <x:v>Tecnologia</x:v>
      </x:c>
      <x:c r="H1838" t="str">
        <x:v>Headset Office</x:v>
      </x:c>
      <x:c r="I1838" t="str">
        <x:v>Bruno</x:v>
      </x:c>
      <x:c r="J1838" s="53" t="n">
        <x:v>4</x:v>
      </x:c>
      <x:c r="K1838" s="54" t="n">
        <x:v>366.94</x:v>
      </x:c>
      <x:c r="L1838" s="54" t="n">
        <x:v>206.63</x:v>
      </x:c>
      <x:c r="M1838" s="55" t="n">
        <x:v>0</x:v>
      </x:c>
      <x:c r="N1838" s="54" t="n">
        <x:f>ROUND(J1838*K1838,2)</x:f>
        <x:v>1467.76</x:v>
      </x:c>
      <x:c r="O1838" s="54" t="n">
        <x:f>ROUND(N1838*(1-M1838),2)</x:f>
        <x:v>1467.76</x:v>
      </x:c>
      <x:c r="P1838" s="54" t="n">
        <x:f>ROUND(J1838*L1838,2)</x:f>
        <x:v>826.52</x:v>
      </x:c>
      <x:c r="Q1838" s="54" t="n">
        <x:f>ROUND(O1838-P1838,2)</x:f>
        <x:v>641.24</x:v>
      </x:c>
      <x:c r="R1838" s="55" t="n">
        <x:f>IF(O1838=0,0,ROUND(Q1838/O1838,4))</x:f>
        <x:v>0.4369</x:v>
      </x:c>
      <x:c r="S1838" s="53" t="n">
        <x:v>11</x:v>
      </x:c>
      <x:c r="T1838" t="str">
        <x:v>Entregue com atraso</x:v>
      </x:c>
      <x:c r="U1838" t="n">
        <x:v>5</x:v>
      </x:c>
      <x:c r="V1838" t="str"/>
    </x:row>
    <x:row r="1839">
      <x:c r="A1839" s="52" t="n">
        <x:v>46151</x:v>
      </x:c>
      <x:c r="B1839" t="str">
        <x:v>PED-101838</x:v>
      </x:c>
      <x:c r="C1839" t="str">
        <x:v>Cliente 035</x:v>
      </x:c>
      <x:c r="D1839" t="str">
        <x:v>DF</x:v>
      </x:c>
      <x:c r="E1839" t="str">
        <x:v>Centro-Oeste</x:v>
      </x:c>
      <x:c r="F1839" t="str">
        <x:v>Marketplace</x:v>
      </x:c>
      <x:c r="G1839" t="str">
        <x:v>Escritório</x:v>
      </x:c>
      <x:c r="H1839" t="str">
        <x:v>Luminária LED</x:v>
      </x:c>
      <x:c r="I1839" t="str">
        <x:v>Isabela</x:v>
      </x:c>
      <x:c r="J1839" s="53" t="n">
        <x:v>7</x:v>
      </x:c>
      <x:c r="K1839" s="54" t="n">
        <x:v>251.56</x:v>
      </x:c>
      <x:c r="L1839" s="54" t="n">
        <x:v>121.23</x:v>
      </x:c>
      <x:c r="M1839" s="55" t="n">
        <x:v>0.0351</x:v>
      </x:c>
      <x:c r="N1839" s="54" t="n">
        <x:f>ROUND(J1839*K1839,2)</x:f>
        <x:v>1760.92</x:v>
      </x:c>
      <x:c r="O1839" s="54" t="n">
        <x:f>ROUND(N1839*(1-M1839),2)</x:f>
        <x:v>1699.11</x:v>
      </x:c>
      <x:c r="P1839" s="54" t="n">
        <x:f>ROUND(J1839*L1839,2)</x:f>
        <x:v>848.61</x:v>
      </x:c>
      <x:c r="Q1839" s="54" t="n">
        <x:f>ROUND(O1839-P1839,2)</x:f>
        <x:v>850.5</x:v>
      </x:c>
      <x:c r="R1839" s="55" t="n">
        <x:f>IF(O1839=0,0,ROUND(Q1839/O1839,4))</x:f>
        <x:v>0.5006</x:v>
      </x:c>
      <x:c r="S1839" s="53" t="n">
        <x:v>3</x:v>
      </x:c>
      <x:c r="T1839" t="str">
        <x:v>Entregue</x:v>
      </x:c>
      <x:c r="U1839" t="n">
        <x:v>3</x:v>
      </x:c>
      <x:c r="V1839" t="str"/>
    </x:row>
    <x:row r="1840">
      <x:c r="A1840" s="52" t="n">
        <x:v>46094</x:v>
      </x:c>
      <x:c r="B1840" t="str">
        <x:v>PED-101839</x:v>
      </x:c>
      <x:c r="C1840" t="str">
        <x:v>Cliente 073</x:v>
      </x:c>
      <x:c r="D1840" t="str">
        <x:v>AM</x:v>
      </x:c>
      <x:c r="E1840" t="str">
        <x:v>Norte</x:v>
      </x:c>
      <x:c r="F1840" t="str">
        <x:v>Loja</x:v>
      </x:c>
      <x:c r="G1840" t="str">
        <x:v>Tecnologia</x:v>
      </x:c>
      <x:c r="H1840" t="str">
        <x:v>Monitor 27</x:v>
      </x:c>
      <x:c r="I1840" t="str">
        <x:v>Diego</x:v>
      </x:c>
      <x:c r="J1840" s="53" t="n">
        <x:v>5</x:v>
      </x:c>
      <x:c r="K1840" s="54" t="n">
        <x:v>1639.66</x:v>
      </x:c>
      <x:c r="L1840" s="54" t="n">
        <x:v>1129.54</x:v>
      </x:c>
      <x:c r="M1840" s="55" t="n">
        <x:v>0.1102</x:v>
      </x:c>
      <x:c r="N1840" s="54" t="n">
        <x:f>ROUND(J1840*K1840,2)</x:f>
        <x:v>8198.3</x:v>
      </x:c>
      <x:c r="O1840" s="54" t="n">
        <x:f>ROUND(N1840*(1-M1840),2)</x:f>
        <x:v>7294.85</x:v>
      </x:c>
      <x:c r="P1840" s="54" t="n">
        <x:f>ROUND(J1840*L1840,2)</x:f>
        <x:v>5647.7</x:v>
      </x:c>
      <x:c r="Q1840" s="54" t="n">
        <x:f>ROUND(O1840-P1840,2)</x:f>
        <x:v>1647.15</x:v>
      </x:c>
      <x:c r="R1840" s="55" t="n">
        <x:f>IF(O1840=0,0,ROUND(Q1840/O1840,4))</x:f>
        <x:v>0.2258</x:v>
      </x:c>
      <x:c r="S1840" s="53" t="n">
        <x:v>2</x:v>
      </x:c>
      <x:c r="T1840" t="str">
        <x:v>Entregue</x:v>
      </x:c>
      <x:c r="U1840" t="n">
        <x:v>5</x:v>
      </x:c>
      <x:c r="V1840" t="str"/>
    </x:row>
    <x:row r="1841">
      <x:c r="A1841" s="52" t="n">
        <x:v>46146</x:v>
      </x:c>
      <x:c r="B1841" t="str">
        <x:v>PED-101840</x:v>
      </x:c>
      <x:c r="C1841" t="str">
        <x:v>Cliente 104</x:v>
      </x:c>
      <x:c r="D1841" t="str">
        <x:v>RJ</x:v>
      </x:c>
      <x:c r="E1841" t="str">
        <x:v>Sudeste</x:v>
      </x:c>
      <x:c r="F1841" t="str">
        <x:v>Televendas</x:v>
      </x:c>
      <x:c r="G1841" t="str">
        <x:v>Tecnologia</x:v>
      </x:c>
      <x:c r="H1841" t="str">
        <x:v>Notebook Pro</x:v>
      </x:c>
      <x:c r="I1841" t="str">
        <x:v>João</x:v>
      </x:c>
      <x:c r="J1841" s="53" t="n">
        <x:v>1</x:v>
      </x:c>
      <x:c r="K1841" s="54" t="n">
        <x:v>5919.13</x:v>
      </x:c>
      <x:c r="L1841" s="54" t="n">
        <x:v>4274.12</x:v>
      </x:c>
      <x:c r="M1841" s="55" t="n">
        <x:v>0</x:v>
      </x:c>
      <x:c r="N1841" s="54" t="n">
        <x:f>ROUND(J1841*K1841,2)</x:f>
        <x:v>5919.13</x:v>
      </x:c>
      <x:c r="O1841" s="54" t="n">
        <x:f>ROUND(N1841*(1-M1841),2)</x:f>
        <x:v>5919.13</x:v>
      </x:c>
      <x:c r="P1841" s="54" t="n">
        <x:f>ROUND(J1841*L1841,2)</x:f>
        <x:v>4274.12</x:v>
      </x:c>
      <x:c r="Q1841" s="54" t="n">
        <x:f>ROUND(O1841-P1841,2)</x:f>
        <x:v>1645.01</x:v>
      </x:c>
      <x:c r="R1841" s="55" t="n">
        <x:f>IF(O1841=0,0,ROUND(Q1841/O1841,4))</x:f>
        <x:v>0.2779</x:v>
      </x:c>
      <x:c r="S1841" s="53" t="n">
        <x:v>8</x:v>
      </x:c>
      <x:c r="T1841" t="str">
        <x:v>Entregue</x:v>
      </x:c>
      <x:c r="U1841" t="n">
        <x:v>2</x:v>
      </x:c>
      <x:c r="V1841" t="str"/>
    </x:row>
    <x:row r="1842">
      <x:c r="A1842" s="52" t="n">
        <x:v>46062</x:v>
      </x:c>
      <x:c r="B1842" t="str">
        <x:v>PED-101841</x:v>
      </x:c>
      <x:c r="C1842" t="str">
        <x:v>Cliente 080</x:v>
      </x:c>
      <x:c r="D1842" t="str">
        <x:v>AM</x:v>
      </x:c>
      <x:c r="E1842" t="str">
        <x:v>Norte</x:v>
      </x:c>
      <x:c r="F1842" t="str">
        <x:v>Televendas</x:v>
      </x:c>
      <x:c r="G1842" t="str">
        <x:v>Tecnologia</x:v>
      </x:c>
      <x:c r="H1842" t="str">
        <x:v>Monitor 27</x:v>
      </x:c>
      <x:c r="I1842" t="str">
        <x:v>Carla</x:v>
      </x:c>
      <x:c r="J1842" s="53" t="n">
        <x:v>5</x:v>
      </x:c>
      <x:c r="K1842" s="54" t="n">
        <x:v>1605.52</x:v>
      </x:c>
      <x:c r="L1842" s="54" t="n">
        <x:v>1101.18</x:v>
      </x:c>
      <x:c r="M1842" s="55" t="n">
        <x:v>0.084</x:v>
      </x:c>
      <x:c r="N1842" s="54" t="n">
        <x:f>ROUND(J1842*K1842,2)</x:f>
        <x:v>8027.6</x:v>
      </x:c>
      <x:c r="O1842" s="54" t="n">
        <x:f>ROUND(N1842*(1-M1842),2)</x:f>
        <x:v>7353.28</x:v>
      </x:c>
      <x:c r="P1842" s="54" t="n">
        <x:f>ROUND(J1842*L1842,2)</x:f>
        <x:v>5505.9</x:v>
      </x:c>
      <x:c r="Q1842" s="54" t="n">
        <x:f>ROUND(O1842-P1842,2)</x:f>
        <x:v>1847.38</x:v>
      </x:c>
      <x:c r="R1842" s="55" t="n">
        <x:f>IF(O1842=0,0,ROUND(Q1842/O1842,4))</x:f>
        <x:v>0.2512</x:v>
      </x:c>
      <x:c r="S1842" s="53" t="n">
        <x:v>7</x:v>
      </x:c>
      <x:c r="T1842" t="str">
        <x:v>Entregue</x:v>
      </x:c>
      <x:c r="U1842" t="n">
        <x:v>3</x:v>
      </x:c>
      <x:c r="V1842" t="str"/>
    </x:row>
    <x:row r="1843">
      <x:c r="A1843" s="52" t="n">
        <x:v>46053</x:v>
      </x:c>
      <x:c r="B1843" t="str">
        <x:v>PED-101842</x:v>
      </x:c>
      <x:c r="C1843" t="str">
        <x:v>Cliente 004</x:v>
      </x:c>
      <x:c r="D1843" t="str">
        <x:v>GO</x:v>
      </x:c>
      <x:c r="E1843" t="str">
        <x:v>Centro-Oeste</x:v>
      </x:c>
      <x:c r="F1843" t="str">
        <x:v>Televendas</x:v>
      </x:c>
      <x:c r="G1843" t="str">
        <x:v>Escritório</x:v>
      </x:c>
      <x:c r="H1843" t="str">
        <x:v>Mesa Ajustável</x:v>
      </x:c>
      <x:c r="I1843" t="str">
        <x:v>João</x:v>
      </x:c>
      <x:c r="J1843" s="53" t="n">
        <x:v>4</x:v>
      </x:c>
      <x:c r="K1843" s="54" t="n">
        <x:v>2627.55</x:v>
      </x:c>
      <x:c r="L1843" s="54" t="n">
        <x:v>1810.26</x:v>
      </x:c>
      <x:c r="M1843" s="55" t="n">
        <x:v>0.1123</x:v>
      </x:c>
      <x:c r="N1843" s="54" t="n">
        <x:f>ROUND(J1843*K1843,2)</x:f>
        <x:v>10510.2</x:v>
      </x:c>
      <x:c r="O1843" s="54" t="n">
        <x:f>ROUND(N1843*(1-M1843),2)</x:f>
        <x:v>9329.9</x:v>
      </x:c>
      <x:c r="P1843" s="54" t="n">
        <x:f>ROUND(J1843*L1843,2)</x:f>
        <x:v>7241.04</x:v>
      </x:c>
      <x:c r="Q1843" s="54" t="n">
        <x:f>ROUND(O1843-P1843,2)</x:f>
        <x:v>2088.86</x:v>
      </x:c>
      <x:c r="R1843" s="55" t="n">
        <x:f>IF(O1843=0,0,ROUND(Q1843/O1843,4))</x:f>
        <x:v>0.2239</x:v>
      </x:c>
      <x:c r="S1843" s="53" t="n">
        <x:v>7</x:v>
      </x:c>
      <x:c r="T1843" t="str">
        <x:v>Entregue</x:v>
      </x:c>
      <x:c r="U1843" t="n">
        <x:v>2</x:v>
      </x:c>
      <x:c r="V1843" t="str"/>
    </x:row>
    <x:row r="1844">
      <x:c r="A1844" s="52" t="n">
        <x:v>46040</x:v>
      </x:c>
      <x:c r="B1844" t="str">
        <x:v>PED-101843</x:v>
      </x:c>
      <x:c r="C1844" t="str">
        <x:v>Cliente 078</x:v>
      </x:c>
      <x:c r="D1844" t="str">
        <x:v>MT</x:v>
      </x:c>
      <x:c r="E1844" t="str">
        <x:v>Centro-Oeste</x:v>
      </x:c>
      <x:c r="F1844" t="str">
        <x:v>Loja</x:v>
      </x:c>
      <x:c r="G1844" t="str">
        <x:v>Tecnologia</x:v>
      </x:c>
      <x:c r="H1844" t="str">
        <x:v>Notebook Pro</x:v>
      </x:c>
      <x:c r="I1844" t="str">
        <x:v>Elaine</x:v>
      </x:c>
      <x:c r="J1844" s="53" t="n">
        <x:v>3</x:v>
      </x:c>
      <x:c r="K1844" s="54" t="n">
        <x:v>5567.07</x:v>
      </x:c>
      <x:c r="L1844" s="54" t="n">
        <x:v>4307.68</x:v>
      </x:c>
      <x:c r="M1844" s="55" t="n">
        <x:v>0</x:v>
      </x:c>
      <x:c r="N1844" s="54" t="n">
        <x:f>ROUND(J1844*K1844,2)</x:f>
        <x:v>16701.21</x:v>
      </x:c>
      <x:c r="O1844" s="54" t="n">
        <x:f>ROUND(N1844*(1-M1844),2)</x:f>
        <x:v>16701.21</x:v>
      </x:c>
      <x:c r="P1844" s="54" t="n">
        <x:f>ROUND(J1844*L1844,2)</x:f>
        <x:v>12923.04</x:v>
      </x:c>
      <x:c r="Q1844" s="54" t="n">
        <x:f>ROUND(O1844-P1844,2)</x:f>
        <x:v>3778.17</x:v>
      </x:c>
      <x:c r="R1844" s="55" t="n">
        <x:f>IF(O1844=0,0,ROUND(Q1844/O1844,4))</x:f>
        <x:v>0.2262</x:v>
      </x:c>
      <x:c r="S1844" s="53" t="n">
        <x:v>12</x:v>
      </x:c>
      <x:c r="T1844" t="str">
        <x:v>Entregue com atraso</x:v>
      </x:c>
      <x:c r="U1844" t="n">
        <x:v>3</x:v>
      </x:c>
      <x:c r="V1844" t="str"/>
    </x:row>
    <x:row r="1845">
      <x:c r="A1845" s="52" t="n">
        <x:v>46044</x:v>
      </x:c>
      <x:c r="B1845" t="str">
        <x:v>PED-101844</x:v>
      </x:c>
      <x:c r="C1845" t="str">
        <x:v>Cliente 096</x:v>
      </x:c>
      <x:c r="D1845" t="str">
        <x:v>AM</x:v>
      </x:c>
      <x:c r="E1845" t="str">
        <x:v>Norte</x:v>
      </x:c>
      <x:c r="F1845" t="str">
        <x:v>E-commerce</x:v>
      </x:c>
      <x:c r="G1845" t="str">
        <x:v>Tecnologia</x:v>
      </x:c>
      <x:c r="H1845" t="str">
        <x:v>Monitor 27</x:v>
      </x:c>
      <x:c r="I1845" t="str">
        <x:v>Elaine</x:v>
      </x:c>
      <x:c r="J1845" s="53" t="n">
        <x:v>1</x:v>
      </x:c>
      <x:c r="K1845" s="54" t="n">
        <x:v>1588.7</x:v>
      </x:c>
      <x:c r="L1845" s="54" t="n">
        <x:v>1170.22</x:v>
      </x:c>
      <x:c r="M1845" s="55" t="n">
        <x:v>0.0738</x:v>
      </x:c>
      <x:c r="N1845" s="54" t="n">
        <x:f>ROUND(J1845*K1845,2)</x:f>
        <x:v>1588.7</x:v>
      </x:c>
      <x:c r="O1845" s="54" t="n">
        <x:f>ROUND(N1845*(1-M1845),2)</x:f>
        <x:v>1471.45</x:v>
      </x:c>
      <x:c r="P1845" s="54" t="n">
        <x:f>ROUND(J1845*L1845,2)</x:f>
        <x:v>1170.22</x:v>
      </x:c>
      <x:c r="Q1845" s="54" t="n">
        <x:f>ROUND(O1845-P1845,2)</x:f>
        <x:v>301.23</x:v>
      </x:c>
      <x:c r="R1845" s="55" t="n">
        <x:f>IF(O1845=0,0,ROUND(Q1845/O1845,4))</x:f>
        <x:v>0.2047</x:v>
      </x:c>
      <x:c r="S1845" s="53" t="n">
        <x:v>4</x:v>
      </x:c>
      <x:c r="T1845" t="str">
        <x:v>Entregue</x:v>
      </x:c>
      <x:c r="U1845" t="n">
        <x:v>3</x:v>
      </x:c>
      <x:c r="V1845" t="str"/>
    </x:row>
    <x:row r="1846">
      <x:c r="A1846" s="52" t="n">
        <x:v>46214</x:v>
      </x:c>
      <x:c r="B1846" t="str">
        <x:v>PED-101845</x:v>
      </x:c>
      <x:c r="C1846" t="str">
        <x:v>Cliente 089</x:v>
      </x:c>
      <x:c r="D1846" t="str">
        <x:v>RJ</x:v>
      </x:c>
      <x:c r="E1846" t="str">
        <x:v>Sudeste</x:v>
      </x:c>
      <x:c r="F1846" t="str">
        <x:v>E-commerce</x:v>
      </x:c>
      <x:c r="G1846" t="str">
        <x:v>Tecnologia</x:v>
      </x:c>
      <x:c r="H1846" t="str">
        <x:v>Notebook Pro</x:v>
      </x:c>
      <x:c r="I1846" t="str">
        <x:v>Henrique</x:v>
      </x:c>
      <x:c r="J1846" s="53" t="n">
        <x:v>1</x:v>
      </x:c>
      <x:c r="K1846" s="54" t="n">
        <x:v>5692.34</x:v>
      </x:c>
      <x:c r="L1846" s="54" t="n">
        <x:v>4297.78</x:v>
      </x:c>
      <x:c r="M1846" s="55" t="n">
        <x:v>0.1081</x:v>
      </x:c>
      <x:c r="N1846" s="54" t="n">
        <x:f>ROUND(J1846*K1846,2)</x:f>
        <x:v>5692.34</x:v>
      </x:c>
      <x:c r="O1846" s="54" t="n">
        <x:f>ROUND(N1846*(1-M1846),2)</x:f>
        <x:v>5077</x:v>
      </x:c>
      <x:c r="P1846" s="54" t="n">
        <x:f>ROUND(J1846*L1846,2)</x:f>
        <x:v>4297.78</x:v>
      </x:c>
      <x:c r="Q1846" s="54" t="n">
        <x:f>ROUND(O1846-P1846,2)</x:f>
        <x:v>779.22</x:v>
      </x:c>
      <x:c r="R1846" s="55" t="n">
        <x:f>IF(O1846=0,0,ROUND(Q1846/O1846,4))</x:f>
        <x:v>0.1535</x:v>
      </x:c>
      <x:c r="S1846" s="53" t="n">
        <x:v>14</x:v>
      </x:c>
      <x:c r="T1846" t="str">
        <x:v>Entregue com atraso</x:v>
      </x:c>
      <x:c r="U1846" t="n">
        <x:v>3</x:v>
      </x:c>
      <x:c r="V1846" t="str"/>
    </x:row>
    <x:row r="1847">
      <x:c r="A1847" s="52" t="n">
        <x:v>46113</x:v>
      </x:c>
      <x:c r="B1847" t="str">
        <x:v>PED-101846</x:v>
      </x:c>
      <x:c r="C1847" t="str">
        <x:v>Cliente 031</x:v>
      </x:c>
      <x:c r="D1847" t="str">
        <x:v>RS</x:v>
      </x:c>
      <x:c r="E1847" t="str">
        <x:v>Sul</x:v>
      </x:c>
      <x:c r="F1847" t="str">
        <x:v>Loja</x:v>
      </x:c>
      <x:c r="G1847" t="str">
        <x:v>Escritório</x:v>
      </x:c>
      <x:c r="H1847" t="str">
        <x:v>Luminária LED</x:v>
      </x:c>
      <x:c r="I1847" t="str">
        <x:v>Isabela</x:v>
      </x:c>
      <x:c r="J1847" s="53" t="n">
        <x:v>7</x:v>
      </x:c>
      <x:c r="K1847" s="54" t="n">
        <x:v>272.45</x:v>
      </x:c>
      <x:c r="L1847" s="54" t="n">
        <x:v>120.03</x:v>
      </x:c>
      <x:c r="M1847" s="55" t="n">
        <x:v>0.0532</x:v>
      </x:c>
      <x:c r="N1847" s="54" t="n">
        <x:f>ROUND(J1847*K1847,2)</x:f>
        <x:v>1907.15</x:v>
      </x:c>
      <x:c r="O1847" s="54" t="n">
        <x:f>ROUND(N1847*(1-M1847),2)</x:f>
        <x:v>1805.69</x:v>
      </x:c>
      <x:c r="P1847" s="54" t="n">
        <x:f>ROUND(J1847*L1847,2)</x:f>
        <x:v>840.21</x:v>
      </x:c>
      <x:c r="Q1847" s="54" t="n">
        <x:f>ROUND(O1847-P1847,2)</x:f>
        <x:v>965.48</x:v>
      </x:c>
      <x:c r="R1847" s="55" t="n">
        <x:f>IF(O1847=0,0,ROUND(Q1847/O1847,4))</x:f>
        <x:v>0.5347</x:v>
      </x:c>
      <x:c r="S1847" s="53" t="n">
        <x:v>9</x:v>
      </x:c>
      <x:c r="T1847" t="str">
        <x:v>Entregue</x:v>
      </x:c>
      <x:c r="U1847" t="n">
        <x:v>2</x:v>
      </x:c>
      <x:c r="V1847" t="str"/>
    </x:row>
    <x:row r="1848">
      <x:c r="A1848" s="52" t="n">
        <x:v>46106</x:v>
      </x:c>
      <x:c r="B1848" t="str">
        <x:v>PED-101847</x:v>
      </x:c>
      <x:c r="C1848" t="str">
        <x:v>Cliente 119</x:v>
      </x:c>
      <x:c r="D1848" t="str">
        <x:v>BA</x:v>
      </x:c>
      <x:c r="E1848" t="str">
        <x:v>Nordeste</x:v>
      </x:c>
      <x:c r="F1848" t="str">
        <x:v>Loja</x:v>
      </x:c>
      <x:c r="G1848" t="str">
        <x:v>Acessórios</x:v>
      </x:c>
      <x:c r="H1848" t="str">
        <x:v>Mochila Executiva</x:v>
      </x:c>
      <x:c r="I1848" t="str">
        <x:v>Elaine</x:v>
      </x:c>
      <x:c r="J1848" s="53" t="n">
        <x:v>2</x:v>
      </x:c>
      <x:c r="K1848" s="54" t="n">
        <x:v>422.21</x:v>
      </x:c>
      <x:c r="L1848" s="54" t="n">
        <x:v>198.17</x:v>
      </x:c>
      <x:c r="M1848" s="55" t="n">
        <x:v>0</x:v>
      </x:c>
      <x:c r="N1848" s="54" t="n">
        <x:f>ROUND(J1848*K1848,2)</x:f>
        <x:v>844.42</x:v>
      </x:c>
      <x:c r="O1848" s="54" t="n">
        <x:f>ROUND(N1848*(1-M1848),2)</x:f>
        <x:v>844.42</x:v>
      </x:c>
      <x:c r="P1848" s="54" t="n">
        <x:f>ROUND(J1848*L1848,2)</x:f>
        <x:v>396.34</x:v>
      </x:c>
      <x:c r="Q1848" s="54" t="n">
        <x:f>ROUND(O1848-P1848,2)</x:f>
        <x:v>448.08</x:v>
      </x:c>
      <x:c r="R1848" s="55" t="n">
        <x:f>IF(O1848=0,0,ROUND(Q1848/O1848,4))</x:f>
        <x:v>0.5306</x:v>
      </x:c>
      <x:c r="S1848" s="53" t="n">
        <x:v>3</x:v>
      </x:c>
      <x:c r="T1848" t="str">
        <x:v>Entregue</x:v>
      </x:c>
      <x:c r="U1848" t="n">
        <x:v>5</x:v>
      </x:c>
      <x:c r="V1848" t="str"/>
    </x:row>
    <x:row r="1849">
      <x:c r="A1849" s="52" t="n">
        <x:v>46125</x:v>
      </x:c>
      <x:c r="B1849" t="str">
        <x:v>PED-101848</x:v>
      </x:c>
      <x:c r="C1849" t="str">
        <x:v>Cliente 001</x:v>
      </x:c>
      <x:c r="D1849" t="str">
        <x:v>DF</x:v>
      </x:c>
      <x:c r="E1849" t="str">
        <x:v>Centro-Oeste</x:v>
      </x:c>
      <x:c r="F1849" t="str">
        <x:v>Loja</x:v>
      </x:c>
      <x:c r="G1849" t="str">
        <x:v>Escritório</x:v>
      </x:c>
      <x:c r="H1849" t="str">
        <x:v>Luminária LED</x:v>
      </x:c>
      <x:c r="I1849" t="str">
        <x:v>Felipe</x:v>
      </x:c>
      <x:c r="J1849" s="53" t="n">
        <x:v>3</x:v>
      </x:c>
      <x:c r="K1849" s="54" t="n">
        <x:v>272.86</x:v>
      </x:c>
      <x:c r="L1849" s="54" t="n">
        <x:v>121.49</x:v>
      </x:c>
      <x:c r="M1849" s="55" t="n">
        <x:v>0.008</x:v>
      </x:c>
      <x:c r="N1849" s="54" t="n">
        <x:f>ROUND(J1849*K1849,2)</x:f>
        <x:v>818.58</x:v>
      </x:c>
      <x:c r="O1849" s="54" t="n">
        <x:f>ROUND(N1849*(1-M1849),2)</x:f>
        <x:v>812.03</x:v>
      </x:c>
      <x:c r="P1849" s="54" t="n">
        <x:f>ROUND(J1849*L1849,2)</x:f>
        <x:v>364.47</x:v>
      </x:c>
      <x:c r="Q1849" s="54" t="n">
        <x:f>ROUND(O1849-P1849,2)</x:f>
        <x:v>447.56</x:v>
      </x:c>
      <x:c r="R1849" s="55" t="n">
        <x:f>IF(O1849=0,0,ROUND(Q1849/O1849,4))</x:f>
        <x:v>0.5512</x:v>
      </x:c>
      <x:c r="S1849" s="53" t="n">
        <x:v>7</x:v>
      </x:c>
      <x:c r="T1849" t="str">
        <x:v>Cancelado</x:v>
      </x:c>
      <x:c r="U1849"/>
      <x:c r="V1849" t="str"/>
    </x:row>
    <x:row r="1850">
      <x:c r="A1850" s="52" t="n">
        <x:v>46174</x:v>
      </x:c>
      <x:c r="B1850" t="str">
        <x:v>PED-101849</x:v>
      </x:c>
      <x:c r="C1850" t="str">
        <x:v>Cliente 073</x:v>
      </x:c>
      <x:c r="D1850" t="str">
        <x:v>RS</x:v>
      </x:c>
      <x:c r="E1850" t="str">
        <x:v>Sul</x:v>
      </x:c>
      <x:c r="F1850" t="str">
        <x:v>Marketplace</x:v>
      </x:c>
      <x:c r="G1850" t="str">
        <x:v>Acessórios</x:v>
      </x:c>
      <x:c r="H1850" t="str">
        <x:v>Hub USB-C</x:v>
      </x:c>
      <x:c r="I1850" t="str">
        <x:v>Diego</x:v>
      </x:c>
      <x:c r="J1850" s="53" t="n">
        <x:v>1</x:v>
      </x:c>
      <x:c r="K1850" s="54" t="n">
        <x:v>329.05</x:v>
      </x:c>
      <x:c r="L1850" s="54" t="n">
        <x:v>129.99</x:v>
      </x:c>
      <x:c r="M1850" s="55" t="n">
        <x:v>0.035</x:v>
      </x:c>
      <x:c r="N1850" s="54" t="n">
        <x:f>ROUND(J1850*K1850,2)</x:f>
        <x:v>329.05</x:v>
      </x:c>
      <x:c r="O1850" s="54" t="n">
        <x:f>ROUND(N1850*(1-M1850),2)</x:f>
        <x:v>317.53</x:v>
      </x:c>
      <x:c r="P1850" s="54" t="n">
        <x:f>ROUND(J1850*L1850,2)</x:f>
        <x:v>129.99</x:v>
      </x:c>
      <x:c r="Q1850" s="54" t="n">
        <x:f>ROUND(O1850-P1850,2)</x:f>
        <x:v>187.54</x:v>
      </x:c>
      <x:c r="R1850" s="55" t="n">
        <x:f>IF(O1850=0,0,ROUND(Q1850/O1850,4))</x:f>
        <x:v>0.5906</x:v>
      </x:c>
      <x:c r="S1850" s="53" t="n">
        <x:v>5</x:v>
      </x:c>
      <x:c r="T1850" t="str">
        <x:v>Entregue</x:v>
      </x:c>
      <x:c r="U1850" t="n">
        <x:v>2</x:v>
      </x:c>
      <x:c r="V1850" t="str"/>
    </x:row>
    <x:row r="1851">
      <x:c r="A1851" s="52" t="n">
        <x:v>46187</x:v>
      </x:c>
      <x:c r="B1851" t="str">
        <x:v>PED-101850</x:v>
      </x:c>
      <x:c r="C1851" t="str">
        <x:v>Cliente 075</x:v>
      </x:c>
      <x:c r="D1851" t="str">
        <x:v>ES</x:v>
      </x:c>
      <x:c r="E1851" t="str">
        <x:v>Sudeste</x:v>
      </x:c>
      <x:c r="F1851" t="str">
        <x:v>Televendas</x:v>
      </x:c>
      <x:c r="G1851" t="str">
        <x:v>Tecnologia</x:v>
      </x:c>
      <x:c r="H1851" t="str">
        <x:v>Headset Office</x:v>
      </x:c>
      <x:c r="I1851" t="str">
        <x:v>João</x:v>
      </x:c>
      <x:c r="J1851" s="53" t="n">
        <x:v>8</x:v>
      </x:c>
      <x:c r="K1851" s="54" t="n">
        <x:v>405.48</x:v>
      </x:c>
      <x:c r="L1851" s="54" t="n">
        <x:v>214.72</x:v>
      </x:c>
      <x:c r="M1851" s="55" t="n">
        <x:v>0</x:v>
      </x:c>
      <x:c r="N1851" s="54" t="n">
        <x:f>ROUND(J1851*K1851,2)</x:f>
        <x:v>3243.84</x:v>
      </x:c>
      <x:c r="O1851" s="54" t="n">
        <x:f>ROUND(N1851*(1-M1851),2)</x:f>
        <x:v>3243.84</x:v>
      </x:c>
      <x:c r="P1851" s="54" t="n">
        <x:f>ROUND(J1851*L1851,2)</x:f>
        <x:v>1717.76</x:v>
      </x:c>
      <x:c r="Q1851" s="54" t="n">
        <x:f>ROUND(O1851-P1851,2)</x:f>
        <x:v>1526.08</x:v>
      </x:c>
      <x:c r="R1851" s="55" t="n">
        <x:f>IF(O1851=0,0,ROUND(Q1851/O1851,4))</x:f>
        <x:v>0.4705</x:v>
      </x:c>
      <x:c r="S1851" s="53" t="n">
        <x:v>12</x:v>
      </x:c>
      <x:c r="T1851" t="str">
        <x:v>Entregue com atraso</x:v>
      </x:c>
      <x:c r="U1851" t="n">
        <x:v>5</x:v>
      </x:c>
      <x:c r="V1851" t="str"/>
    </x:row>
    <x:row r="1852">
      <x:c r="A1852" s="52" t="n">
        <x:v>46026</x:v>
      </x:c>
      <x:c r="B1852" t="str">
        <x:v>PED-101851</x:v>
      </x:c>
      <x:c r="C1852" t="str">
        <x:v>Cliente 038</x:v>
      </x:c>
      <x:c r="D1852" t="str">
        <x:v>MT</x:v>
      </x:c>
      <x:c r="E1852" t="str">
        <x:v>Centro-Oeste</x:v>
      </x:c>
      <x:c r="F1852" t="str">
        <x:v>Televendas</x:v>
      </x:c>
      <x:c r="G1852" t="str">
        <x:v>Escritório</x:v>
      </x:c>
      <x:c r="H1852" t="str">
        <x:v>Luminária LED</x:v>
      </x:c>
      <x:c r="I1852" t="str">
        <x:v>Ana</x:v>
      </x:c>
      <x:c r="J1852" s="53" t="n">
        <x:v>5</x:v>
      </x:c>
      <x:c r="K1852" s="54" t="n">
        <x:v>260.8</x:v>
      </x:c>
      <x:c r="L1852" s="54" t="n">
        <x:v>121.96</x:v>
      </x:c>
      <x:c r="M1852" s="55" t="n">
        <x:v>0.0362</x:v>
      </x:c>
      <x:c r="N1852" s="54" t="n">
        <x:f>ROUND(J1852*K1852,2)</x:f>
        <x:v>1304</x:v>
      </x:c>
      <x:c r="O1852" s="54" t="n">
        <x:f>ROUND(N1852*(1-M1852),2)</x:f>
        <x:v>1256.8</x:v>
      </x:c>
      <x:c r="P1852" s="54" t="n">
        <x:f>ROUND(J1852*L1852,2)</x:f>
        <x:v>609.8</x:v>
      </x:c>
      <x:c r="Q1852" s="54" t="n">
        <x:f>ROUND(O1852-P1852,2)</x:f>
        <x:v>647</x:v>
      </x:c>
      <x:c r="R1852" s="55" t="n">
        <x:f>IF(O1852=0,0,ROUND(Q1852/O1852,4))</x:f>
        <x:v>0.5148</x:v>
      </x:c>
      <x:c r="S1852" s="53" t="n">
        <x:v>7</x:v>
      </x:c>
      <x:c r="T1852" t="str">
        <x:v>Entregue</x:v>
      </x:c>
      <x:c r="U1852" t="n">
        <x:v>3</x:v>
      </x:c>
      <x:c r="V1852" t="str"/>
    </x:row>
    <x:row r="1853">
      <x:c r="A1853" s="52" t="n">
        <x:v>46131</x:v>
      </x:c>
      <x:c r="B1853" t="str">
        <x:v>PED-101852</x:v>
      </x:c>
      <x:c r="C1853" t="str">
        <x:v>Cliente 050</x:v>
      </x:c>
      <x:c r="D1853" t="str">
        <x:v>CE</x:v>
      </x:c>
      <x:c r="E1853" t="str">
        <x:v>Nordeste</x:v>
      </x:c>
      <x:c r="F1853" t="str">
        <x:v>Loja</x:v>
      </x:c>
      <x:c r="G1853" t="str">
        <x:v>Escritório</x:v>
      </x:c>
      <x:c r="H1853" t="str">
        <x:v>Mesa Ajustável</x:v>
      </x:c>
      <x:c r="I1853" t="str">
        <x:v>Elaine</x:v>
      </x:c>
      <x:c r="J1853" s="53" t="n">
        <x:v>6</x:v>
      </x:c>
      <x:c r="K1853" s="54" t="n">
        <x:v>2791.11</x:v>
      </x:c>
      <x:c r="L1853" s="54" t="n">
        <x:v>1941.1</x:v>
      </x:c>
      <x:c r="M1853" s="55" t="n">
        <x:v>0.0002</x:v>
      </x:c>
      <x:c r="N1853" s="54" t="n">
        <x:f>ROUND(J1853*K1853,2)</x:f>
        <x:v>16746.66</x:v>
      </x:c>
      <x:c r="O1853" s="54" t="n">
        <x:f>ROUND(N1853*(1-M1853),2)</x:f>
        <x:v>16743.31</x:v>
      </x:c>
      <x:c r="P1853" s="54" t="n">
        <x:f>ROUND(J1853*L1853,2)</x:f>
        <x:v>11646.6</x:v>
      </x:c>
      <x:c r="Q1853" s="54" t="n">
        <x:f>ROUND(O1853-P1853,2)</x:f>
        <x:v>5096.71</x:v>
      </x:c>
      <x:c r="R1853" s="55" t="n">
        <x:f>IF(O1853=0,0,ROUND(Q1853/O1853,4))</x:f>
        <x:v>0.3044</x:v>
      </x:c>
      <x:c r="S1853" s="53" t="n">
        <x:v>7</x:v>
      </x:c>
      <x:c r="T1853" t="str">
        <x:v>Entregue</x:v>
      </x:c>
      <x:c r="U1853" t="n">
        <x:v>3</x:v>
      </x:c>
      <x:c r="V1853" t="str"/>
    </x:row>
    <x:row r="1854">
      <x:c r="A1854" s="52" t="n">
        <x:v>46092</x:v>
      </x:c>
      <x:c r="B1854" t="str">
        <x:v>PED-101853</x:v>
      </x:c>
      <x:c r="C1854" t="str">
        <x:v>Cliente 022</x:v>
      </x:c>
      <x:c r="D1854" t="str">
        <x:v>PA</x:v>
      </x:c>
      <x:c r="E1854" t="str">
        <x:v>Norte</x:v>
      </x:c>
      <x:c r="F1854" t="str">
        <x:v>Televendas</x:v>
      </x:c>
      <x:c r="G1854" t="str">
        <x:v>Escritório</x:v>
      </x:c>
      <x:c r="H1854" t="str">
        <x:v>Mesa Ajustável</x:v>
      </x:c>
      <x:c r="I1854" t="str">
        <x:v>Ana</x:v>
      </x:c>
      <x:c r="J1854" s="53" t="n">
        <x:v>8</x:v>
      </x:c>
      <x:c r="K1854" s="54" t="n">
        <x:v>2868.89</x:v>
      </x:c>
      <x:c r="L1854" s="54" t="n">
        <x:v>1929.25</x:v>
      </x:c>
      <x:c r="M1854" s="55" t="n">
        <x:v>0</x:v>
      </x:c>
      <x:c r="N1854" s="54" t="n">
        <x:f>ROUND(J1854*K1854,2)</x:f>
        <x:v>22951.12</x:v>
      </x:c>
      <x:c r="O1854" s="54" t="n">
        <x:f>ROUND(N1854*(1-M1854),2)</x:f>
        <x:v>22951.12</x:v>
      </x:c>
      <x:c r="P1854" s="54" t="n">
        <x:f>ROUND(J1854*L1854,2)</x:f>
        <x:v>15434</x:v>
      </x:c>
      <x:c r="Q1854" s="54" t="n">
        <x:f>ROUND(O1854-P1854,2)</x:f>
        <x:v>7517.12</x:v>
      </x:c>
      <x:c r="R1854" s="55" t="n">
        <x:f>IF(O1854=0,0,ROUND(Q1854/O1854,4))</x:f>
        <x:v>0.3275</x:v>
      </x:c>
      <x:c r="S1854" s="53" t="n">
        <x:v>3</x:v>
      </x:c>
      <x:c r="T1854" t="str">
        <x:v>Entregue</x:v>
      </x:c>
      <x:c r="U1854" t="n">
        <x:v>5</x:v>
      </x:c>
      <x:c r="V1854" t="str"/>
    </x:row>
    <x:row r="1855">
      <x:c r="A1855" s="52" t="n">
        <x:v>46186</x:v>
      </x:c>
      <x:c r="B1855" t="str">
        <x:v>PED-101854</x:v>
      </x:c>
      <x:c r="C1855" t="str">
        <x:v>Cliente 077</x:v>
      </x:c>
      <x:c r="D1855" t="str">
        <x:v>ES</x:v>
      </x:c>
      <x:c r="E1855" t="str">
        <x:v>Sudeste</x:v>
      </x:c>
      <x:c r="F1855" t="str">
        <x:v>Loja</x:v>
      </x:c>
      <x:c r="G1855" t="str">
        <x:v>Casa</x:v>
      </x:c>
      <x:c r="H1855" t="str">
        <x:v>Purificador</x:v>
      </x:c>
      <x:c r="I1855" t="str">
        <x:v>Bruno</x:v>
      </x:c>
      <x:c r="J1855" s="53" t="n">
        <x:v>6</x:v>
      </x:c>
      <x:c r="K1855" s="54" t="n">
        <x:v>1299.42</x:v>
      </x:c>
      <x:c r="L1855" s="54" t="n">
        <x:v>784.65</x:v>
      </x:c>
      <x:c r="M1855" s="55" t="n">
        <x:v>0</x:v>
      </x:c>
      <x:c r="N1855" s="54" t="n">
        <x:f>ROUND(J1855*K1855,2)</x:f>
        <x:v>7796.52</x:v>
      </x:c>
      <x:c r="O1855" s="54" t="n">
        <x:f>ROUND(N1855*(1-M1855),2)</x:f>
        <x:v>7796.52</x:v>
      </x:c>
      <x:c r="P1855" s="54" t="n">
        <x:f>ROUND(J1855*L1855,2)</x:f>
        <x:v>4707.9</x:v>
      </x:c>
      <x:c r="Q1855" s="54" t="n">
        <x:f>ROUND(O1855-P1855,2)</x:f>
        <x:v>3088.62</x:v>
      </x:c>
      <x:c r="R1855" s="55" t="n">
        <x:f>IF(O1855=0,0,ROUND(Q1855/O1855,4))</x:f>
        <x:v>0.3962</x:v>
      </x:c>
      <x:c r="S1855" s="53" t="n">
        <x:v>12</x:v>
      </x:c>
      <x:c r="T1855" t="str">
        <x:v>Entregue com atraso</x:v>
      </x:c>
      <x:c r="U1855" t="n">
        <x:v>2</x:v>
      </x:c>
      <x:c r="V1855" t="str"/>
    </x:row>
    <x:row r="1856">
      <x:c r="A1856" s="52" t="n">
        <x:v>46110</x:v>
      </x:c>
      <x:c r="B1856" t="str">
        <x:v>PED-101855</x:v>
      </x:c>
      <x:c r="C1856" t="str">
        <x:v>Cliente 031</x:v>
      </x:c>
      <x:c r="D1856" t="str">
        <x:v>AM</x:v>
      </x:c>
      <x:c r="E1856" t="str">
        <x:v>Norte</x:v>
      </x:c>
      <x:c r="F1856" t="str">
        <x:v>E-commerce</x:v>
      </x:c>
      <x:c r="G1856" t="str">
        <x:v>Acessórios</x:v>
      </x:c>
      <x:c r="H1856" t="str">
        <x:v>Webcam HD</x:v>
      </x:c>
      <x:c r="I1856" t="str">
        <x:v>Carla</x:v>
      </x:c>
      <x:c r="J1856" s="53" t="n">
        <x:v>7</x:v>
      </x:c>
      <x:c r="K1856" s="54" t="n">
        <x:v>504.37</x:v>
      </x:c>
      <x:c r="L1856" s="54" t="n">
        <x:v>252.73</x:v>
      </x:c>
      <x:c r="M1856" s="55" t="n">
        <x:v>0.1059</x:v>
      </x:c>
      <x:c r="N1856" s="54" t="n">
        <x:f>ROUND(J1856*K1856,2)</x:f>
        <x:v>3530.59</x:v>
      </x:c>
      <x:c r="O1856" s="54" t="n">
        <x:f>ROUND(N1856*(1-M1856),2)</x:f>
        <x:v>3156.7</x:v>
      </x:c>
      <x:c r="P1856" s="54" t="n">
        <x:f>ROUND(J1856*L1856,2)</x:f>
        <x:v>1769.11</x:v>
      </x:c>
      <x:c r="Q1856" s="54" t="n">
        <x:f>ROUND(O1856-P1856,2)</x:f>
        <x:v>1387.59</x:v>
      </x:c>
      <x:c r="R1856" s="55" t="n">
        <x:f>IF(O1856=0,0,ROUND(Q1856/O1856,4))</x:f>
        <x:v>0.4396</x:v>
      </x:c>
      <x:c r="S1856" s="53" t="n">
        <x:v>11</x:v>
      </x:c>
      <x:c r="T1856" t="str">
        <x:v>Entregue com atraso</x:v>
      </x:c>
      <x:c r="U1856" t="n">
        <x:v>4</x:v>
      </x:c>
      <x:c r="V1856" t="str"/>
    </x:row>
    <x:row r="1857">
      <x:c r="A1857" s="52" t="n">
        <x:v>46151</x:v>
      </x:c>
      <x:c r="B1857" t="str">
        <x:v>PED-101856</x:v>
      </x:c>
      <x:c r="C1857" t="str">
        <x:v>Cliente 089</x:v>
      </x:c>
      <x:c r="D1857" t="str">
        <x:v>PA</x:v>
      </x:c>
      <x:c r="E1857" t="str">
        <x:v>Norte</x:v>
      </x:c>
      <x:c r="F1857" t="str">
        <x:v>E-commerce</x:v>
      </x:c>
      <x:c r="G1857" t="str">
        <x:v>Casa</x:v>
      </x:c>
      <x:c r="H1857" t="str">
        <x:v>Cafeteira Smart</x:v>
      </x:c>
      <x:c r="I1857" t="str">
        <x:v>Carla</x:v>
      </x:c>
      <x:c r="J1857" s="53" t="n">
        <x:v>3</x:v>
      </x:c>
      <x:c r="K1857" s="54" t="n">
        <x:v>783.94</x:v>
      </x:c>
      <x:c r="L1857" s="54" t="n">
        <x:v>479.72</x:v>
      </x:c>
      <x:c r="M1857" s="55" t="n">
        <x:v>0.0589</x:v>
      </x:c>
      <x:c r="N1857" s="54" t="n">
        <x:f>ROUND(J1857*K1857,2)</x:f>
        <x:v>2351.82</x:v>
      </x:c>
      <x:c r="O1857" s="54" t="n">
        <x:f>ROUND(N1857*(1-M1857),2)</x:f>
        <x:v>2213.3</x:v>
      </x:c>
      <x:c r="P1857" s="54" t="n">
        <x:f>ROUND(J1857*L1857,2)</x:f>
        <x:v>1439.16</x:v>
      </x:c>
      <x:c r="Q1857" s="54" t="n">
        <x:f>ROUND(O1857-P1857,2)</x:f>
        <x:v>774.14</x:v>
      </x:c>
      <x:c r="R1857" s="55" t="n">
        <x:f>IF(O1857=0,0,ROUND(Q1857/O1857,4))</x:f>
        <x:v>0.3498</x:v>
      </x:c>
      <x:c r="S1857" s="53" t="n">
        <x:v>8</x:v>
      </x:c>
      <x:c r="T1857" t="str">
        <x:v>Entregue</x:v>
      </x:c>
      <x:c r="U1857" t="n">
        <x:v>4</x:v>
      </x:c>
      <x:c r="V1857" t="str"/>
    </x:row>
    <x:row r="1858">
      <x:c r="A1858" s="52" t="n">
        <x:v>46065</x:v>
      </x:c>
      <x:c r="B1858" t="str">
        <x:v>PED-101857</x:v>
      </x:c>
      <x:c r="C1858" t="str">
        <x:v>Cliente 013</x:v>
      </x:c>
      <x:c r="D1858" t="str">
        <x:v>RS</x:v>
      </x:c>
      <x:c r="E1858" t="str">
        <x:v>Sul</x:v>
      </x:c>
      <x:c r="F1858" t="str">
        <x:v>Marketplace</x:v>
      </x:c>
      <x:c r="G1858" t="str">
        <x:v>Escritório</x:v>
      </x:c>
      <x:c r="H1858" t="str">
        <x:v>Cadeira Ergonômica</x:v>
      </x:c>
      <x:c r="I1858" t="str">
        <x:v>Elaine</x:v>
      </x:c>
      <x:c r="J1858" s="53" t="n">
        <x:v>4</x:v>
      </x:c>
      <x:c r="K1858" s="54" t="n">
        <x:v>2136.51</x:v>
      </x:c>
      <x:c r="L1858" s="54" t="n">
        <x:v>1392.53</x:v>
      </x:c>
      <x:c r="M1858" s="55" t="n">
        <x:v>0.1425</x:v>
      </x:c>
      <x:c r="N1858" s="54" t="n">
        <x:f>ROUND(J1858*K1858,2)</x:f>
        <x:v>8546.04</x:v>
      </x:c>
      <x:c r="O1858" s="54" t="n">
        <x:f>ROUND(N1858*(1-M1858),2)</x:f>
        <x:v>7328.23</x:v>
      </x:c>
      <x:c r="P1858" s="54" t="n">
        <x:f>ROUND(J1858*L1858,2)</x:f>
        <x:v>5570.12</x:v>
      </x:c>
      <x:c r="Q1858" s="54" t="n">
        <x:f>ROUND(O1858-P1858,2)</x:f>
        <x:v>1758.11</x:v>
      </x:c>
      <x:c r="R1858" s="55" t="n">
        <x:f>IF(O1858=0,0,ROUND(Q1858/O1858,4))</x:f>
        <x:v>0.2399</x:v>
      </x:c>
      <x:c r="S1858" s="53" t="n">
        <x:v>6</x:v>
      </x:c>
      <x:c r="T1858" t="str">
        <x:v>Entregue</x:v>
      </x:c>
      <x:c r="U1858" t="n">
        <x:v>3</x:v>
      </x:c>
      <x:c r="V1858" t="str"/>
    </x:row>
    <x:row r="1859">
      <x:c r="A1859" s="52" t="n">
        <x:v>46224</x:v>
      </x:c>
      <x:c r="B1859" t="str">
        <x:v>PED-101858</x:v>
      </x:c>
      <x:c r="C1859" t="str">
        <x:v>Cliente 105</x:v>
      </x:c>
      <x:c r="D1859" t="str">
        <x:v>CE</x:v>
      </x:c>
      <x:c r="E1859" t="str">
        <x:v>Nordeste</x:v>
      </x:c>
      <x:c r="F1859" t="str">
        <x:v>E-commerce</x:v>
      </x:c>
      <x:c r="G1859" t="str">
        <x:v>Escritório</x:v>
      </x:c>
      <x:c r="H1859" t="str">
        <x:v>Luminária LED</x:v>
      </x:c>
      <x:c r="I1859" t="str">
        <x:v>Bruno</x:v>
      </x:c>
      <x:c r="J1859" s="53" t="n">
        <x:v>5</x:v>
      </x:c>
      <x:c r="K1859" s="54" t="n">
        <x:v>258.08</x:v>
      </x:c>
      <x:c r="L1859" s="54" t="n">
        <x:v>117.87</x:v>
      </x:c>
      <x:c r="M1859" s="55" t="n">
        <x:v>0</x:v>
      </x:c>
      <x:c r="N1859" s="54" t="n">
        <x:f>ROUND(J1859*K1859,2)</x:f>
        <x:v>1290.4</x:v>
      </x:c>
      <x:c r="O1859" s="54" t="n">
        <x:f>ROUND(N1859*(1-M1859),2)</x:f>
        <x:v>1290.4</x:v>
      </x:c>
      <x:c r="P1859" s="54" t="n">
        <x:f>ROUND(J1859*L1859,2)</x:f>
        <x:v>589.35</x:v>
      </x:c>
      <x:c r="Q1859" s="54" t="n">
        <x:f>ROUND(O1859-P1859,2)</x:f>
        <x:v>701.05</x:v>
      </x:c>
      <x:c r="R1859" s="55" t="n">
        <x:f>IF(O1859=0,0,ROUND(Q1859/O1859,4))</x:f>
        <x:v>0.5433</x:v>
      </x:c>
      <x:c r="S1859" s="53" t="n">
        <x:v>11</x:v>
      </x:c>
      <x:c r="T1859" t="str">
        <x:v>Entregue com atraso</x:v>
      </x:c>
      <x:c r="U1859" t="n">
        <x:v>3</x:v>
      </x:c>
      <x:c r="V1859" t="str"/>
    </x:row>
    <x:row r="1860">
      <x:c r="A1860" s="52" t="n">
        <x:v>46048</x:v>
      </x:c>
      <x:c r="B1860" t="str">
        <x:v>PED-101859</x:v>
      </x:c>
      <x:c r="C1860" t="str">
        <x:v>Cliente 033</x:v>
      </x:c>
      <x:c r="D1860" t="str">
        <x:v>RS</x:v>
      </x:c>
      <x:c r="E1860" t="str">
        <x:v>Sul</x:v>
      </x:c>
      <x:c r="F1860" t="str">
        <x:v>Televendas</x:v>
      </x:c>
      <x:c r="G1860" t="str">
        <x:v>Tecnologia</x:v>
      </x:c>
      <x:c r="H1860" t="str">
        <x:v>Headset Office</x:v>
      </x:c>
      <x:c r="I1860" t="str">
        <x:v>Diego</x:v>
      </x:c>
      <x:c r="J1860" s="53" t="n">
        <x:v>2</x:v>
      </x:c>
      <x:c r="K1860" s="54" t="n">
        <x:v>401.24</x:v>
      </x:c>
      <x:c r="L1860" s="54" t="n">
        <x:v>218</x:v>
      </x:c>
      <x:c r="M1860" s="55" t="n">
        <x:v>0</x:v>
      </x:c>
      <x:c r="N1860" s="54" t="n">
        <x:f>ROUND(J1860*K1860,2)</x:f>
        <x:v>802.48</x:v>
      </x:c>
      <x:c r="O1860" s="54" t="n">
        <x:f>ROUND(N1860*(1-M1860),2)</x:f>
        <x:v>802.48</x:v>
      </x:c>
      <x:c r="P1860" s="54" t="n">
        <x:f>ROUND(J1860*L1860,2)</x:f>
        <x:v>436</x:v>
      </x:c>
      <x:c r="Q1860" s="54" t="n">
        <x:f>ROUND(O1860-P1860,2)</x:f>
        <x:v>366.48</x:v>
      </x:c>
      <x:c r="R1860" s="55" t="n">
        <x:f>IF(O1860=0,0,ROUND(Q1860/O1860,4))</x:f>
        <x:v>0.4567</x:v>
      </x:c>
      <x:c r="S1860" s="53" t="n">
        <x:v>10</x:v>
      </x:c>
      <x:c r="T1860" t="str">
        <x:v>Entregue</x:v>
      </x:c>
      <x:c r="U1860" t="n">
        <x:v>4</x:v>
      </x:c>
      <x:c r="V1860" t="str"/>
    </x:row>
    <x:row r="1861">
      <x:c r="A1861" s="52" t="n">
        <x:v>46110</x:v>
      </x:c>
      <x:c r="B1861" t="str">
        <x:v>PED-101860</x:v>
      </x:c>
      <x:c r="C1861" t="str">
        <x:v>Cliente 001</x:v>
      </x:c>
      <x:c r="D1861" t="str">
        <x:v>PE</x:v>
      </x:c>
      <x:c r="E1861" t="str">
        <x:v>Nordeste</x:v>
      </x:c>
      <x:c r="F1861" t="str">
        <x:v>Marketplace</x:v>
      </x:c>
      <x:c r="G1861" t="str">
        <x:v>Escritório</x:v>
      </x:c>
      <x:c r="H1861" t="str">
        <x:v>Luminária LED</x:v>
      </x:c>
      <x:c r="I1861" t="str">
        <x:v>Isabela</x:v>
      </x:c>
      <x:c r="J1861" s="53" t="n">
        <x:v>3</x:v>
      </x:c>
      <x:c r="K1861" s="54" t="n">
        <x:v>269.57</x:v>
      </x:c>
      <x:c r="L1861" s="54" t="n">
        <x:v>126.68</x:v>
      </x:c>
      <x:c r="M1861" s="55" t="n">
        <x:v>0.035</x:v>
      </x:c>
      <x:c r="N1861" s="54" t="n">
        <x:f>ROUND(J1861*K1861,2)</x:f>
        <x:v>808.71</x:v>
      </x:c>
      <x:c r="O1861" s="54" t="n">
        <x:f>ROUND(N1861*(1-M1861),2)</x:f>
        <x:v>780.41</x:v>
      </x:c>
      <x:c r="P1861" s="54" t="n">
        <x:f>ROUND(J1861*L1861,2)</x:f>
        <x:v>380.04</x:v>
      </x:c>
      <x:c r="Q1861" s="54" t="n">
        <x:f>ROUND(O1861-P1861,2)</x:f>
        <x:v>400.37</x:v>
      </x:c>
      <x:c r="R1861" s="55" t="n">
        <x:f>IF(O1861=0,0,ROUND(Q1861/O1861,4))</x:f>
        <x:v>0.513</x:v>
      </x:c>
      <x:c r="S1861" s="53" t="n">
        <x:v>11</x:v>
      </x:c>
      <x:c r="T1861" t="str">
        <x:v>Entregue com atraso</x:v>
      </x:c>
      <x:c r="U1861" t="n">
        <x:v>3</x:v>
      </x:c>
      <x:c r="V1861" t="str"/>
    </x:row>
    <x:row r="1862">
      <x:c r="A1862" s="52" t="n">
        <x:v>46068</x:v>
      </x:c>
      <x:c r="B1862" t="str">
        <x:v>PED-101861</x:v>
      </x:c>
      <x:c r="C1862" t="str">
        <x:v>Cliente 120</x:v>
      </x:c>
      <x:c r="D1862" t="str">
        <x:v>BA</x:v>
      </x:c>
      <x:c r="E1862" t="str">
        <x:v>Nordeste</x:v>
      </x:c>
      <x:c r="F1862" t="str">
        <x:v>Televendas</x:v>
      </x:c>
      <x:c r="G1862" t="str">
        <x:v>Casa</x:v>
      </x:c>
      <x:c r="H1862" t="str">
        <x:v>Cafeteira Smart</x:v>
      </x:c>
      <x:c r="I1862" t="str">
        <x:v>Gabriela</x:v>
      </x:c>
      <x:c r="J1862" s="53" t="n">
        <x:v>5</x:v>
      </x:c>
      <x:c r="K1862" s="54" t="n">
        <x:v>826.45</x:v>
      </x:c>
      <x:c r="L1862" s="54" t="n">
        <x:v>464.38</x:v>
      </x:c>
      <x:c r="M1862" s="55" t="n">
        <x:v>0</x:v>
      </x:c>
      <x:c r="N1862" s="54" t="n">
        <x:f>ROUND(J1862*K1862,2)</x:f>
        <x:v>4132.25</x:v>
      </x:c>
      <x:c r="O1862" s="54" t="n">
        <x:f>ROUND(N1862*(1-M1862),2)</x:f>
        <x:v>4132.25</x:v>
      </x:c>
      <x:c r="P1862" s="54" t="n">
        <x:f>ROUND(J1862*L1862,2)</x:f>
        <x:v>2321.9</x:v>
      </x:c>
      <x:c r="Q1862" s="54" t="n">
        <x:f>ROUND(O1862-P1862,2)</x:f>
        <x:v>1810.35</x:v>
      </x:c>
      <x:c r="R1862" s="55" t="n">
        <x:f>IF(O1862=0,0,ROUND(Q1862/O1862,4))</x:f>
        <x:v>0.4381</x:v>
      </x:c>
      <x:c r="S1862" s="53" t="n">
        <x:v>5</x:v>
      </x:c>
      <x:c r="T1862" t="str">
        <x:v>Entregue</x:v>
      </x:c>
      <x:c r="U1862" t="n">
        <x:v>5</x:v>
      </x:c>
      <x:c r="V1862" t="str"/>
    </x:row>
    <x:row r="1863">
      <x:c r="A1863" s="52" t="n">
        <x:v>46220</x:v>
      </x:c>
      <x:c r="B1863" t="str">
        <x:v>PED-101862</x:v>
      </x:c>
      <x:c r="C1863" t="str">
        <x:v>Cliente 051</x:v>
      </x:c>
      <x:c r="D1863" t="str">
        <x:v>DF</x:v>
      </x:c>
      <x:c r="E1863" t="str">
        <x:v>Centro-Oeste</x:v>
      </x:c>
      <x:c r="F1863" t="str">
        <x:v>E-commerce</x:v>
      </x:c>
      <x:c r="G1863" t="str">
        <x:v>Acessórios</x:v>
      </x:c>
      <x:c r="H1863" t="str">
        <x:v>Webcam HD</x:v>
      </x:c>
      <x:c r="I1863" t="str">
        <x:v>Henrique</x:v>
      </x:c>
      <x:c r="J1863" s="53" t="n">
        <x:v>4</x:v>
      </x:c>
      <x:c r="K1863" s="54" t="n">
        <x:v>506.37</x:v>
      </x:c>
      <x:c r="L1863" s="54" t="n">
        <x:v>248.08</x:v>
      </x:c>
      <x:c r="M1863" s="55" t="n">
        <x:v>0</x:v>
      </x:c>
      <x:c r="N1863" s="54" t="n">
        <x:f>ROUND(J1863*K1863,2)</x:f>
        <x:v>2025.48</x:v>
      </x:c>
      <x:c r="O1863" s="54" t="n">
        <x:f>ROUND(N1863*(1-M1863),2)</x:f>
        <x:v>2025.48</x:v>
      </x:c>
      <x:c r="P1863" s="54" t="n">
        <x:f>ROUND(J1863*L1863,2)</x:f>
        <x:v>992.32</x:v>
      </x:c>
      <x:c r="Q1863" s="54" t="n">
        <x:f>ROUND(O1863-P1863,2)</x:f>
        <x:v>1033.16</x:v>
      </x:c>
      <x:c r="R1863" s="55" t="n">
        <x:f>IF(O1863=0,0,ROUND(Q1863/O1863,4))</x:f>
        <x:v>0.5101</x:v>
      </x:c>
      <x:c r="S1863" s="53" t="n">
        <x:v>5</x:v>
      </x:c>
      <x:c r="T1863" t="str">
        <x:v>Cancelado</x:v>
      </x:c>
      <x:c r="U1863"/>
      <x:c r="V1863" t="str"/>
    </x:row>
    <x:row r="1864">
      <x:c r="A1864" s="52" t="n">
        <x:v>46148</x:v>
      </x:c>
      <x:c r="B1864" t="str">
        <x:v>PED-101863</x:v>
      </x:c>
      <x:c r="C1864" t="str">
        <x:v>Cliente 046</x:v>
      </x:c>
      <x:c r="D1864" t="str">
        <x:v>ES</x:v>
      </x:c>
      <x:c r="E1864" t="str">
        <x:v>Sudeste</x:v>
      </x:c>
      <x:c r="F1864" t="str">
        <x:v>Televendas</x:v>
      </x:c>
      <x:c r="G1864" t="str">
        <x:v>Escritório</x:v>
      </x:c>
      <x:c r="H1864" t="str">
        <x:v>Luminária LED</x:v>
      </x:c>
      <x:c r="I1864" t="str">
        <x:v>Isabela</x:v>
      </x:c>
      <x:c r="J1864" s="53" t="n">
        <x:v>2</x:v>
      </x:c>
      <x:c r="K1864" s="54" t="n">
        <x:v>254.28</x:v>
      </x:c>
      <x:c r="L1864" s="54" t="n">
        <x:v>119.02</x:v>
      </x:c>
      <x:c r="M1864" s="55" t="n">
        <x:v>0</x:v>
      </x:c>
      <x:c r="N1864" s="54" t="n">
        <x:f>ROUND(J1864*K1864,2)</x:f>
        <x:v>508.56</x:v>
      </x:c>
      <x:c r="O1864" s="54" t="n">
        <x:f>ROUND(N1864*(1-M1864),2)</x:f>
        <x:v>508.56</x:v>
      </x:c>
      <x:c r="P1864" s="54" t="n">
        <x:f>ROUND(J1864*L1864,2)</x:f>
        <x:v>238.04</x:v>
      </x:c>
      <x:c r="Q1864" s="54" t="n">
        <x:f>ROUND(O1864-P1864,2)</x:f>
        <x:v>270.52</x:v>
      </x:c>
      <x:c r="R1864" s="55" t="n">
        <x:f>IF(O1864=0,0,ROUND(Q1864/O1864,4))</x:f>
        <x:v>0.5319</x:v>
      </x:c>
      <x:c r="S1864" s="53" t="n">
        <x:v>12</x:v>
      </x:c>
      <x:c r="T1864" t="str">
        <x:v>Entregue com atraso</x:v>
      </x:c>
      <x:c r="U1864" t="n">
        <x:v>2</x:v>
      </x:c>
      <x:c r="V1864" t="str"/>
    </x:row>
    <x:row r="1865">
      <x:c r="A1865" s="52" t="n">
        <x:v>46099</x:v>
      </x:c>
      <x:c r="B1865" t="str">
        <x:v>PED-101864</x:v>
      </x:c>
      <x:c r="C1865" t="str">
        <x:v>Cliente 039</x:v>
      </x:c>
      <x:c r="D1865" t="str">
        <x:v>RS</x:v>
      </x:c>
      <x:c r="E1865" t="str">
        <x:v>Sul</x:v>
      </x:c>
      <x:c r="F1865" t="str">
        <x:v>Televendas</x:v>
      </x:c>
      <x:c r="G1865" t="str">
        <x:v>Tecnologia</x:v>
      </x:c>
      <x:c r="H1865" t="str">
        <x:v>Notebook Pro</x:v>
      </x:c>
      <x:c r="I1865" t="str">
        <x:v>Henrique</x:v>
      </x:c>
      <x:c r="J1865" s="53" t="n">
        <x:v>2</x:v>
      </x:c>
      <x:c r="K1865" s="54" t="n">
        <x:v>5739.52</x:v>
      </x:c>
      <x:c r="L1865" s="54" t="n">
        <x:v>4362.92</x:v>
      </x:c>
      <x:c r="M1865" s="55" t="n">
        <x:v>0</x:v>
      </x:c>
      <x:c r="N1865" s="54" t="n">
        <x:f>ROUND(J1865*K1865,2)</x:f>
        <x:v>11479.04</x:v>
      </x:c>
      <x:c r="O1865" s="54" t="n">
        <x:f>ROUND(N1865*(1-M1865),2)</x:f>
        <x:v>11479.04</x:v>
      </x:c>
      <x:c r="P1865" s="54" t="n">
        <x:f>ROUND(J1865*L1865,2)</x:f>
        <x:v>8725.84</x:v>
      </x:c>
      <x:c r="Q1865" s="54" t="n">
        <x:f>ROUND(O1865-P1865,2)</x:f>
        <x:v>2753.2</x:v>
      </x:c>
      <x:c r="R1865" s="55" t="n">
        <x:f>IF(O1865=0,0,ROUND(Q1865/O1865,4))</x:f>
        <x:v>0.2398</x:v>
      </x:c>
      <x:c r="S1865" s="53" t="n">
        <x:v>8</x:v>
      </x:c>
      <x:c r="T1865" t="str">
        <x:v>Entregue</x:v>
      </x:c>
      <x:c r="U1865" t="n">
        <x:v>3</x:v>
      </x:c>
      <x:c r="V1865" t="str"/>
    </x:row>
    <x:row r="1866">
      <x:c r="A1866" s="52" t="n">
        <x:v>46054</x:v>
      </x:c>
      <x:c r="B1866" t="str">
        <x:v>PED-101865</x:v>
      </x:c>
      <x:c r="C1866" t="str">
        <x:v>Cliente 048</x:v>
      </x:c>
      <x:c r="D1866" t="str">
        <x:v>CE</x:v>
      </x:c>
      <x:c r="E1866" t="str">
        <x:v>Nordeste</x:v>
      </x:c>
      <x:c r="F1866" t="str">
        <x:v>Televendas</x:v>
      </x:c>
      <x:c r="G1866" t="str">
        <x:v>Casa</x:v>
      </x:c>
      <x:c r="H1866" t="str">
        <x:v>Purificador</x:v>
      </x:c>
      <x:c r="I1866" t="str">
        <x:v>Henrique</x:v>
      </x:c>
      <x:c r="J1866" s="53" t="n">
        <x:v>6</x:v>
      </x:c>
      <x:c r="K1866" s="54" t="n">
        <x:v>1356.05</x:v>
      </x:c>
      <x:c r="L1866" s="54" t="n">
        <x:v>832.56</x:v>
      </x:c>
      <x:c r="M1866" s="55" t="n">
        <x:v>0.1195</x:v>
      </x:c>
      <x:c r="N1866" s="54" t="n">
        <x:f>ROUND(J1866*K1866,2)</x:f>
        <x:v>8136.3</x:v>
      </x:c>
      <x:c r="O1866" s="54" t="n">
        <x:f>ROUND(N1866*(1-M1866),2)</x:f>
        <x:v>7164.01</x:v>
      </x:c>
      <x:c r="P1866" s="54" t="n">
        <x:f>ROUND(J1866*L1866,2)</x:f>
        <x:v>4995.36</x:v>
      </x:c>
      <x:c r="Q1866" s="54" t="n">
        <x:f>ROUND(O1866-P1866,2)</x:f>
        <x:v>2168.65</x:v>
      </x:c>
      <x:c r="R1866" s="55" t="n">
        <x:f>IF(O1866=0,0,ROUND(Q1866/O1866,4))</x:f>
        <x:v>0.3027</x:v>
      </x:c>
      <x:c r="S1866" s="53" t="n">
        <x:v>5</x:v>
      </x:c>
      <x:c r="T1866" t="str">
        <x:v>Entregue</x:v>
      </x:c>
      <x:c r="U1866" t="n">
        <x:v>2</x:v>
      </x:c>
      <x:c r="V1866" t="str"/>
    </x:row>
    <x:row r="1867">
      <x:c r="A1867" s="52" t="n">
        <x:v>46197</x:v>
      </x:c>
      <x:c r="B1867" t="str">
        <x:v>PED-101866</x:v>
      </x:c>
      <x:c r="C1867" t="str">
        <x:v>Cliente 027</x:v>
      </x:c>
      <x:c r="D1867" t="str">
        <x:v>MT</x:v>
      </x:c>
      <x:c r="E1867" t="str">
        <x:v>Centro-Oeste</x:v>
      </x:c>
      <x:c r="F1867" t="str">
        <x:v>E-commerce</x:v>
      </x:c>
      <x:c r="G1867" t="str">
        <x:v>Tecnologia</x:v>
      </x:c>
      <x:c r="H1867" t="str">
        <x:v>Monitor 27</x:v>
      </x:c>
      <x:c r="I1867" t="str">
        <x:v>João</x:v>
      </x:c>
      <x:c r="J1867" s="53" t="n">
        <x:v>7</x:v>
      </x:c>
      <x:c r="K1867" s="54" t="n">
        <x:v>1667.88</x:v>
      </x:c>
      <x:c r="L1867" s="54" t="n">
        <x:v>1066.99</x:v>
      </x:c>
      <x:c r="M1867" s="55" t="n">
        <x:v>0</x:v>
      </x:c>
      <x:c r="N1867" s="54" t="n">
        <x:f>ROUND(J1867*K1867,2)</x:f>
        <x:v>11675.16</x:v>
      </x:c>
      <x:c r="O1867" s="54" t="n">
        <x:f>ROUND(N1867*(1-M1867),2)</x:f>
        <x:v>11675.16</x:v>
      </x:c>
      <x:c r="P1867" s="54" t="n">
        <x:f>ROUND(J1867*L1867,2)</x:f>
        <x:v>7468.93</x:v>
      </x:c>
      <x:c r="Q1867" s="54" t="n">
        <x:f>ROUND(O1867-P1867,2)</x:f>
        <x:v>4206.23</x:v>
      </x:c>
      <x:c r="R1867" s="55" t="n">
        <x:f>IF(O1867=0,0,ROUND(Q1867/O1867,4))</x:f>
        <x:v>0.3603</x:v>
      </x:c>
      <x:c r="S1867" s="53" t="n">
        <x:v>13</x:v>
      </x:c>
      <x:c r="T1867" t="str">
        <x:v>Entregue com atraso</x:v>
      </x:c>
      <x:c r="U1867" t="n">
        <x:v>3</x:v>
      </x:c>
      <x:c r="V1867" t="str"/>
    </x:row>
    <x:row r="1868">
      <x:c r="A1868" s="52" t="n">
        <x:v>46211</x:v>
      </x:c>
      <x:c r="B1868" t="str">
        <x:v>PED-101867</x:v>
      </x:c>
      <x:c r="C1868" t="str">
        <x:v>Cliente 111</x:v>
      </x:c>
      <x:c r="D1868" t="str">
        <x:v>RS</x:v>
      </x:c>
      <x:c r="E1868" t="str">
        <x:v>Sul</x:v>
      </x:c>
      <x:c r="F1868" t="str">
        <x:v>Marketplace</x:v>
      </x:c>
      <x:c r="G1868" t="str">
        <x:v>Acessórios</x:v>
      </x:c>
      <x:c r="H1868" t="str">
        <x:v>Hub USB-C</x:v>
      </x:c>
      <x:c r="I1868" t="str">
        <x:v>Elaine</x:v>
      </x:c>
      <x:c r="J1868" s="53" t="n">
        <x:v>6</x:v>
      </x:c>
      <x:c r="K1868" s="54" t="n">
        <x:v>307.9</x:v>
      </x:c>
      <x:c r="L1868" s="54" t="n">
        <x:v>129.89</x:v>
      </x:c>
      <x:c r="M1868" s="55" t="n">
        <x:v>0.035</x:v>
      </x:c>
      <x:c r="N1868" s="54" t="n">
        <x:f>ROUND(J1868*K1868,2)</x:f>
        <x:v>1847.4</x:v>
      </x:c>
      <x:c r="O1868" s="54" t="n">
        <x:f>ROUND(N1868*(1-M1868),2)</x:f>
        <x:v>1782.74</x:v>
      </x:c>
      <x:c r="P1868" s="54" t="n">
        <x:f>ROUND(J1868*L1868,2)</x:f>
        <x:v>779.34</x:v>
      </x:c>
      <x:c r="Q1868" s="54" t="n">
        <x:f>ROUND(O1868-P1868,2)</x:f>
        <x:v>1003.4</x:v>
      </x:c>
      <x:c r="R1868" s="55" t="n">
        <x:f>IF(O1868=0,0,ROUND(Q1868/O1868,4))</x:f>
        <x:v>0.5628</x:v>
      </x:c>
      <x:c r="S1868" s="53" t="n">
        <x:v>5</x:v>
      </x:c>
      <x:c r="T1868" t="str">
        <x:v>Entregue</x:v>
      </x:c>
      <x:c r="U1868" t="n">
        <x:v>2</x:v>
      </x:c>
      <x:c r="V1868" t="str"/>
    </x:row>
    <x:row r="1869">
      <x:c r="A1869" s="52" t="n">
        <x:v>46067</x:v>
      </x:c>
      <x:c r="B1869" t="str">
        <x:v>PED-101868</x:v>
      </x:c>
      <x:c r="C1869" t="str">
        <x:v>Cliente 081</x:v>
      </x:c>
      <x:c r="D1869" t="str">
        <x:v>RS</x:v>
      </x:c>
      <x:c r="E1869" t="str">
        <x:v>Sul</x:v>
      </x:c>
      <x:c r="F1869" t="str">
        <x:v>E-commerce</x:v>
      </x:c>
      <x:c r="G1869" t="str">
        <x:v>Acessórios</x:v>
      </x:c>
      <x:c r="H1869" t="str">
        <x:v>Mochila Executiva</x:v>
      </x:c>
      <x:c r="I1869" t="str">
        <x:v>Bruno</x:v>
      </x:c>
      <x:c r="J1869" s="53" t="n">
        <x:v>4</x:v>
      </x:c>
      <x:c r="K1869" s="54" t="n">
        <x:v>407.47</x:v>
      </x:c>
      <x:c r="L1869" s="54" t="n">
        <x:v>189.81</x:v>
      </x:c>
      <x:c r="M1869" s="55" t="n">
        <x:v>0.0132</x:v>
      </x:c>
      <x:c r="N1869" s="54" t="n">
        <x:f>ROUND(J1869*K1869,2)</x:f>
        <x:v>1629.88</x:v>
      </x:c>
      <x:c r="O1869" s="54" t="n">
        <x:f>ROUND(N1869*(1-M1869),2)</x:f>
        <x:v>1608.37</x:v>
      </x:c>
      <x:c r="P1869" s="54" t="n">
        <x:f>ROUND(J1869*L1869,2)</x:f>
        <x:v>759.24</x:v>
      </x:c>
      <x:c r="Q1869" s="54" t="n">
        <x:f>ROUND(O1869-P1869,2)</x:f>
        <x:v>849.13</x:v>
      </x:c>
      <x:c r="R1869" s="55" t="n">
        <x:f>IF(O1869=0,0,ROUND(Q1869/O1869,4))</x:f>
        <x:v>0.5279</x:v>
      </x:c>
      <x:c r="S1869" s="53" t="n">
        <x:v>10</x:v>
      </x:c>
      <x:c r="T1869" t="str">
        <x:v>Entregue</x:v>
      </x:c>
      <x:c r="U1869" t="n">
        <x:v>4</x:v>
      </x:c>
      <x:c r="V1869" t="str"/>
    </x:row>
    <x:row r="1870">
      <x:c r="A1870" s="52" t="n">
        <x:v>46026</x:v>
      </x:c>
      <x:c r="B1870" t="str">
        <x:v>PED-101869</x:v>
      </x:c>
      <x:c r="C1870" t="str">
        <x:v>Cliente 069</x:v>
      </x:c>
      <x:c r="D1870" t="str">
        <x:v>DF</x:v>
      </x:c>
      <x:c r="E1870" t="str">
        <x:v>Centro-Oeste</x:v>
      </x:c>
      <x:c r="F1870" t="str">
        <x:v>Televendas</x:v>
      </x:c>
      <x:c r="G1870" t="str">
        <x:v>Casa</x:v>
      </x:c>
      <x:c r="H1870" t="str">
        <x:v>Purificador</x:v>
      </x:c>
      <x:c r="I1870" t="str">
        <x:v>Gabriela</x:v>
      </x:c>
      <x:c r="J1870" s="53" t="n">
        <x:v>6</x:v>
      </x:c>
      <x:c r="K1870" s="54" t="n">
        <x:v>1288.75</x:v>
      </x:c>
      <x:c r="L1870" s="54" t="n">
        <x:v>782.26</x:v>
      </x:c>
      <x:c r="M1870" s="55" t="n">
        <x:v>0</x:v>
      </x:c>
      <x:c r="N1870" s="54" t="n">
        <x:f>ROUND(J1870*K1870,2)</x:f>
        <x:v>7732.5</x:v>
      </x:c>
      <x:c r="O1870" s="54" t="n">
        <x:f>ROUND(N1870*(1-M1870),2)</x:f>
        <x:v>7732.5</x:v>
      </x:c>
      <x:c r="P1870" s="54" t="n">
        <x:f>ROUND(J1870*L1870,2)</x:f>
        <x:v>4693.56</x:v>
      </x:c>
      <x:c r="Q1870" s="54" t="n">
        <x:f>ROUND(O1870-P1870,2)</x:f>
        <x:v>3038.94</x:v>
      </x:c>
      <x:c r="R1870" s="55" t="n">
        <x:f>IF(O1870=0,0,ROUND(Q1870/O1870,4))</x:f>
        <x:v>0.393</x:v>
      </x:c>
      <x:c r="S1870" s="53" t="n">
        <x:v>5</x:v>
      </x:c>
      <x:c r="T1870" t="str">
        <x:v>Entregue</x:v>
      </x:c>
      <x:c r="U1870" t="n">
        <x:v>3</x:v>
      </x:c>
      <x:c r="V1870" t="str"/>
    </x:row>
    <x:row r="1871">
      <x:c r="A1871" s="52" t="n">
        <x:v>46152</x:v>
      </x:c>
      <x:c r="B1871" t="str">
        <x:v>PED-101870</x:v>
      </x:c>
      <x:c r="C1871" t="str">
        <x:v>Cliente 056</x:v>
      </x:c>
      <x:c r="D1871" t="str">
        <x:v>ES</x:v>
      </x:c>
      <x:c r="E1871" t="str">
        <x:v>Sudeste</x:v>
      </x:c>
      <x:c r="F1871" t="str">
        <x:v>Marketplace</x:v>
      </x:c>
      <x:c r="G1871" t="str">
        <x:v>Escritório</x:v>
      </x:c>
      <x:c r="H1871" t="str">
        <x:v>Cadeira Ergonômica</x:v>
      </x:c>
      <x:c r="I1871" t="str">
        <x:v>Bruno</x:v>
      </x:c>
      <x:c r="J1871" s="53" t="n">
        <x:v>2</x:v>
      </x:c>
      <x:c r="K1871" s="54" t="n">
        <x:v>2271.32</x:v>
      </x:c>
      <x:c r="L1871" s="54" t="n">
        <x:v>1357.6</x:v>
      </x:c>
      <x:c r="M1871" s="55" t="n">
        <x:v>0.1265</x:v>
      </x:c>
      <x:c r="N1871" s="54" t="n">
        <x:f>ROUND(J1871*K1871,2)</x:f>
        <x:v>4542.64</x:v>
      </x:c>
      <x:c r="O1871" s="54" t="n">
        <x:f>ROUND(N1871*(1-M1871),2)</x:f>
        <x:v>3968</x:v>
      </x:c>
      <x:c r="P1871" s="54" t="n">
        <x:f>ROUND(J1871*L1871,2)</x:f>
        <x:v>2715.2</x:v>
      </x:c>
      <x:c r="Q1871" s="54" t="n">
        <x:f>ROUND(O1871-P1871,2)</x:f>
        <x:v>1252.8</x:v>
      </x:c>
      <x:c r="R1871" s="55" t="n">
        <x:f>IF(O1871=0,0,ROUND(Q1871/O1871,4))</x:f>
        <x:v>0.3157</x:v>
      </x:c>
      <x:c r="S1871" s="53" t="n">
        <x:v>3</x:v>
      </x:c>
      <x:c r="T1871" t="str">
        <x:v>Entregue</x:v>
      </x:c>
      <x:c r="U1871" t="n">
        <x:v>3</x:v>
      </x:c>
      <x:c r="V1871" t="str"/>
    </x:row>
    <x:row r="1872">
      <x:c r="A1872" s="52" t="n">
        <x:v>46114</x:v>
      </x:c>
      <x:c r="B1872" t="str">
        <x:v>PED-101871</x:v>
      </x:c>
      <x:c r="C1872" t="str">
        <x:v>Cliente 012</x:v>
      </x:c>
      <x:c r="D1872" t="str">
        <x:v>RS</x:v>
      </x:c>
      <x:c r="E1872" t="str">
        <x:v>Sul</x:v>
      </x:c>
      <x:c r="F1872" t="str">
        <x:v>Televendas</x:v>
      </x:c>
      <x:c r="G1872" t="str">
        <x:v>Acessórios</x:v>
      </x:c>
      <x:c r="H1872" t="str">
        <x:v>Webcam HD</x:v>
      </x:c>
      <x:c r="I1872" t="str">
        <x:v>João</x:v>
      </x:c>
      <x:c r="J1872" s="53" t="n">
        <x:v>1</x:v>
      </x:c>
      <x:c r="K1872" s="54" t="n">
        <x:v>483.73</x:v>
      </x:c>
      <x:c r="L1872" s="54" t="n">
        <x:v>230.55</x:v>
      </x:c>
      <x:c r="M1872" s="55" t="n">
        <x:v>0.0506</x:v>
      </x:c>
      <x:c r="N1872" s="54" t="n">
        <x:f>ROUND(J1872*K1872,2)</x:f>
        <x:v>483.73</x:v>
      </x:c>
      <x:c r="O1872" s="54" t="n">
        <x:f>ROUND(N1872*(1-M1872),2)</x:f>
        <x:v>459.25</x:v>
      </x:c>
      <x:c r="P1872" s="54" t="n">
        <x:f>ROUND(J1872*L1872,2)</x:f>
        <x:v>230.55</x:v>
      </x:c>
      <x:c r="Q1872" s="54" t="n">
        <x:f>ROUND(O1872-P1872,2)</x:f>
        <x:v>228.7</x:v>
      </x:c>
      <x:c r="R1872" s="55" t="n">
        <x:f>IF(O1872=0,0,ROUND(Q1872/O1872,4))</x:f>
        <x:v>0.498</x:v>
      </x:c>
      <x:c r="S1872" s="53" t="n">
        <x:v>8</x:v>
      </x:c>
      <x:c r="T1872" t="str">
        <x:v>Entregue</x:v>
      </x:c>
      <x:c r="U1872" t="n">
        <x:v>2</x:v>
      </x:c>
      <x:c r="V1872" t="str"/>
    </x:row>
    <x:row r="1873">
      <x:c r="A1873" s="52" t="n">
        <x:v>46206</x:v>
      </x:c>
      <x:c r="B1873" t="str">
        <x:v>PED-101872</x:v>
      </x:c>
      <x:c r="C1873" t="str">
        <x:v>Cliente 104</x:v>
      </x:c>
      <x:c r="D1873" t="str">
        <x:v>MA</x:v>
      </x:c>
      <x:c r="E1873" t="str">
        <x:v>Nordeste</x:v>
      </x:c>
      <x:c r="F1873" t="str">
        <x:v>Marketplace</x:v>
      </x:c>
      <x:c r="G1873" t="str">
        <x:v>Acessórios</x:v>
      </x:c>
      <x:c r="H1873" t="str">
        <x:v>Mochila Executiva</x:v>
      </x:c>
      <x:c r="I1873" t="str">
        <x:v>Carla</x:v>
      </x:c>
      <x:c r="J1873" s="53" t="n">
        <x:v>3</x:v>
      </x:c>
      <x:c r="K1873" s="54" t="n">
        <x:v>451.84</x:v>
      </x:c>
      <x:c r="L1873" s="54" t="n">
        <x:v>192.38</x:v>
      </x:c>
      <x:c r="M1873" s="55" t="n">
        <x:v>0.1203</x:v>
      </x:c>
      <x:c r="N1873" s="54" t="n">
        <x:f>ROUND(J1873*K1873,2)</x:f>
        <x:v>1355.52</x:v>
      </x:c>
      <x:c r="O1873" s="54" t="n">
        <x:f>ROUND(N1873*(1-M1873),2)</x:f>
        <x:v>1192.45</x:v>
      </x:c>
      <x:c r="P1873" s="54" t="n">
        <x:f>ROUND(J1873*L1873,2)</x:f>
        <x:v>577.14</x:v>
      </x:c>
      <x:c r="Q1873" s="54" t="n">
        <x:f>ROUND(O1873-P1873,2)</x:f>
        <x:v>615.31</x:v>
      </x:c>
      <x:c r="R1873" s="55" t="n">
        <x:f>IF(O1873=0,0,ROUND(Q1873/O1873,4))</x:f>
        <x:v>0.516</x:v>
      </x:c>
      <x:c r="S1873" s="53" t="n">
        <x:v>2</x:v>
      </x:c>
      <x:c r="T1873" t="str">
        <x:v>Entregue</x:v>
      </x:c>
      <x:c r="U1873" t="n">
        <x:v>3</x:v>
      </x:c>
      <x:c r="V1873" t="str"/>
    </x:row>
    <x:row r="1874">
      <x:c r="A1874" s="52" t="n">
        <x:v>46053</x:v>
      </x:c>
      <x:c r="B1874" t="str">
        <x:v>PED-101873</x:v>
      </x:c>
      <x:c r="C1874" t="str">
        <x:v>Cliente 065</x:v>
      </x:c>
      <x:c r="D1874" t="str">
        <x:v>ES</x:v>
      </x:c>
      <x:c r="E1874" t="str">
        <x:v>Sudeste</x:v>
      </x:c>
      <x:c r="F1874" t="str">
        <x:v>Marketplace</x:v>
      </x:c>
      <x:c r="G1874" t="str">
        <x:v>Escritório</x:v>
      </x:c>
      <x:c r="H1874" t="str">
        <x:v>Cadeira Ergonômica</x:v>
      </x:c>
      <x:c r="I1874" t="str">
        <x:v>Felipe</x:v>
      </x:c>
      <x:c r="J1874" s="53" t="n">
        <x:v>2</x:v>
      </x:c>
      <x:c r="K1874" s="54" t="n">
        <x:v>2083.51</x:v>
      </x:c>
      <x:c r="L1874" s="54" t="n">
        <x:v>1415.32</x:v>
      </x:c>
      <x:c r="M1874" s="55" t="n">
        <x:v>0.035</x:v>
      </x:c>
      <x:c r="N1874" s="54" t="n">
        <x:f>ROUND(J1874*K1874,2)</x:f>
        <x:v>4167.02</x:v>
      </x:c>
      <x:c r="O1874" s="54" t="n">
        <x:f>ROUND(N1874*(1-M1874),2)</x:f>
        <x:v>4021.17</x:v>
      </x:c>
      <x:c r="P1874" s="54" t="n">
        <x:f>ROUND(J1874*L1874,2)</x:f>
        <x:v>2830.64</x:v>
      </x:c>
      <x:c r="Q1874" s="54" t="n">
        <x:f>ROUND(O1874-P1874,2)</x:f>
        <x:v>1190.53</x:v>
      </x:c>
      <x:c r="R1874" s="55" t="n">
        <x:f>IF(O1874=0,0,ROUND(Q1874/O1874,4))</x:f>
        <x:v>0.2961</x:v>
      </x:c>
      <x:c r="S1874" s="53" t="n">
        <x:v>12</x:v>
      </x:c>
      <x:c r="T1874" t="str">
        <x:v>Entregue com atraso</x:v>
      </x:c>
      <x:c r="U1874" t="n">
        <x:v>5</x:v>
      </x:c>
      <x:c r="V1874" t="str"/>
    </x:row>
    <x:row r="1875">
      <x:c r="A1875" s="52" t="n">
        <x:v>46198</x:v>
      </x:c>
      <x:c r="B1875" t="str">
        <x:v>PED-101874</x:v>
      </x:c>
      <x:c r="C1875" t="str">
        <x:v>Cliente 020</x:v>
      </x:c>
      <x:c r="D1875" t="str">
        <x:v>MA</x:v>
      </x:c>
      <x:c r="E1875" t="str">
        <x:v>Nordeste</x:v>
      </x:c>
      <x:c r="F1875" t="str">
        <x:v>Televendas</x:v>
      </x:c>
      <x:c r="G1875" t="str">
        <x:v>Escritório</x:v>
      </x:c>
      <x:c r="H1875" t="str">
        <x:v>Cadeira Ergonômica</x:v>
      </x:c>
      <x:c r="I1875" t="str">
        <x:v>Ana</x:v>
      </x:c>
      <x:c r="J1875" s="53" t="n">
        <x:v>3</x:v>
      </x:c>
      <x:c r="K1875" s="54" t="n">
        <x:v>2238.82</x:v>
      </x:c>
      <x:c r="L1875" s="54" t="n">
        <x:v>1474.87</x:v>
      </x:c>
      <x:c r="M1875" s="55" t="n">
        <x:v>0</x:v>
      </x:c>
      <x:c r="N1875" s="54" t="n">
        <x:f>ROUND(J1875*K1875,2)</x:f>
        <x:v>6716.46</x:v>
      </x:c>
      <x:c r="O1875" s="54" t="n">
        <x:f>ROUND(N1875*(1-M1875),2)</x:f>
        <x:v>6716.46</x:v>
      </x:c>
      <x:c r="P1875" s="54" t="n">
        <x:f>ROUND(J1875*L1875,2)</x:f>
        <x:v>4424.61</x:v>
      </x:c>
      <x:c r="Q1875" s="54" t="n">
        <x:f>ROUND(O1875-P1875,2)</x:f>
        <x:v>2291.85</x:v>
      </x:c>
      <x:c r="R1875" s="55" t="n">
        <x:f>IF(O1875=0,0,ROUND(Q1875/O1875,4))</x:f>
        <x:v>0.3412</x:v>
      </x:c>
      <x:c r="S1875" s="53" t="n">
        <x:v>4</x:v>
      </x:c>
      <x:c r="T1875" t="str">
        <x:v>Entregue</x:v>
      </x:c>
      <x:c r="U1875" t="n">
        <x:v>3</x:v>
      </x:c>
      <x:c r="V1875" t="str"/>
    </x:row>
    <x:row r="1876">
      <x:c r="A1876" s="52" t="n">
        <x:v>46122</x:v>
      </x:c>
      <x:c r="B1876" t="str">
        <x:v>PED-101875</x:v>
      </x:c>
      <x:c r="C1876" t="str">
        <x:v>Cliente 029</x:v>
      </x:c>
      <x:c r="D1876" t="str">
        <x:v>MT</x:v>
      </x:c>
      <x:c r="E1876" t="str">
        <x:v>Centro-Oeste</x:v>
      </x:c>
      <x:c r="F1876" t="str">
        <x:v>E-commerce</x:v>
      </x:c>
      <x:c r="G1876" t="str">
        <x:v>Tecnologia</x:v>
      </x:c>
      <x:c r="H1876" t="str">
        <x:v>Monitor 27</x:v>
      </x:c>
      <x:c r="I1876" t="str">
        <x:v>Diego</x:v>
      </x:c>
      <x:c r="J1876" s="53" t="n">
        <x:v>4</x:v>
      </x:c>
      <x:c r="K1876" s="54" t="n">
        <x:v>1773.02</x:v>
      </x:c>
      <x:c r="L1876" s="54" t="n">
        <x:v>1108.01</x:v>
      </x:c>
      <x:c r="M1876" s="55" t="n">
        <x:v>0.0416</x:v>
      </x:c>
      <x:c r="N1876" s="54" t="n">
        <x:f>ROUND(J1876*K1876,2)</x:f>
        <x:v>7092.08</x:v>
      </x:c>
      <x:c r="O1876" s="54" t="n">
        <x:f>ROUND(N1876*(1-M1876),2)</x:f>
        <x:v>6797.05</x:v>
      </x:c>
      <x:c r="P1876" s="54" t="n">
        <x:f>ROUND(J1876*L1876,2)</x:f>
        <x:v>4432.04</x:v>
      </x:c>
      <x:c r="Q1876" s="54" t="n">
        <x:f>ROUND(O1876-P1876,2)</x:f>
        <x:v>2365.01</x:v>
      </x:c>
      <x:c r="R1876" s="55" t="n">
        <x:f>IF(O1876=0,0,ROUND(Q1876/O1876,4))</x:f>
        <x:v>0.3479</x:v>
      </x:c>
      <x:c r="S1876" s="53" t="n">
        <x:v>12</x:v>
      </x:c>
      <x:c r="T1876" t="str">
        <x:v>Entregue com atraso</x:v>
      </x:c>
      <x:c r="U1876" t="n">
        <x:v>3</x:v>
      </x:c>
      <x:c r="V1876" t="str"/>
    </x:row>
    <x:row r="1877">
      <x:c r="A1877" s="52" t="n">
        <x:v>46137</x:v>
      </x:c>
      <x:c r="B1877" t="str">
        <x:v>PED-101876</x:v>
      </x:c>
      <x:c r="C1877" t="str">
        <x:v>Cliente 045</x:v>
      </x:c>
      <x:c r="D1877" t="str">
        <x:v>CE</x:v>
      </x:c>
      <x:c r="E1877" t="str">
        <x:v>Nordeste</x:v>
      </x:c>
      <x:c r="F1877" t="str">
        <x:v>Marketplace</x:v>
      </x:c>
      <x:c r="G1877" t="str">
        <x:v>Casa</x:v>
      </x:c>
      <x:c r="H1877" t="str">
        <x:v>Purificador</x:v>
      </x:c>
      <x:c r="I1877" t="str">
        <x:v>Felipe</x:v>
      </x:c>
      <x:c r="J1877" s="53" t="n">
        <x:v>1</x:v>
      </x:c>
      <x:c r="K1877" s="54" t="n">
        <x:v>1213.9</x:v>
      </x:c>
      <x:c r="L1877" s="54" t="n">
        <x:v>782.91</x:v>
      </x:c>
      <x:c r="M1877" s="55" t="n">
        <x:v>0.035</x:v>
      </x:c>
      <x:c r="N1877" s="54" t="n">
        <x:f>ROUND(J1877*K1877,2)</x:f>
        <x:v>1213.9</x:v>
      </x:c>
      <x:c r="O1877" s="54" t="n">
        <x:f>ROUND(N1877*(1-M1877),2)</x:f>
        <x:v>1171.41</x:v>
      </x:c>
      <x:c r="P1877" s="54" t="n">
        <x:f>ROUND(J1877*L1877,2)</x:f>
        <x:v>782.91</x:v>
      </x:c>
      <x:c r="Q1877" s="54" t="n">
        <x:f>ROUND(O1877-P1877,2)</x:f>
        <x:v>388.5</x:v>
      </x:c>
      <x:c r="R1877" s="55" t="n">
        <x:f>IF(O1877=0,0,ROUND(Q1877/O1877,4))</x:f>
        <x:v>0.3317</x:v>
      </x:c>
      <x:c r="S1877" s="53" t="n">
        <x:v>6</x:v>
      </x:c>
      <x:c r="T1877" t="str">
        <x:v>Entregue</x:v>
      </x:c>
      <x:c r="U1877" t="n">
        <x:v>3</x:v>
      </x:c>
      <x:c r="V1877" t="str"/>
    </x:row>
    <x:row r="1878">
      <x:c r="A1878" s="52" t="n">
        <x:v>46186</x:v>
      </x:c>
      <x:c r="B1878" t="str">
        <x:v>PED-101877</x:v>
      </x:c>
      <x:c r="C1878" t="str">
        <x:v>Cliente 091</x:v>
      </x:c>
      <x:c r="D1878" t="str">
        <x:v>RS</x:v>
      </x:c>
      <x:c r="E1878" t="str">
        <x:v>Sul</x:v>
      </x:c>
      <x:c r="F1878" t="str">
        <x:v>Marketplace</x:v>
      </x:c>
      <x:c r="G1878" t="str">
        <x:v>Casa</x:v>
      </x:c>
      <x:c r="H1878" t="str">
        <x:v>Purificador</x:v>
      </x:c>
      <x:c r="I1878" t="str">
        <x:v>Bruno</x:v>
      </x:c>
      <x:c r="J1878" s="53" t="n">
        <x:v>2</x:v>
      </x:c>
      <x:c r="K1878" s="54" t="n">
        <x:v>1323.17</x:v>
      </x:c>
      <x:c r="L1878" s="54" t="n">
        <x:v>806.8</x:v>
      </x:c>
      <x:c r="M1878" s="55" t="n">
        <x:v>0.1492</x:v>
      </x:c>
      <x:c r="N1878" s="54" t="n">
        <x:f>ROUND(J1878*K1878,2)</x:f>
        <x:v>2646.34</x:v>
      </x:c>
      <x:c r="O1878" s="54" t="n">
        <x:f>ROUND(N1878*(1-M1878),2)</x:f>
        <x:v>2251.51</x:v>
      </x:c>
      <x:c r="P1878" s="54" t="n">
        <x:f>ROUND(J1878*L1878,2)</x:f>
        <x:v>1613.6</x:v>
      </x:c>
      <x:c r="Q1878" s="54" t="n">
        <x:f>ROUND(O1878-P1878,2)</x:f>
        <x:v>637.91</x:v>
      </x:c>
      <x:c r="R1878" s="55" t="n">
        <x:f>IF(O1878=0,0,ROUND(Q1878/O1878,4))</x:f>
        <x:v>0.2833</x:v>
      </x:c>
      <x:c r="S1878" s="53" t="n">
        <x:v>13</x:v>
      </x:c>
      <x:c r="T1878" t="str">
        <x:v>Entregue com atraso</x:v>
      </x:c>
      <x:c r="U1878" t="n">
        <x:v>3</x:v>
      </x:c>
      <x:c r="V1878" t="str"/>
    </x:row>
    <x:row r="1879">
      <x:c r="A1879" s="52" t="n">
        <x:v>46163</x:v>
      </x:c>
      <x:c r="B1879" t="str">
        <x:v>PED-101878</x:v>
      </x:c>
      <x:c r="C1879" t="str">
        <x:v>Cliente 060</x:v>
      </x:c>
      <x:c r="D1879" t="str">
        <x:v>AM</x:v>
      </x:c>
      <x:c r="E1879" t="str">
        <x:v>Norte</x:v>
      </x:c>
      <x:c r="F1879" t="str">
        <x:v>Televendas</x:v>
      </x:c>
      <x:c r="G1879" t="str">
        <x:v>Escritório</x:v>
      </x:c>
      <x:c r="H1879" t="str">
        <x:v>Mesa Ajustável</x:v>
      </x:c>
      <x:c r="I1879" t="str">
        <x:v>Felipe</x:v>
      </x:c>
      <x:c r="J1879" s="53" t="n">
        <x:v>8</x:v>
      </x:c>
      <x:c r="K1879" s="54" t="n">
        <x:v>2724.15</x:v>
      </x:c>
      <x:c r="L1879" s="54" t="n">
        <x:v>1923.27</x:v>
      </x:c>
      <x:c r="M1879" s="55" t="n">
        <x:v>0</x:v>
      </x:c>
      <x:c r="N1879" s="54" t="n">
        <x:f>ROUND(J1879*K1879,2)</x:f>
        <x:v>21793.2</x:v>
      </x:c>
      <x:c r="O1879" s="54" t="n">
        <x:f>ROUND(N1879*(1-M1879),2)</x:f>
        <x:v>21793.2</x:v>
      </x:c>
      <x:c r="P1879" s="54" t="n">
        <x:f>ROUND(J1879*L1879,2)</x:f>
        <x:v>15386.16</x:v>
      </x:c>
      <x:c r="Q1879" s="54" t="n">
        <x:f>ROUND(O1879-P1879,2)</x:f>
        <x:v>6407.04</x:v>
      </x:c>
      <x:c r="R1879" s="55" t="n">
        <x:f>IF(O1879=0,0,ROUND(Q1879/O1879,4))</x:f>
        <x:v>0.294</x:v>
      </x:c>
      <x:c r="S1879" s="53" t="n">
        <x:v>13</x:v>
      </x:c>
      <x:c r="T1879" t="str">
        <x:v>Entregue com atraso</x:v>
      </x:c>
      <x:c r="U1879" t="n">
        <x:v>4</x:v>
      </x:c>
      <x:c r="V1879" t="str"/>
    </x:row>
    <x:row r="1880">
      <x:c r="A1880" s="52" t="n">
        <x:v>46168</x:v>
      </x:c>
      <x:c r="B1880" t="str">
        <x:v>PED-101879</x:v>
      </x:c>
      <x:c r="C1880" t="str">
        <x:v>Cliente 025</x:v>
      </x:c>
      <x:c r="D1880" t="str">
        <x:v>ES</x:v>
      </x:c>
      <x:c r="E1880" t="str">
        <x:v>Sudeste</x:v>
      </x:c>
      <x:c r="F1880" t="str">
        <x:v>Loja</x:v>
      </x:c>
      <x:c r="G1880" t="str">
        <x:v>Casa</x:v>
      </x:c>
      <x:c r="H1880" t="str">
        <x:v>Aspirador Robô</x:v>
      </x:c>
      <x:c r="I1880" t="str">
        <x:v>Henrique</x:v>
      </x:c>
      <x:c r="J1880" s="53" t="n">
        <x:v>1</x:v>
      </x:c>
      <x:c r="K1880" s="54" t="n">
        <x:v>1791.8</x:v>
      </x:c>
      <x:c r="L1880" s="54" t="n">
        <x:v>1175.46</x:v>
      </x:c>
      <x:c r="M1880" s="55" t="n">
        <x:v>0.0482</x:v>
      </x:c>
      <x:c r="N1880" s="54" t="n">
        <x:f>ROUND(J1880*K1880,2)</x:f>
        <x:v>1791.8</x:v>
      </x:c>
      <x:c r="O1880" s="54" t="n">
        <x:f>ROUND(N1880*(1-M1880),2)</x:f>
        <x:v>1705.44</x:v>
      </x:c>
      <x:c r="P1880" s="54" t="n">
        <x:f>ROUND(J1880*L1880,2)</x:f>
        <x:v>1175.46</x:v>
      </x:c>
      <x:c r="Q1880" s="54" t="n">
        <x:f>ROUND(O1880-P1880,2)</x:f>
        <x:v>529.98</x:v>
      </x:c>
      <x:c r="R1880" s="55" t="n">
        <x:f>IF(O1880=0,0,ROUND(Q1880/O1880,4))</x:f>
        <x:v>0.3108</x:v>
      </x:c>
      <x:c r="S1880" s="53" t="n">
        <x:v>13</x:v>
      </x:c>
      <x:c r="T1880" t="str">
        <x:v>Entregue com atraso</x:v>
      </x:c>
      <x:c r="U1880" t="n">
        <x:v>4</x:v>
      </x:c>
      <x:c r="V1880" t="str"/>
    </x:row>
    <x:row r="1881">
      <x:c r="A1881" s="52" t="n">
        <x:v>46222</x:v>
      </x:c>
      <x:c r="B1881" t="str">
        <x:v>PED-101880</x:v>
      </x:c>
      <x:c r="C1881" t="str">
        <x:v>Cliente 054</x:v>
      </x:c>
      <x:c r="D1881" t="str">
        <x:v>PR</x:v>
      </x:c>
      <x:c r="E1881" t="str">
        <x:v>Sul</x:v>
      </x:c>
      <x:c r="F1881" t="str">
        <x:v>Marketplace</x:v>
      </x:c>
      <x:c r="G1881" t="str">
        <x:v>Tecnologia</x:v>
      </x:c>
      <x:c r="H1881" t="str">
        <x:v>Notebook Pro</x:v>
      </x:c>
      <x:c r="I1881" t="str">
        <x:v>Elaine</x:v>
      </x:c>
      <x:c r="J1881" s="53" t="n">
        <x:v>8</x:v>
      </x:c>
      <x:c r="K1881" s="54" t="n">
        <x:v>5925.93</x:v>
      </x:c>
      <x:c r="L1881" s="54" t="n">
        <x:v>4210.15</x:v>
      </x:c>
      <x:c r="M1881" s="55" t="n">
        <x:v>0.0993</x:v>
      </x:c>
      <x:c r="N1881" s="54" t="n">
        <x:f>ROUND(J1881*K1881,2)</x:f>
        <x:v>47407.44</x:v>
      </x:c>
      <x:c r="O1881" s="54" t="n">
        <x:f>ROUND(N1881*(1-M1881),2)</x:f>
        <x:v>42699.88</x:v>
      </x:c>
      <x:c r="P1881" s="54" t="n">
        <x:f>ROUND(J1881*L1881,2)</x:f>
        <x:v>33681.2</x:v>
      </x:c>
      <x:c r="Q1881" s="54" t="n">
        <x:f>ROUND(O1881-P1881,2)</x:f>
        <x:v>9018.68</x:v>
      </x:c>
      <x:c r="R1881" s="55" t="n">
        <x:f>IF(O1881=0,0,ROUND(Q1881/O1881,4))</x:f>
        <x:v>0.2112</x:v>
      </x:c>
      <x:c r="S1881" s="53" t="n">
        <x:v>10</x:v>
      </x:c>
      <x:c r="T1881" t="str">
        <x:v>Entregue</x:v>
      </x:c>
      <x:c r="U1881" t="n">
        <x:v>3</x:v>
      </x:c>
      <x:c r="V1881" t="str"/>
    </x:row>
    <x:row r="1882">
      <x:c r="A1882" s="52" t="n">
        <x:v>46131</x:v>
      </x:c>
      <x:c r="B1882" t="str">
        <x:v>PED-101881</x:v>
      </x:c>
      <x:c r="C1882" t="str">
        <x:v>Cliente 106</x:v>
      </x:c>
      <x:c r="D1882" t="str">
        <x:v>MA</x:v>
      </x:c>
      <x:c r="E1882" t="str">
        <x:v>Nordeste</x:v>
      </x:c>
      <x:c r="F1882" t="str">
        <x:v>Televendas</x:v>
      </x:c>
      <x:c r="G1882" t="str">
        <x:v>Tecnologia</x:v>
      </x:c>
      <x:c r="H1882" t="str">
        <x:v>Notebook Pro</x:v>
      </x:c>
      <x:c r="I1882" t="str">
        <x:v>Ana</x:v>
      </x:c>
      <x:c r="J1882" s="53" t="n">
        <x:v>5</x:v>
      </x:c>
      <x:c r="K1882" s="54" t="n">
        <x:v>5942.07</x:v>
      </x:c>
      <x:c r="L1882" s="54" t="n">
        <x:v>4444.72</x:v>
      </x:c>
      <x:c r="M1882" s="55" t="n">
        <x:v>0.0474</x:v>
      </x:c>
      <x:c r="N1882" s="54" t="n">
        <x:f>ROUND(J1882*K1882,2)</x:f>
        <x:v>29710.35</x:v>
      </x:c>
      <x:c r="O1882" s="54" t="n">
        <x:f>ROUND(N1882*(1-M1882),2)</x:f>
        <x:v>28302.08</x:v>
      </x:c>
      <x:c r="P1882" s="54" t="n">
        <x:f>ROUND(J1882*L1882,2)</x:f>
        <x:v>22223.6</x:v>
      </x:c>
      <x:c r="Q1882" s="54" t="n">
        <x:f>ROUND(O1882-P1882,2)</x:f>
        <x:v>6078.48</x:v>
      </x:c>
      <x:c r="R1882" s="55" t="n">
        <x:f>IF(O1882=0,0,ROUND(Q1882/O1882,4))</x:f>
        <x:v>0.2148</x:v>
      </x:c>
      <x:c r="S1882" s="53" t="n">
        <x:v>11</x:v>
      </x:c>
      <x:c r="T1882" t="str">
        <x:v>Entregue com atraso</x:v>
      </x:c>
      <x:c r="U1882" t="n">
        <x:v>5</x:v>
      </x:c>
      <x:c r="V1882" t="str"/>
    </x:row>
    <x:row r="1883">
      <x:c r="A1883" s="52" t="n">
        <x:v>46043</x:v>
      </x:c>
      <x:c r="B1883" t="str">
        <x:v>PED-101882</x:v>
      </x:c>
      <x:c r="C1883" t="str">
        <x:v>Cliente 118</x:v>
      </x:c>
      <x:c r="D1883" t="str">
        <x:v>RJ</x:v>
      </x:c>
      <x:c r="E1883" t="str">
        <x:v>Sudeste</x:v>
      </x:c>
      <x:c r="F1883" t="str">
        <x:v>Televendas</x:v>
      </x:c>
      <x:c r="G1883" t="str">
        <x:v>Escritório</x:v>
      </x:c>
      <x:c r="H1883" t="str">
        <x:v>Luminária LED</x:v>
      </x:c>
      <x:c r="I1883" t="str">
        <x:v>Carla</x:v>
      </x:c>
      <x:c r="J1883" s="53" t="n">
        <x:v>6</x:v>
      </x:c>
      <x:c r="K1883" s="54" t="n">
        <x:v>267.16</x:v>
      </x:c>
      <x:c r="L1883" s="54" t="n">
        <x:v>116.21</x:v>
      </x:c>
      <x:c r="M1883" s="55" t="n">
        <x:v>0</x:v>
      </x:c>
      <x:c r="N1883" s="54" t="n">
        <x:f>ROUND(J1883*K1883,2)</x:f>
        <x:v>1602.96</x:v>
      </x:c>
      <x:c r="O1883" s="54" t="n">
        <x:f>ROUND(N1883*(1-M1883),2)</x:f>
        <x:v>1602.96</x:v>
      </x:c>
      <x:c r="P1883" s="54" t="n">
        <x:f>ROUND(J1883*L1883,2)</x:f>
        <x:v>697.26</x:v>
      </x:c>
      <x:c r="Q1883" s="54" t="n">
        <x:f>ROUND(O1883-P1883,2)</x:f>
        <x:v>905.7</x:v>
      </x:c>
      <x:c r="R1883" s="55" t="n">
        <x:f>IF(O1883=0,0,ROUND(Q1883/O1883,4))</x:f>
        <x:v>0.565</x:v>
      </x:c>
      <x:c r="S1883" s="53" t="n">
        <x:v>7</x:v>
      </x:c>
      <x:c r="T1883" t="str">
        <x:v>Entregue</x:v>
      </x:c>
      <x:c r="U1883" t="n">
        <x:v>2</x:v>
      </x:c>
      <x:c r="V1883" t="str"/>
    </x:row>
    <x:row r="1884">
      <x:c r="A1884" s="52" t="n">
        <x:v>46103</x:v>
      </x:c>
      <x:c r="B1884" t="str">
        <x:v>PED-101883</x:v>
      </x:c>
      <x:c r="C1884" t="str">
        <x:v>Cliente 113</x:v>
      </x:c>
      <x:c r="D1884" t="str">
        <x:v>CE</x:v>
      </x:c>
      <x:c r="E1884" t="str">
        <x:v>Nordeste</x:v>
      </x:c>
      <x:c r="F1884" t="str">
        <x:v>Televendas</x:v>
      </x:c>
      <x:c r="G1884" t="str">
        <x:v>Escritório</x:v>
      </x:c>
      <x:c r="H1884" t="str">
        <x:v>Mesa Ajustável</x:v>
      </x:c>
      <x:c r="I1884" t="str">
        <x:v>Carla</x:v>
      </x:c>
      <x:c r="J1884" s="53" t="n">
        <x:v>3</x:v>
      </x:c>
      <x:c r="K1884" s="54" t="n">
        <x:v>2627.62</x:v>
      </x:c>
      <x:c r="L1884" s="54" t="n">
        <x:v>1825.14</x:v>
      </x:c>
      <x:c r="M1884" s="55" t="n">
        <x:v>0.04</x:v>
      </x:c>
      <x:c r="N1884" s="54" t="n">
        <x:f>ROUND(J1884*K1884,2)</x:f>
        <x:v>7882.86</x:v>
      </x:c>
      <x:c r="O1884" s="54" t="n">
        <x:f>ROUND(N1884*(1-M1884),2)</x:f>
        <x:v>7567.55</x:v>
      </x:c>
      <x:c r="P1884" s="54" t="n">
        <x:f>ROUND(J1884*L1884,2)</x:f>
        <x:v>5475.42</x:v>
      </x:c>
      <x:c r="Q1884" s="54" t="n">
        <x:f>ROUND(O1884-P1884,2)</x:f>
        <x:v>2092.13</x:v>
      </x:c>
      <x:c r="R1884" s="55" t="n">
        <x:f>IF(O1884=0,0,ROUND(Q1884/O1884,4))</x:f>
        <x:v>0.2765</x:v>
      </x:c>
      <x:c r="S1884" s="53" t="n">
        <x:v>10</x:v>
      </x:c>
      <x:c r="T1884" t="str">
        <x:v>Entregue</x:v>
      </x:c>
      <x:c r="U1884" t="n">
        <x:v>3</x:v>
      </x:c>
      <x:c r="V1884" t="str"/>
    </x:row>
    <x:row r="1885">
      <x:c r="A1885" s="52" t="n">
        <x:v>46042</x:v>
      </x:c>
      <x:c r="B1885" t="str">
        <x:v>PED-101884</x:v>
      </x:c>
      <x:c r="C1885" t="str">
        <x:v>Cliente 008</x:v>
      </x:c>
      <x:c r="D1885" t="str">
        <x:v>RJ</x:v>
      </x:c>
      <x:c r="E1885" t="str">
        <x:v>Sudeste</x:v>
      </x:c>
      <x:c r="F1885" t="str">
        <x:v>Televendas</x:v>
      </x:c>
      <x:c r="G1885" t="str">
        <x:v>Tecnologia</x:v>
      </x:c>
      <x:c r="H1885" t="str">
        <x:v>Monitor 27</x:v>
      </x:c>
      <x:c r="I1885" t="str">
        <x:v>Henrique</x:v>
      </x:c>
      <x:c r="J1885" s="53" t="n">
        <x:v>3</x:v>
      </x:c>
      <x:c r="K1885" s="54" t="n">
        <x:v>1670.53</x:v>
      </x:c>
      <x:c r="L1885" s="54" t="n">
        <x:v>1047.48</x:v>
      </x:c>
      <x:c r="M1885" s="55" t="n">
        <x:v>0.0959</x:v>
      </x:c>
      <x:c r="N1885" s="54" t="n">
        <x:f>ROUND(J1885*K1885,2)</x:f>
        <x:v>5011.59</x:v>
      </x:c>
      <x:c r="O1885" s="54" t="n">
        <x:f>ROUND(N1885*(1-M1885),2)</x:f>
        <x:v>4530.98</x:v>
      </x:c>
      <x:c r="P1885" s="54" t="n">
        <x:f>ROUND(J1885*L1885,2)</x:f>
        <x:v>3142.44</x:v>
      </x:c>
      <x:c r="Q1885" s="54" t="n">
        <x:f>ROUND(O1885-P1885,2)</x:f>
        <x:v>1388.54</x:v>
      </x:c>
      <x:c r="R1885" s="55" t="n">
        <x:f>IF(O1885=0,0,ROUND(Q1885/O1885,4))</x:f>
        <x:v>0.3065</x:v>
      </x:c>
      <x:c r="S1885" s="53" t="n">
        <x:v>13</x:v>
      </x:c>
      <x:c r="T1885" t="str">
        <x:v>Entregue com atraso</x:v>
      </x:c>
      <x:c r="U1885" t="n">
        <x:v>4</x:v>
      </x:c>
      <x:c r="V1885" t="str"/>
    </x:row>
    <x:row r="1886">
      <x:c r="A1886" s="52" t="n">
        <x:v>46163</x:v>
      </x:c>
      <x:c r="B1886" t="str">
        <x:v>PED-101885</x:v>
      </x:c>
      <x:c r="C1886" t="str">
        <x:v>Cliente 076</x:v>
      </x:c>
      <x:c r="D1886" t="str">
        <x:v>DF</x:v>
      </x:c>
      <x:c r="E1886" t="str">
        <x:v>Centro-Oeste</x:v>
      </x:c>
      <x:c r="F1886" t="str">
        <x:v>Televendas</x:v>
      </x:c>
      <x:c r="G1886" t="str">
        <x:v>Acessórios</x:v>
      </x:c>
      <x:c r="H1886" t="str">
        <x:v>Webcam HD</x:v>
      </x:c>
      <x:c r="I1886" t="str">
        <x:v>Ana</x:v>
      </x:c>
      <x:c r="J1886" s="53" t="n">
        <x:v>8</x:v>
      </x:c>
      <x:c r="K1886" s="54" t="n">
        <x:v>494</x:v>
      </x:c>
      <x:c r="L1886" s="54" t="n">
        <x:v>247.26</x:v>
      </x:c>
      <x:c r="M1886" s="55" t="n">
        <x:v>0</x:v>
      </x:c>
      <x:c r="N1886" s="54" t="n">
        <x:f>ROUND(J1886*K1886,2)</x:f>
        <x:v>3952</x:v>
      </x:c>
      <x:c r="O1886" s="54" t="n">
        <x:f>ROUND(N1886*(1-M1886),2)</x:f>
        <x:v>3952</x:v>
      </x:c>
      <x:c r="P1886" s="54" t="n">
        <x:f>ROUND(J1886*L1886,2)</x:f>
        <x:v>1978.08</x:v>
      </x:c>
      <x:c r="Q1886" s="54" t="n">
        <x:f>ROUND(O1886-P1886,2)</x:f>
        <x:v>1973.92</x:v>
      </x:c>
      <x:c r="R1886" s="55" t="n">
        <x:f>IF(O1886=0,0,ROUND(Q1886/O1886,4))</x:f>
        <x:v>0.4995</x:v>
      </x:c>
      <x:c r="S1886" s="53" t="n">
        <x:v>10</x:v>
      </x:c>
      <x:c r="T1886" t="str">
        <x:v>Entregue</x:v>
      </x:c>
      <x:c r="U1886" t="n">
        <x:v>3</x:v>
      </x:c>
      <x:c r="V1886" t="str"/>
    </x:row>
    <x:row r="1887">
      <x:c r="A1887" s="52" t="n">
        <x:v>46148</x:v>
      </x:c>
      <x:c r="B1887" t="str">
        <x:v>PED-101886</x:v>
      </x:c>
      <x:c r="C1887" t="str">
        <x:v>Cliente 114</x:v>
      </x:c>
      <x:c r="D1887" t="str">
        <x:v>AM</x:v>
      </x:c>
      <x:c r="E1887" t="str">
        <x:v>Norte</x:v>
      </x:c>
      <x:c r="F1887" t="str">
        <x:v>Loja</x:v>
      </x:c>
      <x:c r="G1887" t="str">
        <x:v>Tecnologia</x:v>
      </x:c>
      <x:c r="H1887" t="str">
        <x:v>Headset Office</x:v>
      </x:c>
      <x:c r="I1887" t="str">
        <x:v>Elaine</x:v>
      </x:c>
      <x:c r="J1887" s="53" t="n">
        <x:v>5</x:v>
      </x:c>
      <x:c r="K1887" s="54" t="n">
        <x:v>375.56</x:v>
      </x:c>
      <x:c r="L1887" s="54" t="n">
        <x:v>212.76</x:v>
      </x:c>
      <x:c r="M1887" s="55" t="n">
        <x:v>0</x:v>
      </x:c>
      <x:c r="N1887" s="54" t="n">
        <x:f>ROUND(J1887*K1887,2)</x:f>
        <x:v>1877.8</x:v>
      </x:c>
      <x:c r="O1887" s="54" t="n">
        <x:f>ROUND(N1887*(1-M1887),2)</x:f>
        <x:v>1877.8</x:v>
      </x:c>
      <x:c r="P1887" s="54" t="n">
        <x:f>ROUND(J1887*L1887,2)</x:f>
        <x:v>1063.8</x:v>
      </x:c>
      <x:c r="Q1887" s="54" t="n">
        <x:f>ROUND(O1887-P1887,2)</x:f>
        <x:v>814</x:v>
      </x:c>
      <x:c r="R1887" s="55" t="n">
        <x:f>IF(O1887=0,0,ROUND(Q1887/O1887,4))</x:f>
        <x:v>0.4335</x:v>
      </x:c>
      <x:c r="S1887" s="53" t="n">
        <x:v>3</x:v>
      </x:c>
      <x:c r="T1887" t="str">
        <x:v>Entregue</x:v>
      </x:c>
      <x:c r="U1887" t="n">
        <x:v>3</x:v>
      </x:c>
      <x:c r="V1887" t="str"/>
    </x:row>
    <x:row r="1888">
      <x:c r="A1888" s="52" t="n">
        <x:v>46228</x:v>
      </x:c>
      <x:c r="B1888" t="str">
        <x:v>PED-101887</x:v>
      </x:c>
      <x:c r="C1888" t="str">
        <x:v>Cliente 094</x:v>
      </x:c>
      <x:c r="D1888" t="str">
        <x:v>MT</x:v>
      </x:c>
      <x:c r="E1888" t="str">
        <x:v>Centro-Oeste</x:v>
      </x:c>
      <x:c r="F1888" t="str">
        <x:v>Televendas</x:v>
      </x:c>
      <x:c r="G1888" t="str">
        <x:v>Tecnologia</x:v>
      </x:c>
      <x:c r="H1888" t="str">
        <x:v>Notebook Pro</x:v>
      </x:c>
      <x:c r="I1888" t="str">
        <x:v>Ana</x:v>
      </x:c>
      <x:c r="J1888" s="53" t="n">
        <x:v>5</x:v>
      </x:c>
      <x:c r="K1888" s="54" t="n">
        <x:v>5882.47</x:v>
      </x:c>
      <x:c r="L1888" s="54" t="n">
        <x:v>4526.38</x:v>
      </x:c>
      <x:c r="M1888" s="55" t="n">
        <x:v>0.0098</x:v>
      </x:c>
      <x:c r="N1888" s="54" t="n">
        <x:f>ROUND(J1888*K1888,2)</x:f>
        <x:v>29412.35</x:v>
      </x:c>
      <x:c r="O1888" s="54" t="n">
        <x:f>ROUND(N1888*(1-M1888),2)</x:f>
        <x:v>29124.11</x:v>
      </x:c>
      <x:c r="P1888" s="54" t="n">
        <x:f>ROUND(J1888*L1888,2)</x:f>
        <x:v>22631.9</x:v>
      </x:c>
      <x:c r="Q1888" s="54" t="n">
        <x:f>ROUND(O1888-P1888,2)</x:f>
        <x:v>6492.21</x:v>
      </x:c>
      <x:c r="R1888" s="55" t="n">
        <x:f>IF(O1888=0,0,ROUND(Q1888/O1888,4))</x:f>
        <x:v>0.2229</x:v>
      </x:c>
      <x:c r="S1888" s="53" t="n">
        <x:v>9</x:v>
      </x:c>
      <x:c r="T1888" t="str">
        <x:v>Entregue</x:v>
      </x:c>
      <x:c r="U1888" t="n">
        <x:v>5</x:v>
      </x:c>
      <x:c r="V1888" t="str"/>
    </x:row>
    <x:row r="1889">
      <x:c r="A1889" s="52" t="n">
        <x:v>46099</x:v>
      </x:c>
      <x:c r="B1889" t="str">
        <x:v>PED-101888</x:v>
      </x:c>
      <x:c r="C1889" t="str">
        <x:v>Cliente 016</x:v>
      </x:c>
      <x:c r="D1889" t="str">
        <x:v>DF</x:v>
      </x:c>
      <x:c r="E1889" t="str">
        <x:v>Centro-Oeste</x:v>
      </x:c>
      <x:c r="F1889" t="str">
        <x:v>E-commerce</x:v>
      </x:c>
      <x:c r="G1889" t="str">
        <x:v>Escritório</x:v>
      </x:c>
      <x:c r="H1889" t="str">
        <x:v>Cadeira Ergonômica</x:v>
      </x:c>
      <x:c r="I1889" t="str">
        <x:v>Elaine</x:v>
      </x:c>
      <x:c r="J1889" s="53" t="n">
        <x:v>2</x:v>
      </x:c>
      <x:c r="K1889" s="54" t="n">
        <x:v>2078.72</x:v>
      </x:c>
      <x:c r="L1889" s="54" t="n">
        <x:v>1400.07</x:v>
      </x:c>
      <x:c r="M1889" s="55" t="n">
        <x:v>0</x:v>
      </x:c>
      <x:c r="N1889" s="54" t="n">
        <x:f>ROUND(J1889*K1889,2)</x:f>
        <x:v>4157.44</x:v>
      </x:c>
      <x:c r="O1889" s="54" t="n">
        <x:f>ROUND(N1889*(1-M1889),2)</x:f>
        <x:v>4157.44</x:v>
      </x:c>
      <x:c r="P1889" s="54" t="n">
        <x:f>ROUND(J1889*L1889,2)</x:f>
        <x:v>2800.14</x:v>
      </x:c>
      <x:c r="Q1889" s="54" t="n">
        <x:f>ROUND(O1889-P1889,2)</x:f>
        <x:v>1357.3</x:v>
      </x:c>
      <x:c r="R1889" s="55" t="n">
        <x:f>IF(O1889=0,0,ROUND(Q1889/O1889,4))</x:f>
        <x:v>0.3265</x:v>
      </x:c>
      <x:c r="S1889" s="53" t="n">
        <x:v>2</x:v>
      </x:c>
      <x:c r="T1889" t="str">
        <x:v>Cancelado</x:v>
      </x:c>
      <x:c r="U1889"/>
      <x:c r="V1889" t="str"/>
    </x:row>
    <x:row r="1890">
      <x:c r="A1890" s="52" t="n">
        <x:v>46172</x:v>
      </x:c>
      <x:c r="B1890" t="str">
        <x:v>PED-101889</x:v>
      </x:c>
      <x:c r="C1890" t="str">
        <x:v>Cliente 046</x:v>
      </x:c>
      <x:c r="D1890" t="str">
        <x:v>ES</x:v>
      </x:c>
      <x:c r="E1890" t="str">
        <x:v>Sudeste</x:v>
      </x:c>
      <x:c r="F1890" t="str">
        <x:v>Televendas</x:v>
      </x:c>
      <x:c r="G1890" t="str">
        <x:v>Casa</x:v>
      </x:c>
      <x:c r="H1890" t="str">
        <x:v>Purificador</x:v>
      </x:c>
      <x:c r="I1890" t="str">
        <x:v>Felipe</x:v>
      </x:c>
      <x:c r="J1890" s="53" t="n">
        <x:v>5</x:v>
      </x:c>
      <x:c r="K1890" s="54" t="n">
        <x:v>1363.28</x:v>
      </x:c>
      <x:c r="L1890" s="54" t="n">
        <x:v>807.98</x:v>
      </x:c>
      <x:c r="M1890" s="55" t="n">
        <x:v>0</x:v>
      </x:c>
      <x:c r="N1890" s="54" t="n">
        <x:f>ROUND(J1890*K1890,2)</x:f>
        <x:v>6816.4</x:v>
      </x:c>
      <x:c r="O1890" s="54" t="n">
        <x:f>ROUND(N1890*(1-M1890),2)</x:f>
        <x:v>6816.4</x:v>
      </x:c>
      <x:c r="P1890" s="54" t="n">
        <x:f>ROUND(J1890*L1890,2)</x:f>
        <x:v>4039.9</x:v>
      </x:c>
      <x:c r="Q1890" s="54" t="n">
        <x:f>ROUND(O1890-P1890,2)</x:f>
        <x:v>2776.5</x:v>
      </x:c>
      <x:c r="R1890" s="55" t="n">
        <x:f>IF(O1890=0,0,ROUND(Q1890/O1890,4))</x:f>
        <x:v>0.4073</x:v>
      </x:c>
      <x:c r="S1890" s="53" t="n">
        <x:v>5</x:v>
      </x:c>
      <x:c r="T1890" t="str">
        <x:v>Entregue</x:v>
      </x:c>
      <x:c r="U1890" t="n">
        <x:v>5</x:v>
      </x:c>
      <x:c r="V1890" t="str"/>
    </x:row>
    <x:row r="1891">
      <x:c r="A1891" s="52" t="n">
        <x:v>46154</x:v>
      </x:c>
      <x:c r="B1891" t="str">
        <x:v>PED-101890</x:v>
      </x:c>
      <x:c r="C1891" t="str">
        <x:v>Cliente 060</x:v>
      </x:c>
      <x:c r="D1891" t="str">
        <x:v>BA</x:v>
      </x:c>
      <x:c r="E1891" t="str">
        <x:v>Nordeste</x:v>
      </x:c>
      <x:c r="F1891" t="str">
        <x:v>Marketplace</x:v>
      </x:c>
      <x:c r="G1891" t="str">
        <x:v>Acessórios</x:v>
      </x:c>
      <x:c r="H1891" t="str">
        <x:v>Mochila Executiva</x:v>
      </x:c>
      <x:c r="I1891" t="str">
        <x:v>Isabela</x:v>
      </x:c>
      <x:c r="J1891" s="53" t="n">
        <x:v>1</x:v>
      </x:c>
      <x:c r="K1891" s="54" t="n">
        <x:v>444.01</x:v>
      </x:c>
      <x:c r="L1891" s="54" t="n">
        <x:v>201.4</x:v>
      </x:c>
      <x:c r="M1891" s="55" t="n">
        <x:v>0.035</x:v>
      </x:c>
      <x:c r="N1891" s="54" t="n">
        <x:f>ROUND(J1891*K1891,2)</x:f>
        <x:v>444.01</x:v>
      </x:c>
      <x:c r="O1891" s="54" t="n">
        <x:f>ROUND(N1891*(1-M1891),2)</x:f>
        <x:v>428.47</x:v>
      </x:c>
      <x:c r="P1891" s="54" t="n">
        <x:f>ROUND(J1891*L1891,2)</x:f>
        <x:v>201.4</x:v>
      </x:c>
      <x:c r="Q1891" s="54" t="n">
        <x:f>ROUND(O1891-P1891,2)</x:f>
        <x:v>227.07</x:v>
      </x:c>
      <x:c r="R1891" s="55" t="n">
        <x:f>IF(O1891=0,0,ROUND(Q1891/O1891,4))</x:f>
        <x:v>0.53</x:v>
      </x:c>
      <x:c r="S1891" s="53" t="n">
        <x:v>3</x:v>
      </x:c>
      <x:c r="T1891" t="str">
        <x:v>Entregue</x:v>
      </x:c>
      <x:c r="U1891" t="n">
        <x:v>5</x:v>
      </x:c>
      <x:c r="V1891" t="str"/>
    </x:row>
    <x:row r="1892">
      <x:c r="A1892" s="52" t="n">
        <x:v>46166</x:v>
      </x:c>
      <x:c r="B1892" t="str">
        <x:v>PED-101891</x:v>
      </x:c>
      <x:c r="C1892" t="str">
        <x:v>Cliente 089</x:v>
      </x:c>
      <x:c r="D1892" t="str">
        <x:v>RJ</x:v>
      </x:c>
      <x:c r="E1892" t="str">
        <x:v>Sudeste</x:v>
      </x:c>
      <x:c r="F1892" t="str">
        <x:v>Televendas</x:v>
      </x:c>
      <x:c r="G1892" t="str">
        <x:v>Tecnologia</x:v>
      </x:c>
      <x:c r="H1892" t="str">
        <x:v>Monitor 27</x:v>
      </x:c>
      <x:c r="I1892" t="str">
        <x:v>Gabriela</x:v>
      </x:c>
      <x:c r="J1892" s="53" t="n">
        <x:v>6</x:v>
      </x:c>
      <x:c r="K1892" s="54" t="n">
        <x:v>1661.81</x:v>
      </x:c>
      <x:c r="L1892" s="54" t="n">
        <x:v>1044.2</x:v>
      </x:c>
      <x:c r="M1892" s="55" t="n">
        <x:v>0.0336</x:v>
      </x:c>
      <x:c r="N1892" s="54" t="n">
        <x:f>ROUND(J1892*K1892,2)</x:f>
        <x:v>9970.86</x:v>
      </x:c>
      <x:c r="O1892" s="54" t="n">
        <x:f>ROUND(N1892*(1-M1892),2)</x:f>
        <x:v>9635.84</x:v>
      </x:c>
      <x:c r="P1892" s="54" t="n">
        <x:f>ROUND(J1892*L1892,2)</x:f>
        <x:v>6265.2</x:v>
      </x:c>
      <x:c r="Q1892" s="54" t="n">
        <x:f>ROUND(O1892-P1892,2)</x:f>
        <x:v>3370.64</x:v>
      </x:c>
      <x:c r="R1892" s="55" t="n">
        <x:f>IF(O1892=0,0,ROUND(Q1892/O1892,4))</x:f>
        <x:v>0.3498</x:v>
      </x:c>
      <x:c r="S1892" s="53" t="n">
        <x:v>14</x:v>
      </x:c>
      <x:c r="T1892" t="str">
        <x:v>Entregue com atraso</x:v>
      </x:c>
      <x:c r="U1892" t="n">
        <x:v>5</x:v>
      </x:c>
      <x:c r="V1892" t="str"/>
    </x:row>
    <x:row r="1893">
      <x:c r="A1893" s="52" t="n">
        <x:v>46044</x:v>
      </x:c>
      <x:c r="B1893" t="str">
        <x:v>PED-101892</x:v>
      </x:c>
      <x:c r="C1893" t="str">
        <x:v>Cliente 026</x:v>
      </x:c>
      <x:c r="D1893" t="str">
        <x:v>BA</x:v>
      </x:c>
      <x:c r="E1893" t="str">
        <x:v>Nordeste</x:v>
      </x:c>
      <x:c r="F1893" t="str">
        <x:v>Televendas</x:v>
      </x:c>
      <x:c r="G1893" t="str">
        <x:v>Escritório</x:v>
      </x:c>
      <x:c r="H1893" t="str">
        <x:v>Cadeira Ergonômica</x:v>
      </x:c>
      <x:c r="I1893" t="str">
        <x:v>Diego</x:v>
      </x:c>
      <x:c r="J1893" s="53" t="n">
        <x:v>2</x:v>
      </x:c>
      <x:c r="K1893" s="54" t="n">
        <x:v>2291.3</x:v>
      </x:c>
      <x:c r="L1893" s="54" t="n">
        <x:v>1435.11</x:v>
      </x:c>
      <x:c r="M1893" s="55" t="n">
        <x:v>0</x:v>
      </x:c>
      <x:c r="N1893" s="54" t="n">
        <x:f>ROUND(J1893*K1893,2)</x:f>
        <x:v>4582.6</x:v>
      </x:c>
      <x:c r="O1893" s="54" t="n">
        <x:f>ROUND(N1893*(1-M1893),2)</x:f>
        <x:v>4582.6</x:v>
      </x:c>
      <x:c r="P1893" s="54" t="n">
        <x:f>ROUND(J1893*L1893,2)</x:f>
        <x:v>2870.22</x:v>
      </x:c>
      <x:c r="Q1893" s="54" t="n">
        <x:f>ROUND(O1893-P1893,2)</x:f>
        <x:v>1712.38</x:v>
      </x:c>
      <x:c r="R1893" s="55" t="n">
        <x:f>IF(O1893=0,0,ROUND(Q1893/O1893,4))</x:f>
        <x:v>0.3737</x:v>
      </x:c>
      <x:c r="S1893" s="53" t="n">
        <x:v>8</x:v>
      </x:c>
      <x:c r="T1893" t="str">
        <x:v>Entregue</x:v>
      </x:c>
      <x:c r="U1893" t="n">
        <x:v>5</x:v>
      </x:c>
      <x:c r="V1893" t="str"/>
    </x:row>
    <x:row r="1894">
      <x:c r="A1894" s="52" t="n">
        <x:v>46142</x:v>
      </x:c>
      <x:c r="B1894" t="str">
        <x:v>PED-101893</x:v>
      </x:c>
      <x:c r="C1894" t="str">
        <x:v>Cliente 010</x:v>
      </x:c>
      <x:c r="D1894" t="str">
        <x:v>MT</x:v>
      </x:c>
      <x:c r="E1894" t="str">
        <x:v>Centro-Oeste</x:v>
      </x:c>
      <x:c r="F1894" t="str">
        <x:v>E-commerce</x:v>
      </x:c>
      <x:c r="G1894" t="str">
        <x:v>Escritório</x:v>
      </x:c>
      <x:c r="H1894" t="str">
        <x:v>Mesa Ajustável</x:v>
      </x:c>
      <x:c r="I1894" t="str">
        <x:v>Elaine</x:v>
      </x:c>
      <x:c r="J1894" s="53" t="n">
        <x:v>5</x:v>
      </x:c>
      <x:c r="K1894" s="54" t="n">
        <x:v>2954.81</x:v>
      </x:c>
      <x:c r="L1894" s="54" t="n">
        <x:v>1764.08</x:v>
      </x:c>
      <x:c r="M1894" s="55" t="n">
        <x:v>0.0733</x:v>
      </x:c>
      <x:c r="N1894" s="54" t="n">
        <x:f>ROUND(J1894*K1894,2)</x:f>
        <x:v>14774.05</x:v>
      </x:c>
      <x:c r="O1894" s="54" t="n">
        <x:f>ROUND(N1894*(1-M1894),2)</x:f>
        <x:v>13691.11</x:v>
      </x:c>
      <x:c r="P1894" s="54" t="n">
        <x:f>ROUND(J1894*L1894,2)</x:f>
        <x:v>8820.4</x:v>
      </x:c>
      <x:c r="Q1894" s="54" t="n">
        <x:f>ROUND(O1894-P1894,2)</x:f>
        <x:v>4870.71</x:v>
      </x:c>
      <x:c r="R1894" s="55" t="n">
        <x:f>IF(O1894=0,0,ROUND(Q1894/O1894,4))</x:f>
        <x:v>0.3558</x:v>
      </x:c>
      <x:c r="S1894" s="53" t="n">
        <x:v>8</x:v>
      </x:c>
      <x:c r="T1894" t="str">
        <x:v>Entregue</x:v>
      </x:c>
      <x:c r="U1894" t="n">
        <x:v>3</x:v>
      </x:c>
      <x:c r="V1894" t="str"/>
    </x:row>
    <x:row r="1895">
      <x:c r="A1895" s="52" t="n">
        <x:v>46201</x:v>
      </x:c>
      <x:c r="B1895" t="str">
        <x:v>PED-101894</x:v>
      </x:c>
      <x:c r="C1895" t="str">
        <x:v>Cliente 047</x:v>
      </x:c>
      <x:c r="D1895" t="str">
        <x:v>BA</x:v>
      </x:c>
      <x:c r="E1895" t="str">
        <x:v>Nordeste</x:v>
      </x:c>
      <x:c r="F1895" t="str">
        <x:v>Marketplace</x:v>
      </x:c>
      <x:c r="G1895" t="str">
        <x:v>Casa</x:v>
      </x:c>
      <x:c r="H1895" t="str">
        <x:v>Cafeteira Smart</x:v>
      </x:c>
      <x:c r="I1895" t="str">
        <x:v>Isabela</x:v>
      </x:c>
      <x:c r="J1895" s="53" t="n">
        <x:v>8</x:v>
      </x:c>
      <x:c r="K1895" s="54" t="n">
        <x:v>775.36</x:v>
      </x:c>
      <x:c r="L1895" s="54" t="n">
        <x:v>483.48</x:v>
      </x:c>
      <x:c r="M1895" s="55" t="n">
        <x:v>0.0804</x:v>
      </x:c>
      <x:c r="N1895" s="54" t="n">
        <x:f>ROUND(J1895*K1895,2)</x:f>
        <x:v>6202.88</x:v>
      </x:c>
      <x:c r="O1895" s="54" t="n">
        <x:f>ROUND(N1895*(1-M1895),2)</x:f>
        <x:v>5704.17</x:v>
      </x:c>
      <x:c r="P1895" s="54" t="n">
        <x:f>ROUND(J1895*L1895,2)</x:f>
        <x:v>3867.84</x:v>
      </x:c>
      <x:c r="Q1895" s="54" t="n">
        <x:f>ROUND(O1895-P1895,2)</x:f>
        <x:v>1836.33</x:v>
      </x:c>
      <x:c r="R1895" s="55" t="n">
        <x:f>IF(O1895=0,0,ROUND(Q1895/O1895,4))</x:f>
        <x:v>0.3219</x:v>
      </x:c>
      <x:c r="S1895" s="53" t="n">
        <x:v>5</x:v>
      </x:c>
      <x:c r="T1895" t="str">
        <x:v>Entregue</x:v>
      </x:c>
      <x:c r="U1895" t="n">
        <x:v>4</x:v>
      </x:c>
      <x:c r="V1895" t="str"/>
    </x:row>
    <x:row r="1896">
      <x:c r="A1896" s="52" t="n">
        <x:v>46044</x:v>
      </x:c>
      <x:c r="B1896" t="str">
        <x:v>PED-101895</x:v>
      </x:c>
      <x:c r="C1896" t="str">
        <x:v>Cliente 028</x:v>
      </x:c>
      <x:c r="D1896" t="str">
        <x:v>PE</x:v>
      </x:c>
      <x:c r="E1896" t="str">
        <x:v>Nordeste</x:v>
      </x:c>
      <x:c r="F1896" t="str">
        <x:v>Loja</x:v>
      </x:c>
      <x:c r="G1896" t="str">
        <x:v>Tecnologia</x:v>
      </x:c>
      <x:c r="H1896" t="str">
        <x:v>Notebook Pro</x:v>
      </x:c>
      <x:c r="I1896" t="str">
        <x:v>João</x:v>
      </x:c>
      <x:c r="J1896" s="53" t="n">
        <x:v>2</x:v>
      </x:c>
      <x:c r="K1896" s="54" t="n">
        <x:v>6230.12</x:v>
      </x:c>
      <x:c r="L1896" s="54" t="n">
        <x:v>4308.24</x:v>
      </x:c>
      <x:c r="M1896" s="55" t="n">
        <x:v>0.1032</x:v>
      </x:c>
      <x:c r="N1896" s="54" t="n">
        <x:f>ROUND(J1896*K1896,2)</x:f>
        <x:v>12460.24</x:v>
      </x:c>
      <x:c r="O1896" s="54" t="n">
        <x:f>ROUND(N1896*(1-M1896),2)</x:f>
        <x:v>11174.34</x:v>
      </x:c>
      <x:c r="P1896" s="54" t="n">
        <x:f>ROUND(J1896*L1896,2)</x:f>
        <x:v>8616.48</x:v>
      </x:c>
      <x:c r="Q1896" s="54" t="n">
        <x:f>ROUND(O1896-P1896,2)</x:f>
        <x:v>2557.86</x:v>
      </x:c>
      <x:c r="R1896" s="55" t="n">
        <x:f>IF(O1896=0,0,ROUND(Q1896/O1896,4))</x:f>
        <x:v>0.2289</x:v>
      </x:c>
      <x:c r="S1896" s="53" t="n">
        <x:v>6</x:v>
      </x:c>
      <x:c r="T1896" t="str">
        <x:v>Entregue</x:v>
      </x:c>
      <x:c r="U1896" t="n">
        <x:v>2</x:v>
      </x:c>
      <x:c r="V1896" t="str"/>
    </x:row>
    <x:row r="1897">
      <x:c r="A1897" s="52" t="n">
        <x:v>46031</x:v>
      </x:c>
      <x:c r="B1897" t="str">
        <x:v>PED-101896</x:v>
      </x:c>
      <x:c r="C1897" t="str">
        <x:v>Cliente 083</x:v>
      </x:c>
      <x:c r="D1897" t="str">
        <x:v>SC</x:v>
      </x:c>
      <x:c r="E1897" t="str">
        <x:v>Sul</x:v>
      </x:c>
      <x:c r="F1897" t="str">
        <x:v>Televendas</x:v>
      </x:c>
      <x:c r="G1897" t="str">
        <x:v>Casa</x:v>
      </x:c>
      <x:c r="H1897" t="str">
        <x:v>Aspirador Robô</x:v>
      </x:c>
      <x:c r="I1897" t="str">
        <x:v>Elaine</x:v>
      </x:c>
      <x:c r="J1897" s="53" t="n">
        <x:v>6</x:v>
      </x:c>
      <x:c r="K1897" s="54" t="n">
        <x:v>1948.54</x:v>
      </x:c>
      <x:c r="L1897" s="54" t="n">
        <x:v>1194.17</x:v>
      </x:c>
      <x:c r="M1897" s="55" t="n">
        <x:v>0.065</x:v>
      </x:c>
      <x:c r="N1897" s="54" t="n">
        <x:f>ROUND(J1897*K1897,2)</x:f>
        <x:v>11691.24</x:v>
      </x:c>
      <x:c r="O1897" s="54" t="n">
        <x:f>ROUND(N1897*(1-M1897),2)</x:f>
        <x:v>10931.31</x:v>
      </x:c>
      <x:c r="P1897" s="54" t="n">
        <x:f>ROUND(J1897*L1897,2)</x:f>
        <x:v>7165.02</x:v>
      </x:c>
      <x:c r="Q1897" s="54" t="n">
        <x:f>ROUND(O1897-P1897,2)</x:f>
        <x:v>3766.29</x:v>
      </x:c>
      <x:c r="R1897" s="55" t="n">
        <x:f>IF(O1897=0,0,ROUND(Q1897/O1897,4))</x:f>
        <x:v>0.3445</x:v>
      </x:c>
      <x:c r="S1897" s="53" t="n">
        <x:v>4</x:v>
      </x:c>
      <x:c r="T1897" t="str">
        <x:v>Cancelado</x:v>
      </x:c>
      <x:c r="U1897"/>
      <x:c r="V1897" t="str"/>
    </x:row>
    <x:row r="1898">
      <x:c r="A1898" s="52" t="n">
        <x:v>46214</x:v>
      </x:c>
      <x:c r="B1898" t="str">
        <x:v>PED-101897</x:v>
      </x:c>
      <x:c r="C1898" t="str">
        <x:v>Cliente 073</x:v>
      </x:c>
      <x:c r="D1898" t="str">
        <x:v>PE</x:v>
      </x:c>
      <x:c r="E1898" t="str">
        <x:v>Nordeste</x:v>
      </x:c>
      <x:c r="F1898" t="str">
        <x:v>Televendas</x:v>
      </x:c>
      <x:c r="G1898" t="str">
        <x:v>Acessórios</x:v>
      </x:c>
      <x:c r="H1898" t="str">
        <x:v>Hub USB-C</x:v>
      </x:c>
      <x:c r="I1898" t="str">
        <x:v>Gabriela</x:v>
      </x:c>
      <x:c r="J1898" s="53" t="n">
        <x:v>8</x:v>
      </x:c>
      <x:c r="K1898" s="54" t="n">
        <x:v>300.97</x:v>
      </x:c>
      <x:c r="L1898" s="54" t="n">
        <x:v>135.64</x:v>
      </x:c>
      <x:c r="M1898" s="55" t="n">
        <x:v>0.0054</x:v>
      </x:c>
      <x:c r="N1898" s="54" t="n">
        <x:f>ROUND(J1898*K1898,2)</x:f>
        <x:v>2407.76</x:v>
      </x:c>
      <x:c r="O1898" s="54" t="n">
        <x:f>ROUND(N1898*(1-M1898),2)</x:f>
        <x:v>2394.76</x:v>
      </x:c>
      <x:c r="P1898" s="54" t="n">
        <x:f>ROUND(J1898*L1898,2)</x:f>
        <x:v>1085.12</x:v>
      </x:c>
      <x:c r="Q1898" s="54" t="n">
        <x:f>ROUND(O1898-P1898,2)</x:f>
        <x:v>1309.64</x:v>
      </x:c>
      <x:c r="R1898" s="55" t="n">
        <x:f>IF(O1898=0,0,ROUND(Q1898/O1898,4))</x:f>
        <x:v>0.5469</x:v>
      </x:c>
      <x:c r="S1898" s="53" t="n">
        <x:v>11</x:v>
      </x:c>
      <x:c r="T1898" t="str">
        <x:v>Entregue com atraso</x:v>
      </x:c>
      <x:c r="U1898" t="n">
        <x:v>2</x:v>
      </x:c>
      <x:c r="V1898" t="str"/>
    </x:row>
    <x:row r="1899">
      <x:c r="A1899" s="52" t="n">
        <x:v>46111</x:v>
      </x:c>
      <x:c r="B1899" t="str">
        <x:v>PED-101898</x:v>
      </x:c>
      <x:c r="C1899" t="str">
        <x:v>Cliente 079</x:v>
      </x:c>
      <x:c r="D1899" t="str">
        <x:v>BA</x:v>
      </x:c>
      <x:c r="E1899" t="str">
        <x:v>Nordeste</x:v>
      </x:c>
      <x:c r="F1899" t="str">
        <x:v>Televendas</x:v>
      </x:c>
      <x:c r="G1899" t="str">
        <x:v>Tecnologia</x:v>
      </x:c>
      <x:c r="H1899" t="str">
        <x:v>Notebook Pro</x:v>
      </x:c>
      <x:c r="I1899" t="str">
        <x:v>Felipe</x:v>
      </x:c>
      <x:c r="J1899" s="53" t="n">
        <x:v>8</x:v>
      </x:c>
      <x:c r="K1899" s="54" t="n">
        <x:v>5752.85</x:v>
      </x:c>
      <x:c r="L1899" s="54" t="n">
        <x:v>4411.95</x:v>
      </x:c>
      <x:c r="M1899" s="55" t="n">
        <x:v>0</x:v>
      </x:c>
      <x:c r="N1899" s="54" t="n">
        <x:f>ROUND(J1899*K1899,2)</x:f>
        <x:v>46022.8</x:v>
      </x:c>
      <x:c r="O1899" s="54" t="n">
        <x:f>ROUND(N1899*(1-M1899),2)</x:f>
        <x:v>46022.8</x:v>
      </x:c>
      <x:c r="P1899" s="54" t="n">
        <x:f>ROUND(J1899*L1899,2)</x:f>
        <x:v>35295.6</x:v>
      </x:c>
      <x:c r="Q1899" s="54" t="n">
        <x:f>ROUND(O1899-P1899,2)</x:f>
        <x:v>10727.2</x:v>
      </x:c>
      <x:c r="R1899" s="55" t="n">
        <x:f>IF(O1899=0,0,ROUND(Q1899/O1899,4))</x:f>
        <x:v>0.2331</x:v>
      </x:c>
      <x:c r="S1899" s="53" t="n">
        <x:v>11</x:v>
      </x:c>
      <x:c r="T1899" t="str">
        <x:v>Entregue com atraso</x:v>
      </x:c>
      <x:c r="U1899" t="n">
        <x:v>5</x:v>
      </x:c>
      <x:c r="V1899" t="str"/>
    </x:row>
    <x:row r="1900">
      <x:c r="A1900" s="52" t="n">
        <x:v>46187</x:v>
      </x:c>
      <x:c r="B1900" t="str">
        <x:v>PED-101899</x:v>
      </x:c>
      <x:c r="C1900" t="str">
        <x:v>Cliente 037</x:v>
      </x:c>
      <x:c r="D1900" t="str">
        <x:v>MT</x:v>
      </x:c>
      <x:c r="E1900" t="str">
        <x:v>Centro-Oeste</x:v>
      </x:c>
      <x:c r="F1900" t="str">
        <x:v>E-commerce</x:v>
      </x:c>
      <x:c r="G1900" t="str">
        <x:v>Acessórios</x:v>
      </x:c>
      <x:c r="H1900" t="str">
        <x:v>Hub USB-C</x:v>
      </x:c>
      <x:c r="I1900" t="str">
        <x:v>Bruno</x:v>
      </x:c>
      <x:c r="J1900" s="53" t="n">
        <x:v>1</x:v>
      </x:c>
      <x:c r="K1900" s="54" t="n">
        <x:v>326.23</x:v>
      </x:c>
      <x:c r="L1900" s="54" t="n">
        <x:v>136.19</x:v>
      </x:c>
      <x:c r="M1900" s="55" t="n">
        <x:v>0.0533</x:v>
      </x:c>
      <x:c r="N1900" s="54" t="n">
        <x:f>ROUND(J1900*K1900,2)</x:f>
        <x:v>326.23</x:v>
      </x:c>
      <x:c r="O1900" s="54" t="n">
        <x:f>ROUND(N1900*(1-M1900),2)</x:f>
        <x:v>308.84</x:v>
      </x:c>
      <x:c r="P1900" s="54" t="n">
        <x:f>ROUND(J1900*L1900,2)</x:f>
        <x:v>136.19</x:v>
      </x:c>
      <x:c r="Q1900" s="54" t="n">
        <x:f>ROUND(O1900-P1900,2)</x:f>
        <x:v>172.65</x:v>
      </x:c>
      <x:c r="R1900" s="55" t="n">
        <x:f>IF(O1900=0,0,ROUND(Q1900/O1900,4))</x:f>
        <x:v>0.559</x:v>
      </x:c>
      <x:c r="S1900" s="53" t="n">
        <x:v>31</x:v>
      </x:c>
      <x:c r="T1900" t="str">
        <x:v>Entregue com atraso</x:v>
      </x:c>
      <x:c r="U1900" t="n">
        <x:v>1</x:v>
      </x:c>
      <x:c r="V1900" t="str">
        <x:v>Ocorrência logística</x:v>
      </x:c>
    </x:row>
    <x:row r="1901">
      <x:c r="A1901" s="52" t="n">
        <x:v>46220</x:v>
      </x:c>
      <x:c r="B1901" t="str">
        <x:v>PED-101900</x:v>
      </x:c>
      <x:c r="C1901" t="str">
        <x:v>Cliente 085</x:v>
      </x:c>
      <x:c r="D1901" t="str">
        <x:v>MG</x:v>
      </x:c>
      <x:c r="E1901" t="str">
        <x:v>Sudeste</x:v>
      </x:c>
      <x:c r="F1901" t="str">
        <x:v>E-commerce</x:v>
      </x:c>
      <x:c r="G1901" t="str">
        <x:v>Escritório</x:v>
      </x:c>
      <x:c r="H1901" t="str">
        <x:v>Luminária LED</x:v>
      </x:c>
      <x:c r="I1901" t="str">
        <x:v>Carla</x:v>
      </x:c>
      <x:c r="J1901" s="53" t="n">
        <x:v>7</x:v>
      </x:c>
      <x:c r="K1901" s="54" t="n">
        <x:v>251.75</x:v>
      </x:c>
      <x:c r="L1901" s="54" t="n">
        <x:v>271.48</x:v>
      </x:c>
      <x:c r="M1901" s="55" t="n">
        <x:v>0</x:v>
      </x:c>
      <x:c r="N1901" s="54" t="n">
        <x:f>ROUND(J1901*K1901,2)</x:f>
        <x:v>1762.25</x:v>
      </x:c>
      <x:c r="O1901" s="54" t="n">
        <x:f>ROUND(N1901*(1-M1901),2)</x:f>
        <x:v>1762.25</x:v>
      </x:c>
      <x:c r="P1901" s="54" t="n">
        <x:f>ROUND(J1901*L1901,2)</x:f>
        <x:v>1900.36</x:v>
      </x:c>
      <x:c r="Q1901" s="54" t="n">
        <x:f>ROUND(O1901-P1901,2)</x:f>
        <x:v>-138.11</x:v>
      </x:c>
      <x:c r="R1901" s="55" t="n">
        <x:f>IF(O1901=0,0,ROUND(Q1901/O1901,4))</x:f>
        <x:v>-0.0784</x:v>
      </x:c>
      <x:c r="S1901" s="53" t="n">
        <x:v>6</x:v>
      </x:c>
      <x:c r="T1901" t="str">
        <x:v>Entregue</x:v>
      </x:c>
      <x:c r="U1901" t="n">
        <x:v>3</x:v>
      </x:c>
      <x:c r="V1901" t="str">
        <x:v>Custo revisado após fechamento</x:v>
      </x:c>
    </x:row>
    <x:row r="1902">
      <x:c r="A1902" s="52" t="n">
        <x:v>46121</x:v>
      </x:c>
      <x:c r="B1902" t="str">
        <x:v>PED-101901</x:v>
      </x:c>
      <x:c r="C1902" t="str">
        <x:v>Cliente 028</x:v>
      </x:c>
      <x:c r="D1902" t="str">
        <x:v>CE</x:v>
      </x:c>
      <x:c r="E1902" t="str">
        <x:v>Nordeste</x:v>
      </x:c>
      <x:c r="F1902" t="str">
        <x:v>Marketplace</x:v>
      </x:c>
      <x:c r="G1902" t="str">
        <x:v>Casa</x:v>
      </x:c>
      <x:c r="H1902" t="str">
        <x:v>Aspirador Robô</x:v>
      </x:c>
      <x:c r="I1902" t="str">
        <x:v>Carla</x:v>
      </x:c>
      <x:c r="J1902" s="53" t="n">
        <x:v>5</x:v>
      </x:c>
      <x:c r="K1902" s="54" t="n">
        <x:v>1861.99</x:v>
      </x:c>
      <x:c r="L1902" s="54" t="n">
        <x:v>1282.62</x:v>
      </x:c>
      <x:c r="M1902" s="55" t="n">
        <x:v>0.035</x:v>
      </x:c>
      <x:c r="N1902" s="54" t="n">
        <x:f>ROUND(J1902*K1902,2)</x:f>
        <x:v>9309.95</x:v>
      </x:c>
      <x:c r="O1902" s="54" t="n">
        <x:f>ROUND(N1902*(1-M1902),2)</x:f>
        <x:v>8984.1</x:v>
      </x:c>
      <x:c r="P1902" s="54" t="n">
        <x:f>ROUND(J1902*L1902,2)</x:f>
        <x:v>6413.1</x:v>
      </x:c>
      <x:c r="Q1902" s="54" t="n">
        <x:f>ROUND(O1902-P1902,2)</x:f>
        <x:v>2571</x:v>
      </x:c>
      <x:c r="R1902" s="55" t="n">
        <x:f>IF(O1902=0,0,ROUND(Q1902/O1902,4))</x:f>
        <x:v>0.2862</x:v>
      </x:c>
      <x:c r="S1902" s="53" t="n">
        <x:v>6</x:v>
      </x:c>
      <x:c r="T1902" t="str">
        <x:v>Entregue</x:v>
      </x:c>
      <x:c r="U1902" t="n">
        <x:v>3</x:v>
      </x:c>
      <x:c r="V1902" t="str"/>
    </x:row>
    <x:row r="1903">
      <x:c r="A1903" s="52" t="n">
        <x:v>46083</x:v>
      </x:c>
      <x:c r="B1903" t="str">
        <x:v>PED-101902</x:v>
      </x:c>
      <x:c r="C1903" t="str">
        <x:v>Cliente 046</x:v>
      </x:c>
      <x:c r="D1903" t="str">
        <x:v>GO</x:v>
      </x:c>
      <x:c r="E1903" t="str">
        <x:v>Centro-Oeste</x:v>
      </x:c>
      <x:c r="F1903" t="str">
        <x:v>Marketplace</x:v>
      </x:c>
      <x:c r="G1903" t="str">
        <x:v>Tecnologia</x:v>
      </x:c>
      <x:c r="H1903" t="str">
        <x:v>Monitor 27</x:v>
      </x:c>
      <x:c r="I1903" t="str">
        <x:v>Diego</x:v>
      </x:c>
      <x:c r="J1903" s="53" t="n">
        <x:v>5</x:v>
      </x:c>
      <x:c r="K1903" s="54" t="n">
        <x:v>1603.36</x:v>
      </x:c>
      <x:c r="L1903" s="54" t="n">
        <x:v>1113.85</x:v>
      </x:c>
      <x:c r="M1903" s="55" t="n">
        <x:v>0.071</x:v>
      </x:c>
      <x:c r="N1903" s="54" t="n">
        <x:f>ROUND(J1903*K1903,2)</x:f>
        <x:v>8016.8</x:v>
      </x:c>
      <x:c r="O1903" s="54" t="n">
        <x:f>ROUND(N1903*(1-M1903),2)</x:f>
        <x:v>7447.61</x:v>
      </x:c>
      <x:c r="P1903" s="54" t="n">
        <x:f>ROUND(J1903*L1903,2)</x:f>
        <x:v>5569.25</x:v>
      </x:c>
      <x:c r="Q1903" s="54" t="n">
        <x:f>ROUND(O1903-P1903,2)</x:f>
        <x:v>1878.36</x:v>
      </x:c>
      <x:c r="R1903" s="55" t="n">
        <x:f>IF(O1903=0,0,ROUND(Q1903/O1903,4))</x:f>
        <x:v>0.2522</x:v>
      </x:c>
      <x:c r="S1903" s="53" t="n">
        <x:v>9</x:v>
      </x:c>
      <x:c r="T1903" t="str">
        <x:v>Entregue</x:v>
      </x:c>
      <x:c r="U1903" t="n">
        <x:v>5</x:v>
      </x:c>
      <x:c r="V1903" t="str"/>
    </x:row>
    <x:row r="1904">
      <x:c r="A1904" s="52" t="n">
        <x:v>46232</x:v>
      </x:c>
      <x:c r="B1904" t="str">
        <x:v>PED-101903</x:v>
      </x:c>
      <x:c r="C1904" t="str">
        <x:v>Cliente 071</x:v>
      </x:c>
      <x:c r="D1904" t="str">
        <x:v>MT</x:v>
      </x:c>
      <x:c r="E1904" t="str">
        <x:v>Centro-Oeste</x:v>
      </x:c>
      <x:c r="F1904" t="str">
        <x:v>Marketplace</x:v>
      </x:c>
      <x:c r="G1904" t="str">
        <x:v>Tecnologia</x:v>
      </x:c>
      <x:c r="H1904" t="str">
        <x:v>Monitor 27</x:v>
      </x:c>
      <x:c r="I1904" t="str">
        <x:v>Felipe</x:v>
      </x:c>
      <x:c r="J1904" s="53" t="n">
        <x:v>6</x:v>
      </x:c>
      <x:c r="K1904" s="54" t="n">
        <x:v>1714.43</x:v>
      </x:c>
      <x:c r="L1904" s="54" t="n">
        <x:v>1116.26</x:v>
      </x:c>
      <x:c r="M1904" s="55" t="n">
        <x:v>0.035</x:v>
      </x:c>
      <x:c r="N1904" s="54" t="n">
        <x:f>ROUND(J1904*K1904,2)</x:f>
        <x:v>10286.58</x:v>
      </x:c>
      <x:c r="O1904" s="54" t="n">
        <x:f>ROUND(N1904*(1-M1904),2)</x:f>
        <x:v>9926.55</x:v>
      </x:c>
      <x:c r="P1904" s="54" t="n">
        <x:f>ROUND(J1904*L1904,2)</x:f>
        <x:v>6697.56</x:v>
      </x:c>
      <x:c r="Q1904" s="54" t="n">
        <x:f>ROUND(O1904-P1904,2)</x:f>
        <x:v>3228.99</x:v>
      </x:c>
      <x:c r="R1904" s="55" t="n">
        <x:f>IF(O1904=0,0,ROUND(Q1904/O1904,4))</x:f>
        <x:v>0.3253</x:v>
      </x:c>
      <x:c r="S1904" s="53" t="n">
        <x:v>6</x:v>
      </x:c>
      <x:c r="T1904" t="str">
        <x:v>Entregue</x:v>
      </x:c>
      <x:c r="U1904" t="n">
        <x:v>5</x:v>
      </x:c>
      <x:c r="V1904" t="str"/>
    </x:row>
    <x:row r="1905">
      <x:c r="A1905" s="52" t="n">
        <x:v>46092</x:v>
      </x:c>
      <x:c r="B1905" t="str">
        <x:v>PED-101904</x:v>
      </x:c>
      <x:c r="C1905" t="str">
        <x:v>Cliente 021</x:v>
      </x:c>
      <x:c r="D1905" t="str">
        <x:v>DF</x:v>
      </x:c>
      <x:c r="E1905" t="str">
        <x:v>Centro-Oeste</x:v>
      </x:c>
      <x:c r="F1905" t="str">
        <x:v>E-commerce</x:v>
      </x:c>
      <x:c r="G1905" t="str">
        <x:v>Acessórios</x:v>
      </x:c>
      <x:c r="H1905" t="str">
        <x:v>Hub USB-C</x:v>
      </x:c>
      <x:c r="I1905" t="str">
        <x:v>Bruno</x:v>
      </x:c>
      <x:c r="J1905" s="53" t="n">
        <x:v>6</x:v>
      </x:c>
      <x:c r="K1905" s="54" t="n">
        <x:v>304.68</x:v>
      </x:c>
      <x:c r="L1905" s="54" t="n">
        <x:v>140.45</x:v>
      </x:c>
      <x:c r="M1905" s="55" t="n">
        <x:v>0</x:v>
      </x:c>
      <x:c r="N1905" s="54" t="n">
        <x:f>ROUND(J1905*K1905,2)</x:f>
        <x:v>1828.08</x:v>
      </x:c>
      <x:c r="O1905" s="54" t="n">
        <x:f>ROUND(N1905*(1-M1905),2)</x:f>
        <x:v>1828.08</x:v>
      </x:c>
      <x:c r="P1905" s="54" t="n">
        <x:f>ROUND(J1905*L1905,2)</x:f>
        <x:v>842.7</x:v>
      </x:c>
      <x:c r="Q1905" s="54" t="n">
        <x:f>ROUND(O1905-P1905,2)</x:f>
        <x:v>985.38</x:v>
      </x:c>
      <x:c r="R1905" s="55" t="n">
        <x:f>IF(O1905=0,0,ROUND(Q1905/O1905,4))</x:f>
        <x:v>0.539</x:v>
      </x:c>
      <x:c r="S1905" s="53" t="n">
        <x:v>13</x:v>
      </x:c>
      <x:c r="T1905" t="str">
        <x:v>Entregue com atraso</x:v>
      </x:c>
      <x:c r="U1905" t="n">
        <x:v>2</x:v>
      </x:c>
      <x:c r="V1905" t="str"/>
    </x:row>
    <x:row r="1906">
      <x:c r="A1906" s="52" t="n">
        <x:v>46048</x:v>
      </x:c>
      <x:c r="B1906" t="str">
        <x:v>PED-101905</x:v>
      </x:c>
      <x:c r="C1906" t="str">
        <x:v>Cliente 008</x:v>
      </x:c>
      <x:c r="D1906" t="str">
        <x:v>MA</x:v>
      </x:c>
      <x:c r="E1906" t="str">
        <x:v>Nordeste</x:v>
      </x:c>
      <x:c r="F1906" t="str">
        <x:v>Loja</x:v>
      </x:c>
      <x:c r="G1906" t="str">
        <x:v>Casa</x:v>
      </x:c>
      <x:c r="H1906" t="str">
        <x:v>Purificador</x:v>
      </x:c>
      <x:c r="I1906" t="str">
        <x:v>João</x:v>
      </x:c>
      <x:c r="J1906" s="53" t="n">
        <x:v>8</x:v>
      </x:c>
      <x:c r="K1906" s="54" t="n">
        <x:v>1216.88</x:v>
      </x:c>
      <x:c r="L1906" s="54" t="n">
        <x:v>836.46</x:v>
      </x:c>
      <x:c r="M1906" s="55" t="n">
        <x:v>0.0718</x:v>
      </x:c>
      <x:c r="N1906" s="54" t="n">
        <x:f>ROUND(J1906*K1906,2)</x:f>
        <x:v>9735.04</x:v>
      </x:c>
      <x:c r="O1906" s="54" t="n">
        <x:f>ROUND(N1906*(1-M1906),2)</x:f>
        <x:v>9036.06</x:v>
      </x:c>
      <x:c r="P1906" s="54" t="n">
        <x:f>ROUND(J1906*L1906,2)</x:f>
        <x:v>6691.68</x:v>
      </x:c>
      <x:c r="Q1906" s="54" t="n">
        <x:f>ROUND(O1906-P1906,2)</x:f>
        <x:v>2344.38</x:v>
      </x:c>
      <x:c r="R1906" s="55" t="n">
        <x:f>IF(O1906=0,0,ROUND(Q1906/O1906,4))</x:f>
        <x:v>0.2594</x:v>
      </x:c>
      <x:c r="S1906" s="53" t="n">
        <x:v>14</x:v>
      </x:c>
      <x:c r="T1906" t="str">
        <x:v>Entregue com atraso</x:v>
      </x:c>
      <x:c r="U1906" t="n">
        <x:v>3</x:v>
      </x:c>
      <x:c r="V1906" t="str"/>
    </x:row>
    <x:row r="1907">
      <x:c r="A1907" s="52" t="n">
        <x:v>46060</x:v>
      </x:c>
      <x:c r="B1907" t="str">
        <x:v>PED-101906</x:v>
      </x:c>
      <x:c r="C1907" t="str">
        <x:v>Cliente 052</x:v>
      </x:c>
      <x:c r="D1907" t="str">
        <x:v>MG</x:v>
      </x:c>
      <x:c r="E1907" t="str">
        <x:v>Sudeste</x:v>
      </x:c>
      <x:c r="F1907" t="str">
        <x:v>E-commerce</x:v>
      </x:c>
      <x:c r="G1907" t="str">
        <x:v>Casa</x:v>
      </x:c>
      <x:c r="H1907" t="str">
        <x:v>Aspirador Robô</x:v>
      </x:c>
      <x:c r="I1907" t="str">
        <x:v>Ana</x:v>
      </x:c>
      <x:c r="J1907" s="53" t="n">
        <x:v>4</x:v>
      </x:c>
      <x:c r="K1907" s="54" t="n">
        <x:v>1799.2</x:v>
      </x:c>
      <x:c r="L1907" s="54" t="n">
        <x:v>1181.49</x:v>
      </x:c>
      <x:c r="M1907" s="55" t="n">
        <x:v>0.0593</x:v>
      </x:c>
      <x:c r="N1907" s="54" t="n">
        <x:f>ROUND(J1907*K1907,2)</x:f>
        <x:v>7196.8</x:v>
      </x:c>
      <x:c r="O1907" s="54" t="n">
        <x:f>ROUND(N1907*(1-M1907),2)</x:f>
        <x:v>6770.03</x:v>
      </x:c>
      <x:c r="P1907" s="54" t="n">
        <x:f>ROUND(J1907*L1907,2)</x:f>
        <x:v>4725.96</x:v>
      </x:c>
      <x:c r="Q1907" s="54" t="n">
        <x:f>ROUND(O1907-P1907,2)</x:f>
        <x:v>2044.07</x:v>
      </x:c>
      <x:c r="R1907" s="55" t="n">
        <x:f>IF(O1907=0,0,ROUND(Q1907/O1907,4))</x:f>
        <x:v>0.3019</x:v>
      </x:c>
      <x:c r="S1907" s="53" t="n">
        <x:v>4</x:v>
      </x:c>
      <x:c r="T1907" t="str">
        <x:v>Entregue</x:v>
      </x:c>
      <x:c r="U1907" t="n">
        <x:v>2</x:v>
      </x:c>
      <x:c r="V1907" t="str"/>
    </x:row>
    <x:row r="1908">
      <x:c r="A1908" s="52" t="n">
        <x:v>46161</x:v>
      </x:c>
      <x:c r="B1908" t="str">
        <x:v>PED-101907</x:v>
      </x:c>
      <x:c r="C1908" t="str">
        <x:v>Cliente 119</x:v>
      </x:c>
      <x:c r="D1908" t="str">
        <x:v>RS</x:v>
      </x:c>
      <x:c r="E1908" t="str">
        <x:v>Sul</x:v>
      </x:c>
      <x:c r="F1908" t="str">
        <x:v>Televendas</x:v>
      </x:c>
      <x:c r="G1908" t="str">
        <x:v>Casa</x:v>
      </x:c>
      <x:c r="H1908" t="str">
        <x:v>Purificador</x:v>
      </x:c>
      <x:c r="I1908" t="str">
        <x:v>Ana</x:v>
      </x:c>
      <x:c r="J1908" s="53" t="n">
        <x:v>5</x:v>
      </x:c>
      <x:c r="K1908" s="54" t="n">
        <x:v>1340.98</x:v>
      </x:c>
      <x:c r="L1908" s="54" t="n">
        <x:v>757.53</x:v>
      </x:c>
      <x:c r="M1908" s="55" t="n">
        <x:v>0</x:v>
      </x:c>
      <x:c r="N1908" s="54" t="n">
        <x:f>ROUND(J1908*K1908,2)</x:f>
        <x:v>6704.9</x:v>
      </x:c>
      <x:c r="O1908" s="54" t="n">
        <x:f>ROUND(N1908*(1-M1908),2)</x:f>
        <x:v>6704.9</x:v>
      </x:c>
      <x:c r="P1908" s="54" t="n">
        <x:f>ROUND(J1908*L1908,2)</x:f>
        <x:v>3787.65</x:v>
      </x:c>
      <x:c r="Q1908" s="54" t="n">
        <x:f>ROUND(O1908-P1908,2)</x:f>
        <x:v>2917.25</x:v>
      </x:c>
      <x:c r="R1908" s="55" t="n">
        <x:f>IF(O1908=0,0,ROUND(Q1908/O1908,4))</x:f>
        <x:v>0.4351</x:v>
      </x:c>
      <x:c r="S1908" s="53" t="n">
        <x:v>9</x:v>
      </x:c>
      <x:c r="T1908" t="str">
        <x:v>Entregue</x:v>
      </x:c>
      <x:c r="U1908" t="n">
        <x:v>2</x:v>
      </x:c>
      <x:c r="V1908" t="str"/>
    </x:row>
    <x:row r="1909">
      <x:c r="A1909" s="52" t="n">
        <x:v>46223</x:v>
      </x:c>
      <x:c r="B1909" t="str">
        <x:v>PED-101908</x:v>
      </x:c>
      <x:c r="C1909" t="str">
        <x:v>Cliente 043</x:v>
      </x:c>
      <x:c r="D1909" t="str">
        <x:v>MT</x:v>
      </x:c>
      <x:c r="E1909" t="str">
        <x:v>Centro-Oeste</x:v>
      </x:c>
      <x:c r="F1909" t="str">
        <x:v>Loja</x:v>
      </x:c>
      <x:c r="G1909" t="str">
        <x:v>Tecnologia</x:v>
      </x:c>
      <x:c r="H1909" t="str">
        <x:v>Monitor 27</x:v>
      </x:c>
      <x:c r="I1909" t="str">
        <x:v>Diego</x:v>
      </x:c>
      <x:c r="J1909" s="53" t="n">
        <x:v>2</x:v>
      </x:c>
      <x:c r="K1909" s="54" t="n">
        <x:v>1710.17</x:v>
      </x:c>
      <x:c r="L1909" s="54" t="n">
        <x:v>1104.52</x:v>
      </x:c>
      <x:c r="M1909" s="55" t="n">
        <x:v>0.004</x:v>
      </x:c>
      <x:c r="N1909" s="54" t="n">
        <x:f>ROUND(J1909*K1909,2)</x:f>
        <x:v>3420.34</x:v>
      </x:c>
      <x:c r="O1909" s="54" t="n">
        <x:f>ROUND(N1909*(1-M1909),2)</x:f>
        <x:v>3406.66</x:v>
      </x:c>
      <x:c r="P1909" s="54" t="n">
        <x:f>ROUND(J1909*L1909,2)</x:f>
        <x:v>2209.04</x:v>
      </x:c>
      <x:c r="Q1909" s="54" t="n">
        <x:f>ROUND(O1909-P1909,2)</x:f>
        <x:v>1197.62</x:v>
      </x:c>
      <x:c r="R1909" s="55" t="n">
        <x:f>IF(O1909=0,0,ROUND(Q1909/O1909,4))</x:f>
        <x:v>0.3516</x:v>
      </x:c>
      <x:c r="S1909" s="53" t="n">
        <x:v>2</x:v>
      </x:c>
      <x:c r="T1909" t="str">
        <x:v>Entregue</x:v>
      </x:c>
      <x:c r="U1909" t="n">
        <x:v>4</x:v>
      </x:c>
      <x:c r="V1909" t="str"/>
    </x:row>
    <x:row r="1910">
      <x:c r="A1910" s="52" t="n">
        <x:v>46114</x:v>
      </x:c>
      <x:c r="B1910" t="str">
        <x:v>PED-101909</x:v>
      </x:c>
      <x:c r="C1910" t="str">
        <x:v>Cliente 024</x:v>
      </x:c>
      <x:c r="D1910" t="str">
        <x:v>PR</x:v>
      </x:c>
      <x:c r="E1910" t="str">
        <x:v>Sul</x:v>
      </x:c>
      <x:c r="F1910" t="str">
        <x:v>Televendas</x:v>
      </x:c>
      <x:c r="G1910" t="str">
        <x:v>Casa</x:v>
      </x:c>
      <x:c r="H1910" t="str">
        <x:v>Purificador</x:v>
      </x:c>
      <x:c r="I1910" t="str">
        <x:v>Bruno</x:v>
      </x:c>
      <x:c r="J1910" s="53" t="n">
        <x:v>5</x:v>
      </x:c>
      <x:c r="K1910" s="54" t="n">
        <x:v>1249.54</x:v>
      </x:c>
      <x:c r="L1910" s="54" t="n">
        <x:v>768.75</x:v>
      </x:c>
      <x:c r="M1910" s="55" t="n">
        <x:v>0</x:v>
      </x:c>
      <x:c r="N1910" s="54" t="n">
        <x:f>ROUND(J1910*K1910,2)</x:f>
        <x:v>6247.7</x:v>
      </x:c>
      <x:c r="O1910" s="54" t="n">
        <x:f>ROUND(N1910*(1-M1910),2)</x:f>
        <x:v>6247.7</x:v>
      </x:c>
      <x:c r="P1910" s="54" t="n">
        <x:f>ROUND(J1910*L1910,2)</x:f>
        <x:v>3843.75</x:v>
      </x:c>
      <x:c r="Q1910" s="54" t="n">
        <x:f>ROUND(O1910-P1910,2)</x:f>
        <x:v>2403.95</x:v>
      </x:c>
      <x:c r="R1910" s="55" t="n">
        <x:f>IF(O1910=0,0,ROUND(Q1910/O1910,4))</x:f>
        <x:v>0.3848</x:v>
      </x:c>
      <x:c r="S1910" s="53" t="n">
        <x:v>8</x:v>
      </x:c>
      <x:c r="T1910" t="str">
        <x:v>Entregue</x:v>
      </x:c>
      <x:c r="U1910" t="n">
        <x:v>4</x:v>
      </x:c>
      <x:c r="V1910" t="str"/>
    </x:row>
    <x:row r="1911">
      <x:c r="A1911" s="52" t="n">
        <x:v>46231</x:v>
      </x:c>
      <x:c r="B1911" t="str">
        <x:v>PED-101910</x:v>
      </x:c>
      <x:c r="C1911" t="str">
        <x:v>Cliente 048</x:v>
      </x:c>
      <x:c r="D1911" t="str">
        <x:v>GO</x:v>
      </x:c>
      <x:c r="E1911" t="str">
        <x:v>Centro-Oeste</x:v>
      </x:c>
      <x:c r="F1911" t="str">
        <x:v>Marketplace</x:v>
      </x:c>
      <x:c r="G1911" t="str">
        <x:v>Casa</x:v>
      </x:c>
      <x:c r="H1911" t="str">
        <x:v>Cafeteira Smart</x:v>
      </x:c>
      <x:c r="I1911" t="str">
        <x:v>Ana</x:v>
      </x:c>
      <x:c r="J1911" s="53" t="n">
        <x:v>3</x:v>
      </x:c>
      <x:c r="K1911" s="54" t="n">
        <x:v>832.25</x:v>
      </x:c>
      <x:c r="L1911" s="54" t="n">
        <x:v>466.26</x:v>
      </x:c>
      <x:c r="M1911" s="55" t="n">
        <x:v>0.0537</x:v>
      </x:c>
      <x:c r="N1911" s="54" t="n">
        <x:f>ROUND(J1911*K1911,2)</x:f>
        <x:v>2496.75</x:v>
      </x:c>
      <x:c r="O1911" s="54" t="n">
        <x:f>ROUND(N1911*(1-M1911),2)</x:f>
        <x:v>2362.67</x:v>
      </x:c>
      <x:c r="P1911" s="54" t="n">
        <x:f>ROUND(J1911*L1911,2)</x:f>
        <x:v>1398.78</x:v>
      </x:c>
      <x:c r="Q1911" s="54" t="n">
        <x:f>ROUND(O1911-P1911,2)</x:f>
        <x:v>963.89</x:v>
      </x:c>
      <x:c r="R1911" s="55" t="n">
        <x:f>IF(O1911=0,0,ROUND(Q1911/O1911,4))</x:f>
        <x:v>0.408</x:v>
      </x:c>
      <x:c r="S1911" s="53" t="n">
        <x:v>8</x:v>
      </x:c>
      <x:c r="T1911" t="str">
        <x:v>Entregue</x:v>
      </x:c>
      <x:c r="U1911" t="n">
        <x:v>5</x:v>
      </x:c>
      <x:c r="V1911" t="str"/>
    </x:row>
    <x:row r="1912">
      <x:c r="A1912" s="52" t="n">
        <x:v>46197</x:v>
      </x:c>
      <x:c r="B1912" t="str">
        <x:v>PED-101911</x:v>
      </x:c>
      <x:c r="C1912" t="str">
        <x:v>Cliente 028</x:v>
      </x:c>
      <x:c r="D1912" t="str">
        <x:v>MG</x:v>
      </x:c>
      <x:c r="E1912" t="str">
        <x:v>Sudeste</x:v>
      </x:c>
      <x:c r="F1912" t="str">
        <x:v>Marketplace</x:v>
      </x:c>
      <x:c r="G1912" t="str">
        <x:v>Escritório</x:v>
      </x:c>
      <x:c r="H1912" t="str">
        <x:v>Luminária LED</x:v>
      </x:c>
      <x:c r="I1912" t="str">
        <x:v>Ana</x:v>
      </x:c>
      <x:c r="J1912" s="53" t="n">
        <x:v>8</x:v>
      </x:c>
      <x:c r="K1912" s="54" t="n">
        <x:v>268.71</x:v>
      </x:c>
      <x:c r="L1912" s="54" t="n">
        <x:v>123.37</x:v>
      </x:c>
      <x:c r="M1912" s="55" t="n">
        <x:v>0.0556</x:v>
      </x:c>
      <x:c r="N1912" s="54" t="n">
        <x:f>ROUND(J1912*K1912,2)</x:f>
        <x:v>2149.68</x:v>
      </x:c>
      <x:c r="O1912" s="54" t="n">
        <x:f>ROUND(N1912*(1-M1912),2)</x:f>
        <x:v>2030.16</x:v>
      </x:c>
      <x:c r="P1912" s="54" t="n">
        <x:f>ROUND(J1912*L1912,2)</x:f>
        <x:v>986.96</x:v>
      </x:c>
      <x:c r="Q1912" s="54" t="n">
        <x:f>ROUND(O1912-P1912,2)</x:f>
        <x:v>1043.2</x:v>
      </x:c>
      <x:c r="R1912" s="55" t="n">
        <x:f>IF(O1912=0,0,ROUND(Q1912/O1912,4))</x:f>
        <x:v>0.5139</x:v>
      </x:c>
      <x:c r="S1912" s="53" t="n">
        <x:v>9</x:v>
      </x:c>
      <x:c r="T1912" t="str">
        <x:v>Entregue</x:v>
      </x:c>
      <x:c r="U1912" t="n">
        <x:v>2</x:v>
      </x:c>
      <x:c r="V1912" t="str"/>
    </x:row>
    <x:row r="1913">
      <x:c r="A1913" s="52" t="n">
        <x:v>46177</x:v>
      </x:c>
      <x:c r="B1913" t="str">
        <x:v>PED-101912</x:v>
      </x:c>
      <x:c r="C1913" t="str">
        <x:v>Cliente 056</x:v>
      </x:c>
      <x:c r="D1913" t="str">
        <x:v>SP</x:v>
      </x:c>
      <x:c r="E1913" t="str">
        <x:v>Sudeste</x:v>
      </x:c>
      <x:c r="F1913" t="str">
        <x:v>Televendas</x:v>
      </x:c>
      <x:c r="G1913" t="str">
        <x:v>Escritório</x:v>
      </x:c>
      <x:c r="H1913" t="str">
        <x:v>Mesa Ajustável</x:v>
      </x:c>
      <x:c r="I1913" t="str">
        <x:v>Carla</x:v>
      </x:c>
      <x:c r="J1913" s="53" t="n">
        <x:v>3</x:v>
      </x:c>
      <x:c r="K1913" s="54" t="n">
        <x:v>2849.36</x:v>
      </x:c>
      <x:c r="L1913" s="54" t="n">
        <x:v>1743.73</x:v>
      </x:c>
      <x:c r="M1913" s="55" t="n">
        <x:v>0</x:v>
      </x:c>
      <x:c r="N1913" s="54" t="n">
        <x:f>ROUND(J1913*K1913,2)</x:f>
        <x:v>8548.08</x:v>
      </x:c>
      <x:c r="O1913" s="54" t="n">
        <x:f>ROUND(N1913*(1-M1913),2)</x:f>
        <x:v>8548.08</x:v>
      </x:c>
      <x:c r="P1913" s="54" t="n">
        <x:f>ROUND(J1913*L1913,2)</x:f>
        <x:v>5231.19</x:v>
      </x:c>
      <x:c r="Q1913" s="54" t="n">
        <x:f>ROUND(O1913-P1913,2)</x:f>
        <x:v>3316.89</x:v>
      </x:c>
      <x:c r="R1913" s="55" t="n">
        <x:f>IF(O1913=0,0,ROUND(Q1913/O1913,4))</x:f>
        <x:v>0.388</x:v>
      </x:c>
      <x:c r="S1913" s="53" t="n">
        <x:v>9</x:v>
      </x:c>
      <x:c r="T1913" t="str">
        <x:v>Entregue</x:v>
      </x:c>
      <x:c r="U1913" t="n">
        <x:v>4</x:v>
      </x:c>
      <x:c r="V1913" t="str"/>
    </x:row>
    <x:row r="1914">
      <x:c r="A1914" s="52" t="n">
        <x:v>46153</x:v>
      </x:c>
      <x:c r="B1914" t="str">
        <x:v>PED-101913</x:v>
      </x:c>
      <x:c r="C1914" t="str">
        <x:v>Cliente 007</x:v>
      </x:c>
      <x:c r="D1914" t="str">
        <x:v>PA</x:v>
      </x:c>
      <x:c r="E1914" t="str">
        <x:v>Norte</x:v>
      </x:c>
      <x:c r="F1914" t="str">
        <x:v>E-commerce</x:v>
      </x:c>
      <x:c r="G1914" t="str">
        <x:v>Tecnologia</x:v>
      </x:c>
      <x:c r="H1914" t="str">
        <x:v>Monitor 27</x:v>
      </x:c>
      <x:c r="I1914" t="str">
        <x:v>Diego</x:v>
      </x:c>
      <x:c r="J1914" s="53" t="n">
        <x:v>3</x:v>
      </x:c>
      <x:c r="K1914" s="54" t="n">
        <x:v>1590.24</x:v>
      </x:c>
      <x:c r="L1914" s="54" t="n">
        <x:v>1141.65</x:v>
      </x:c>
      <x:c r="M1914" s="55" t="n">
        <x:v>0</x:v>
      </x:c>
      <x:c r="N1914" s="54" t="n">
        <x:f>ROUND(J1914*K1914,2)</x:f>
        <x:v>4770.72</x:v>
      </x:c>
      <x:c r="O1914" s="54" t="n">
        <x:f>ROUND(N1914*(1-M1914),2)</x:f>
        <x:v>4770.72</x:v>
      </x:c>
      <x:c r="P1914" s="54" t="n">
        <x:f>ROUND(J1914*L1914,2)</x:f>
        <x:v>3424.95</x:v>
      </x:c>
      <x:c r="Q1914" s="54" t="n">
        <x:f>ROUND(O1914-P1914,2)</x:f>
        <x:v>1345.77</x:v>
      </x:c>
      <x:c r="R1914" s="55" t="n">
        <x:f>IF(O1914=0,0,ROUND(Q1914/O1914,4))</x:f>
        <x:v>0.2821</x:v>
      </x:c>
      <x:c r="S1914" s="53" t="n">
        <x:v>14</x:v>
      </x:c>
      <x:c r="T1914" t="str">
        <x:v>Entregue com atraso</x:v>
      </x:c>
      <x:c r="U1914" t="n">
        <x:v>5</x:v>
      </x:c>
      <x:c r="V1914" t="str"/>
    </x:row>
    <x:row r="1915">
      <x:c r="A1915" s="52" t="n">
        <x:v>46062</x:v>
      </x:c>
      <x:c r="B1915" t="str">
        <x:v>PED-101914</x:v>
      </x:c>
      <x:c r="C1915" t="str">
        <x:v>Cliente 014</x:v>
      </x:c>
      <x:c r="D1915" t="str">
        <x:v>RS</x:v>
      </x:c>
      <x:c r="E1915" t="str">
        <x:v>Sul</x:v>
      </x:c>
      <x:c r="F1915" t="str">
        <x:v>E-commerce</x:v>
      </x:c>
      <x:c r="G1915" t="str">
        <x:v>Tecnologia</x:v>
      </x:c>
      <x:c r="H1915" t="str">
        <x:v>Notebook Pro</x:v>
      </x:c>
      <x:c r="I1915" t="str">
        <x:v>Elaine</x:v>
      </x:c>
      <x:c r="J1915" s="53" t="n">
        <x:v>6</x:v>
      </x:c>
      <x:c r="K1915" s="54" t="n">
        <x:v>6195.37</x:v>
      </x:c>
      <x:c r="L1915" s="54" t="n">
        <x:v>4496.39</x:v>
      </x:c>
      <x:c r="M1915" s="55" t="n">
        <x:v>0.1216</x:v>
      </x:c>
      <x:c r="N1915" s="54" t="n">
        <x:f>ROUND(J1915*K1915,2)</x:f>
        <x:v>37172.22</x:v>
      </x:c>
      <x:c r="O1915" s="54" t="n">
        <x:f>ROUND(N1915*(1-M1915),2)</x:f>
        <x:v>32652.08</x:v>
      </x:c>
      <x:c r="P1915" s="54" t="n">
        <x:f>ROUND(J1915*L1915,2)</x:f>
        <x:v>26978.34</x:v>
      </x:c>
      <x:c r="Q1915" s="54" t="n">
        <x:f>ROUND(O1915-P1915,2)</x:f>
        <x:v>5673.74</x:v>
      </x:c>
      <x:c r="R1915" s="55" t="n">
        <x:f>IF(O1915=0,0,ROUND(Q1915/O1915,4))</x:f>
        <x:v>0.1738</x:v>
      </x:c>
      <x:c r="S1915" s="53" t="n">
        <x:v>2</x:v>
      </x:c>
      <x:c r="T1915" t="str">
        <x:v>Entregue</x:v>
      </x:c>
      <x:c r="U1915" t="n">
        <x:v>5</x:v>
      </x:c>
      <x:c r="V1915" t="str"/>
    </x:row>
    <x:row r="1916">
      <x:c r="A1916" s="52" t="n">
        <x:v>46112</x:v>
      </x:c>
      <x:c r="B1916" t="str">
        <x:v>PED-101915</x:v>
      </x:c>
      <x:c r="C1916" t="str">
        <x:v>Cliente 081</x:v>
      </x:c>
      <x:c r="D1916" t="str">
        <x:v>RJ</x:v>
      </x:c>
      <x:c r="E1916" t="str">
        <x:v>Sudeste</x:v>
      </x:c>
      <x:c r="F1916" t="str">
        <x:v>Televendas</x:v>
      </x:c>
      <x:c r="G1916" t="str">
        <x:v>Escritório</x:v>
      </x:c>
      <x:c r="H1916" t="str">
        <x:v>Cadeira Ergonômica</x:v>
      </x:c>
      <x:c r="I1916" t="str">
        <x:v>Ana</x:v>
      </x:c>
      <x:c r="J1916" s="53" t="n">
        <x:v>6</x:v>
      </x:c>
      <x:c r="K1916" s="54" t="n">
        <x:v>2215.09</x:v>
      </x:c>
      <x:c r="L1916" s="54" t="n">
        <x:v>1389.54</x:v>
      </x:c>
      <x:c r="M1916" s="55" t="n">
        <x:v>0</x:v>
      </x:c>
      <x:c r="N1916" s="54" t="n">
        <x:f>ROUND(J1916*K1916,2)</x:f>
        <x:v>13290.54</x:v>
      </x:c>
      <x:c r="O1916" s="54" t="n">
        <x:f>ROUND(N1916*(1-M1916),2)</x:f>
        <x:v>13290.54</x:v>
      </x:c>
      <x:c r="P1916" s="54" t="n">
        <x:f>ROUND(J1916*L1916,2)</x:f>
        <x:v>8337.24</x:v>
      </x:c>
      <x:c r="Q1916" s="54" t="n">
        <x:f>ROUND(O1916-P1916,2)</x:f>
        <x:v>4953.3</x:v>
      </x:c>
      <x:c r="R1916" s="55" t="n">
        <x:f>IF(O1916=0,0,ROUND(Q1916/O1916,4))</x:f>
        <x:v>0.3727</x:v>
      </x:c>
      <x:c r="S1916" s="53" t="n">
        <x:v>3</x:v>
      </x:c>
      <x:c r="T1916" t="str">
        <x:v>Entregue</x:v>
      </x:c>
      <x:c r="U1916" t="n">
        <x:v>4</x:v>
      </x:c>
      <x:c r="V1916" t="str"/>
    </x:row>
    <x:row r="1917">
      <x:c r="A1917" s="52" t="n">
        <x:v>46024</x:v>
      </x:c>
      <x:c r="B1917" t="str">
        <x:v>PED-101916</x:v>
      </x:c>
      <x:c r="C1917" t="str">
        <x:v>Cliente 104</x:v>
      </x:c>
      <x:c r="D1917" t="str">
        <x:v>SP</x:v>
      </x:c>
      <x:c r="E1917" t="str">
        <x:v>Sudeste</x:v>
      </x:c>
      <x:c r="F1917" t="str">
        <x:v>Loja</x:v>
      </x:c>
      <x:c r="G1917" t="str">
        <x:v>Escritório</x:v>
      </x:c>
      <x:c r="H1917" t="str">
        <x:v>Cadeira Ergonômica</x:v>
      </x:c>
      <x:c r="I1917" t="str">
        <x:v>Henrique</x:v>
      </x:c>
      <x:c r="J1917" s="53" t="n">
        <x:v>4</x:v>
      </x:c>
      <x:c r="K1917" s="54" t="n">
        <x:v>2156.55</x:v>
      </x:c>
      <x:c r="L1917" s="54" t="n">
        <x:v>1437.52</x:v>
      </x:c>
      <x:c r="M1917" s="55" t="n">
        <x:v>0.1253</x:v>
      </x:c>
      <x:c r="N1917" s="54" t="n">
        <x:f>ROUND(J1917*K1917,2)</x:f>
        <x:v>8626.2</x:v>
      </x:c>
      <x:c r="O1917" s="54" t="n">
        <x:f>ROUND(N1917*(1-M1917),2)</x:f>
        <x:v>7545.34</x:v>
      </x:c>
      <x:c r="P1917" s="54" t="n">
        <x:f>ROUND(J1917*L1917,2)</x:f>
        <x:v>5750.08</x:v>
      </x:c>
      <x:c r="Q1917" s="54" t="n">
        <x:f>ROUND(O1917-P1917,2)</x:f>
        <x:v>1795.26</x:v>
      </x:c>
      <x:c r="R1917" s="55" t="n">
        <x:f>IF(O1917=0,0,ROUND(Q1917/O1917,4))</x:f>
        <x:v>0.2379</x:v>
      </x:c>
      <x:c r="S1917" s="53" t="n">
        <x:v>3</x:v>
      </x:c>
      <x:c r="T1917" t="str">
        <x:v>Entregue</x:v>
      </x:c>
      <x:c r="U1917" t="n">
        <x:v>2</x:v>
      </x:c>
      <x:c r="V1917" t="str"/>
    </x:row>
    <x:row r="1918">
      <x:c r="A1918" s="52" t="n">
        <x:v>46151</x:v>
      </x:c>
      <x:c r="B1918" t="str">
        <x:v>PED-101917</x:v>
      </x:c>
      <x:c r="C1918" t="str">
        <x:v>Cliente 050</x:v>
      </x:c>
      <x:c r="D1918" t="str">
        <x:v>SC</x:v>
      </x:c>
      <x:c r="E1918" t="str">
        <x:v>Sul</x:v>
      </x:c>
      <x:c r="F1918" t="str">
        <x:v>Loja</x:v>
      </x:c>
      <x:c r="G1918" t="str">
        <x:v>Tecnologia</x:v>
      </x:c>
      <x:c r="H1918" t="str">
        <x:v>Headset Office</x:v>
      </x:c>
      <x:c r="I1918" t="str">
        <x:v>Gabriela</x:v>
      </x:c>
      <x:c r="J1918" s="53" t="n">
        <x:v>7</x:v>
      </x:c>
      <x:c r="K1918" s="54" t="n">
        <x:v>391.6</x:v>
      </x:c>
      <x:c r="L1918" s="54" t="n">
        <x:v>219.31</x:v>
      </x:c>
      <x:c r="M1918" s="55" t="n">
        <x:v>0.0736</x:v>
      </x:c>
      <x:c r="N1918" s="54" t="n">
        <x:f>ROUND(J1918*K1918,2)</x:f>
        <x:v>2741.2</x:v>
      </x:c>
      <x:c r="O1918" s="54" t="n">
        <x:f>ROUND(N1918*(1-M1918),2)</x:f>
        <x:v>2539.45</x:v>
      </x:c>
      <x:c r="P1918" s="54" t="n">
        <x:f>ROUND(J1918*L1918,2)</x:f>
        <x:v>1535.17</x:v>
      </x:c>
      <x:c r="Q1918" s="54" t="n">
        <x:f>ROUND(O1918-P1918,2)</x:f>
        <x:v>1004.28</x:v>
      </x:c>
      <x:c r="R1918" s="55" t="n">
        <x:f>IF(O1918=0,0,ROUND(Q1918/O1918,4))</x:f>
        <x:v>0.3955</x:v>
      </x:c>
      <x:c r="S1918" s="53" t="n">
        <x:v>7</x:v>
      </x:c>
      <x:c r="T1918" t="str">
        <x:v>Entregue</x:v>
      </x:c>
      <x:c r="U1918" t="n">
        <x:v>2</x:v>
      </x:c>
      <x:c r="V1918" t="str"/>
    </x:row>
    <x:row r="1919">
      <x:c r="A1919" s="52" t="n">
        <x:v>46226</x:v>
      </x:c>
      <x:c r="B1919" t="str">
        <x:v>PED-101918</x:v>
      </x:c>
      <x:c r="C1919" t="str">
        <x:v>Cliente 105</x:v>
      </x:c>
      <x:c r="D1919" t="str">
        <x:v>ES</x:v>
      </x:c>
      <x:c r="E1919" t="str">
        <x:v>Sudeste</x:v>
      </x:c>
      <x:c r="F1919" t="str">
        <x:v>Televendas</x:v>
      </x:c>
      <x:c r="G1919" t="str">
        <x:v>Casa</x:v>
      </x:c>
      <x:c r="H1919" t="str">
        <x:v>Purificador</x:v>
      </x:c>
      <x:c r="I1919" t="str">
        <x:v>Felipe</x:v>
      </x:c>
      <x:c r="J1919" s="53" t="n">
        <x:v>5</x:v>
      </x:c>
      <x:c r="K1919" s="54" t="n">
        <x:v>1248.14</x:v>
      </x:c>
      <x:c r="L1919" s="54" t="n">
        <x:v>802.17</x:v>
      </x:c>
      <x:c r="M1919" s="55" t="n">
        <x:v>0</x:v>
      </x:c>
      <x:c r="N1919" s="54" t="n">
        <x:f>ROUND(J1919*K1919,2)</x:f>
        <x:v>6240.7</x:v>
      </x:c>
      <x:c r="O1919" s="54" t="n">
        <x:f>ROUND(N1919*(1-M1919),2)</x:f>
        <x:v>6240.7</x:v>
      </x:c>
      <x:c r="P1919" s="54" t="n">
        <x:f>ROUND(J1919*L1919,2)</x:f>
        <x:v>4010.85</x:v>
      </x:c>
      <x:c r="Q1919" s="54" t="n">
        <x:f>ROUND(O1919-P1919,2)</x:f>
        <x:v>2229.85</x:v>
      </x:c>
      <x:c r="R1919" s="55" t="n">
        <x:f>IF(O1919=0,0,ROUND(Q1919/O1919,4))</x:f>
        <x:v>0.3573</x:v>
      </x:c>
      <x:c r="S1919" s="53" t="n">
        <x:v>12</x:v>
      </x:c>
      <x:c r="T1919" t="str">
        <x:v>Entregue com atraso</x:v>
      </x:c>
      <x:c r="U1919" t="n">
        <x:v>2</x:v>
      </x:c>
      <x:c r="V1919" t="str"/>
    </x:row>
    <x:row r="1920">
      <x:c r="A1920" s="52" t="n">
        <x:v>46143</x:v>
      </x:c>
      <x:c r="B1920" t="str">
        <x:v>PED-101919</x:v>
      </x:c>
      <x:c r="C1920" t="str">
        <x:v>Cliente 081</x:v>
      </x:c>
      <x:c r="D1920" t="str">
        <x:v>PA</x:v>
      </x:c>
      <x:c r="E1920" t="str">
        <x:v>Norte</x:v>
      </x:c>
      <x:c r="F1920" t="str">
        <x:v>Loja</x:v>
      </x:c>
      <x:c r="G1920" t="str">
        <x:v>Acessórios</x:v>
      </x:c>
      <x:c r="H1920" t="str">
        <x:v>Webcam HD</x:v>
      </x:c>
      <x:c r="I1920" t="str">
        <x:v>Elaine</x:v>
      </x:c>
      <x:c r="J1920" s="53" t="n">
        <x:v>3</x:v>
      </x:c>
      <x:c r="K1920" s="54" t="n">
        <x:v>528.02</x:v>
      </x:c>
      <x:c r="L1920" s="54" t="n">
        <x:v>243.44</x:v>
      </x:c>
      <x:c r="M1920" s="55" t="n">
        <x:v>0.0878</x:v>
      </x:c>
      <x:c r="N1920" s="54" t="n">
        <x:f>ROUND(J1920*K1920,2)</x:f>
        <x:v>1584.06</x:v>
      </x:c>
      <x:c r="O1920" s="54" t="n">
        <x:f>ROUND(N1920*(1-M1920),2)</x:f>
        <x:v>1444.98</x:v>
      </x:c>
      <x:c r="P1920" s="54" t="n">
        <x:f>ROUND(J1920*L1920,2)</x:f>
        <x:v>730.32</x:v>
      </x:c>
      <x:c r="Q1920" s="54" t="n">
        <x:f>ROUND(O1920-P1920,2)</x:f>
        <x:v>714.66</x:v>
      </x:c>
      <x:c r="R1920" s="55" t="n">
        <x:f>IF(O1920=0,0,ROUND(Q1920/O1920,4))</x:f>
        <x:v>0.4946</x:v>
      </x:c>
      <x:c r="S1920" s="53" t="n">
        <x:v>2</x:v>
      </x:c>
      <x:c r="T1920" t="str">
        <x:v>Entregue</x:v>
      </x:c>
      <x:c r="U1920" t="n">
        <x:v>3</x:v>
      </x:c>
      <x:c r="V1920" t="str"/>
    </x:row>
    <x:row r="1921">
      <x:c r="A1921" s="52" t="n">
        <x:v>46128</x:v>
      </x:c>
      <x:c r="B1921" t="str">
        <x:v>PED-101920</x:v>
      </x:c>
      <x:c r="C1921" t="str">
        <x:v>Cliente 088</x:v>
      </x:c>
      <x:c r="D1921" t="str">
        <x:v>SP</x:v>
      </x:c>
      <x:c r="E1921" t="str">
        <x:v>Sudeste</x:v>
      </x:c>
      <x:c r="F1921" t="str">
        <x:v>E-commerce</x:v>
      </x:c>
      <x:c r="G1921" t="str">
        <x:v>Tecnologia</x:v>
      </x:c>
      <x:c r="H1921" t="str">
        <x:v>Notebook Pro</x:v>
      </x:c>
      <x:c r="I1921" t="str">
        <x:v>Diego</x:v>
      </x:c>
      <x:c r="J1921" s="53" t="n">
        <x:v>1</x:v>
      </x:c>
      <x:c r="K1921" s="54" t="n">
        <x:v>5671.79</x:v>
      </x:c>
      <x:c r="L1921" s="54" t="n">
        <x:v>4221.2</x:v>
      </x:c>
      <x:c r="M1921" s="55" t="n">
        <x:v>0</x:v>
      </x:c>
      <x:c r="N1921" s="54" t="n">
        <x:f>ROUND(J1921*K1921,2)</x:f>
        <x:v>5671.79</x:v>
      </x:c>
      <x:c r="O1921" s="54" t="n">
        <x:f>ROUND(N1921*(1-M1921),2)</x:f>
        <x:v>5671.79</x:v>
      </x:c>
      <x:c r="P1921" s="54" t="n">
        <x:f>ROUND(J1921*L1921,2)</x:f>
        <x:v>4221.2</x:v>
      </x:c>
      <x:c r="Q1921" s="54" t="n">
        <x:f>ROUND(O1921-P1921,2)</x:f>
        <x:v>1450.59</x:v>
      </x:c>
      <x:c r="R1921" s="55" t="n">
        <x:f>IF(O1921=0,0,ROUND(Q1921/O1921,4))</x:f>
        <x:v>0.2558</x:v>
      </x:c>
      <x:c r="S1921" s="53" t="n">
        <x:v>12</x:v>
      </x:c>
      <x:c r="T1921" t="str">
        <x:v>Entregue com atraso</x:v>
      </x:c>
      <x:c r="U1921" t="n">
        <x:v>2</x:v>
      </x:c>
      <x:c r="V1921" t="str"/>
    </x:row>
    <x:row r="1922">
      <x:c r="A1922" s="52" t="n">
        <x:v>46111</x:v>
      </x:c>
      <x:c r="B1922" t="str">
        <x:v>PED-101921</x:v>
      </x:c>
      <x:c r="C1922" t="str">
        <x:v>Cliente 101</x:v>
      </x:c>
      <x:c r="D1922" t="str">
        <x:v>MA</x:v>
      </x:c>
      <x:c r="E1922" t="str">
        <x:v>Nordeste</x:v>
      </x:c>
      <x:c r="F1922" t="str">
        <x:v>E-commerce</x:v>
      </x:c>
      <x:c r="G1922" t="str">
        <x:v>Escritório</x:v>
      </x:c>
      <x:c r="H1922" t="str">
        <x:v>Cadeira Ergonômica</x:v>
      </x:c>
      <x:c r="I1922" t="str">
        <x:v>Henrique</x:v>
      </x:c>
      <x:c r="J1922" s="53" t="n">
        <x:v>5</x:v>
      </x:c>
      <x:c r="K1922" s="54" t="n">
        <x:v>2299</x:v>
      </x:c>
      <x:c r="L1922" s="54" t="n">
        <x:v>1483.24</x:v>
      </x:c>
      <x:c r="M1922" s="55" t="n">
        <x:v>0</x:v>
      </x:c>
      <x:c r="N1922" s="54" t="n">
        <x:f>ROUND(J1922*K1922,2)</x:f>
        <x:v>11495</x:v>
      </x:c>
      <x:c r="O1922" s="54" t="n">
        <x:f>ROUND(N1922*(1-M1922),2)</x:f>
        <x:v>11495</x:v>
      </x:c>
      <x:c r="P1922" s="54" t="n">
        <x:f>ROUND(J1922*L1922,2)</x:f>
        <x:v>7416.2</x:v>
      </x:c>
      <x:c r="Q1922" s="54" t="n">
        <x:f>ROUND(O1922-P1922,2)</x:f>
        <x:v>4078.8</x:v>
      </x:c>
      <x:c r="R1922" s="55" t="n">
        <x:f>IF(O1922=0,0,ROUND(Q1922/O1922,4))</x:f>
        <x:v>0.3548</x:v>
      </x:c>
      <x:c r="S1922" s="53" t="n">
        <x:v>12</x:v>
      </x:c>
      <x:c r="T1922" t="str">
        <x:v>Entregue com atraso</x:v>
      </x:c>
      <x:c r="U1922" t="n">
        <x:v>5</x:v>
      </x:c>
      <x:c r="V1922" t="str"/>
    </x:row>
    <x:row r="1923">
      <x:c r="A1923" s="52" t="n">
        <x:v>46044</x:v>
      </x:c>
      <x:c r="B1923" t="str">
        <x:v>PED-101922</x:v>
      </x:c>
      <x:c r="C1923" t="str">
        <x:v>Cliente 019</x:v>
      </x:c>
      <x:c r="D1923" t="str">
        <x:v>MG</x:v>
      </x:c>
      <x:c r="E1923" t="str">
        <x:v>Sudeste</x:v>
      </x:c>
      <x:c r="F1923" t="str">
        <x:v>Televendas</x:v>
      </x:c>
      <x:c r="G1923" t="str">
        <x:v>Casa</x:v>
      </x:c>
      <x:c r="H1923" t="str">
        <x:v>Purificador</x:v>
      </x:c>
      <x:c r="I1923" t="str">
        <x:v>João</x:v>
      </x:c>
      <x:c r="J1923" s="53" t="n">
        <x:v>2</x:v>
      </x:c>
      <x:c r="K1923" s="54" t="n">
        <x:v>1302.93</x:v>
      </x:c>
      <x:c r="L1923" s="54" t="n">
        <x:v>787.55</x:v>
      </x:c>
      <x:c r="M1923" s="55" t="n">
        <x:v>0.09</x:v>
      </x:c>
      <x:c r="N1923" s="54" t="n">
        <x:f>ROUND(J1923*K1923,2)</x:f>
        <x:v>2605.86</x:v>
      </x:c>
      <x:c r="O1923" s="54" t="n">
        <x:f>ROUND(N1923*(1-M1923),2)</x:f>
        <x:v>2371.33</x:v>
      </x:c>
      <x:c r="P1923" s="54" t="n">
        <x:f>ROUND(J1923*L1923,2)</x:f>
        <x:v>1575.1</x:v>
      </x:c>
      <x:c r="Q1923" s="54" t="n">
        <x:f>ROUND(O1923-P1923,2)</x:f>
        <x:v>796.23</x:v>
      </x:c>
      <x:c r="R1923" s="55" t="n">
        <x:f>IF(O1923=0,0,ROUND(Q1923/O1923,4))</x:f>
        <x:v>0.3358</x:v>
      </x:c>
      <x:c r="S1923" s="53" t="n">
        <x:v>3</x:v>
      </x:c>
      <x:c r="T1923" t="str">
        <x:v>Entregue</x:v>
      </x:c>
      <x:c r="U1923" t="n">
        <x:v>2</x:v>
      </x:c>
      <x:c r="V1923" t="str"/>
    </x:row>
    <x:row r="1924">
      <x:c r="A1924" s="52" t="n">
        <x:v>46044</x:v>
      </x:c>
      <x:c r="B1924" t="str">
        <x:v>PED-101923</x:v>
      </x:c>
      <x:c r="C1924" t="str">
        <x:v>Cliente 120</x:v>
      </x:c>
      <x:c r="D1924" t="str">
        <x:v>SC</x:v>
      </x:c>
      <x:c r="E1924" t="str">
        <x:v>Sul</x:v>
      </x:c>
      <x:c r="F1924" t="str">
        <x:v>Loja</x:v>
      </x:c>
      <x:c r="G1924" t="str">
        <x:v>Acessórios</x:v>
      </x:c>
      <x:c r="H1924" t="str">
        <x:v>Webcam HD</x:v>
      </x:c>
      <x:c r="I1924" t="str">
        <x:v>Isabela</x:v>
      </x:c>
      <x:c r="J1924" s="53" t="n">
        <x:v>1</x:v>
      </x:c>
      <x:c r="K1924" s="54" t="n">
        <x:v>492.3</x:v>
      </x:c>
      <x:c r="L1924" s="54" t="n">
        <x:v>239.57</x:v>
      </x:c>
      <x:c r="M1924" s="55" t="n">
        <x:v>0</x:v>
      </x:c>
      <x:c r="N1924" s="54" t="n">
        <x:f>ROUND(J1924*K1924,2)</x:f>
        <x:v>492.3</x:v>
      </x:c>
      <x:c r="O1924" s="54" t="n">
        <x:f>ROUND(N1924*(1-M1924),2)</x:f>
        <x:v>492.3</x:v>
      </x:c>
      <x:c r="P1924" s="54" t="n">
        <x:f>ROUND(J1924*L1924,2)</x:f>
        <x:v>239.57</x:v>
      </x:c>
      <x:c r="Q1924" s="54" t="n">
        <x:f>ROUND(O1924-P1924,2)</x:f>
        <x:v>252.73</x:v>
      </x:c>
      <x:c r="R1924" s="55" t="n">
        <x:f>IF(O1924=0,0,ROUND(Q1924/O1924,4))</x:f>
        <x:v>0.5134</x:v>
      </x:c>
      <x:c r="S1924" s="53" t="n">
        <x:v>8</x:v>
      </x:c>
      <x:c r="T1924" t="str">
        <x:v>Cancelado</x:v>
      </x:c>
      <x:c r="U1924"/>
      <x:c r="V1924" t="str"/>
    </x:row>
    <x:row r="1925">
      <x:c r="A1925" s="52" t="n">
        <x:v>46088</x:v>
      </x:c>
      <x:c r="B1925" t="str">
        <x:v>PED-101924</x:v>
      </x:c>
      <x:c r="C1925" t="str">
        <x:v>Cliente 037</x:v>
      </x:c>
      <x:c r="D1925" t="str">
        <x:v>RJ</x:v>
      </x:c>
      <x:c r="E1925" t="str">
        <x:v>Sudeste</x:v>
      </x:c>
      <x:c r="F1925" t="str">
        <x:v>Televendas</x:v>
      </x:c>
      <x:c r="G1925" t="str">
        <x:v>Escritório</x:v>
      </x:c>
      <x:c r="H1925" t="str">
        <x:v>Mesa Ajustável</x:v>
      </x:c>
      <x:c r="I1925" t="str">
        <x:v>Isabela</x:v>
      </x:c>
      <x:c r="J1925" s="53" t="n">
        <x:v>1</x:v>
      </x:c>
      <x:c r="K1925" s="54" t="n">
        <x:v>2739.31</x:v>
      </x:c>
      <x:c r="L1925" s="54" t="n">
        <x:v>1872.6</x:v>
      </x:c>
      <x:c r="M1925" s="55" t="n">
        <x:v>0</x:v>
      </x:c>
      <x:c r="N1925" s="54" t="n">
        <x:f>ROUND(J1925*K1925,2)</x:f>
        <x:v>2739.31</x:v>
      </x:c>
      <x:c r="O1925" s="54" t="n">
        <x:f>ROUND(N1925*(1-M1925),2)</x:f>
        <x:v>2739.31</x:v>
      </x:c>
      <x:c r="P1925" s="54" t="n">
        <x:f>ROUND(J1925*L1925,2)</x:f>
        <x:v>1872.6</x:v>
      </x:c>
      <x:c r="Q1925" s="54" t="n">
        <x:f>ROUND(O1925-P1925,2)</x:f>
        <x:v>866.71</x:v>
      </x:c>
      <x:c r="R1925" s="55" t="n">
        <x:f>IF(O1925=0,0,ROUND(Q1925/O1925,4))</x:f>
        <x:v>0.3164</x:v>
      </x:c>
      <x:c r="S1925" s="53" t="n">
        <x:v>9</x:v>
      </x:c>
      <x:c r="T1925" t="str">
        <x:v>Cancelado</x:v>
      </x:c>
      <x:c r="U1925"/>
      <x:c r="V1925" t="str"/>
    </x:row>
    <x:row r="1926">
      <x:c r="A1926" s="52" t="n">
        <x:v>46120</x:v>
      </x:c>
      <x:c r="B1926" t="str">
        <x:v>PED-101925</x:v>
      </x:c>
      <x:c r="C1926" t="str">
        <x:v>Cliente 109</x:v>
      </x:c>
      <x:c r="D1926" t="str">
        <x:v>ES</x:v>
      </x:c>
      <x:c r="E1926" t="str">
        <x:v>Sudeste</x:v>
      </x:c>
      <x:c r="F1926" t="str">
        <x:v>E-commerce</x:v>
      </x:c>
      <x:c r="G1926" t="str">
        <x:v>Escritório</x:v>
      </x:c>
      <x:c r="H1926" t="str">
        <x:v>Luminária LED</x:v>
      </x:c>
      <x:c r="I1926" t="str">
        <x:v>Isabela</x:v>
      </x:c>
      <x:c r="J1926" s="53" t="n">
        <x:v>3</x:v>
      </x:c>
      <x:c r="K1926" s="54" t="n">
        <x:v>269.03</x:v>
      </x:c>
      <x:c r="L1926" s="54" t="n">
        <x:v>115.84</x:v>
      </x:c>
      <x:c r="M1926" s="55" t="n">
        <x:v>0.0663</x:v>
      </x:c>
      <x:c r="N1926" s="54" t="n">
        <x:f>ROUND(J1926*K1926,2)</x:f>
        <x:v>807.09</x:v>
      </x:c>
      <x:c r="O1926" s="54" t="n">
        <x:f>ROUND(N1926*(1-M1926),2)</x:f>
        <x:v>753.58</x:v>
      </x:c>
      <x:c r="P1926" s="54" t="n">
        <x:f>ROUND(J1926*L1926,2)</x:f>
        <x:v>347.52</x:v>
      </x:c>
      <x:c r="Q1926" s="54" t="n">
        <x:f>ROUND(O1926-P1926,2)</x:f>
        <x:v>406.06</x:v>
      </x:c>
      <x:c r="R1926" s="55" t="n">
        <x:f>IF(O1926=0,0,ROUND(Q1926/O1926,4))</x:f>
        <x:v>0.5388</x:v>
      </x:c>
      <x:c r="S1926" s="53" t="n">
        <x:v>6</x:v>
      </x:c>
      <x:c r="T1926" t="str">
        <x:v>Entregue</x:v>
      </x:c>
      <x:c r="U1926" t="n">
        <x:v>5</x:v>
      </x:c>
      <x:c r="V1926" t="str"/>
    </x:row>
    <x:row r="1927">
      <x:c r="A1927" s="52" t="n">
        <x:v>46094</x:v>
      </x:c>
      <x:c r="B1927" t="str">
        <x:v>PED-101926</x:v>
      </x:c>
      <x:c r="C1927" t="str">
        <x:v>Cliente 030</x:v>
      </x:c>
      <x:c r="D1927" t="str">
        <x:v>MA</x:v>
      </x:c>
      <x:c r="E1927" t="str">
        <x:v>Nordeste</x:v>
      </x:c>
      <x:c r="F1927" t="str">
        <x:v>Televendas</x:v>
      </x:c>
      <x:c r="G1927" t="str">
        <x:v>Tecnologia</x:v>
      </x:c>
      <x:c r="H1927" t="str">
        <x:v>Monitor 27</x:v>
      </x:c>
      <x:c r="I1927" t="str">
        <x:v>Henrique</x:v>
      </x:c>
      <x:c r="J1927" s="53" t="n">
        <x:v>4</x:v>
      </x:c>
      <x:c r="K1927" s="54" t="n">
        <x:v>1750.13</x:v>
      </x:c>
      <x:c r="L1927" s="54" t="n">
        <x:v>1094.2</x:v>
      </x:c>
      <x:c r="M1927" s="55" t="n">
        <x:v>0.0328</x:v>
      </x:c>
      <x:c r="N1927" s="54" t="n">
        <x:f>ROUND(J1927*K1927,2)</x:f>
        <x:v>7000.52</x:v>
      </x:c>
      <x:c r="O1927" s="54" t="n">
        <x:f>ROUND(N1927*(1-M1927),2)</x:f>
        <x:v>6770.9</x:v>
      </x:c>
      <x:c r="P1927" s="54" t="n">
        <x:f>ROUND(J1927*L1927,2)</x:f>
        <x:v>4376.8</x:v>
      </x:c>
      <x:c r="Q1927" s="54" t="n">
        <x:f>ROUND(O1927-P1927,2)</x:f>
        <x:v>2394.1</x:v>
      </x:c>
      <x:c r="R1927" s="55" t="n">
        <x:f>IF(O1927=0,0,ROUND(Q1927/O1927,4))</x:f>
        <x:v>0.3536</x:v>
      </x:c>
      <x:c r="S1927" s="53" t="n">
        <x:v>4</x:v>
      </x:c>
      <x:c r="T1927" t="str">
        <x:v>Entregue</x:v>
      </x:c>
      <x:c r="U1927" t="n">
        <x:v>3</x:v>
      </x:c>
      <x:c r="V1927" t="str"/>
    </x:row>
    <x:row r="1928">
      <x:c r="A1928" s="52" t="n">
        <x:v>46201</x:v>
      </x:c>
      <x:c r="B1928" t="str">
        <x:v>PED-101927</x:v>
      </x:c>
      <x:c r="C1928" t="str">
        <x:v>Cliente 024</x:v>
      </x:c>
      <x:c r="D1928" t="str">
        <x:v>PA</x:v>
      </x:c>
      <x:c r="E1928" t="str">
        <x:v>Norte</x:v>
      </x:c>
      <x:c r="F1928" t="str">
        <x:v>Televendas</x:v>
      </x:c>
      <x:c r="G1928" t="str">
        <x:v>Acessórios</x:v>
      </x:c>
      <x:c r="H1928" t="str">
        <x:v>Webcam HD</x:v>
      </x:c>
      <x:c r="I1928" t="str">
        <x:v>Felipe</x:v>
      </x:c>
      <x:c r="J1928" s="53" t="n">
        <x:v>5</x:v>
      </x:c>
      <x:c r="K1928" s="54" t="n">
        <x:v>519.16</x:v>
      </x:c>
      <x:c r="L1928" s="54" t="n">
        <x:v>252.28</x:v>
      </x:c>
      <x:c r="M1928" s="55" t="n">
        <x:v>0.0855</x:v>
      </x:c>
      <x:c r="N1928" s="54" t="n">
        <x:f>ROUND(J1928*K1928,2)</x:f>
        <x:v>2595.8</x:v>
      </x:c>
      <x:c r="O1928" s="54" t="n">
        <x:f>ROUND(N1928*(1-M1928),2)</x:f>
        <x:v>2373.86</x:v>
      </x:c>
      <x:c r="P1928" s="54" t="n">
        <x:f>ROUND(J1928*L1928,2)</x:f>
        <x:v>1261.4</x:v>
      </x:c>
      <x:c r="Q1928" s="54" t="n">
        <x:f>ROUND(O1928-P1928,2)</x:f>
        <x:v>1112.46</x:v>
      </x:c>
      <x:c r="R1928" s="55" t="n">
        <x:f>IF(O1928=0,0,ROUND(Q1928/O1928,4))</x:f>
        <x:v>0.4686</x:v>
      </x:c>
      <x:c r="S1928" s="53" t="n">
        <x:v>10</x:v>
      </x:c>
      <x:c r="T1928" t="str">
        <x:v>Cancelado</x:v>
      </x:c>
      <x:c r="U1928"/>
      <x:c r="V1928" t="str"/>
    </x:row>
    <x:row r="1929">
      <x:c r="A1929" s="52" t="n">
        <x:v>46189</x:v>
      </x:c>
      <x:c r="B1929" t="str">
        <x:v>PED-101928</x:v>
      </x:c>
      <x:c r="C1929" t="str">
        <x:v>Cliente 095</x:v>
      </x:c>
      <x:c r="D1929" t="str">
        <x:v>PE</x:v>
      </x:c>
      <x:c r="E1929" t="str">
        <x:v>Nordeste</x:v>
      </x:c>
      <x:c r="F1929" t="str">
        <x:v>Televendas</x:v>
      </x:c>
      <x:c r="G1929" t="str">
        <x:v>Casa</x:v>
      </x:c>
      <x:c r="H1929" t="str">
        <x:v>Cafeteira Smart</x:v>
      </x:c>
      <x:c r="I1929" t="str">
        <x:v>João</x:v>
      </x:c>
      <x:c r="J1929" s="53" t="n">
        <x:v>1</x:v>
      </x:c>
      <x:c r="K1929" s="54" t="n">
        <x:v>837.38</x:v>
      </x:c>
      <x:c r="L1929" s="54" t="n">
        <x:v>462.19</x:v>
      </x:c>
      <x:c r="M1929" s="55" t="n">
        <x:v>0</x:v>
      </x:c>
      <x:c r="N1929" s="54" t="n">
        <x:f>ROUND(J1929*K1929,2)</x:f>
        <x:v>837.38</x:v>
      </x:c>
      <x:c r="O1929" s="54" t="n">
        <x:f>ROUND(N1929*(1-M1929),2)</x:f>
        <x:v>837.38</x:v>
      </x:c>
      <x:c r="P1929" s="54" t="n">
        <x:f>ROUND(J1929*L1929,2)</x:f>
        <x:v>462.19</x:v>
      </x:c>
      <x:c r="Q1929" s="54" t="n">
        <x:f>ROUND(O1929-P1929,2)</x:f>
        <x:v>375.19</x:v>
      </x:c>
      <x:c r="R1929" s="55" t="n">
        <x:f>IF(O1929=0,0,ROUND(Q1929/O1929,4))</x:f>
        <x:v>0.4481</x:v>
      </x:c>
      <x:c r="S1929" s="53" t="n">
        <x:v>11</x:v>
      </x:c>
      <x:c r="T1929" t="str">
        <x:v>Entregue com atraso</x:v>
      </x:c>
      <x:c r="U1929" t="n">
        <x:v>5</x:v>
      </x:c>
      <x:c r="V1929" t="str"/>
    </x:row>
    <x:row r="1930">
      <x:c r="A1930" s="52" t="n">
        <x:v>46104</x:v>
      </x:c>
      <x:c r="B1930" t="str">
        <x:v>PED-101929</x:v>
      </x:c>
      <x:c r="C1930" t="str">
        <x:v>Cliente 028</x:v>
      </x:c>
      <x:c r="D1930" t="str">
        <x:v>SC</x:v>
      </x:c>
      <x:c r="E1930" t="str">
        <x:v>Sul</x:v>
      </x:c>
      <x:c r="F1930" t="str">
        <x:v>Loja</x:v>
      </x:c>
      <x:c r="G1930" t="str">
        <x:v>Casa</x:v>
      </x:c>
      <x:c r="H1930" t="str">
        <x:v>Aspirador Robô</x:v>
      </x:c>
      <x:c r="I1930" t="str">
        <x:v>João</x:v>
      </x:c>
      <x:c r="J1930" s="53" t="n">
        <x:v>8</x:v>
      </x:c>
      <x:c r="K1930" s="54" t="n">
        <x:v>1845.11</x:v>
      </x:c>
      <x:c r="L1930" s="54" t="n">
        <x:v>1182.82</x:v>
      </x:c>
      <x:c r="M1930" s="55" t="n">
        <x:v>0.1215</x:v>
      </x:c>
      <x:c r="N1930" s="54" t="n">
        <x:f>ROUND(J1930*K1930,2)</x:f>
        <x:v>14760.88</x:v>
      </x:c>
      <x:c r="O1930" s="54" t="n">
        <x:f>ROUND(N1930*(1-M1930),2)</x:f>
        <x:v>12967.43</x:v>
      </x:c>
      <x:c r="P1930" s="54" t="n">
        <x:f>ROUND(J1930*L1930,2)</x:f>
        <x:v>9462.56</x:v>
      </x:c>
      <x:c r="Q1930" s="54" t="n">
        <x:f>ROUND(O1930-P1930,2)</x:f>
        <x:v>3504.87</x:v>
      </x:c>
      <x:c r="R1930" s="55" t="n">
        <x:f>IF(O1930=0,0,ROUND(Q1930/O1930,4))</x:f>
        <x:v>0.2703</x:v>
      </x:c>
      <x:c r="S1930" s="53" t="n">
        <x:v>10</x:v>
      </x:c>
      <x:c r="T1930" t="str">
        <x:v>Entregue</x:v>
      </x:c>
      <x:c r="U1930" t="n">
        <x:v>5</x:v>
      </x:c>
      <x:c r="V1930" t="str"/>
    </x:row>
    <x:row r="1931">
      <x:c r="A1931" s="52" t="n">
        <x:v>46163</x:v>
      </x:c>
      <x:c r="B1931" t="str">
        <x:v>PED-101930</x:v>
      </x:c>
      <x:c r="C1931" t="str">
        <x:v>Cliente 056</x:v>
      </x:c>
      <x:c r="D1931" t="str">
        <x:v>DF</x:v>
      </x:c>
      <x:c r="E1931" t="str">
        <x:v>Centro-Oeste</x:v>
      </x:c>
      <x:c r="F1931" t="str">
        <x:v>Loja</x:v>
      </x:c>
      <x:c r="G1931" t="str">
        <x:v>Acessórios</x:v>
      </x:c>
      <x:c r="H1931" t="str">
        <x:v>Webcam HD</x:v>
      </x:c>
      <x:c r="I1931" t="str">
        <x:v>João</x:v>
      </x:c>
      <x:c r="J1931" s="53" t="n">
        <x:v>7</x:v>
      </x:c>
      <x:c r="K1931" s="54" t="n">
        <x:v>501.54</x:v>
      </x:c>
      <x:c r="L1931" s="54" t="n">
        <x:v>249.74</x:v>
      </x:c>
      <x:c r="M1931" s="55" t="n">
        <x:v>0</x:v>
      </x:c>
      <x:c r="N1931" s="54" t="n">
        <x:f>ROUND(J1931*K1931,2)</x:f>
        <x:v>3510.78</x:v>
      </x:c>
      <x:c r="O1931" s="54" t="n">
        <x:f>ROUND(N1931*(1-M1931),2)</x:f>
        <x:v>3510.78</x:v>
      </x:c>
      <x:c r="P1931" s="54" t="n">
        <x:f>ROUND(J1931*L1931,2)</x:f>
        <x:v>1748.18</x:v>
      </x:c>
      <x:c r="Q1931" s="54" t="n">
        <x:f>ROUND(O1931-P1931,2)</x:f>
        <x:v>1762.6</x:v>
      </x:c>
      <x:c r="R1931" s="55" t="n">
        <x:f>IF(O1931=0,0,ROUND(Q1931/O1931,4))</x:f>
        <x:v>0.5021</x:v>
      </x:c>
      <x:c r="S1931" s="53" t="n">
        <x:v>9</x:v>
      </x:c>
      <x:c r="T1931" t="str">
        <x:v>Entregue</x:v>
      </x:c>
      <x:c r="U1931" t="n">
        <x:v>4</x:v>
      </x:c>
      <x:c r="V1931" t="str"/>
    </x:row>
    <x:row r="1932">
      <x:c r="A1932" s="52" t="n">
        <x:v>46182</x:v>
      </x:c>
      <x:c r="B1932" t="str">
        <x:v>PED-101931</x:v>
      </x:c>
      <x:c r="C1932" t="str">
        <x:v>Cliente 120</x:v>
      </x:c>
      <x:c r="D1932" t="str">
        <x:v>SC</x:v>
      </x:c>
      <x:c r="E1932" t="str">
        <x:v>Sul</x:v>
      </x:c>
      <x:c r="F1932" t="str">
        <x:v>Loja</x:v>
      </x:c>
      <x:c r="G1932" t="str">
        <x:v>Casa</x:v>
      </x:c>
      <x:c r="H1932" t="str">
        <x:v>Cafeteira Smart</x:v>
      </x:c>
      <x:c r="I1932" t="str">
        <x:v>Ana</x:v>
      </x:c>
      <x:c r="J1932" s="53" t="n">
        <x:v>6</x:v>
      </x:c>
      <x:c r="K1932" s="54" t="n">
        <x:v>745.37</x:v>
      </x:c>
      <x:c r="L1932" s="54" t="n">
        <x:v>448.79</x:v>
      </x:c>
      <x:c r="M1932" s="55" t="n">
        <x:v>0</x:v>
      </x:c>
      <x:c r="N1932" s="54" t="n">
        <x:f>ROUND(J1932*K1932,2)</x:f>
        <x:v>4472.22</x:v>
      </x:c>
      <x:c r="O1932" s="54" t="n">
        <x:f>ROUND(N1932*(1-M1932),2)</x:f>
        <x:v>4472.22</x:v>
      </x:c>
      <x:c r="P1932" s="54" t="n">
        <x:f>ROUND(J1932*L1932,2)</x:f>
        <x:v>2692.74</x:v>
      </x:c>
      <x:c r="Q1932" s="54" t="n">
        <x:f>ROUND(O1932-P1932,2)</x:f>
        <x:v>1779.48</x:v>
      </x:c>
      <x:c r="R1932" s="55" t="n">
        <x:f>IF(O1932=0,0,ROUND(Q1932/O1932,4))</x:f>
        <x:v>0.3979</x:v>
      </x:c>
      <x:c r="S1932" s="53" t="n">
        <x:v>5</x:v>
      </x:c>
      <x:c r="T1932" t="str">
        <x:v>Entregue</x:v>
      </x:c>
      <x:c r="U1932" t="n">
        <x:v>5</x:v>
      </x:c>
      <x:c r="V1932" t="str"/>
    </x:row>
    <x:row r="1933">
      <x:c r="A1933" s="52" t="n">
        <x:v>46118</x:v>
      </x:c>
      <x:c r="B1933" t="str">
        <x:v>PED-101932</x:v>
      </x:c>
      <x:c r="C1933" t="str">
        <x:v>Cliente 073</x:v>
      </x:c>
      <x:c r="D1933" t="str">
        <x:v>DF</x:v>
      </x:c>
      <x:c r="E1933" t="str">
        <x:v>Centro-Oeste</x:v>
      </x:c>
      <x:c r="F1933" t="str">
        <x:v>Televendas</x:v>
      </x:c>
      <x:c r="G1933" t="str">
        <x:v>Escritório</x:v>
      </x:c>
      <x:c r="H1933" t="str">
        <x:v>Mesa Ajustável</x:v>
      </x:c>
      <x:c r="I1933" t="str">
        <x:v>Elaine</x:v>
      </x:c>
      <x:c r="J1933" s="53" t="n">
        <x:v>5</x:v>
      </x:c>
      <x:c r="K1933" s="54" t="n">
        <x:v>2699.12</x:v>
      </x:c>
      <x:c r="L1933" s="54" t="n">
        <x:v>1824.31</x:v>
      </x:c>
      <x:c r="M1933" s="55" t="n">
        <x:v>0</x:v>
      </x:c>
      <x:c r="N1933" s="54" t="n">
        <x:f>ROUND(J1933*K1933,2)</x:f>
        <x:v>13495.6</x:v>
      </x:c>
      <x:c r="O1933" s="54" t="n">
        <x:f>ROUND(N1933*(1-M1933),2)</x:f>
        <x:v>13495.6</x:v>
      </x:c>
      <x:c r="P1933" s="54" t="n">
        <x:f>ROUND(J1933*L1933,2)</x:f>
        <x:v>9121.55</x:v>
      </x:c>
      <x:c r="Q1933" s="54" t="n">
        <x:f>ROUND(O1933-P1933,2)</x:f>
        <x:v>4374.05</x:v>
      </x:c>
      <x:c r="R1933" s="55" t="n">
        <x:f>IF(O1933=0,0,ROUND(Q1933/O1933,4))</x:f>
        <x:v>0.3241</x:v>
      </x:c>
      <x:c r="S1933" s="53" t="n">
        <x:v>9</x:v>
      </x:c>
      <x:c r="T1933" t="str">
        <x:v>Entregue</x:v>
      </x:c>
      <x:c r="U1933" t="n">
        <x:v>5</x:v>
      </x:c>
      <x:c r="V1933" t="str"/>
    </x:row>
    <x:row r="1934">
      <x:c r="A1934" s="52" t="n">
        <x:v>46171</x:v>
      </x:c>
      <x:c r="B1934" t="str">
        <x:v>PED-101933</x:v>
      </x:c>
      <x:c r="C1934" t="str">
        <x:v>Cliente 064</x:v>
      </x:c>
      <x:c r="D1934" t="str">
        <x:v>ES</x:v>
      </x:c>
      <x:c r="E1934" t="str">
        <x:v>Sudeste</x:v>
      </x:c>
      <x:c r="F1934" t="str">
        <x:v>Televendas</x:v>
      </x:c>
      <x:c r="G1934" t="str">
        <x:v>Tecnologia</x:v>
      </x:c>
      <x:c r="H1934" t="str">
        <x:v>Monitor 27</x:v>
      </x:c>
      <x:c r="I1934" t="str">
        <x:v>Bruno</x:v>
      </x:c>
      <x:c r="J1934" s="53" t="n">
        <x:v>3</x:v>
      </x:c>
      <x:c r="K1934" s="54" t="n">
        <x:v>1779.03</x:v>
      </x:c>
      <x:c r="L1934" s="54" t="n">
        <x:v>1059.61</x:v>
      </x:c>
      <x:c r="M1934" s="55" t="n">
        <x:v>0.1066</x:v>
      </x:c>
      <x:c r="N1934" s="54" t="n">
        <x:f>ROUND(J1934*K1934,2)</x:f>
        <x:v>5337.09</x:v>
      </x:c>
      <x:c r="O1934" s="54" t="n">
        <x:f>ROUND(N1934*(1-M1934),2)</x:f>
        <x:v>4768.16</x:v>
      </x:c>
      <x:c r="P1934" s="54" t="n">
        <x:f>ROUND(J1934*L1934,2)</x:f>
        <x:v>3178.83</x:v>
      </x:c>
      <x:c r="Q1934" s="54" t="n">
        <x:f>ROUND(O1934-P1934,2)</x:f>
        <x:v>1589.33</x:v>
      </x:c>
      <x:c r="R1934" s="55" t="n">
        <x:f>IF(O1934=0,0,ROUND(Q1934/O1934,4))</x:f>
        <x:v>0.3333</x:v>
      </x:c>
      <x:c r="S1934" s="53" t="n">
        <x:v>2</x:v>
      </x:c>
      <x:c r="T1934" t="str">
        <x:v>Entregue</x:v>
      </x:c>
      <x:c r="U1934" t="n">
        <x:v>3</x:v>
      </x:c>
      <x:c r="V1934" t="str"/>
    </x:row>
    <x:row r="1935">
      <x:c r="A1935" s="52" t="n">
        <x:v>46080</x:v>
      </x:c>
      <x:c r="B1935" t="str">
        <x:v>PED-101934</x:v>
      </x:c>
      <x:c r="C1935" t="str">
        <x:v>Cliente 067</x:v>
      </x:c>
      <x:c r="D1935" t="str">
        <x:v>ES</x:v>
      </x:c>
      <x:c r="E1935" t="str">
        <x:v>Sudeste</x:v>
      </x:c>
      <x:c r="F1935" t="str">
        <x:v>Marketplace</x:v>
      </x:c>
      <x:c r="G1935" t="str">
        <x:v>Casa</x:v>
      </x:c>
      <x:c r="H1935" t="str">
        <x:v>Aspirador Robô</x:v>
      </x:c>
      <x:c r="I1935" t="str">
        <x:v>Isabela</x:v>
      </x:c>
      <x:c r="J1935" s="53" t="n">
        <x:v>7</x:v>
      </x:c>
      <x:c r="K1935" s="54" t="n">
        <x:v>1887.83</x:v>
      </x:c>
      <x:c r="L1935" s="54" t="n">
        <x:v>1152.6</x:v>
      </x:c>
      <x:c r="M1935" s="55" t="n">
        <x:v>0.0881</x:v>
      </x:c>
      <x:c r="N1935" s="54" t="n">
        <x:f>ROUND(J1935*K1935,2)</x:f>
        <x:v>13214.81</x:v>
      </x:c>
      <x:c r="O1935" s="54" t="n">
        <x:f>ROUND(N1935*(1-M1935),2)</x:f>
        <x:v>12050.59</x:v>
      </x:c>
      <x:c r="P1935" s="54" t="n">
        <x:f>ROUND(J1935*L1935,2)</x:f>
        <x:v>8068.2</x:v>
      </x:c>
      <x:c r="Q1935" s="54" t="n">
        <x:f>ROUND(O1935-P1935,2)</x:f>
        <x:v>3982.39</x:v>
      </x:c>
      <x:c r="R1935" s="55" t="n">
        <x:f>IF(O1935=0,0,ROUND(Q1935/O1935,4))</x:f>
        <x:v>0.3305</x:v>
      </x:c>
      <x:c r="S1935" s="53" t="n">
        <x:v>14</x:v>
      </x:c>
      <x:c r="T1935" t="str">
        <x:v>Entregue com atraso</x:v>
      </x:c>
      <x:c r="U1935" t="n">
        <x:v>3</x:v>
      </x:c>
      <x:c r="V1935" t="str"/>
    </x:row>
    <x:row r="1936">
      <x:c r="A1936" s="52" t="n">
        <x:v>46185</x:v>
      </x:c>
      <x:c r="B1936" t="str">
        <x:v>PED-101935</x:v>
      </x:c>
      <x:c r="C1936" t="str">
        <x:v>Cliente 047</x:v>
      </x:c>
      <x:c r="D1936" t="str">
        <x:v>CE</x:v>
      </x:c>
      <x:c r="E1936" t="str">
        <x:v>Nordeste</x:v>
      </x:c>
      <x:c r="F1936" t="str">
        <x:v>E-commerce</x:v>
      </x:c>
      <x:c r="G1936" t="str">
        <x:v>Escritório</x:v>
      </x:c>
      <x:c r="H1936" t="str">
        <x:v>Cadeira Ergonômica</x:v>
      </x:c>
      <x:c r="I1936" t="str">
        <x:v>Bruno</x:v>
      </x:c>
      <x:c r="J1936" s="53" t="n">
        <x:v>3</x:v>
      </x:c>
      <x:c r="K1936" s="54" t="n">
        <x:v>2163.55</x:v>
      </x:c>
      <x:c r="L1936" s="54" t="n">
        <x:v>1507.46</x:v>
      </x:c>
      <x:c r="M1936" s="55" t="n">
        <x:v>0.0193</x:v>
      </x:c>
      <x:c r="N1936" s="54" t="n">
        <x:f>ROUND(J1936*K1936,2)</x:f>
        <x:v>6490.65</x:v>
      </x:c>
      <x:c r="O1936" s="54" t="n">
        <x:f>ROUND(N1936*(1-M1936),2)</x:f>
        <x:v>6365.38</x:v>
      </x:c>
      <x:c r="P1936" s="54" t="n">
        <x:f>ROUND(J1936*L1936,2)</x:f>
        <x:v>4522.38</x:v>
      </x:c>
      <x:c r="Q1936" s="54" t="n">
        <x:f>ROUND(O1936-P1936,2)</x:f>
        <x:v>1843</x:v>
      </x:c>
      <x:c r="R1936" s="55" t="n">
        <x:f>IF(O1936=0,0,ROUND(Q1936/O1936,4))</x:f>
        <x:v>0.2895</x:v>
      </x:c>
      <x:c r="S1936" s="53" t="n">
        <x:v>6</x:v>
      </x:c>
      <x:c r="T1936" t="str">
        <x:v>Entregue</x:v>
      </x:c>
      <x:c r="U1936" t="n">
        <x:v>5</x:v>
      </x:c>
      <x:c r="V1936" t="str"/>
    </x:row>
    <x:row r="1937">
      <x:c r="A1937" s="52" t="n">
        <x:v>46127</x:v>
      </x:c>
      <x:c r="B1937" t="str">
        <x:v>PED-101936</x:v>
      </x:c>
      <x:c r="C1937" t="str">
        <x:v>Cliente 042</x:v>
      </x:c>
      <x:c r="D1937" t="str">
        <x:v>MA</x:v>
      </x:c>
      <x:c r="E1937" t="str">
        <x:v>Nordeste</x:v>
      </x:c>
      <x:c r="F1937" t="str">
        <x:v>Loja</x:v>
      </x:c>
      <x:c r="G1937" t="str">
        <x:v>Escritório</x:v>
      </x:c>
      <x:c r="H1937" t="str">
        <x:v>Luminária LED</x:v>
      </x:c>
      <x:c r="I1937" t="str">
        <x:v>Ana</x:v>
      </x:c>
      <x:c r="J1937" s="53" t="n">
        <x:v>4</x:v>
      </x:c>
      <x:c r="K1937" s="54" t="n">
        <x:v>264.47</x:v>
      </x:c>
      <x:c r="L1937" s="54" t="n">
        <x:v>121.29</x:v>
      </x:c>
      <x:c r="M1937" s="55" t="n">
        <x:v>0</x:v>
      </x:c>
      <x:c r="N1937" s="54" t="n">
        <x:f>ROUND(J1937*K1937,2)</x:f>
        <x:v>1057.88</x:v>
      </x:c>
      <x:c r="O1937" s="54" t="n">
        <x:f>ROUND(N1937*(1-M1937),2)</x:f>
        <x:v>1057.88</x:v>
      </x:c>
      <x:c r="P1937" s="54" t="n">
        <x:f>ROUND(J1937*L1937,2)</x:f>
        <x:v>485.16</x:v>
      </x:c>
      <x:c r="Q1937" s="54" t="n">
        <x:f>ROUND(O1937-P1937,2)</x:f>
        <x:v>572.72</x:v>
      </x:c>
      <x:c r="R1937" s="55" t="n">
        <x:f>IF(O1937=0,0,ROUND(Q1937/O1937,4))</x:f>
        <x:v>0.5414</x:v>
      </x:c>
      <x:c r="S1937" s="53" t="n">
        <x:v>3</x:v>
      </x:c>
      <x:c r="T1937" t="str">
        <x:v>Entregue</x:v>
      </x:c>
      <x:c r="U1937" t="n">
        <x:v>4</x:v>
      </x:c>
      <x:c r="V1937" t="str"/>
    </x:row>
    <x:row r="1938">
      <x:c r="A1938" s="52" t="n">
        <x:v>46102</x:v>
      </x:c>
      <x:c r="B1938" t="str">
        <x:v>PED-101937</x:v>
      </x:c>
      <x:c r="C1938" t="str">
        <x:v>Cliente 045</x:v>
      </x:c>
      <x:c r="D1938" t="str">
        <x:v>AM</x:v>
      </x:c>
      <x:c r="E1938" t="str">
        <x:v>Norte</x:v>
      </x:c>
      <x:c r="F1938" t="str">
        <x:v>Televendas</x:v>
      </x:c>
      <x:c r="G1938" t="str">
        <x:v>Acessórios</x:v>
      </x:c>
      <x:c r="H1938" t="str">
        <x:v>Mochila Executiva</x:v>
      </x:c>
      <x:c r="I1938" t="str">
        <x:v>Ana</x:v>
      </x:c>
      <x:c r="J1938" s="53" t="n">
        <x:v>4</x:v>
      </x:c>
      <x:c r="K1938" s="54" t="n">
        <x:v>427.16</x:v>
      </x:c>
      <x:c r="L1938" s="54" t="n">
        <x:v>191.92</x:v>
      </x:c>
      <x:c r="M1938" s="55" t="n">
        <x:v>0</x:v>
      </x:c>
      <x:c r="N1938" s="54" t="n">
        <x:f>ROUND(J1938*K1938,2)</x:f>
        <x:v>1708.64</x:v>
      </x:c>
      <x:c r="O1938" s="54" t="n">
        <x:f>ROUND(N1938*(1-M1938),2)</x:f>
        <x:v>1708.64</x:v>
      </x:c>
      <x:c r="P1938" s="54" t="n">
        <x:f>ROUND(J1938*L1938,2)</x:f>
        <x:v>767.68</x:v>
      </x:c>
      <x:c r="Q1938" s="54" t="n">
        <x:f>ROUND(O1938-P1938,2)</x:f>
        <x:v>940.96</x:v>
      </x:c>
      <x:c r="R1938" s="55" t="n">
        <x:f>IF(O1938=0,0,ROUND(Q1938/O1938,4))</x:f>
        <x:v>0.5507</x:v>
      </x:c>
      <x:c r="S1938" s="53" t="n">
        <x:v>5</x:v>
      </x:c>
      <x:c r="T1938" t="str">
        <x:v>Cancelado</x:v>
      </x:c>
      <x:c r="U1938"/>
      <x:c r="V1938" t="str"/>
    </x:row>
    <x:row r="1939">
      <x:c r="A1939" s="52" t="n">
        <x:v>46054</x:v>
      </x:c>
      <x:c r="B1939" t="str">
        <x:v>PED-101938</x:v>
      </x:c>
      <x:c r="C1939" t="str">
        <x:v>Cliente 109</x:v>
      </x:c>
      <x:c r="D1939" t="str">
        <x:v>MT</x:v>
      </x:c>
      <x:c r="E1939" t="str">
        <x:v>Centro-Oeste</x:v>
      </x:c>
      <x:c r="F1939" t="str">
        <x:v>Loja</x:v>
      </x:c>
      <x:c r="G1939" t="str">
        <x:v>Casa</x:v>
      </x:c>
      <x:c r="H1939" t="str">
        <x:v>Aspirador Robô</x:v>
      </x:c>
      <x:c r="I1939" t="str">
        <x:v>Bruno</x:v>
      </x:c>
      <x:c r="J1939" s="53" t="n">
        <x:v>8</x:v>
      </x:c>
      <x:c r="K1939" s="54" t="n">
        <x:v>1919.86</x:v>
      </x:c>
      <x:c r="L1939" s="54" t="n">
        <x:v>1190.54</x:v>
      </x:c>
      <x:c r="M1939" s="55" t="n">
        <x:v>0</x:v>
      </x:c>
      <x:c r="N1939" s="54" t="n">
        <x:f>ROUND(J1939*K1939,2)</x:f>
        <x:v>15358.88</x:v>
      </x:c>
      <x:c r="O1939" s="54" t="n">
        <x:f>ROUND(N1939*(1-M1939),2)</x:f>
        <x:v>15358.88</x:v>
      </x:c>
      <x:c r="P1939" s="54" t="n">
        <x:f>ROUND(J1939*L1939,2)</x:f>
        <x:v>9524.32</x:v>
      </x:c>
      <x:c r="Q1939" s="54" t="n">
        <x:f>ROUND(O1939-P1939,2)</x:f>
        <x:v>5834.56</x:v>
      </x:c>
      <x:c r="R1939" s="55" t="n">
        <x:f>IF(O1939=0,0,ROUND(Q1939/O1939,4))</x:f>
        <x:v>0.3799</x:v>
      </x:c>
      <x:c r="S1939" s="53" t="n">
        <x:v>13</x:v>
      </x:c>
      <x:c r="T1939" t="str">
        <x:v>Entregue com atraso</x:v>
      </x:c>
      <x:c r="U1939" t="n">
        <x:v>3</x:v>
      </x:c>
      <x:c r="V1939" t="str"/>
    </x:row>
    <x:row r="1940">
      <x:c r="A1940" s="52" t="n">
        <x:v>46085</x:v>
      </x:c>
      <x:c r="B1940" t="str">
        <x:v>PED-101939</x:v>
      </x:c>
      <x:c r="C1940" t="str">
        <x:v>Cliente 115</x:v>
      </x:c>
      <x:c r="D1940" t="str">
        <x:v>GO</x:v>
      </x:c>
      <x:c r="E1940" t="str">
        <x:v>Centro-Oeste</x:v>
      </x:c>
      <x:c r="F1940" t="str">
        <x:v>Televendas</x:v>
      </x:c>
      <x:c r="G1940" t="str">
        <x:v>Acessórios</x:v>
      </x:c>
      <x:c r="H1940" t="str">
        <x:v>Webcam HD</x:v>
      </x:c>
      <x:c r="I1940" t="str">
        <x:v>Henrique</x:v>
      </x:c>
      <x:c r="J1940" s="53" t="n">
        <x:v>6</x:v>
      </x:c>
      <x:c r="K1940" s="54" t="n">
        <x:v>521.66</x:v>
      </x:c>
      <x:c r="L1940" s="54" t="n">
        <x:v>231.2</x:v>
      </x:c>
      <x:c r="M1940" s="55" t="n">
        <x:v>0.0502</x:v>
      </x:c>
      <x:c r="N1940" s="54" t="n">
        <x:f>ROUND(J1940*K1940,2)</x:f>
        <x:v>3129.96</x:v>
      </x:c>
      <x:c r="O1940" s="54" t="n">
        <x:f>ROUND(N1940*(1-M1940),2)</x:f>
        <x:v>2972.84</x:v>
      </x:c>
      <x:c r="P1940" s="54" t="n">
        <x:f>ROUND(J1940*L1940,2)</x:f>
        <x:v>1387.2</x:v>
      </x:c>
      <x:c r="Q1940" s="54" t="n">
        <x:f>ROUND(O1940-P1940,2)</x:f>
        <x:v>1585.64</x:v>
      </x:c>
      <x:c r="R1940" s="55" t="n">
        <x:f>IF(O1940=0,0,ROUND(Q1940/O1940,4))</x:f>
        <x:v>0.5334</x:v>
      </x:c>
      <x:c r="S1940" s="53" t="n">
        <x:v>3</x:v>
      </x:c>
      <x:c r="T1940" t="str">
        <x:v>Entregue</x:v>
      </x:c>
      <x:c r="U1940" t="n">
        <x:v>3</x:v>
      </x:c>
      <x:c r="V1940" t="str"/>
    </x:row>
    <x:row r="1941">
      <x:c r="A1941" s="52" t="n">
        <x:v>46187</x:v>
      </x:c>
      <x:c r="B1941" t="str">
        <x:v>PED-101940</x:v>
      </x:c>
      <x:c r="C1941" t="str">
        <x:v>Cliente 060</x:v>
      </x:c>
      <x:c r="D1941" t="str">
        <x:v>MG</x:v>
      </x:c>
      <x:c r="E1941" t="str">
        <x:v>Sudeste</x:v>
      </x:c>
      <x:c r="F1941" t="str">
        <x:v>Televendas</x:v>
      </x:c>
      <x:c r="G1941" t="str">
        <x:v>Casa</x:v>
      </x:c>
      <x:c r="H1941" t="str">
        <x:v>Purificador</x:v>
      </x:c>
      <x:c r="I1941" t="str">
        <x:v>Ana</x:v>
      </x:c>
      <x:c r="J1941" s="53" t="n">
        <x:v>3</x:v>
      </x:c>
      <x:c r="K1941" s="54" t="n">
        <x:v>1253.6</x:v>
      </x:c>
      <x:c r="L1941" s="54" t="n">
        <x:v>760.68</x:v>
      </x:c>
      <x:c r="M1941" s="55" t="n">
        <x:v>0.1124</x:v>
      </x:c>
      <x:c r="N1941" s="54" t="n">
        <x:f>ROUND(J1941*K1941,2)</x:f>
        <x:v>3760.8</x:v>
      </x:c>
      <x:c r="O1941" s="54" t="n">
        <x:f>ROUND(N1941*(1-M1941),2)</x:f>
        <x:v>3338.09</x:v>
      </x:c>
      <x:c r="P1941" s="54" t="n">
        <x:f>ROUND(J1941*L1941,2)</x:f>
        <x:v>2282.04</x:v>
      </x:c>
      <x:c r="Q1941" s="54" t="n">
        <x:f>ROUND(O1941-P1941,2)</x:f>
        <x:v>1056.05</x:v>
      </x:c>
      <x:c r="R1941" s="55" t="n">
        <x:f>IF(O1941=0,0,ROUND(Q1941/O1941,4))</x:f>
        <x:v>0.3164</x:v>
      </x:c>
      <x:c r="S1941" s="53" t="n">
        <x:v>11</x:v>
      </x:c>
      <x:c r="T1941" t="str">
        <x:v>Entregue com atraso</x:v>
      </x:c>
      <x:c r="U1941" t="n">
        <x:v>3</x:v>
      </x:c>
      <x:c r="V1941" t="str"/>
    </x:row>
    <x:row r="1942">
      <x:c r="A1942" s="52" t="n">
        <x:v>46193</x:v>
      </x:c>
      <x:c r="B1942" t="str">
        <x:v>PED-101941</x:v>
      </x:c>
      <x:c r="C1942" t="str">
        <x:v>Cliente 015</x:v>
      </x:c>
      <x:c r="D1942" t="str">
        <x:v>SP</x:v>
      </x:c>
      <x:c r="E1942" t="str">
        <x:v>Sudeste</x:v>
      </x:c>
      <x:c r="F1942" t="str">
        <x:v>Loja</x:v>
      </x:c>
      <x:c r="G1942" t="str">
        <x:v>Escritório</x:v>
      </x:c>
      <x:c r="H1942" t="str">
        <x:v>Cadeira Ergonômica</x:v>
      </x:c>
      <x:c r="I1942" t="str">
        <x:v>Carla</x:v>
      </x:c>
      <x:c r="J1942" s="53" t="n">
        <x:v>3</x:v>
      </x:c>
      <x:c r="K1942" s="54" t="n">
        <x:v>2143.4</x:v>
      </x:c>
      <x:c r="L1942" s="54" t="n">
        <x:v>1478.22</x:v>
      </x:c>
      <x:c r="M1942" s="55" t="n">
        <x:v>0.0476</x:v>
      </x:c>
      <x:c r="N1942" s="54" t="n">
        <x:f>ROUND(J1942*K1942,2)</x:f>
        <x:v>6430.2</x:v>
      </x:c>
      <x:c r="O1942" s="54" t="n">
        <x:f>ROUND(N1942*(1-M1942),2)</x:f>
        <x:v>6124.12</x:v>
      </x:c>
      <x:c r="P1942" s="54" t="n">
        <x:f>ROUND(J1942*L1942,2)</x:f>
        <x:v>4434.66</x:v>
      </x:c>
      <x:c r="Q1942" s="54" t="n">
        <x:f>ROUND(O1942-P1942,2)</x:f>
        <x:v>1689.46</x:v>
      </x:c>
      <x:c r="R1942" s="55" t="n">
        <x:f>IF(O1942=0,0,ROUND(Q1942/O1942,4))</x:f>
        <x:v>0.2759</x:v>
      </x:c>
      <x:c r="S1942" s="53" t="n">
        <x:v>14</x:v>
      </x:c>
      <x:c r="T1942" t="str">
        <x:v>Entregue com atraso</x:v>
      </x:c>
      <x:c r="U1942" t="n">
        <x:v>4</x:v>
      </x:c>
      <x:c r="V1942" t="str"/>
    </x:row>
    <x:row r="1943">
      <x:c r="A1943" s="52" t="n">
        <x:v>46208</x:v>
      </x:c>
      <x:c r="B1943" t="str">
        <x:v>PED-101942</x:v>
      </x:c>
      <x:c r="C1943" t="str">
        <x:v>Cliente 035</x:v>
      </x:c>
      <x:c r="D1943" t="str">
        <x:v>PE</x:v>
      </x:c>
      <x:c r="E1943" t="str">
        <x:v>Nordeste</x:v>
      </x:c>
      <x:c r="F1943" t="str">
        <x:v>Marketplace</x:v>
      </x:c>
      <x:c r="G1943" t="str">
        <x:v>Casa</x:v>
      </x:c>
      <x:c r="H1943" t="str">
        <x:v>Aspirador Robô</x:v>
      </x:c>
      <x:c r="I1943" t="str">
        <x:v>Isabela</x:v>
      </x:c>
      <x:c r="J1943" s="53" t="n">
        <x:v>3</x:v>
      </x:c>
      <x:c r="K1943" s="54" t="n">
        <x:v>1924.17</x:v>
      </x:c>
      <x:c r="L1943" s="54" t="n">
        <x:v>1189.07</x:v>
      </x:c>
      <x:c r="M1943" s="55" t="n">
        <x:v>0.0847</x:v>
      </x:c>
      <x:c r="N1943" s="54" t="n">
        <x:f>ROUND(J1943*K1943,2)</x:f>
        <x:v>5772.51</x:v>
      </x:c>
      <x:c r="O1943" s="54" t="n">
        <x:f>ROUND(N1943*(1-M1943),2)</x:f>
        <x:v>5283.58</x:v>
      </x:c>
      <x:c r="P1943" s="54" t="n">
        <x:f>ROUND(J1943*L1943,2)</x:f>
        <x:v>3567.21</x:v>
      </x:c>
      <x:c r="Q1943" s="54" t="n">
        <x:f>ROUND(O1943-P1943,2)</x:f>
        <x:v>1716.37</x:v>
      </x:c>
      <x:c r="R1943" s="55" t="n">
        <x:f>IF(O1943=0,0,ROUND(Q1943/O1943,4))</x:f>
        <x:v>0.3248</x:v>
      </x:c>
      <x:c r="S1943" s="53" t="n">
        <x:v>5</x:v>
      </x:c>
      <x:c r="T1943" t="str">
        <x:v>Entregue</x:v>
      </x:c>
      <x:c r="U1943" t="n">
        <x:v>2</x:v>
      </x:c>
      <x:c r="V1943" t="str"/>
    </x:row>
    <x:row r="1944">
      <x:c r="A1944" s="52" t="n">
        <x:v>46049</x:v>
      </x:c>
      <x:c r="B1944" t="str">
        <x:v>PED-101943</x:v>
      </x:c>
      <x:c r="C1944" t="str">
        <x:v>Cliente 015</x:v>
      </x:c>
      <x:c r="D1944" t="str">
        <x:v>RS</x:v>
      </x:c>
      <x:c r="E1944" t="str">
        <x:v>Sul</x:v>
      </x:c>
      <x:c r="F1944" t="str">
        <x:v>Loja</x:v>
      </x:c>
      <x:c r="G1944" t="str">
        <x:v>Escritório</x:v>
      </x:c>
      <x:c r="H1944" t="str">
        <x:v>Cadeira Ergonômica</x:v>
      </x:c>
      <x:c r="I1944" t="str">
        <x:v>Felipe</x:v>
      </x:c>
      <x:c r="J1944" s="53" t="n">
        <x:v>2</x:v>
      </x:c>
      <x:c r="K1944" s="54" t="n">
        <x:v>2239.7</x:v>
      </x:c>
      <x:c r="L1944" s="54" t="n">
        <x:v>1407.06</x:v>
      </x:c>
      <x:c r="M1944" s="55" t="n">
        <x:v>0</x:v>
      </x:c>
      <x:c r="N1944" s="54" t="n">
        <x:f>ROUND(J1944*K1944,2)</x:f>
        <x:v>4479.4</x:v>
      </x:c>
      <x:c r="O1944" s="54" t="n">
        <x:f>ROUND(N1944*(1-M1944),2)</x:f>
        <x:v>4479.4</x:v>
      </x:c>
      <x:c r="P1944" s="54" t="n">
        <x:f>ROUND(J1944*L1944,2)</x:f>
        <x:v>2814.12</x:v>
      </x:c>
      <x:c r="Q1944" s="54" t="n">
        <x:f>ROUND(O1944-P1944,2)</x:f>
        <x:v>1665.28</x:v>
      </x:c>
      <x:c r="R1944" s="55" t="n">
        <x:f>IF(O1944=0,0,ROUND(Q1944/O1944,4))</x:f>
        <x:v>0.3718</x:v>
      </x:c>
      <x:c r="S1944" s="53" t="n">
        <x:v>10</x:v>
      </x:c>
      <x:c r="T1944" t="str">
        <x:v>Entregue</x:v>
      </x:c>
      <x:c r="U1944" t="n">
        <x:v>5</x:v>
      </x:c>
      <x:c r="V1944" t="str"/>
    </x:row>
    <x:row r="1945">
      <x:c r="A1945" s="52" t="n">
        <x:v>46161</x:v>
      </x:c>
      <x:c r="B1945" t="str">
        <x:v>PED-101944</x:v>
      </x:c>
      <x:c r="C1945" t="str">
        <x:v>Cliente 093</x:v>
      </x:c>
      <x:c r="D1945" t="str">
        <x:v>SP</x:v>
      </x:c>
      <x:c r="E1945" t="str">
        <x:v>Sudeste</x:v>
      </x:c>
      <x:c r="F1945" t="str">
        <x:v>Televendas</x:v>
      </x:c>
      <x:c r="G1945" t="str">
        <x:v>Escritório</x:v>
      </x:c>
      <x:c r="H1945" t="str">
        <x:v>Mesa Ajustável</x:v>
      </x:c>
      <x:c r="I1945" t="str">
        <x:v>Isabela</x:v>
      </x:c>
      <x:c r="J1945" s="53" t="n">
        <x:v>5</x:v>
      </x:c>
      <x:c r="K1945" s="54" t="n">
        <x:v>2838.59</x:v>
      </x:c>
      <x:c r="L1945" s="54" t="n">
        <x:v>1815.16</x:v>
      </x:c>
      <x:c r="M1945" s="55" t="n">
        <x:v>0</x:v>
      </x:c>
      <x:c r="N1945" s="54" t="n">
        <x:f>ROUND(J1945*K1945,2)</x:f>
        <x:v>14192.95</x:v>
      </x:c>
      <x:c r="O1945" s="54" t="n">
        <x:f>ROUND(N1945*(1-M1945),2)</x:f>
        <x:v>14192.95</x:v>
      </x:c>
      <x:c r="P1945" s="54" t="n">
        <x:f>ROUND(J1945*L1945,2)</x:f>
        <x:v>9075.8</x:v>
      </x:c>
      <x:c r="Q1945" s="54" t="n">
        <x:f>ROUND(O1945-P1945,2)</x:f>
        <x:v>5117.15</x:v>
      </x:c>
      <x:c r="R1945" s="55" t="n">
        <x:f>IF(O1945=0,0,ROUND(Q1945/O1945,4))</x:f>
        <x:v>0.3605</x:v>
      </x:c>
      <x:c r="S1945" s="53" t="n">
        <x:v>6</x:v>
      </x:c>
      <x:c r="T1945" t="str">
        <x:v>Entregue</x:v>
      </x:c>
      <x:c r="U1945" t="n">
        <x:v>5</x:v>
      </x:c>
      <x:c r="V1945" t="str"/>
    </x:row>
    <x:row r="1946">
      <x:c r="A1946" s="52" t="n">
        <x:v>46206</x:v>
      </x:c>
      <x:c r="B1946" t="str">
        <x:v>PED-101111</x:v>
      </x:c>
      <x:c r="C1946" t="str">
        <x:v>Cliente 072</x:v>
      </x:c>
      <x:c r="D1946" t="str">
        <x:v>CE</x:v>
      </x:c>
      <x:c r="E1946" t="str">
        <x:v>Nordeste</x:v>
      </x:c>
      <x:c r="F1946" t="str">
        <x:v>Televendas</x:v>
      </x:c>
      <x:c r="G1946" t="str">
        <x:v>Tecnologia</x:v>
      </x:c>
      <x:c r="H1946" t="str">
        <x:v>Notebook Pro</x:v>
      </x:c>
      <x:c r="I1946" t="str">
        <x:v>Ana</x:v>
      </x:c>
      <x:c r="J1946" s="53" t="n">
        <x:v>5</x:v>
      </x:c>
      <x:c r="K1946" s="54" t="n">
        <x:v>6075.54</x:v>
      </x:c>
      <x:c r="L1946" s="54" t="n">
        <x:v>4679.4</x:v>
      </x:c>
      <x:c r="M1946" s="55" t="n">
        <x:v>0.0524</x:v>
      </x:c>
      <x:c r="N1946" s="54" t="n">
        <x:f>ROUND(J1946*K1946,2)</x:f>
        <x:v>30377.7</x:v>
      </x:c>
      <x:c r="O1946" s="54" t="n">
        <x:f>ROUND(N1946*(1-M1946),2)</x:f>
        <x:v>28785.91</x:v>
      </x:c>
      <x:c r="P1946" s="54" t="n">
        <x:f>ROUND(J1946*L1946,2)</x:f>
        <x:v>23397</x:v>
      </x:c>
      <x:c r="Q1946" s="54" t="n">
        <x:f>ROUND(O1946-P1946,2)</x:f>
        <x:v>5388.91</x:v>
      </x:c>
      <x:c r="R1946" s="55" t="n">
        <x:f>IF(O1946=0,0,ROUND(Q1946/O1946,4))</x:f>
        <x:v>0.1872</x:v>
      </x:c>
      <x:c r="S1946" s="53" t="n">
        <x:v>10</x:v>
      </x:c>
      <x:c r="T1946" t="str">
        <x:v>Entregue</x:v>
      </x:c>
      <x:c r="U1946" t="n">
        <x:v>4</x:v>
      </x:c>
      <x:c r="V1946" t="str"/>
    </x:row>
    <x:row r="1947">
      <x:c r="A1947" s="52" t="n">
        <x:v>46114</x:v>
      </x:c>
      <x:c r="B1947" t="str">
        <x:v>PED-101946</x:v>
      </x:c>
      <x:c r="C1947" t="str">
        <x:v>Cliente 083</x:v>
      </x:c>
      <x:c r="D1947" t="str">
        <x:v>ES</x:v>
      </x:c>
      <x:c r="E1947" t="str">
        <x:v>Sudeste</x:v>
      </x:c>
      <x:c r="F1947" t="str">
        <x:v>Loja</x:v>
      </x:c>
      <x:c r="G1947" t="str">
        <x:v>Acessórios</x:v>
      </x:c>
      <x:c r="H1947" t="str">
        <x:v>Hub USB-C</x:v>
      </x:c>
      <x:c r="I1947" t="str">
        <x:v>Isabela</x:v>
      </x:c>
      <x:c r="J1947" s="53" t="n">
        <x:v>7</x:v>
      </x:c>
      <x:c r="K1947" s="54" t="n">
        <x:v>309.49</x:v>
      </x:c>
      <x:c r="L1947" s="54" t="n">
        <x:v>138.46</x:v>
      </x:c>
      <x:c r="M1947" s="55" t="n">
        <x:v>0.0679</x:v>
      </x:c>
      <x:c r="N1947" s="54" t="n">
        <x:f>ROUND(J1947*K1947,2)</x:f>
        <x:v>2166.43</x:v>
      </x:c>
      <x:c r="O1947" s="54" t="n">
        <x:f>ROUND(N1947*(1-M1947),2)</x:f>
        <x:v>2019.33</x:v>
      </x:c>
      <x:c r="P1947" s="54" t="n">
        <x:f>ROUND(J1947*L1947,2)</x:f>
        <x:v>969.22</x:v>
      </x:c>
      <x:c r="Q1947" s="54" t="n">
        <x:f>ROUND(O1947-P1947,2)</x:f>
        <x:v>1050.11</x:v>
      </x:c>
      <x:c r="R1947" s="55" t="n">
        <x:f>IF(O1947=0,0,ROUND(Q1947/O1947,4))</x:f>
        <x:v>0.52</x:v>
      </x:c>
      <x:c r="S1947" s="53" t="n">
        <x:v>11</x:v>
      </x:c>
      <x:c r="T1947" t="str">
        <x:v>Entregue com atraso</x:v>
      </x:c>
      <x:c r="U1947" t="n">
        <x:v>2</x:v>
      </x:c>
      <x:c r="V1947" t="str"/>
    </x:row>
    <x:row r="1948">
      <x:c r="A1948" s="52" t="n">
        <x:v>46149</x:v>
      </x:c>
      <x:c r="B1948" t="str">
        <x:v>PED-101947</x:v>
      </x:c>
      <x:c r="C1948" t="str">
        <x:v>Cliente 035</x:v>
      </x:c>
      <x:c r="D1948" t="str">
        <x:v>DF</x:v>
      </x:c>
      <x:c r="E1948" t="str">
        <x:v>Centro-Oeste</x:v>
      </x:c>
      <x:c r="F1948" t="str">
        <x:v>Loja</x:v>
      </x:c>
      <x:c r="G1948" t="str">
        <x:v>Casa</x:v>
      </x:c>
      <x:c r="H1948" t="str">
        <x:v>Cafeteira Smart</x:v>
      </x:c>
      <x:c r="I1948" t="str">
        <x:v>Felipe</x:v>
      </x:c>
      <x:c r="J1948" s="53" t="n">
        <x:v>8</x:v>
      </x:c>
      <x:c r="K1948" s="54" t="n">
        <x:v>773.37</x:v>
      </x:c>
      <x:c r="L1948" s="54" t="n">
        <x:v>473.15</x:v>
      </x:c>
      <x:c r="M1948" s="55" t="n">
        <x:v>0.0409</x:v>
      </x:c>
      <x:c r="N1948" s="54" t="n">
        <x:f>ROUND(J1948*K1948,2)</x:f>
        <x:v>6186.96</x:v>
      </x:c>
      <x:c r="O1948" s="54" t="n">
        <x:f>ROUND(N1948*(1-M1948),2)</x:f>
        <x:v>5933.91</x:v>
      </x:c>
      <x:c r="P1948" s="54" t="n">
        <x:f>ROUND(J1948*L1948,2)</x:f>
        <x:v>3785.2</x:v>
      </x:c>
      <x:c r="Q1948" s="54" t="n">
        <x:f>ROUND(O1948-P1948,2)</x:f>
        <x:v>2148.71</x:v>
      </x:c>
      <x:c r="R1948" s="55" t="n">
        <x:f>IF(O1948=0,0,ROUND(Q1948/O1948,4))</x:f>
        <x:v>0.3621</x:v>
      </x:c>
      <x:c r="S1948" s="53" t="n">
        <x:v>12</x:v>
      </x:c>
      <x:c r="T1948" t="str">
        <x:v>Entregue com atraso</x:v>
      </x:c>
      <x:c r="U1948" t="n">
        <x:v>2</x:v>
      </x:c>
      <x:c r="V1948" t="str"/>
    </x:row>
    <x:row r="1949">
      <x:c r="A1949" s="52" t="n">
        <x:v>46077</x:v>
      </x:c>
      <x:c r="B1949" t="str">
        <x:v>PED-101948</x:v>
      </x:c>
      <x:c r="C1949" t="str">
        <x:v>Cliente 039</x:v>
      </x:c>
      <x:c r="D1949" t="str">
        <x:v>DF</x:v>
      </x:c>
      <x:c r="E1949" t="str">
        <x:v>Centro-Oeste</x:v>
      </x:c>
      <x:c r="F1949" t="str">
        <x:v>Marketplace</x:v>
      </x:c>
      <x:c r="G1949" t="str">
        <x:v>Escritório</x:v>
      </x:c>
      <x:c r="H1949" t="str">
        <x:v>Cadeira Ergonômica</x:v>
      </x:c>
      <x:c r="I1949" t="str">
        <x:v>Diego</x:v>
      </x:c>
      <x:c r="J1949" s="53" t="n">
        <x:v>5</x:v>
      </x:c>
      <x:c r="K1949" s="54" t="n">
        <x:v>2074.29</x:v>
      </x:c>
      <x:c r="L1949" s="54" t="n">
        <x:v>1382.03</x:v>
      </x:c>
      <x:c r="M1949" s="55" t="n">
        <x:v>0.0993</x:v>
      </x:c>
      <x:c r="N1949" s="54" t="n">
        <x:f>ROUND(J1949*K1949,2)</x:f>
        <x:v>10371.45</x:v>
      </x:c>
      <x:c r="O1949" s="54" t="n">
        <x:f>ROUND(N1949*(1-M1949),2)</x:f>
        <x:v>9341.57</x:v>
      </x:c>
      <x:c r="P1949" s="54" t="n">
        <x:f>ROUND(J1949*L1949,2)</x:f>
        <x:v>6910.15</x:v>
      </x:c>
      <x:c r="Q1949" s="54" t="n">
        <x:f>ROUND(O1949-P1949,2)</x:f>
        <x:v>2431.42</x:v>
      </x:c>
      <x:c r="R1949" s="55" t="n">
        <x:f>IF(O1949=0,0,ROUND(Q1949/O1949,4))</x:f>
        <x:v>0.2603</x:v>
      </x:c>
      <x:c r="S1949" s="53" t="n">
        <x:v>3</x:v>
      </x:c>
      <x:c r="T1949" t="str">
        <x:v>Entregue</x:v>
      </x:c>
      <x:c r="U1949" t="n">
        <x:v>3</x:v>
      </x:c>
      <x:c r="V1949" t="str"/>
    </x:row>
    <x:row r="1950">
      <x:c r="A1950" s="52" t="n">
        <x:v>46096</x:v>
      </x:c>
      <x:c r="B1950" t="str">
        <x:v>PED-101949</x:v>
      </x:c>
      <x:c r="C1950" t="str">
        <x:v>Cliente 065</x:v>
      </x:c>
      <x:c r="D1950" t="str">
        <x:v>RS</x:v>
      </x:c>
      <x:c r="E1950" t="str">
        <x:v>Sul</x:v>
      </x:c>
      <x:c r="F1950" t="str">
        <x:v>Loja</x:v>
      </x:c>
      <x:c r="G1950" t="str">
        <x:v>Tecnologia</x:v>
      </x:c>
      <x:c r="H1950" t="str">
        <x:v>Notebook Pro</x:v>
      </x:c>
      <x:c r="I1950" t="str">
        <x:v>Carla</x:v>
      </x:c>
      <x:c r="J1950" s="53" t="n">
        <x:v>1</x:v>
      </x:c>
      <x:c r="K1950" s="54" t="n">
        <x:v>5964.94</x:v>
      </x:c>
      <x:c r="L1950" s="54" t="n">
        <x:v>4477.61</x:v>
      </x:c>
      <x:c r="M1950" s="55" t="n">
        <x:v>0.0228</x:v>
      </x:c>
      <x:c r="N1950" s="54" t="n">
        <x:f>ROUND(J1950*K1950,2)</x:f>
        <x:v>5964.94</x:v>
      </x:c>
      <x:c r="O1950" s="54" t="n">
        <x:f>ROUND(N1950*(1-M1950),2)</x:f>
        <x:v>5828.94</x:v>
      </x:c>
      <x:c r="P1950" s="54" t="n">
        <x:f>ROUND(J1950*L1950,2)</x:f>
        <x:v>4477.61</x:v>
      </x:c>
      <x:c r="Q1950" s="54" t="n">
        <x:f>ROUND(O1950-P1950,2)</x:f>
        <x:v>1351.33</x:v>
      </x:c>
      <x:c r="R1950" s="55" t="n">
        <x:f>IF(O1950=0,0,ROUND(Q1950/O1950,4))</x:f>
        <x:v>0.2318</x:v>
      </x:c>
      <x:c r="S1950" s="53" t="n">
        <x:v>13</x:v>
      </x:c>
      <x:c r="T1950" t="str">
        <x:v>Entregue com atraso</x:v>
      </x:c>
      <x:c r="U1950" t="n">
        <x:v>4</x:v>
      </x:c>
      <x:c r="V1950" t="str"/>
    </x:row>
    <x:row r="1951">
      <x:c r="A1951" s="52" t="n">
        <x:v>46058</x:v>
      </x:c>
      <x:c r="B1951" t="str">
        <x:v>PED-101950</x:v>
      </x:c>
      <x:c r="C1951" t="str">
        <x:v>Cliente 102</x:v>
      </x:c>
      <x:c r="D1951" t="str">
        <x:v>CE</x:v>
      </x:c>
      <x:c r="E1951" t="str">
        <x:v>Nordeste</x:v>
      </x:c>
      <x:c r="F1951" t="str">
        <x:v>Marketplace</x:v>
      </x:c>
      <x:c r="G1951" t="str">
        <x:v>Casa</x:v>
      </x:c>
      <x:c r="H1951" t="str">
        <x:v>Purificador</x:v>
      </x:c>
      <x:c r="I1951" t="str">
        <x:v>Henrique</x:v>
      </x:c>
      <x:c r="J1951" s="53" t="n">
        <x:v>2</x:v>
      </x:c>
      <x:c r="K1951" s="54" t="n">
        <x:v>1318.07</x:v>
      </x:c>
      <x:c r="L1951" s="54" t="n">
        <x:v>766.95</x:v>
      </x:c>
      <x:c r="M1951" s="55" t="n">
        <x:v>0.035</x:v>
      </x:c>
      <x:c r="N1951" s="54" t="n">
        <x:f>ROUND(J1951*K1951,2)</x:f>
        <x:v>2636.14</x:v>
      </x:c>
      <x:c r="O1951" s="54" t="n">
        <x:f>ROUND(N1951*(1-M1951),2)</x:f>
        <x:v>2543.88</x:v>
      </x:c>
      <x:c r="P1951" s="54" t="n">
        <x:f>ROUND(J1951*L1951,2)</x:f>
        <x:v>1533.9</x:v>
      </x:c>
      <x:c r="Q1951" s="54" t="n">
        <x:f>ROUND(O1951-P1951,2)</x:f>
        <x:v>1009.98</x:v>
      </x:c>
      <x:c r="R1951" s="55" t="n">
        <x:f>IF(O1951=0,0,ROUND(Q1951/O1951,4))</x:f>
        <x:v>0.397</x:v>
      </x:c>
      <x:c r="S1951" s="53" t="n">
        <x:v>3</x:v>
      </x:c>
      <x:c r="T1951" t="str">
        <x:v>Entregue</x:v>
      </x:c>
      <x:c r="U1951" t="n">
        <x:v>3</x:v>
      </x:c>
      <x:c r="V1951" t="str"/>
    </x:row>
    <x:row r="1952">
      <x:c r="A1952" s="52" t="n">
        <x:v>46108</x:v>
      </x:c>
      <x:c r="B1952" t="str">
        <x:v>PED-101951</x:v>
      </x:c>
      <x:c r="C1952" t="str">
        <x:v>Cliente 076</x:v>
      </x:c>
      <x:c r="D1952" t="str">
        <x:v>PA</x:v>
      </x:c>
      <x:c r="E1952" t="str">
        <x:v>Norte</x:v>
      </x:c>
      <x:c r="F1952" t="str">
        <x:v>Televendas</x:v>
      </x:c>
      <x:c r="G1952" t="str">
        <x:v>Casa</x:v>
      </x:c>
      <x:c r="H1952" t="str">
        <x:v>Aspirador Robô</x:v>
      </x:c>
      <x:c r="I1952" t="str">
        <x:v>Bruno</x:v>
      </x:c>
      <x:c r="J1952" s="53" t="n">
        <x:v>7</x:v>
      </x:c>
      <x:c r="K1952" s="54" t="n">
        <x:v>1829.07</x:v>
      </x:c>
      <x:c r="L1952" s="54" t="n">
        <x:v>1236.64</x:v>
      </x:c>
      <x:c r="M1952" s="55" t="n">
        <x:v>0.0674</x:v>
      </x:c>
      <x:c r="N1952" s="54" t="n">
        <x:f>ROUND(J1952*K1952,2)</x:f>
        <x:v>12803.49</x:v>
      </x:c>
      <x:c r="O1952" s="54" t="n">
        <x:f>ROUND(N1952*(1-M1952),2)</x:f>
        <x:v>11940.53</x:v>
      </x:c>
      <x:c r="P1952" s="54" t="n">
        <x:f>ROUND(J1952*L1952,2)</x:f>
        <x:v>8656.48</x:v>
      </x:c>
      <x:c r="Q1952" s="54" t="n">
        <x:f>ROUND(O1952-P1952,2)</x:f>
        <x:v>3284.05</x:v>
      </x:c>
      <x:c r="R1952" s="55" t="n">
        <x:f>IF(O1952=0,0,ROUND(Q1952/O1952,4))</x:f>
        <x:v>0.275</x:v>
      </x:c>
      <x:c r="S1952" s="53" t="n">
        <x:v>13</x:v>
      </x:c>
      <x:c r="T1952" t="str">
        <x:v>Cancelado</x:v>
      </x:c>
      <x:c r="U1952"/>
      <x:c r="V1952" t="str"/>
    </x:row>
    <x:row r="1953">
      <x:c r="A1953" s="52" t="n">
        <x:v>46153</x:v>
      </x:c>
      <x:c r="B1953" t="str">
        <x:v>PED-101952</x:v>
      </x:c>
      <x:c r="C1953" t="str">
        <x:v>Cliente 084</x:v>
      </x:c>
      <x:c r="D1953" t="str">
        <x:v>PR</x:v>
      </x:c>
      <x:c r="E1953" t="str">
        <x:v>Sul</x:v>
      </x:c>
      <x:c r="F1953" t="str">
        <x:v>Loja</x:v>
      </x:c>
      <x:c r="G1953" t="str">
        <x:v>Escritório</x:v>
      </x:c>
      <x:c r="H1953" t="str">
        <x:v>Cadeira Ergonômica</x:v>
      </x:c>
      <x:c r="I1953" t="str">
        <x:v>Elaine</x:v>
      </x:c>
      <x:c r="J1953" s="53" t="n">
        <x:v>1</x:v>
      </x:c>
      <x:c r="K1953" s="54" t="n">
        <x:v>2227.12</x:v>
      </x:c>
      <x:c r="L1953" s="54" t="n">
        <x:v>1374.9</x:v>
      </x:c>
      <x:c r="M1953" s="55" t="n">
        <x:v>0.0066</x:v>
      </x:c>
      <x:c r="N1953" s="54" t="n">
        <x:f>ROUND(J1953*K1953,2)</x:f>
        <x:v>2227.12</x:v>
      </x:c>
      <x:c r="O1953" s="54" t="n">
        <x:f>ROUND(N1953*(1-M1953),2)</x:f>
        <x:v>2212.42</x:v>
      </x:c>
      <x:c r="P1953" s="54" t="n">
        <x:f>ROUND(J1953*L1953,2)</x:f>
        <x:v>1374.9</x:v>
      </x:c>
      <x:c r="Q1953" s="54" t="n">
        <x:f>ROUND(O1953-P1953,2)</x:f>
        <x:v>837.52</x:v>
      </x:c>
      <x:c r="R1953" s="55" t="n">
        <x:f>IF(O1953=0,0,ROUND(Q1953/O1953,4))</x:f>
        <x:v>0.3786</x:v>
      </x:c>
      <x:c r="S1953" s="53" t="n">
        <x:v>12</x:v>
      </x:c>
      <x:c r="T1953" t="str">
        <x:v>Entregue com atraso</x:v>
      </x:c>
      <x:c r="U1953" t="n">
        <x:v>4</x:v>
      </x:c>
      <x:c r="V1953" t="str"/>
    </x:row>
    <x:row r="1954">
      <x:c r="A1954" s="52" t="n">
        <x:v>46205</x:v>
      </x:c>
      <x:c r="B1954" t="str">
        <x:v>PED-101953</x:v>
      </x:c>
      <x:c r="C1954" t="str">
        <x:v>Cliente 075</x:v>
      </x:c>
      <x:c r="D1954" t="str">
        <x:v>MT</x:v>
      </x:c>
      <x:c r="E1954" t="str">
        <x:v>Centro-Oeste</x:v>
      </x:c>
      <x:c r="F1954" t="str">
        <x:v>Loja</x:v>
      </x:c>
      <x:c r="G1954" t="str">
        <x:v>Tecnologia</x:v>
      </x:c>
      <x:c r="H1954" t="str">
        <x:v>Monitor 27</x:v>
      </x:c>
      <x:c r="I1954" t="str">
        <x:v>Elaine</x:v>
      </x:c>
      <x:c r="J1954" s="53" t="n">
        <x:v>3</x:v>
      </x:c>
      <x:c r="K1954" s="54" t="n">
        <x:v>1595.15</x:v>
      </x:c>
      <x:c r="L1954" s="54" t="n">
        <x:v>1095.91</x:v>
      </x:c>
      <x:c r="M1954" s="55" t="n">
        <x:v>0</x:v>
      </x:c>
      <x:c r="N1954" s="54" t="n">
        <x:f>ROUND(J1954*K1954,2)</x:f>
        <x:v>4785.45</x:v>
      </x:c>
      <x:c r="O1954" s="54" t="n">
        <x:f>ROUND(N1954*(1-M1954),2)</x:f>
        <x:v>4785.45</x:v>
      </x:c>
      <x:c r="P1954" s="54" t="n">
        <x:f>ROUND(J1954*L1954,2)</x:f>
        <x:v>3287.73</x:v>
      </x:c>
      <x:c r="Q1954" s="54" t="n">
        <x:f>ROUND(O1954-P1954,2)</x:f>
        <x:v>1497.72</x:v>
      </x:c>
      <x:c r="R1954" s="55" t="n">
        <x:f>IF(O1954=0,0,ROUND(Q1954/O1954,4))</x:f>
        <x:v>0.313</x:v>
      </x:c>
      <x:c r="S1954" s="53" t="n">
        <x:v>2</x:v>
      </x:c>
      <x:c r="T1954" t="str">
        <x:v>Entregue</x:v>
      </x:c>
      <x:c r="U1954" t="n">
        <x:v>3</x:v>
      </x:c>
      <x:c r="V1954" t="str"/>
    </x:row>
    <x:row r="1955">
      <x:c r="A1955" s="52" t="n">
        <x:v>46140</x:v>
      </x:c>
      <x:c r="B1955" t="str">
        <x:v>PED-101954</x:v>
      </x:c>
      <x:c r="C1955" t="str">
        <x:v>Cliente 084</x:v>
      </x:c>
      <x:c r="D1955" t="str">
        <x:v>MT</x:v>
      </x:c>
      <x:c r="E1955" t="str">
        <x:v>Centro-Oeste</x:v>
      </x:c>
      <x:c r="F1955" t="str">
        <x:v>Loja</x:v>
      </x:c>
      <x:c r="G1955" t="str">
        <x:v>Tecnologia</x:v>
      </x:c>
      <x:c r="H1955" t="str">
        <x:v>Notebook Pro</x:v>
      </x:c>
      <x:c r="I1955" t="str">
        <x:v>João</x:v>
      </x:c>
      <x:c r="J1955" s="53" t="n">
        <x:v>7</x:v>
      </x:c>
      <x:c r="K1955" s="54" t="n">
        <x:v>5691.67</x:v>
      </x:c>
      <x:c r="L1955" s="54" t="n">
        <x:v>4385.44</x:v>
      </x:c>
      <x:c r="M1955" s="55" t="n">
        <x:v>0</x:v>
      </x:c>
      <x:c r="N1955" s="54" t="n">
        <x:f>ROUND(J1955*K1955,2)</x:f>
        <x:v>39841.69</x:v>
      </x:c>
      <x:c r="O1955" s="54" t="n">
        <x:f>ROUND(N1955*(1-M1955),2)</x:f>
        <x:v>39841.69</x:v>
      </x:c>
      <x:c r="P1955" s="54" t="n">
        <x:f>ROUND(J1955*L1955,2)</x:f>
        <x:v>30698.08</x:v>
      </x:c>
      <x:c r="Q1955" s="54" t="n">
        <x:f>ROUND(O1955-P1955,2)</x:f>
        <x:v>9143.61</x:v>
      </x:c>
      <x:c r="R1955" s="55" t="n">
        <x:f>IF(O1955=0,0,ROUND(Q1955/O1955,4))</x:f>
        <x:v>0.2295</x:v>
      </x:c>
      <x:c r="S1955" s="53" t="n">
        <x:v>8</x:v>
      </x:c>
      <x:c r="T1955" t="str">
        <x:v>Entregue</x:v>
      </x:c>
      <x:c r="U1955" t="n">
        <x:v>3</x:v>
      </x:c>
      <x:c r="V1955" t="str"/>
    </x:row>
    <x:row r="1956">
      <x:c r="A1956" s="52" t="n">
        <x:v>46174</x:v>
      </x:c>
      <x:c r="B1956" t="str">
        <x:v>PED-101955</x:v>
      </x:c>
      <x:c r="C1956" t="str">
        <x:v>Cliente 013</x:v>
      </x:c>
      <x:c r="D1956" t="str">
        <x:v>BA</x:v>
      </x:c>
      <x:c r="E1956" t="str">
        <x:v>Nordeste</x:v>
      </x:c>
      <x:c r="F1956" t="str">
        <x:v>E-commerce</x:v>
      </x:c>
      <x:c r="G1956" t="str">
        <x:v>Escritório</x:v>
      </x:c>
      <x:c r="H1956" t="str">
        <x:v>Luminária LED</x:v>
      </x:c>
      <x:c r="I1956" t="str">
        <x:v>Felipe</x:v>
      </x:c>
      <x:c r="J1956" s="53" t="n">
        <x:v>2</x:v>
      </x:c>
      <x:c r="K1956" s="54" t="n">
        <x:v>250.86</x:v>
      </x:c>
      <x:c r="L1956" s="54" t="n">
        <x:v>127.34</x:v>
      </x:c>
      <x:c r="M1956" s="55" t="n">
        <x:v>0.0236</x:v>
      </x:c>
      <x:c r="N1956" s="54" t="n">
        <x:f>ROUND(J1956*K1956,2)</x:f>
        <x:v>501.72</x:v>
      </x:c>
      <x:c r="O1956" s="54" t="n">
        <x:f>ROUND(N1956*(1-M1956),2)</x:f>
        <x:v>489.88</x:v>
      </x:c>
      <x:c r="P1956" s="54" t="n">
        <x:f>ROUND(J1956*L1956,2)</x:f>
        <x:v>254.68</x:v>
      </x:c>
      <x:c r="Q1956" s="54" t="n">
        <x:f>ROUND(O1956-P1956,2)</x:f>
        <x:v>235.2</x:v>
      </x:c>
      <x:c r="R1956" s="55" t="n">
        <x:f>IF(O1956=0,0,ROUND(Q1956/O1956,4))</x:f>
        <x:v>0.4801</x:v>
      </x:c>
      <x:c r="S1956" s="53" t="n">
        <x:v>9</x:v>
      </x:c>
      <x:c r="T1956" t="str">
        <x:v>Entregue</x:v>
      </x:c>
      <x:c r="U1956" t="n">
        <x:v>2</x:v>
      </x:c>
      <x:c r="V1956" t="str"/>
    </x:row>
    <x:row r="1957">
      <x:c r="A1957" s="52" t="n">
        <x:v>46137</x:v>
      </x:c>
      <x:c r="B1957" t="str">
        <x:v>PED-101956</x:v>
      </x:c>
      <x:c r="C1957" t="str">
        <x:v>Cliente 029</x:v>
      </x:c>
      <x:c r="D1957" t="str">
        <x:v>RJ</x:v>
      </x:c>
      <x:c r="E1957" t="str">
        <x:v>Sudeste</x:v>
      </x:c>
      <x:c r="F1957" t="str">
        <x:v>E-commerce</x:v>
      </x:c>
      <x:c r="G1957" t="str">
        <x:v>Acessórios</x:v>
      </x:c>
      <x:c r="H1957" t="str">
        <x:v>Webcam HD</x:v>
      </x:c>
      <x:c r="I1957" t="str">
        <x:v>João</x:v>
      </x:c>
      <x:c r="J1957" s="53" t="n">
        <x:v>8</x:v>
      </x:c>
      <x:c r="K1957" s="54" t="n">
        <x:v>503.93</x:v>
      </x:c>
      <x:c r="L1957" s="54" t="n">
        <x:v>246.7</x:v>
      </x:c>
      <x:c r="M1957" s="55" t="n">
        <x:v>0</x:v>
      </x:c>
      <x:c r="N1957" s="54" t="n">
        <x:f>ROUND(J1957*K1957,2)</x:f>
        <x:v>4031.44</x:v>
      </x:c>
      <x:c r="O1957" s="54" t="n">
        <x:f>ROUND(N1957*(1-M1957),2)</x:f>
        <x:v>4031.44</x:v>
      </x:c>
      <x:c r="P1957" s="54" t="n">
        <x:f>ROUND(J1957*L1957,2)</x:f>
        <x:v>1973.6</x:v>
      </x:c>
      <x:c r="Q1957" s="54" t="n">
        <x:f>ROUND(O1957-P1957,2)</x:f>
        <x:v>2057.84</x:v>
      </x:c>
      <x:c r="R1957" s="55" t="n">
        <x:f>IF(O1957=0,0,ROUND(Q1957/O1957,4))</x:f>
        <x:v>0.5104</x:v>
      </x:c>
      <x:c r="S1957" s="53" t="n">
        <x:v>13</x:v>
      </x:c>
      <x:c r="T1957" t="str">
        <x:v>Entregue com atraso</x:v>
      </x:c>
      <x:c r="U1957" t="n">
        <x:v>4</x:v>
      </x:c>
      <x:c r="V1957" t="str"/>
    </x:row>
    <x:row r="1958">
      <x:c r="A1958" s="52" t="n">
        <x:v>46107</x:v>
      </x:c>
      <x:c r="B1958" t="str">
        <x:v>PED-101957</x:v>
      </x:c>
      <x:c r="C1958" t="str">
        <x:v>Cliente 020</x:v>
      </x:c>
      <x:c r="D1958" t="str">
        <x:v>RJ</x:v>
      </x:c>
      <x:c r="E1958" t="str">
        <x:v>Sudeste</x:v>
      </x:c>
      <x:c r="F1958" t="str">
        <x:v>Televendas</x:v>
      </x:c>
      <x:c r="G1958" t="str">
        <x:v>Escritório</x:v>
      </x:c>
      <x:c r="H1958" t="str">
        <x:v>Cadeira Ergonômica</x:v>
      </x:c>
      <x:c r="I1958" t="str">
        <x:v>Isabela</x:v>
      </x:c>
      <x:c r="J1958" s="53" t="n">
        <x:v>8</x:v>
      </x:c>
      <x:c r="K1958" s="54" t="n">
        <x:v>2229.46</x:v>
      </x:c>
      <x:c r="L1958" s="54" t="n">
        <x:v>1369.6</x:v>
      </x:c>
      <x:c r="M1958" s="55" t="n">
        <x:v>0</x:v>
      </x:c>
      <x:c r="N1958" s="54" t="n">
        <x:f>ROUND(J1958*K1958,2)</x:f>
        <x:v>17835.68</x:v>
      </x:c>
      <x:c r="O1958" s="54" t="n">
        <x:f>ROUND(N1958*(1-M1958),2)</x:f>
        <x:v>17835.68</x:v>
      </x:c>
      <x:c r="P1958" s="54" t="n">
        <x:f>ROUND(J1958*L1958,2)</x:f>
        <x:v>10956.8</x:v>
      </x:c>
      <x:c r="Q1958" s="54" t="n">
        <x:f>ROUND(O1958-P1958,2)</x:f>
        <x:v>6878.88</x:v>
      </x:c>
      <x:c r="R1958" s="55" t="n">
        <x:f>IF(O1958=0,0,ROUND(Q1958/O1958,4))</x:f>
        <x:v>0.3857</x:v>
      </x:c>
      <x:c r="S1958" s="53" t="n">
        <x:v>8</x:v>
      </x:c>
      <x:c r="T1958" t="str">
        <x:v>Entregue</x:v>
      </x:c>
      <x:c r="U1958" t="n">
        <x:v>2</x:v>
      </x:c>
      <x:c r="V1958" t="str"/>
    </x:row>
    <x:row r="1959">
      <x:c r="A1959" s="52" t="n">
        <x:v>46118</x:v>
      </x:c>
      <x:c r="B1959" t="str">
        <x:v>PED-101958</x:v>
      </x:c>
      <x:c r="C1959" t="str">
        <x:v>Cliente 072</x:v>
      </x:c>
      <x:c r="D1959" t="str">
        <x:v>SC</x:v>
      </x:c>
      <x:c r="E1959" t="str">
        <x:v>Sul</x:v>
      </x:c>
      <x:c r="F1959" t="str">
        <x:v>Loja</x:v>
      </x:c>
      <x:c r="G1959" t="str">
        <x:v>Escritório</x:v>
      </x:c>
      <x:c r="H1959" t="str">
        <x:v>Luminária LED</x:v>
      </x:c>
      <x:c r="I1959" t="str">
        <x:v>Ana</x:v>
      </x:c>
      <x:c r="J1959" s="53" t="n">
        <x:v>4</x:v>
      </x:c>
      <x:c r="K1959" s="54" t="n">
        <x:v>258.45</x:v>
      </x:c>
      <x:c r="L1959" s="54" t="n">
        <x:v>122.31</x:v>
      </x:c>
      <x:c r="M1959" s="55" t="n">
        <x:v>0.0314</x:v>
      </x:c>
      <x:c r="N1959" s="54" t="n">
        <x:f>ROUND(J1959*K1959,2)</x:f>
        <x:v>1033.8</x:v>
      </x:c>
      <x:c r="O1959" s="54" t="n">
        <x:f>ROUND(N1959*(1-M1959),2)</x:f>
        <x:v>1001.34</x:v>
      </x:c>
      <x:c r="P1959" s="54" t="n">
        <x:f>ROUND(J1959*L1959,2)</x:f>
        <x:v>489.24</x:v>
      </x:c>
      <x:c r="Q1959" s="54" t="n">
        <x:f>ROUND(O1959-P1959,2)</x:f>
        <x:v>512.1</x:v>
      </x:c>
      <x:c r="R1959" s="55" t="n">
        <x:f>IF(O1959=0,0,ROUND(Q1959/O1959,4))</x:f>
        <x:v>0.5114</x:v>
      </x:c>
      <x:c r="S1959" s="53" t="n">
        <x:v>13</x:v>
      </x:c>
      <x:c r="T1959" t="str">
        <x:v>Entregue com atraso</x:v>
      </x:c>
      <x:c r="U1959" t="n">
        <x:v>4</x:v>
      </x:c>
      <x:c r="V1959" t="str"/>
    </x:row>
    <x:row r="1960">
      <x:c r="A1960" s="52" t="n">
        <x:v>46136</x:v>
      </x:c>
      <x:c r="B1960" t="str">
        <x:v>PED-101959</x:v>
      </x:c>
      <x:c r="C1960" t="str">
        <x:v>Cliente 097</x:v>
      </x:c>
      <x:c r="D1960" t="str">
        <x:v>MG</x:v>
      </x:c>
      <x:c r="E1960" t="str">
        <x:v>Sudeste</x:v>
      </x:c>
      <x:c r="F1960" t="str">
        <x:v>Loja</x:v>
      </x:c>
      <x:c r="G1960" t="str">
        <x:v>Acessórios</x:v>
      </x:c>
      <x:c r="H1960" t="str">
        <x:v>Hub USB-C</x:v>
      </x:c>
      <x:c r="I1960" t="str">
        <x:v>Gabriela</x:v>
      </x:c>
      <x:c r="J1960" s="53" t="n">
        <x:v>7</x:v>
      </x:c>
      <x:c r="K1960" s="54" t="n">
        <x:v>305.74</x:v>
      </x:c>
      <x:c r="L1960" s="54" t="n">
        <x:v>130.25</x:v>
      </x:c>
      <x:c r="M1960" s="55" t="n">
        <x:v>0.1272</x:v>
      </x:c>
      <x:c r="N1960" s="54" t="n">
        <x:f>ROUND(J1960*K1960,2)</x:f>
        <x:v>2140.18</x:v>
      </x:c>
      <x:c r="O1960" s="54" t="n">
        <x:f>ROUND(N1960*(1-M1960),2)</x:f>
        <x:v>1867.95</x:v>
      </x:c>
      <x:c r="P1960" s="54" t="n">
        <x:f>ROUND(J1960*L1960,2)</x:f>
        <x:v>911.75</x:v>
      </x:c>
      <x:c r="Q1960" s="54" t="n">
        <x:f>ROUND(O1960-P1960,2)</x:f>
        <x:v>956.2</x:v>
      </x:c>
      <x:c r="R1960" s="55" t="n">
        <x:f>IF(O1960=0,0,ROUND(Q1960/O1960,4))</x:f>
        <x:v>0.5119</x:v>
      </x:c>
      <x:c r="S1960" s="53" t="n">
        <x:v>14</x:v>
      </x:c>
      <x:c r="T1960" t="str">
        <x:v>Entregue com atraso</x:v>
      </x:c>
      <x:c r="U1960" t="n">
        <x:v>4</x:v>
      </x:c>
      <x:c r="V1960" t="str"/>
    </x:row>
    <x:row r="1961">
      <x:c r="A1961" s="52" t="n">
        <x:v>46036</x:v>
      </x:c>
      <x:c r="B1961" t="str">
        <x:v>PED-101960</x:v>
      </x:c>
      <x:c r="C1961" t="str">
        <x:v>Cliente 075</x:v>
      </x:c>
      <x:c r="D1961" t="str">
        <x:v>SP</x:v>
      </x:c>
      <x:c r="E1961" t="str">
        <x:v>Sudeste</x:v>
      </x:c>
      <x:c r="F1961" t="str">
        <x:v>Loja</x:v>
      </x:c>
      <x:c r="G1961" t="str">
        <x:v>Escritório</x:v>
      </x:c>
      <x:c r="H1961" t="str">
        <x:v>Mesa Ajustável</x:v>
      </x:c>
      <x:c r="I1961" t="str">
        <x:v>João</x:v>
      </x:c>
      <x:c r="J1961" s="53" t="n">
        <x:v>5</x:v>
      </x:c>
      <x:c r="K1961" s="54" t="n">
        <x:v>2635.24</x:v>
      </x:c>
      <x:c r="L1961" s="54" t="n">
        <x:v>1788.51</x:v>
      </x:c>
      <x:c r="M1961" s="55" t="n">
        <x:v>0</x:v>
      </x:c>
      <x:c r="N1961" s="54" t="n">
        <x:f>ROUND(J1961*K1961,2)</x:f>
        <x:v>13176.2</x:v>
      </x:c>
      <x:c r="O1961" s="54" t="n">
        <x:f>ROUND(N1961*(1-M1961),2)</x:f>
        <x:v>13176.2</x:v>
      </x:c>
      <x:c r="P1961" s="54" t="n">
        <x:f>ROUND(J1961*L1961,2)</x:f>
        <x:v>8942.55</x:v>
      </x:c>
      <x:c r="Q1961" s="54" t="n">
        <x:f>ROUND(O1961-P1961,2)</x:f>
        <x:v>4233.65</x:v>
      </x:c>
      <x:c r="R1961" s="55" t="n">
        <x:f>IF(O1961=0,0,ROUND(Q1961/O1961,4))</x:f>
        <x:v>0.3213</x:v>
      </x:c>
      <x:c r="S1961" s="53" t="n">
        <x:v>6</x:v>
      </x:c>
      <x:c r="T1961" t="str">
        <x:v>Entregue</x:v>
      </x:c>
      <x:c r="U1961" t="n">
        <x:v>4</x:v>
      </x:c>
      <x:c r="V1961" t="str"/>
    </x:row>
    <x:row r="1962">
      <x:c r="A1962" s="52" t="n">
        <x:v>46162</x:v>
      </x:c>
      <x:c r="B1962" t="str">
        <x:v>PED-101961</x:v>
      </x:c>
      <x:c r="C1962" t="str">
        <x:v>Cliente 013</x:v>
      </x:c>
      <x:c r="D1962" t="str">
        <x:v>CE</x:v>
      </x:c>
      <x:c r="E1962" t="str">
        <x:v>Nordeste</x:v>
      </x:c>
      <x:c r="F1962" t="str">
        <x:v>Televendas</x:v>
      </x:c>
      <x:c r="G1962" t="str">
        <x:v>Escritório</x:v>
      </x:c>
      <x:c r="H1962" t="str">
        <x:v>Mesa Ajustável</x:v>
      </x:c>
      <x:c r="I1962" t="str">
        <x:v>Felipe</x:v>
      </x:c>
      <x:c r="J1962" s="53" t="n">
        <x:v>7</x:v>
      </x:c>
      <x:c r="K1962" s="54" t="n">
        <x:v>2703.11</x:v>
      </x:c>
      <x:c r="L1962" s="54" t="n">
        <x:v>1924.52</x:v>
      </x:c>
      <x:c r="M1962" s="55" t="n">
        <x:v>0</x:v>
      </x:c>
      <x:c r="N1962" s="54" t="n">
        <x:f>ROUND(J1962*K1962,2)</x:f>
        <x:v>18921.77</x:v>
      </x:c>
      <x:c r="O1962" s="54" t="n">
        <x:f>ROUND(N1962*(1-M1962),2)</x:f>
        <x:v>18921.77</x:v>
      </x:c>
      <x:c r="P1962" s="54" t="n">
        <x:f>ROUND(J1962*L1962,2)</x:f>
        <x:v>13471.64</x:v>
      </x:c>
      <x:c r="Q1962" s="54" t="n">
        <x:f>ROUND(O1962-P1962,2)</x:f>
        <x:v>5450.13</x:v>
      </x:c>
      <x:c r="R1962" s="55" t="n">
        <x:f>IF(O1962=0,0,ROUND(Q1962/O1962,4))</x:f>
        <x:v>0.288</x:v>
      </x:c>
      <x:c r="S1962" s="53" t="n">
        <x:v>9</x:v>
      </x:c>
      <x:c r="T1962" t="str">
        <x:v>Entregue</x:v>
      </x:c>
      <x:c r="U1962" t="n">
        <x:v>3</x:v>
      </x:c>
      <x:c r="V1962" t="str"/>
    </x:row>
    <x:row r="1963">
      <x:c r="A1963" s="52" t="n">
        <x:v>46030</x:v>
      </x:c>
      <x:c r="B1963" t="str">
        <x:v>PED-101962</x:v>
      </x:c>
      <x:c r="C1963" t="str">
        <x:v>Cliente 009</x:v>
      </x:c>
      <x:c r="D1963" t="str">
        <x:v>SC</x:v>
      </x:c>
      <x:c r="E1963" t="str">
        <x:v>Sul</x:v>
      </x:c>
      <x:c r="F1963" t="str">
        <x:v>Marketplace</x:v>
      </x:c>
      <x:c r="G1963" t="str">
        <x:v>Escritório</x:v>
      </x:c>
      <x:c r="H1963" t="str">
        <x:v>Mesa Ajustável</x:v>
      </x:c>
      <x:c r="I1963" t="str">
        <x:v>Felipe</x:v>
      </x:c>
      <x:c r="J1963" s="53" t="n">
        <x:v>2</x:v>
      </x:c>
      <x:c r="K1963" s="54" t="n">
        <x:v>2748.26</x:v>
      </x:c>
      <x:c r="L1963" s="54" t="n">
        <x:v>1872.64</x:v>
      </x:c>
      <x:c r="M1963" s="55" t="n">
        <x:v>0.0627</x:v>
      </x:c>
      <x:c r="N1963" s="54" t="n">
        <x:f>ROUND(J1963*K1963,2)</x:f>
        <x:v>5496.52</x:v>
      </x:c>
      <x:c r="O1963" s="54" t="n">
        <x:f>ROUND(N1963*(1-M1963),2)</x:f>
        <x:v>5151.89</x:v>
      </x:c>
      <x:c r="P1963" s="54" t="n">
        <x:f>ROUND(J1963*L1963,2)</x:f>
        <x:v>3745.28</x:v>
      </x:c>
      <x:c r="Q1963" s="54" t="n">
        <x:f>ROUND(O1963-P1963,2)</x:f>
        <x:v>1406.61</x:v>
      </x:c>
      <x:c r="R1963" s="55" t="n">
        <x:f>IF(O1963=0,0,ROUND(Q1963/O1963,4))</x:f>
        <x:v>0.273</x:v>
      </x:c>
      <x:c r="S1963" s="53" t="n">
        <x:v>14</x:v>
      </x:c>
      <x:c r="T1963" t="str">
        <x:v>Entregue com atraso</x:v>
      </x:c>
      <x:c r="U1963" t="n">
        <x:v>2</x:v>
      </x:c>
      <x:c r="V1963" t="str"/>
    </x:row>
    <x:row r="1964">
      <x:c r="A1964" s="52" t="n">
        <x:v>46065</x:v>
      </x:c>
      <x:c r="B1964" t="str">
        <x:v>PED-101963</x:v>
      </x:c>
      <x:c r="C1964" t="str">
        <x:v>Cliente 037</x:v>
      </x:c>
      <x:c r="D1964" t="str">
        <x:v>DF</x:v>
      </x:c>
      <x:c r="E1964" t="str">
        <x:v>Centro-Oeste</x:v>
      </x:c>
      <x:c r="F1964" t="str">
        <x:v>Televendas</x:v>
      </x:c>
      <x:c r="G1964" t="str">
        <x:v>Acessórios</x:v>
      </x:c>
      <x:c r="H1964" t="str">
        <x:v>Mochila Executiva</x:v>
      </x:c>
      <x:c r="I1964" t="str">
        <x:v>Bruno</x:v>
      </x:c>
      <x:c r="J1964" s="53" t="n">
        <x:v>4</x:v>
      </x:c>
      <x:c r="K1964" s="54" t="n">
        <x:v>420.72</x:v>
      </x:c>
      <x:c r="L1964" s="54" t="n">
        <x:v>189.22</x:v>
      </x:c>
      <x:c r="M1964" s="55" t="n">
        <x:v>0.0805</x:v>
      </x:c>
      <x:c r="N1964" s="54" t="n">
        <x:f>ROUND(J1964*K1964,2)</x:f>
        <x:v>1682.88</x:v>
      </x:c>
      <x:c r="O1964" s="54" t="n">
        <x:f>ROUND(N1964*(1-M1964),2)</x:f>
        <x:v>1547.41</x:v>
      </x:c>
      <x:c r="P1964" s="54" t="n">
        <x:f>ROUND(J1964*L1964,2)</x:f>
        <x:v>756.88</x:v>
      </x:c>
      <x:c r="Q1964" s="54" t="n">
        <x:f>ROUND(O1964-P1964,2)</x:f>
        <x:v>790.53</x:v>
      </x:c>
      <x:c r="R1964" s="55" t="n">
        <x:f>IF(O1964=0,0,ROUND(Q1964/O1964,4))</x:f>
        <x:v>0.5109</x:v>
      </x:c>
      <x:c r="S1964" s="53" t="n">
        <x:v>6</x:v>
      </x:c>
      <x:c r="T1964" t="str">
        <x:v>Entregue</x:v>
      </x:c>
      <x:c r="U1964" t="n">
        <x:v>2</x:v>
      </x:c>
      <x:c r="V1964" t="str"/>
    </x:row>
    <x:row r="1965">
      <x:c r="A1965" s="52" t="n">
        <x:v>46160</x:v>
      </x:c>
      <x:c r="B1965" t="str">
        <x:v>PED-101964</x:v>
      </x:c>
      <x:c r="C1965" t="str">
        <x:v>Cliente 098</x:v>
      </x:c>
      <x:c r="D1965" t="str">
        <x:v>MT</x:v>
      </x:c>
      <x:c r="E1965" t="str">
        <x:v>Centro-Oeste</x:v>
      </x:c>
      <x:c r="F1965" t="str">
        <x:v>E-commerce</x:v>
      </x:c>
      <x:c r="G1965" t="str">
        <x:v>Tecnologia</x:v>
      </x:c>
      <x:c r="H1965" t="str">
        <x:v>Headset Office</x:v>
      </x:c>
      <x:c r="I1965" t="str">
        <x:v>Henrique</x:v>
      </x:c>
      <x:c r="J1965" s="53" t="n">
        <x:v>3</x:v>
      </x:c>
      <x:c r="K1965" s="54" t="n">
        <x:v>397</x:v>
      </x:c>
      <x:c r="L1965" s="54" t="n">
        <x:v>209.54</x:v>
      </x:c>
      <x:c r="M1965" s="55" t="n">
        <x:v>0</x:v>
      </x:c>
      <x:c r="N1965" s="54" t="n">
        <x:f>ROUND(J1965*K1965,2)</x:f>
        <x:v>1191</x:v>
      </x:c>
      <x:c r="O1965" s="54" t="n">
        <x:f>ROUND(N1965*(1-M1965),2)</x:f>
        <x:v>1191</x:v>
      </x:c>
      <x:c r="P1965" s="54" t="n">
        <x:f>ROUND(J1965*L1965,2)</x:f>
        <x:v>628.62</x:v>
      </x:c>
      <x:c r="Q1965" s="54" t="n">
        <x:f>ROUND(O1965-P1965,2)</x:f>
        <x:v>562.38</x:v>
      </x:c>
      <x:c r="R1965" s="55" t="n">
        <x:f>IF(O1965=0,0,ROUND(Q1965/O1965,4))</x:f>
        <x:v>0.4722</x:v>
      </x:c>
      <x:c r="S1965" s="53" t="n">
        <x:v>7</x:v>
      </x:c>
      <x:c r="T1965" t="str">
        <x:v>Entregue</x:v>
      </x:c>
      <x:c r="U1965" t="n">
        <x:v>4</x:v>
      </x:c>
      <x:c r="V1965" t="str"/>
    </x:row>
    <x:row r="1966">
      <x:c r="A1966" s="52" t="n">
        <x:v>46151</x:v>
      </x:c>
      <x:c r="B1966" t="str">
        <x:v>PED-101965</x:v>
      </x:c>
      <x:c r="C1966" t="str">
        <x:v>Cliente 027</x:v>
      </x:c>
      <x:c r="D1966" t="str">
        <x:v>MG</x:v>
      </x:c>
      <x:c r="E1966" t="str">
        <x:v>Sudeste</x:v>
      </x:c>
      <x:c r="F1966" t="str">
        <x:v>Loja</x:v>
      </x:c>
      <x:c r="G1966" t="str">
        <x:v>Acessórios</x:v>
      </x:c>
      <x:c r="H1966" t="str">
        <x:v>Mochila Executiva</x:v>
      </x:c>
      <x:c r="I1966" t="str">
        <x:v>Henrique</x:v>
      </x:c>
      <x:c r="J1966" s="53" t="n">
        <x:v>3</x:v>
      </x:c>
      <x:c r="K1966" s="54" t="n">
        <x:v>420.3</x:v>
      </x:c>
      <x:c r="L1966" s="54" t="n">
        <x:v>190.05</x:v>
      </x:c>
      <x:c r="M1966" s="55" t="n">
        <x:v>0</x:v>
      </x:c>
      <x:c r="N1966" s="54" t="n">
        <x:f>ROUND(J1966*K1966,2)</x:f>
        <x:v>1260.9</x:v>
      </x:c>
      <x:c r="O1966" s="54" t="n">
        <x:f>ROUND(N1966*(1-M1966),2)</x:f>
        <x:v>1260.9</x:v>
      </x:c>
      <x:c r="P1966" s="54" t="n">
        <x:f>ROUND(J1966*L1966,2)</x:f>
        <x:v>570.15</x:v>
      </x:c>
      <x:c r="Q1966" s="54" t="n">
        <x:f>ROUND(O1966-P1966,2)</x:f>
        <x:v>690.75</x:v>
      </x:c>
      <x:c r="R1966" s="55" t="n">
        <x:f>IF(O1966=0,0,ROUND(Q1966/O1966,4))</x:f>
        <x:v>0.5478</x:v>
      </x:c>
      <x:c r="S1966" s="53" t="n">
        <x:v>4</x:v>
      </x:c>
      <x:c r="T1966" t="str">
        <x:v>Entregue</x:v>
      </x:c>
      <x:c r="U1966" t="n">
        <x:v>2</x:v>
      </x:c>
      <x:c r="V1966" t="str"/>
    </x:row>
    <x:row r="1967">
      <x:c r="A1967" s="52" t="n">
        <x:v>46044</x:v>
      </x:c>
      <x:c r="B1967" t="str">
        <x:v>PED-101966</x:v>
      </x:c>
      <x:c r="C1967" t="str">
        <x:v>Cliente 095</x:v>
      </x:c>
      <x:c r="D1967" t="str">
        <x:v>PR</x:v>
      </x:c>
      <x:c r="E1967" t="str">
        <x:v>Sul</x:v>
      </x:c>
      <x:c r="F1967" t="str">
        <x:v>Marketplace</x:v>
      </x:c>
      <x:c r="G1967" t="str">
        <x:v>Casa</x:v>
      </x:c>
      <x:c r="H1967" t="str">
        <x:v>Aspirador Robô</x:v>
      </x:c>
      <x:c r="I1967" t="str">
        <x:v>Diego</x:v>
      </x:c>
      <x:c r="J1967" s="53" t="n">
        <x:v>2</x:v>
      </x:c>
      <x:c r="K1967" s="54" t="n">
        <x:v>1900.93</x:v>
      </x:c>
      <x:c r="L1967" s="54" t="n">
        <x:v>1218</x:v>
      </x:c>
      <x:c r="M1967" s="55" t="n">
        <x:v>0.1071</x:v>
      </x:c>
      <x:c r="N1967" s="54" t="n">
        <x:f>ROUND(J1967*K1967,2)</x:f>
        <x:v>3801.86</x:v>
      </x:c>
      <x:c r="O1967" s="54" t="n">
        <x:f>ROUND(N1967*(1-M1967),2)</x:f>
        <x:v>3394.68</x:v>
      </x:c>
      <x:c r="P1967" s="54" t="n">
        <x:f>ROUND(J1967*L1967,2)</x:f>
        <x:v>2436</x:v>
      </x:c>
      <x:c r="Q1967" s="54" t="n">
        <x:f>ROUND(O1967-P1967,2)</x:f>
        <x:v>958.68</x:v>
      </x:c>
      <x:c r="R1967" s="55" t="n">
        <x:f>IF(O1967=0,0,ROUND(Q1967/O1967,4))</x:f>
        <x:v>0.2824</x:v>
      </x:c>
      <x:c r="S1967" s="53" t="n">
        <x:v>12</x:v>
      </x:c>
      <x:c r="T1967" t="str">
        <x:v>Entregue com atraso</x:v>
      </x:c>
      <x:c r="U1967" t="n">
        <x:v>3</x:v>
      </x:c>
      <x:c r="V1967" t="str"/>
    </x:row>
    <x:row r="1968">
      <x:c r="A1968" s="52" t="n">
        <x:v>46027</x:v>
      </x:c>
      <x:c r="B1968" t="str">
        <x:v>PED-101967</x:v>
      </x:c>
      <x:c r="C1968" t="str">
        <x:v>Cliente 091</x:v>
      </x:c>
      <x:c r="D1968" t="str">
        <x:v>SC</x:v>
      </x:c>
      <x:c r="E1968" t="str">
        <x:v>Sul</x:v>
      </x:c>
      <x:c r="F1968" t="str">
        <x:v>Loja</x:v>
      </x:c>
      <x:c r="G1968" t="str">
        <x:v>Tecnologia</x:v>
      </x:c>
      <x:c r="H1968" t="str">
        <x:v>Notebook Pro</x:v>
      </x:c>
      <x:c r="I1968" t="str">
        <x:v>Felipe</x:v>
      </x:c>
      <x:c r="J1968" s="53" t="n">
        <x:v>8</x:v>
      </x:c>
      <x:c r="K1968" s="54" t="n">
        <x:v>6169.94</x:v>
      </x:c>
      <x:c r="L1968" s="54" t="n">
        <x:v>4147.84</x:v>
      </x:c>
      <x:c r="M1968" s="55" t="n">
        <x:v>0.005</x:v>
      </x:c>
      <x:c r="N1968" s="54" t="n">
        <x:f>ROUND(J1968*K1968,2)</x:f>
        <x:v>49359.52</x:v>
      </x:c>
      <x:c r="O1968" s="54" t="n">
        <x:f>ROUND(N1968*(1-M1968),2)</x:f>
        <x:v>49112.72</x:v>
      </x:c>
      <x:c r="P1968" s="54" t="n">
        <x:f>ROUND(J1968*L1968,2)</x:f>
        <x:v>33182.72</x:v>
      </x:c>
      <x:c r="Q1968" s="54" t="n">
        <x:f>ROUND(O1968-P1968,2)</x:f>
        <x:v>15930</x:v>
      </x:c>
      <x:c r="R1968" s="55" t="n">
        <x:f>IF(O1968=0,0,ROUND(Q1968/O1968,4))</x:f>
        <x:v>0.3244</x:v>
      </x:c>
      <x:c r="S1968" s="53" t="n">
        <x:v>13</x:v>
      </x:c>
      <x:c r="T1968" t="str">
        <x:v>Entregue com atraso</x:v>
      </x:c>
      <x:c r="U1968" t="n">
        <x:v>2</x:v>
      </x:c>
      <x:c r="V1968" t="str"/>
    </x:row>
    <x:row r="1969">
      <x:c r="A1969" s="52" t="n">
        <x:v>46086</x:v>
      </x:c>
      <x:c r="B1969" t="str">
        <x:v>PED-101968</x:v>
      </x:c>
      <x:c r="C1969" t="str">
        <x:v>Cliente 090</x:v>
      </x:c>
      <x:c r="D1969" t="str">
        <x:v>SP</x:v>
      </x:c>
      <x:c r="E1969" t="str">
        <x:v>Sudeste</x:v>
      </x:c>
      <x:c r="F1969" t="str">
        <x:v>Marketplace</x:v>
      </x:c>
      <x:c r="G1969" t="str">
        <x:v>Tecnologia</x:v>
      </x:c>
      <x:c r="H1969" t="str">
        <x:v>Notebook Pro</x:v>
      </x:c>
      <x:c r="I1969" t="str">
        <x:v>João</x:v>
      </x:c>
      <x:c r="J1969" s="53" t="n">
        <x:v>5</x:v>
      </x:c>
      <x:c r="K1969" s="54" t="n">
        <x:v>6124.16</x:v>
      </x:c>
      <x:c r="L1969" s="54" t="n">
        <x:v>4228.96</x:v>
      </x:c>
      <x:c r="M1969" s="55" t="n">
        <x:v>0.1361</x:v>
      </x:c>
      <x:c r="N1969" s="54" t="n">
        <x:f>ROUND(J1969*K1969,2)</x:f>
        <x:v>30620.8</x:v>
      </x:c>
      <x:c r="O1969" s="54" t="n">
        <x:f>ROUND(N1969*(1-M1969),2)</x:f>
        <x:v>26453.31</x:v>
      </x:c>
      <x:c r="P1969" s="54" t="n">
        <x:f>ROUND(J1969*L1969,2)</x:f>
        <x:v>21144.8</x:v>
      </x:c>
      <x:c r="Q1969" s="54" t="n">
        <x:f>ROUND(O1969-P1969,2)</x:f>
        <x:v>5308.51</x:v>
      </x:c>
      <x:c r="R1969" s="55" t="n">
        <x:f>IF(O1969=0,0,ROUND(Q1969/O1969,4))</x:f>
        <x:v>0.2007</x:v>
      </x:c>
      <x:c r="S1969" s="53" t="n">
        <x:v>10</x:v>
      </x:c>
      <x:c r="T1969" t="str">
        <x:v>Entregue</x:v>
      </x:c>
      <x:c r="U1969" t="n">
        <x:v>3</x:v>
      </x:c>
      <x:c r="V1969" t="str"/>
    </x:row>
    <x:row r="1970">
      <x:c r="A1970" s="52" t="n">
        <x:v>46096</x:v>
      </x:c>
      <x:c r="B1970" t="str">
        <x:v>PED-101969</x:v>
      </x:c>
      <x:c r="C1970" t="str">
        <x:v>Cliente 020</x:v>
      </x:c>
      <x:c r="D1970" t="str">
        <x:v>PE</x:v>
      </x:c>
      <x:c r="E1970" t="str">
        <x:v>Nordeste</x:v>
      </x:c>
      <x:c r="F1970" t="str">
        <x:v>Loja</x:v>
      </x:c>
      <x:c r="G1970" t="str">
        <x:v>Tecnologia</x:v>
      </x:c>
      <x:c r="H1970" t="str">
        <x:v>Monitor 27</x:v>
      </x:c>
      <x:c r="I1970" t="str">
        <x:v>João</x:v>
      </x:c>
      <x:c r="J1970" s="53" t="n">
        <x:v>1</x:v>
      </x:c>
      <x:c r="K1970" s="54" t="n">
        <x:v>1639.15</x:v>
      </x:c>
      <x:c r="L1970" s="54" t="n">
        <x:v>1133.99</x:v>
      </x:c>
      <x:c r="M1970" s="55" t="n">
        <x:v>0</x:v>
      </x:c>
      <x:c r="N1970" s="54" t="n">
        <x:f>ROUND(J1970*K1970,2)</x:f>
        <x:v>1639.15</x:v>
      </x:c>
      <x:c r="O1970" s="54" t="n">
        <x:f>ROUND(N1970*(1-M1970),2)</x:f>
        <x:v>1639.15</x:v>
      </x:c>
      <x:c r="P1970" s="54" t="n">
        <x:f>ROUND(J1970*L1970,2)</x:f>
        <x:v>1133.99</x:v>
      </x:c>
      <x:c r="Q1970" s="54" t="n">
        <x:f>ROUND(O1970-P1970,2)</x:f>
        <x:v>505.16</x:v>
      </x:c>
      <x:c r="R1970" s="55" t="n">
        <x:f>IF(O1970=0,0,ROUND(Q1970/O1970,4))</x:f>
        <x:v>0.3082</x:v>
      </x:c>
      <x:c r="S1970" s="53" t="n">
        <x:v>7</x:v>
      </x:c>
      <x:c r="T1970" t="str">
        <x:v>Entregue</x:v>
      </x:c>
      <x:c r="U1970" t="n">
        <x:v>5</x:v>
      </x:c>
      <x:c r="V1970" t="str"/>
    </x:row>
    <x:row r="1971">
      <x:c r="A1971" s="52" t="n">
        <x:v>46192</x:v>
      </x:c>
      <x:c r="B1971" t="str">
        <x:v>PED-101970</x:v>
      </x:c>
      <x:c r="C1971" t="str">
        <x:v>Cliente 078</x:v>
      </x:c>
      <x:c r="D1971" t="str">
        <x:v>MG</x:v>
      </x:c>
      <x:c r="E1971" t="str">
        <x:v>Sudeste</x:v>
      </x:c>
      <x:c r="F1971" t="str">
        <x:v>Marketplace</x:v>
      </x:c>
      <x:c r="G1971" t="str">
        <x:v>Casa</x:v>
      </x:c>
      <x:c r="H1971" t="str">
        <x:v>Aspirador Robô</x:v>
      </x:c>
      <x:c r="I1971" t="str">
        <x:v>Gabriela</x:v>
      </x:c>
      <x:c r="J1971" s="53" t="n">
        <x:v>2</x:v>
      </x:c>
      <x:c r="K1971" s="54" t="n">
        <x:v>1847.62</x:v>
      </x:c>
      <x:c r="L1971" s="54" t="n">
        <x:v>1219.93</x:v>
      </x:c>
      <x:c r="M1971" s="55" t="n">
        <x:v>0.1431</x:v>
      </x:c>
      <x:c r="N1971" s="54" t="n">
        <x:f>ROUND(J1971*K1971,2)</x:f>
        <x:v>3695.24</x:v>
      </x:c>
      <x:c r="O1971" s="54" t="n">
        <x:f>ROUND(N1971*(1-M1971),2)</x:f>
        <x:v>3166.45</x:v>
      </x:c>
      <x:c r="P1971" s="54" t="n">
        <x:f>ROUND(J1971*L1971,2)</x:f>
        <x:v>2439.86</x:v>
      </x:c>
      <x:c r="Q1971" s="54" t="n">
        <x:f>ROUND(O1971-P1971,2)</x:f>
        <x:v>726.59</x:v>
      </x:c>
      <x:c r="R1971" s="55" t="n">
        <x:f>IF(O1971=0,0,ROUND(Q1971/O1971,4))</x:f>
        <x:v>0.2295</x:v>
      </x:c>
      <x:c r="S1971" s="53" t="n">
        <x:v>4</x:v>
      </x:c>
      <x:c r="T1971" t="str">
        <x:v>Entregue</x:v>
      </x:c>
      <x:c r="U1971" t="n">
        <x:v>2</x:v>
      </x:c>
      <x:c r="V1971" t="str"/>
    </x:row>
    <x:row r="1972">
      <x:c r="A1972" s="52" t="n">
        <x:v>46037</x:v>
      </x:c>
      <x:c r="B1972" t="str">
        <x:v>PED-101971</x:v>
      </x:c>
      <x:c r="C1972" t="str">
        <x:v>Cliente 110</x:v>
      </x:c>
      <x:c r="D1972" t="str">
        <x:v>SP</x:v>
      </x:c>
      <x:c r="E1972" t="str">
        <x:v>Sudeste</x:v>
      </x:c>
      <x:c r="F1972" t="str">
        <x:v>Marketplace</x:v>
      </x:c>
      <x:c r="G1972" t="str">
        <x:v>Acessórios</x:v>
      </x:c>
      <x:c r="H1972" t="str">
        <x:v>Mochila Executiva</x:v>
      </x:c>
      <x:c r="I1972" t="str">
        <x:v>Elaine</x:v>
      </x:c>
      <x:c r="J1972" s="53" t="n">
        <x:v>4</x:v>
      </x:c>
      <x:c r="K1972" s="54" t="n">
        <x:v>447.04</x:v>
      </x:c>
      <x:c r="L1972" s="54" t="n">
        <x:v>198.36</x:v>
      </x:c>
      <x:c r="M1972" s="55" t="n">
        <x:v>0.4565</x:v>
      </x:c>
      <x:c r="N1972" s="54" t="n">
        <x:f>ROUND(J1972*K1972,2)</x:f>
        <x:v>1788.16</x:v>
      </x:c>
      <x:c r="O1972" s="54" t="n">
        <x:f>ROUND(N1972*(1-M1972),2)</x:f>
        <x:v>971.86</x:v>
      </x:c>
      <x:c r="P1972" s="54" t="n">
        <x:f>ROUND(J1972*L1972,2)</x:f>
        <x:v>793.44</x:v>
      </x:c>
      <x:c r="Q1972" s="54" t="n">
        <x:f>ROUND(O1972-P1972,2)</x:f>
        <x:v>178.42</x:v>
      </x:c>
      <x:c r="R1972" s="55" t="n">
        <x:f>IF(O1972=0,0,ROUND(Q1972/O1972,4))</x:f>
        <x:v>0.1836</x:v>
      </x:c>
      <x:c r="S1972" s="53" t="n">
        <x:v>2</x:v>
      </x:c>
      <x:c r="T1972" t="str">
        <x:v>Entregue</x:v>
      </x:c>
      <x:c r="U1972" t="n">
        <x:v>2</x:v>
      </x:c>
      <x:c r="V1972" t="str">
        <x:v>Desconto autorizado fora da campanha</x:v>
      </x:c>
    </x:row>
    <x:row r="1973">
      <x:c r="A1973" s="52" t="n">
        <x:v>46154</x:v>
      </x:c>
      <x:c r="B1973" t="str">
        <x:v>PED-101972</x:v>
      </x:c>
      <x:c r="C1973" t="str">
        <x:v>Cliente 113</x:v>
      </x:c>
      <x:c r="D1973" t="str">
        <x:v>ES</x:v>
      </x:c>
      <x:c r="E1973" t="str">
        <x:v>Sudeste</x:v>
      </x:c>
      <x:c r="F1973" t="str">
        <x:v>E-commerce</x:v>
      </x:c>
      <x:c r="G1973" t="str">
        <x:v>Tecnologia</x:v>
      </x:c>
      <x:c r="H1973" t="str">
        <x:v>Monitor 27</x:v>
      </x:c>
      <x:c r="I1973" t="str">
        <x:v>Isabela</x:v>
      </x:c>
      <x:c r="J1973" s="53" t="n">
        <x:v>6</x:v>
      </x:c>
      <x:c r="K1973" s="54" t="n">
        <x:v>1710.76</x:v>
      </x:c>
      <x:c r="L1973" s="54" t="n">
        <x:v>1057.62</x:v>
      </x:c>
      <x:c r="M1973" s="55" t="n">
        <x:v>0.0627</x:v>
      </x:c>
      <x:c r="N1973" s="54" t="n">
        <x:f>ROUND(J1973*K1973,2)</x:f>
        <x:v>10264.56</x:v>
      </x:c>
      <x:c r="O1973" s="54" t="n">
        <x:f>ROUND(N1973*(1-M1973),2)</x:f>
        <x:v>9620.97</x:v>
      </x:c>
      <x:c r="P1973" s="54" t="n">
        <x:f>ROUND(J1973*L1973,2)</x:f>
        <x:v>6345.72</x:v>
      </x:c>
      <x:c r="Q1973" s="54" t="n">
        <x:f>ROUND(O1973-P1973,2)</x:f>
        <x:v>3275.25</x:v>
      </x:c>
      <x:c r="R1973" s="55" t="n">
        <x:f>IF(O1973=0,0,ROUND(Q1973/O1973,4))</x:f>
        <x:v>0.3404</x:v>
      </x:c>
      <x:c r="S1973" s="53" t="n">
        <x:v>26</x:v>
      </x:c>
      <x:c r="T1973" t="str">
        <x:v>Entregue com atraso</x:v>
      </x:c>
      <x:c r="U1973" t="n">
        <x:v>2</x:v>
      </x:c>
      <x:c r="V1973" t="str">
        <x:v>Ocorrência logística</x:v>
      </x:c>
    </x:row>
    <x:row r="1974">
      <x:c r="A1974" s="52" t="n">
        <x:v>46103</x:v>
      </x:c>
      <x:c r="B1974" t="str">
        <x:v>PED-101973</x:v>
      </x:c>
      <x:c r="C1974" t="str">
        <x:v>Cliente 062</x:v>
      </x:c>
      <x:c r="D1974" t="str">
        <x:v>DF</x:v>
      </x:c>
      <x:c r="E1974" t="str">
        <x:v>Centro-Oeste</x:v>
      </x:c>
      <x:c r="F1974" t="str">
        <x:v>Marketplace</x:v>
      </x:c>
      <x:c r="G1974" t="str">
        <x:v>Acessórios</x:v>
      </x:c>
      <x:c r="H1974" t="str">
        <x:v>Webcam HD</x:v>
      </x:c>
      <x:c r="I1974" t="str">
        <x:v>Elaine</x:v>
      </x:c>
      <x:c r="J1974" s="53" t="n">
        <x:v>3</x:v>
      </x:c>
      <x:c r="K1974" s="54" t="n">
        <x:v>516.35</x:v>
      </x:c>
      <x:c r="L1974" s="54" t="n">
        <x:v>236.68</x:v>
      </x:c>
      <x:c r="M1974" s="55" t="n">
        <x:v>0.0891</x:v>
      </x:c>
      <x:c r="N1974" s="54" t="n">
        <x:f>ROUND(J1974*K1974,2)</x:f>
        <x:v>1549.05</x:v>
      </x:c>
      <x:c r="O1974" s="54" t="n">
        <x:f>ROUND(N1974*(1-M1974),2)</x:f>
        <x:v>1411.03</x:v>
      </x:c>
      <x:c r="P1974" s="54" t="n">
        <x:f>ROUND(J1974*L1974,2)</x:f>
        <x:v>710.04</x:v>
      </x:c>
      <x:c r="Q1974" s="54" t="n">
        <x:f>ROUND(O1974-P1974,2)</x:f>
        <x:v>700.99</x:v>
      </x:c>
      <x:c r="R1974" s="55" t="n">
        <x:f>IF(O1974=0,0,ROUND(Q1974/O1974,4))</x:f>
        <x:v>0.4968</x:v>
      </x:c>
      <x:c r="S1974" s="53" t="n">
        <x:v>8</x:v>
      </x:c>
      <x:c r="T1974" t="str">
        <x:v>Entregue</x:v>
      </x:c>
      <x:c r="U1974" t="n">
        <x:v>2</x:v>
      </x:c>
      <x:c r="V1974" t="str"/>
    </x:row>
    <x:row r="1975">
      <x:c r="A1975" s="52" t="n">
        <x:v>46117</x:v>
      </x:c>
      <x:c r="B1975" t="str">
        <x:v>PED-101974</x:v>
      </x:c>
      <x:c r="C1975" t="str">
        <x:v>Cliente 056</x:v>
      </x:c>
      <x:c r="D1975" t="str">
        <x:v>RJ</x:v>
      </x:c>
      <x:c r="E1975" t="str">
        <x:v>Sudeste</x:v>
      </x:c>
      <x:c r="F1975" t="str">
        <x:v>Marketplace</x:v>
      </x:c>
      <x:c r="G1975" t="str">
        <x:v>Escritório</x:v>
      </x:c>
      <x:c r="H1975" t="str">
        <x:v>Mesa Ajustável</x:v>
      </x:c>
      <x:c r="I1975" t="str">
        <x:v>Isabela</x:v>
      </x:c>
      <x:c r="J1975" s="53" t="n">
        <x:v>5</x:v>
      </x:c>
      <x:c r="K1975" s="54" t="n">
        <x:v>2889.6</x:v>
      </x:c>
      <x:c r="L1975" s="54" t="n">
        <x:v>1885.24</x:v>
      </x:c>
      <x:c r="M1975" s="55" t="n">
        <x:v>0.1103</x:v>
      </x:c>
      <x:c r="N1975" s="54" t="n">
        <x:f>ROUND(J1975*K1975,2)</x:f>
        <x:v>14448</x:v>
      </x:c>
      <x:c r="O1975" s="54" t="n">
        <x:f>ROUND(N1975*(1-M1975),2)</x:f>
        <x:v>12854.39</x:v>
      </x:c>
      <x:c r="P1975" s="54" t="n">
        <x:f>ROUND(J1975*L1975,2)</x:f>
        <x:v>9426.2</x:v>
      </x:c>
      <x:c r="Q1975" s="54" t="n">
        <x:f>ROUND(O1975-P1975,2)</x:f>
        <x:v>3428.19</x:v>
      </x:c>
      <x:c r="R1975" s="55" t="n">
        <x:f>IF(O1975=0,0,ROUND(Q1975/O1975,4))</x:f>
        <x:v>0.2667</x:v>
      </x:c>
      <x:c r="S1975" s="53" t="n">
        <x:v>10</x:v>
      </x:c>
      <x:c r="T1975" t="str">
        <x:v>Entregue</x:v>
      </x:c>
      <x:c r="U1975" t="n">
        <x:v>5</x:v>
      </x:c>
      <x:c r="V1975" t="str"/>
    </x:row>
    <x:row r="1976">
      <x:c r="A1976" s="52" t="n">
        <x:v>46206</x:v>
      </x:c>
      <x:c r="B1976" t="str">
        <x:v>PED-101975</x:v>
      </x:c>
      <x:c r="C1976" t="str">
        <x:v>Cliente 099</x:v>
      </x:c>
      <x:c r="D1976" t="str">
        <x:v>BA</x:v>
      </x:c>
      <x:c r="E1976" t="str">
        <x:v>Nordeste</x:v>
      </x:c>
      <x:c r="F1976" t="str">
        <x:v>Loja</x:v>
      </x:c>
      <x:c r="G1976" t="str">
        <x:v>Acessórios</x:v>
      </x:c>
      <x:c r="H1976" t="str">
        <x:v>Webcam HD</x:v>
      </x:c>
      <x:c r="I1976" t="str">
        <x:v>Gabriela</x:v>
      </x:c>
      <x:c r="J1976" s="53" t="n">
        <x:v>3</x:v>
      </x:c>
      <x:c r="K1976" s="54" t="n">
        <x:v>509.72</x:v>
      </x:c>
      <x:c r="L1976" s="54" t="n">
        <x:v>247.06</x:v>
      </x:c>
      <x:c r="M1976" s="55" t="n">
        <x:v>0</x:v>
      </x:c>
      <x:c r="N1976" s="54" t="n">
        <x:f>ROUND(J1976*K1976,2)</x:f>
        <x:v>1529.16</x:v>
      </x:c>
      <x:c r="O1976" s="54" t="n">
        <x:f>ROUND(N1976*(1-M1976),2)</x:f>
        <x:v>1529.16</x:v>
      </x:c>
      <x:c r="P1976" s="54" t="n">
        <x:f>ROUND(J1976*L1976,2)</x:f>
        <x:v>741.18</x:v>
      </x:c>
      <x:c r="Q1976" s="54" t="n">
        <x:f>ROUND(O1976-P1976,2)</x:f>
        <x:v>787.98</x:v>
      </x:c>
      <x:c r="R1976" s="55" t="n">
        <x:f>IF(O1976=0,0,ROUND(Q1976/O1976,4))</x:f>
        <x:v>0.5153</x:v>
      </x:c>
      <x:c r="S1976" s="53" t="n">
        <x:v>11</x:v>
      </x:c>
      <x:c r="T1976" t="str">
        <x:v>Entregue com atraso</x:v>
      </x:c>
      <x:c r="U1976" t="n">
        <x:v>5</x:v>
      </x:c>
      <x:c r="V1976" t="str"/>
    </x:row>
    <x:row r="1977">
      <x:c r="A1977" s="52" t="n">
        <x:v>46098</x:v>
      </x:c>
      <x:c r="B1977" t="str">
        <x:v>PED-101976</x:v>
      </x:c>
      <x:c r="C1977" t="str">
        <x:v>Cliente 022</x:v>
      </x:c>
      <x:c r="D1977" t="str">
        <x:v>PR</x:v>
      </x:c>
      <x:c r="E1977" t="str">
        <x:v>Sul</x:v>
      </x:c>
      <x:c r="F1977" t="str">
        <x:v>Marketplace</x:v>
      </x:c>
      <x:c r="G1977" t="str">
        <x:v>Acessórios</x:v>
      </x:c>
      <x:c r="H1977" t="str">
        <x:v>Webcam HD</x:v>
      </x:c>
      <x:c r="I1977" t="str">
        <x:v>Felipe</x:v>
      </x:c>
      <x:c r="J1977" s="53" t="n">
        <x:v>8</x:v>
      </x:c>
      <x:c r="K1977" s="54" t="n">
        <x:v>487.32</x:v>
      </x:c>
      <x:c r="L1977" s="54" t="n">
        <x:v>242.94</x:v>
      </x:c>
      <x:c r="M1977" s="55" t="n">
        <x:v>0.1123</x:v>
      </x:c>
      <x:c r="N1977" s="54" t="n">
        <x:f>ROUND(J1977*K1977,2)</x:f>
        <x:v>3898.56</x:v>
      </x:c>
      <x:c r="O1977" s="54" t="n">
        <x:f>ROUND(N1977*(1-M1977),2)</x:f>
        <x:v>3460.75</x:v>
      </x:c>
      <x:c r="P1977" s="54" t="n">
        <x:f>ROUND(J1977*L1977,2)</x:f>
        <x:v>1943.52</x:v>
      </x:c>
      <x:c r="Q1977" s="54" t="n">
        <x:f>ROUND(O1977-P1977,2)</x:f>
        <x:v>1517.23</x:v>
      </x:c>
      <x:c r="R1977" s="55" t="n">
        <x:f>IF(O1977=0,0,ROUND(Q1977/O1977,4))</x:f>
        <x:v>0.4384</x:v>
      </x:c>
      <x:c r="S1977" s="53" t="n">
        <x:v>13</x:v>
      </x:c>
      <x:c r="T1977" t="str">
        <x:v>Cancelado</x:v>
      </x:c>
      <x:c r="U1977"/>
      <x:c r="V1977" t="str"/>
    </x:row>
    <x:row r="1978">
      <x:c r="A1978" s="52" t="n">
        <x:v>46202</x:v>
      </x:c>
      <x:c r="B1978" t="str">
        <x:v>PED-101977</x:v>
      </x:c>
      <x:c r="C1978" t="str">
        <x:v>Cliente 082</x:v>
      </x:c>
      <x:c r="D1978" t="str">
        <x:v>ES</x:v>
      </x:c>
      <x:c r="E1978" t="str">
        <x:v>Sudeste</x:v>
      </x:c>
      <x:c r="F1978" t="str">
        <x:v>E-commerce</x:v>
      </x:c>
      <x:c r="G1978" t="str">
        <x:v>Tecnologia</x:v>
      </x:c>
      <x:c r="H1978" t="str">
        <x:v>Notebook Pro</x:v>
      </x:c>
      <x:c r="I1978" t="str">
        <x:v>Bruno</x:v>
      </x:c>
      <x:c r="J1978" s="53" t="n">
        <x:v>2</x:v>
      </x:c>
      <x:c r="K1978" s="54" t="n">
        <x:v>6232.58</x:v>
      </x:c>
      <x:c r="L1978" s="54" t="n">
        <x:v>4316.97</x:v>
      </x:c>
      <x:c r="M1978" s="55" t="n">
        <x:v>0.1115</x:v>
      </x:c>
      <x:c r="N1978" s="54" t="n">
        <x:f>ROUND(J1978*K1978,2)</x:f>
        <x:v>12465.16</x:v>
      </x:c>
      <x:c r="O1978" s="54" t="n">
        <x:f>ROUND(N1978*(1-M1978),2)</x:f>
        <x:v>11075.29</x:v>
      </x:c>
      <x:c r="P1978" s="54" t="n">
        <x:f>ROUND(J1978*L1978,2)</x:f>
        <x:v>8633.94</x:v>
      </x:c>
      <x:c r="Q1978" s="54" t="n">
        <x:f>ROUND(O1978-P1978,2)</x:f>
        <x:v>2441.35</x:v>
      </x:c>
      <x:c r="R1978" s="55" t="n">
        <x:f>IF(O1978=0,0,ROUND(Q1978/O1978,4))</x:f>
        <x:v>0.2204</x:v>
      </x:c>
      <x:c r="S1978" s="53" t="n">
        <x:v>3</x:v>
      </x:c>
      <x:c r="T1978" t="str">
        <x:v>Entregue</x:v>
      </x:c>
      <x:c r="U1978" t="n">
        <x:v>2</x:v>
      </x:c>
      <x:c r="V1978" t="str"/>
    </x:row>
    <x:row r="1979">
      <x:c r="A1979" s="52" t="n">
        <x:v>46103</x:v>
      </x:c>
      <x:c r="B1979" t="str">
        <x:v>PED-101978</x:v>
      </x:c>
      <x:c r="C1979" t="str">
        <x:v>Cliente 075</x:v>
      </x:c>
      <x:c r="D1979" t="str">
        <x:v>BA</x:v>
      </x:c>
      <x:c r="E1979" t="str">
        <x:v>Nordeste</x:v>
      </x:c>
      <x:c r="F1979" t="str">
        <x:v>Marketplace</x:v>
      </x:c>
      <x:c r="G1979" t="str">
        <x:v>Casa</x:v>
      </x:c>
      <x:c r="H1979" t="str">
        <x:v>Purificador</x:v>
      </x:c>
      <x:c r="I1979" t="str">
        <x:v>Carla</x:v>
      </x:c>
      <x:c r="J1979" s="53" t="n">
        <x:v>1</x:v>
      </x:c>
      <x:c r="K1979" s="54" t="n">
        <x:v>1218.4</x:v>
      </x:c>
      <x:c r="L1979" s="54" t="n">
        <x:v>835</x:v>
      </x:c>
      <x:c r="M1979" s="55" t="n">
        <x:v>0.035</x:v>
      </x:c>
      <x:c r="N1979" s="54" t="n">
        <x:f>ROUND(J1979*K1979,2)</x:f>
        <x:v>1218.4</x:v>
      </x:c>
      <x:c r="O1979" s="54" t="n">
        <x:f>ROUND(N1979*(1-M1979),2)</x:f>
        <x:v>1175.76</x:v>
      </x:c>
      <x:c r="P1979" s="54" t="n">
        <x:f>ROUND(J1979*L1979,2)</x:f>
        <x:v>835</x:v>
      </x:c>
      <x:c r="Q1979" s="54" t="n">
        <x:f>ROUND(O1979-P1979,2)</x:f>
        <x:v>340.76</x:v>
      </x:c>
      <x:c r="R1979" s="55" t="n">
        <x:f>IF(O1979=0,0,ROUND(Q1979/O1979,4))</x:f>
        <x:v>0.2898</x:v>
      </x:c>
      <x:c r="S1979" s="53" t="n">
        <x:v>12</x:v>
      </x:c>
      <x:c r="T1979" t="str">
        <x:v>Entregue com atraso</x:v>
      </x:c>
      <x:c r="U1979" t="n">
        <x:v>2</x:v>
      </x:c>
      <x:c r="V1979" t="str"/>
    </x:row>
    <x:row r="1980">
      <x:c r="A1980" s="52" t="n">
        <x:v>46187</x:v>
      </x:c>
      <x:c r="B1980" t="str">
        <x:v>PED-101979</x:v>
      </x:c>
      <x:c r="C1980" t="str">
        <x:v>Cliente 056</x:v>
      </x:c>
      <x:c r="D1980" t="str">
        <x:v>RS</x:v>
      </x:c>
      <x:c r="E1980" t="str">
        <x:v>Sul</x:v>
      </x:c>
      <x:c r="F1980" t="str">
        <x:v>Marketplace</x:v>
      </x:c>
      <x:c r="G1980" t="str">
        <x:v>Tecnologia</x:v>
      </x:c>
      <x:c r="H1980" t="str">
        <x:v>Notebook Pro</x:v>
      </x:c>
      <x:c r="I1980" t="str">
        <x:v>Ana</x:v>
      </x:c>
      <x:c r="J1980" s="53" t="n">
        <x:v>5</x:v>
      </x:c>
      <x:c r="K1980" s="54" t="n">
        <x:v>5686.25</x:v>
      </x:c>
      <x:c r="L1980" s="54" t="n">
        <x:v>4450.1</x:v>
      </x:c>
      <x:c r="M1980" s="55" t="n">
        <x:v>0.035</x:v>
      </x:c>
      <x:c r="N1980" s="54" t="n">
        <x:f>ROUND(J1980*K1980,2)</x:f>
        <x:v>28431.25</x:v>
      </x:c>
      <x:c r="O1980" s="54" t="n">
        <x:f>ROUND(N1980*(1-M1980),2)</x:f>
        <x:v>27436.16</x:v>
      </x:c>
      <x:c r="P1980" s="54" t="n">
        <x:f>ROUND(J1980*L1980,2)</x:f>
        <x:v>22250.5</x:v>
      </x:c>
      <x:c r="Q1980" s="54" t="n">
        <x:f>ROUND(O1980-P1980,2)</x:f>
        <x:v>5185.66</x:v>
      </x:c>
      <x:c r="R1980" s="55" t="n">
        <x:f>IF(O1980=0,0,ROUND(Q1980/O1980,4))</x:f>
        <x:v>0.189</x:v>
      </x:c>
      <x:c r="S1980" s="53" t="n">
        <x:v>7</x:v>
      </x:c>
      <x:c r="T1980" t="str">
        <x:v>Entregue</x:v>
      </x:c>
      <x:c r="U1980" t="n">
        <x:v>3</x:v>
      </x:c>
      <x:c r="V1980" t="str"/>
    </x:row>
    <x:row r="1981">
      <x:c r="A1981" s="52" t="n">
        <x:v>46173</x:v>
      </x:c>
      <x:c r="B1981" t="str">
        <x:v>PED-101980</x:v>
      </x:c>
      <x:c r="C1981" t="str">
        <x:v>Cliente 112</x:v>
      </x:c>
      <x:c r="D1981" t="str">
        <x:v>BA</x:v>
      </x:c>
      <x:c r="E1981" t="str">
        <x:v>Nordeste</x:v>
      </x:c>
      <x:c r="F1981" t="str">
        <x:v>Televendas</x:v>
      </x:c>
      <x:c r="G1981" t="str">
        <x:v>Tecnologia</x:v>
      </x:c>
      <x:c r="H1981" t="str">
        <x:v>Notebook Pro</x:v>
      </x:c>
      <x:c r="I1981" t="str">
        <x:v>João</x:v>
      </x:c>
      <x:c r="J1981" s="53" t="n">
        <x:v>6</x:v>
      </x:c>
      <x:c r="K1981" s="54" t="n">
        <x:v>6051.41</x:v>
      </x:c>
      <x:c r="L1981" s="54" t="n">
        <x:v>4624.42</x:v>
      </x:c>
      <x:c r="M1981" s="55" t="n">
        <x:v>0.0509</x:v>
      </x:c>
      <x:c r="N1981" s="54" t="n">
        <x:f>ROUND(J1981*K1981,2)</x:f>
        <x:v>36308.46</x:v>
      </x:c>
      <x:c r="O1981" s="54" t="n">
        <x:f>ROUND(N1981*(1-M1981),2)</x:f>
        <x:v>34460.36</x:v>
      </x:c>
      <x:c r="P1981" s="54" t="n">
        <x:f>ROUND(J1981*L1981,2)</x:f>
        <x:v>27746.52</x:v>
      </x:c>
      <x:c r="Q1981" s="54" t="n">
        <x:f>ROUND(O1981-P1981,2)</x:f>
        <x:v>6713.84</x:v>
      </x:c>
      <x:c r="R1981" s="55" t="n">
        <x:f>IF(O1981=0,0,ROUND(Q1981/O1981,4))</x:f>
        <x:v>0.1948</x:v>
      </x:c>
      <x:c r="S1981" s="53" t="n">
        <x:v>6</x:v>
      </x:c>
      <x:c r="T1981" t="str">
        <x:v>Entregue</x:v>
      </x:c>
      <x:c r="U1981" t="n">
        <x:v>2</x:v>
      </x:c>
      <x:c r="V1981" t="str"/>
    </x:row>
    <x:row r="1982">
      <x:c r="A1982" s="52" t="n">
        <x:v>46056</x:v>
      </x:c>
      <x:c r="B1982" t="str">
        <x:v>PED-101981</x:v>
      </x:c>
      <x:c r="C1982" t="str">
        <x:v>Cliente 103</x:v>
      </x:c>
      <x:c r="D1982" t="str">
        <x:v>PA</x:v>
      </x:c>
      <x:c r="E1982" t="str">
        <x:v>Norte</x:v>
      </x:c>
      <x:c r="F1982" t="str">
        <x:v>Televendas</x:v>
      </x:c>
      <x:c r="G1982" t="str">
        <x:v>Escritório</x:v>
      </x:c>
      <x:c r="H1982" t="str">
        <x:v>Mesa Ajustável</x:v>
      </x:c>
      <x:c r="I1982" t="str">
        <x:v>Carla</x:v>
      </x:c>
      <x:c r="J1982" s="53" t="n">
        <x:v>8</x:v>
      </x:c>
      <x:c r="K1982" s="54" t="n">
        <x:v>2722.53</x:v>
      </x:c>
      <x:c r="L1982" s="54" t="n">
        <x:v>1874.79</x:v>
      </x:c>
      <x:c r="M1982" s="55" t="n">
        <x:v>0.0204</x:v>
      </x:c>
      <x:c r="N1982" s="54" t="n">
        <x:f>ROUND(J1982*K1982,2)</x:f>
        <x:v>21780.24</x:v>
      </x:c>
      <x:c r="O1982" s="54" t="n">
        <x:f>ROUND(N1982*(1-M1982),2)</x:f>
        <x:v>21335.92</x:v>
      </x:c>
      <x:c r="P1982" s="54" t="n">
        <x:f>ROUND(J1982*L1982,2)</x:f>
        <x:v>14998.32</x:v>
      </x:c>
      <x:c r="Q1982" s="54" t="n">
        <x:f>ROUND(O1982-P1982,2)</x:f>
        <x:v>6337.6</x:v>
      </x:c>
      <x:c r="R1982" s="55" t="n">
        <x:f>IF(O1982=0,0,ROUND(Q1982/O1982,4))</x:f>
        <x:v>0.297</x:v>
      </x:c>
      <x:c r="S1982" s="53" t="n">
        <x:v>7</x:v>
      </x:c>
      <x:c r="T1982" t="str">
        <x:v>Entregue</x:v>
      </x:c>
      <x:c r="U1982" t="n">
        <x:v>3</x:v>
      </x:c>
      <x:c r="V1982" t="str"/>
    </x:row>
    <x:row r="1983">
      <x:c r="A1983" s="52" t="n">
        <x:v>46083</x:v>
      </x:c>
      <x:c r="B1983" t="str">
        <x:v>PED-101982</x:v>
      </x:c>
      <x:c r="C1983" t="str">
        <x:v>Cliente 054</x:v>
      </x:c>
      <x:c r="D1983" t="str">
        <x:v>MT</x:v>
      </x:c>
      <x:c r="E1983" t="str">
        <x:v>Centro-Oeste</x:v>
      </x:c>
      <x:c r="F1983" t="str">
        <x:v>E-commerce</x:v>
      </x:c>
      <x:c r="G1983" t="str">
        <x:v>Tecnologia</x:v>
      </x:c>
      <x:c r="H1983" t="str">
        <x:v>Notebook Pro</x:v>
      </x:c>
      <x:c r="I1983" t="str">
        <x:v>Felipe</x:v>
      </x:c>
      <x:c r="J1983" s="53" t="n">
        <x:v>2</x:v>
      </x:c>
      <x:c r="K1983" s="54" t="n">
        <x:v>5631.81</x:v>
      </x:c>
      <x:c r="L1983" s="54" t="n">
        <x:v>4161.89</x:v>
      </x:c>
      <x:c r="M1983" s="55" t="n">
        <x:v>0</x:v>
      </x:c>
      <x:c r="N1983" s="54" t="n">
        <x:f>ROUND(J1983*K1983,2)</x:f>
        <x:v>11263.62</x:v>
      </x:c>
      <x:c r="O1983" s="54" t="n">
        <x:f>ROUND(N1983*(1-M1983),2)</x:f>
        <x:v>11263.62</x:v>
      </x:c>
      <x:c r="P1983" s="54" t="n">
        <x:f>ROUND(J1983*L1983,2)</x:f>
        <x:v>8323.78</x:v>
      </x:c>
      <x:c r="Q1983" s="54" t="n">
        <x:f>ROUND(O1983-P1983,2)</x:f>
        <x:v>2939.84</x:v>
      </x:c>
      <x:c r="R1983" s="55" t="n">
        <x:f>IF(O1983=0,0,ROUND(Q1983/O1983,4))</x:f>
        <x:v>0.261</x:v>
      </x:c>
      <x:c r="S1983" s="53" t="n">
        <x:v>11</x:v>
      </x:c>
      <x:c r="T1983" t="str">
        <x:v>Entregue com atraso</x:v>
      </x:c>
      <x:c r="U1983" t="n">
        <x:v>3</x:v>
      </x:c>
      <x:c r="V1983" t="str"/>
    </x:row>
    <x:row r="1984">
      <x:c r="A1984" s="52" t="n">
        <x:v>46073</x:v>
      </x:c>
      <x:c r="B1984" t="str">
        <x:v>PED-101983</x:v>
      </x:c>
      <x:c r="C1984" t="str">
        <x:v>Cliente 047</x:v>
      </x:c>
      <x:c r="D1984" t="str">
        <x:v>MT</x:v>
      </x:c>
      <x:c r="E1984" t="str">
        <x:v>Centro-Oeste</x:v>
      </x:c>
      <x:c r="F1984" t="str">
        <x:v>E-commerce</x:v>
      </x:c>
      <x:c r="G1984" t="str">
        <x:v>Casa</x:v>
      </x:c>
      <x:c r="H1984" t="str">
        <x:v>Cafeteira Smart</x:v>
      </x:c>
      <x:c r="I1984" t="str">
        <x:v>Elaine</x:v>
      </x:c>
      <x:c r="J1984" s="53" t="n">
        <x:v>3</x:v>
      </x:c>
      <x:c r="K1984" s="54" t="n">
        <x:v>779.35</x:v>
      </x:c>
      <x:c r="L1984" s="54" t="n">
        <x:v>453.93</x:v>
      </x:c>
      <x:c r="M1984" s="55" t="n">
        <x:v>0</x:v>
      </x:c>
      <x:c r="N1984" s="54" t="n">
        <x:f>ROUND(J1984*K1984,2)</x:f>
        <x:v>2338.05</x:v>
      </x:c>
      <x:c r="O1984" s="54" t="n">
        <x:f>ROUND(N1984*(1-M1984),2)</x:f>
        <x:v>2338.05</x:v>
      </x:c>
      <x:c r="P1984" s="54" t="n">
        <x:f>ROUND(J1984*L1984,2)</x:f>
        <x:v>1361.79</x:v>
      </x:c>
      <x:c r="Q1984" s="54" t="n">
        <x:f>ROUND(O1984-P1984,2)</x:f>
        <x:v>976.26</x:v>
      </x:c>
      <x:c r="R1984" s="55" t="n">
        <x:f>IF(O1984=0,0,ROUND(Q1984/O1984,4))</x:f>
        <x:v>0.4176</x:v>
      </x:c>
      <x:c r="S1984" s="53" t="n">
        <x:v>13</x:v>
      </x:c>
      <x:c r="T1984" t="str">
        <x:v>Entregue com atraso</x:v>
      </x:c>
      <x:c r="U1984" t="n">
        <x:v>2</x:v>
      </x:c>
      <x:c r="V1984" t="str"/>
    </x:row>
    <x:row r="1985">
      <x:c r="A1985" s="52" t="n">
        <x:v>46146</x:v>
      </x:c>
      <x:c r="B1985" t="str">
        <x:v>PED-101984</x:v>
      </x:c>
      <x:c r="C1985" t="str">
        <x:v>Cliente 093</x:v>
      </x:c>
      <x:c r="D1985" t="str">
        <x:v>MT</x:v>
      </x:c>
      <x:c r="E1985" t="str">
        <x:v>Centro-Oeste</x:v>
      </x:c>
      <x:c r="F1985" t="str">
        <x:v>Televendas</x:v>
      </x:c>
      <x:c r="G1985" t="str">
        <x:v>Tecnologia</x:v>
      </x:c>
      <x:c r="H1985" t="str">
        <x:v>Notebook Pro</x:v>
      </x:c>
      <x:c r="I1985" t="str">
        <x:v>Henrique</x:v>
      </x:c>
      <x:c r="J1985" s="53" t="n">
        <x:v>8</x:v>
      </x:c>
      <x:c r="K1985" s="54" t="n">
        <x:v>6140.98</x:v>
      </x:c>
      <x:c r="L1985" s="54" t="n">
        <x:v>4249.26</x:v>
      </x:c>
      <x:c r="M1985" s="55" t="n">
        <x:v>0.0409</x:v>
      </x:c>
      <x:c r="N1985" s="54" t="n">
        <x:f>ROUND(J1985*K1985,2)</x:f>
        <x:v>49127.84</x:v>
      </x:c>
      <x:c r="O1985" s="54" t="n">
        <x:f>ROUND(N1985*(1-M1985),2)</x:f>
        <x:v>47118.51</x:v>
      </x:c>
      <x:c r="P1985" s="54" t="n">
        <x:f>ROUND(J1985*L1985,2)</x:f>
        <x:v>33994.08</x:v>
      </x:c>
      <x:c r="Q1985" s="54" t="n">
        <x:f>ROUND(O1985-P1985,2)</x:f>
        <x:v>13124.43</x:v>
      </x:c>
      <x:c r="R1985" s="55" t="n">
        <x:f>IF(O1985=0,0,ROUND(Q1985/O1985,4))</x:f>
        <x:v>0.2785</x:v>
      </x:c>
      <x:c r="S1985" s="53" t="n">
        <x:v>14</x:v>
      </x:c>
      <x:c r="T1985" t="str">
        <x:v>Entregue com atraso</x:v>
      </x:c>
      <x:c r="U1985" t="n">
        <x:v>5</x:v>
      </x:c>
      <x:c r="V1985" t="str"/>
    </x:row>
    <x:row r="1986">
      <x:c r="A1986" s="52" t="n">
        <x:v>46205</x:v>
      </x:c>
      <x:c r="B1986" t="str">
        <x:v>PED-101985</x:v>
      </x:c>
      <x:c r="C1986" t="str">
        <x:v>Cliente 073</x:v>
      </x:c>
      <x:c r="D1986" t="str">
        <x:v>BA</x:v>
      </x:c>
      <x:c r="E1986" t="str">
        <x:v>Nordeste</x:v>
      </x:c>
      <x:c r="F1986" t="str">
        <x:v>E-commerce</x:v>
      </x:c>
      <x:c r="G1986" t="str">
        <x:v>Tecnologia</x:v>
      </x:c>
      <x:c r="H1986" t="str">
        <x:v>Headset Office</x:v>
      </x:c>
      <x:c r="I1986" t="str">
        <x:v>Felipe</x:v>
      </x:c>
      <x:c r="J1986" s="53" t="n">
        <x:v>6</x:v>
      </x:c>
      <x:c r="K1986" s="54" t="n">
        <x:v>395.72</x:v>
      </x:c>
      <x:c r="L1986" s="54" t="n">
        <x:v>222.41</x:v>
      </x:c>
      <x:c r="M1986" s="55" t="n">
        <x:v>0</x:v>
      </x:c>
      <x:c r="N1986" s="54" t="n">
        <x:f>ROUND(J1986*K1986,2)</x:f>
        <x:v>2374.32</x:v>
      </x:c>
      <x:c r="O1986" s="54" t="n">
        <x:f>ROUND(N1986*(1-M1986),2)</x:f>
        <x:v>2374.32</x:v>
      </x:c>
      <x:c r="P1986" s="54" t="n">
        <x:f>ROUND(J1986*L1986,2)</x:f>
        <x:v>1334.46</x:v>
      </x:c>
      <x:c r="Q1986" s="54" t="n">
        <x:f>ROUND(O1986-P1986,2)</x:f>
        <x:v>1039.86</x:v>
      </x:c>
      <x:c r="R1986" s="55" t="n">
        <x:f>IF(O1986=0,0,ROUND(Q1986/O1986,4))</x:f>
        <x:v>0.438</x:v>
      </x:c>
      <x:c r="S1986" s="53" t="n">
        <x:v>2</x:v>
      </x:c>
      <x:c r="T1986" t="str">
        <x:v>Entregue</x:v>
      </x:c>
      <x:c r="U1986" t="n">
        <x:v>3</x:v>
      </x:c>
      <x:c r="V1986" t="str"/>
    </x:row>
    <x:row r="1987">
      <x:c r="A1987" s="52" t="n">
        <x:v>46027</x:v>
      </x:c>
      <x:c r="B1987" t="str">
        <x:v>PED-101986</x:v>
      </x:c>
      <x:c r="C1987" t="str">
        <x:v>Cliente 104</x:v>
      </x:c>
      <x:c r="D1987" t="str">
        <x:v>MG</x:v>
      </x:c>
      <x:c r="E1987" t="str">
        <x:v>Sudeste</x:v>
      </x:c>
      <x:c r="F1987" t="str">
        <x:v>Marketplace</x:v>
      </x:c>
      <x:c r="G1987" t="str">
        <x:v>Escritório</x:v>
      </x:c>
      <x:c r="H1987" t="str">
        <x:v>Mesa Ajustável</x:v>
      </x:c>
      <x:c r="I1987" t="str">
        <x:v>Ana</x:v>
      </x:c>
      <x:c r="J1987" s="53" t="n">
        <x:v>4</x:v>
      </x:c>
      <x:c r="K1987" s="54" t="n">
        <x:v>2881.11</x:v>
      </x:c>
      <x:c r="L1987" s="54" t="n">
        <x:v>1762.76</x:v>
      </x:c>
      <x:c r="M1987" s="55" t="n">
        <x:v>0.0766</x:v>
      </x:c>
      <x:c r="N1987" s="54" t="n">
        <x:f>ROUND(J1987*K1987,2)</x:f>
        <x:v>11524.44</x:v>
      </x:c>
      <x:c r="O1987" s="54" t="n">
        <x:f>ROUND(N1987*(1-M1987),2)</x:f>
        <x:v>10641.67</x:v>
      </x:c>
      <x:c r="P1987" s="54" t="n">
        <x:f>ROUND(J1987*L1987,2)</x:f>
        <x:v>7051.04</x:v>
      </x:c>
      <x:c r="Q1987" s="54" t="n">
        <x:f>ROUND(O1987-P1987,2)</x:f>
        <x:v>3590.63</x:v>
      </x:c>
      <x:c r="R1987" s="55" t="n">
        <x:f>IF(O1987=0,0,ROUND(Q1987/O1987,4))</x:f>
        <x:v>0.3374</x:v>
      </x:c>
      <x:c r="S1987" s="53" t="n">
        <x:v>7</x:v>
      </x:c>
      <x:c r="T1987" t="str">
        <x:v>Entregue</x:v>
      </x:c>
      <x:c r="U1987" t="n">
        <x:v>5</x:v>
      </x:c>
      <x:c r="V1987" t="str"/>
    </x:row>
    <x:row r="1988">
      <x:c r="A1988" s="52" t="n">
        <x:v>46234</x:v>
      </x:c>
      <x:c r="B1988" t="str">
        <x:v>PED-101987</x:v>
      </x:c>
      <x:c r="C1988" t="str">
        <x:v>Cliente 103</x:v>
      </x:c>
      <x:c r="D1988" t="str">
        <x:v>SP</x:v>
      </x:c>
      <x:c r="E1988" t="str">
        <x:v>Sudeste</x:v>
      </x:c>
      <x:c r="F1988" t="str">
        <x:v>Marketplace</x:v>
      </x:c>
      <x:c r="G1988" t="str">
        <x:v>Escritório</x:v>
      </x:c>
      <x:c r="H1988" t="str">
        <x:v>Mesa Ajustável</x:v>
      </x:c>
      <x:c r="I1988" t="str">
        <x:v>João</x:v>
      </x:c>
      <x:c r="J1988" s="53" t="n">
        <x:v>1</x:v>
      </x:c>
      <x:c r="K1988" s="54" t="n">
        <x:v>2810.14</x:v>
      </x:c>
      <x:c r="L1988" s="54" t="n">
        <x:v>1744.14</x:v>
      </x:c>
      <x:c r="M1988" s="55" t="n">
        <x:v>0.035</x:v>
      </x:c>
      <x:c r="N1988" s="54" t="n">
        <x:f>ROUND(J1988*K1988,2)</x:f>
        <x:v>2810.14</x:v>
      </x:c>
      <x:c r="O1988" s="54" t="n">
        <x:f>ROUND(N1988*(1-M1988),2)</x:f>
        <x:v>2711.79</x:v>
      </x:c>
      <x:c r="P1988" s="54" t="n">
        <x:f>ROUND(J1988*L1988,2)</x:f>
        <x:v>1744.14</x:v>
      </x:c>
      <x:c r="Q1988" s="54" t="n">
        <x:f>ROUND(O1988-P1988,2)</x:f>
        <x:v>967.65</x:v>
      </x:c>
      <x:c r="R1988" s="55" t="n">
        <x:f>IF(O1988=0,0,ROUND(Q1988/O1988,4))</x:f>
        <x:v>0.3568</x:v>
      </x:c>
      <x:c r="S1988" s="53" t="n">
        <x:v>4</x:v>
      </x:c>
      <x:c r="T1988" t="str">
        <x:v>Entregue</x:v>
      </x:c>
      <x:c r="U1988" t="n">
        <x:v>2</x:v>
      </x:c>
      <x:c r="V1988" t="str"/>
    </x:row>
    <x:row r="1989">
      <x:c r="A1989" s="52" t="n">
        <x:v>46154</x:v>
      </x:c>
      <x:c r="B1989" t="str">
        <x:v>PED-101988</x:v>
      </x:c>
      <x:c r="C1989" t="str">
        <x:v>Cliente 040</x:v>
      </x:c>
      <x:c r="D1989" t="str">
        <x:v>MG</x:v>
      </x:c>
      <x:c r="E1989" t="str">
        <x:v>Sudeste</x:v>
      </x:c>
      <x:c r="F1989" t="str">
        <x:v>E-commerce</x:v>
      </x:c>
      <x:c r="G1989" t="str">
        <x:v>Casa</x:v>
      </x:c>
      <x:c r="H1989" t="str">
        <x:v>Purificador</x:v>
      </x:c>
      <x:c r="I1989" t="str">
        <x:v>Diego</x:v>
      </x:c>
      <x:c r="J1989" s="53" t="n">
        <x:v>4</x:v>
      </x:c>
      <x:c r="K1989" s="54" t="n">
        <x:v>1355.15</x:v>
      </x:c>
      <x:c r="L1989" s="54" t="n">
        <x:v>787.93</x:v>
      </x:c>
      <x:c r="M1989" s="55" t="n">
        <x:v>0</x:v>
      </x:c>
      <x:c r="N1989" s="54" t="n">
        <x:f>ROUND(J1989*K1989,2)</x:f>
        <x:v>5420.6</x:v>
      </x:c>
      <x:c r="O1989" s="54" t="n">
        <x:f>ROUND(N1989*(1-M1989),2)</x:f>
        <x:v>5420.6</x:v>
      </x:c>
      <x:c r="P1989" s="54" t="n">
        <x:f>ROUND(J1989*L1989,2)</x:f>
        <x:v>3151.72</x:v>
      </x:c>
      <x:c r="Q1989" s="54" t="n">
        <x:f>ROUND(O1989-P1989,2)</x:f>
        <x:v>2268.88</x:v>
      </x:c>
      <x:c r="R1989" s="55" t="n">
        <x:f>IF(O1989=0,0,ROUND(Q1989/O1989,4))</x:f>
        <x:v>0.4186</x:v>
      </x:c>
      <x:c r="S1989" s="53" t="n">
        <x:v>2</x:v>
      </x:c>
      <x:c r="T1989" t="str">
        <x:v>Entregue</x:v>
      </x:c>
      <x:c r="U1989" t="n">
        <x:v>4</x:v>
      </x:c>
      <x:c r="V1989" t="str"/>
    </x:row>
    <x:row r="1990">
      <x:c r="A1990" s="52" t="n">
        <x:v>46148</x:v>
      </x:c>
      <x:c r="B1990" t="str">
        <x:v>PED-101989</x:v>
      </x:c>
      <x:c r="C1990" t="str">
        <x:v>Cliente 093</x:v>
      </x:c>
      <x:c r="D1990" t="str">
        <x:v>RS</x:v>
      </x:c>
      <x:c r="E1990" t="str">
        <x:v>Sul</x:v>
      </x:c>
      <x:c r="F1990" t="str">
        <x:v>Televendas</x:v>
      </x:c>
      <x:c r="G1990" t="str">
        <x:v>Acessórios</x:v>
      </x:c>
      <x:c r="H1990" t="str">
        <x:v>Mochila Executiva</x:v>
      </x:c>
      <x:c r="I1990" t="str">
        <x:v>Diego</x:v>
      </x:c>
      <x:c r="J1990" s="53" t="n">
        <x:v>5</x:v>
      </x:c>
      <x:c r="K1990" s="54" t="n">
        <x:v>424.61</x:v>
      </x:c>
      <x:c r="L1990" s="54" t="n">
        <x:v>198</x:v>
      </x:c>
      <x:c r="M1990" s="55" t="n">
        <x:v>0.0099</x:v>
      </x:c>
      <x:c r="N1990" s="54" t="n">
        <x:f>ROUND(J1990*K1990,2)</x:f>
        <x:v>2123.05</x:v>
      </x:c>
      <x:c r="O1990" s="54" t="n">
        <x:f>ROUND(N1990*(1-M1990),2)</x:f>
        <x:v>2102.03</x:v>
      </x:c>
      <x:c r="P1990" s="54" t="n">
        <x:f>ROUND(J1990*L1990,2)</x:f>
        <x:v>990</x:v>
      </x:c>
      <x:c r="Q1990" s="54" t="n">
        <x:f>ROUND(O1990-P1990,2)</x:f>
        <x:v>1112.03</x:v>
      </x:c>
      <x:c r="R1990" s="55" t="n">
        <x:f>IF(O1990=0,0,ROUND(Q1990/O1990,4))</x:f>
        <x:v>0.529</x:v>
      </x:c>
      <x:c r="S1990" s="53" t="n">
        <x:v>6</x:v>
      </x:c>
      <x:c r="T1990" t="str">
        <x:v>Entregue</x:v>
      </x:c>
      <x:c r="U1990" t="n">
        <x:v>4</x:v>
      </x:c>
      <x:c r="V1990" t="str"/>
    </x:row>
    <x:row r="1991">
      <x:c r="A1991" s="52" t="n">
        <x:v>46178</x:v>
      </x:c>
      <x:c r="B1991" t="str">
        <x:v>PED-101990</x:v>
      </x:c>
      <x:c r="C1991" t="str">
        <x:v>Cliente 032</x:v>
      </x:c>
      <x:c r="D1991" t="str">
        <x:v>BA</x:v>
      </x:c>
      <x:c r="E1991" t="str">
        <x:v>Nordeste</x:v>
      </x:c>
      <x:c r="F1991" t="str">
        <x:v>Marketplace</x:v>
      </x:c>
      <x:c r="G1991" t="str">
        <x:v>Tecnologia</x:v>
      </x:c>
      <x:c r="H1991" t="str">
        <x:v>Monitor 27</x:v>
      </x:c>
      <x:c r="I1991" t="str">
        <x:v>Ana</x:v>
      </x:c>
      <x:c r="J1991" s="53" t="n">
        <x:v>6</x:v>
      </x:c>
      <x:c r="K1991" s="54" t="n">
        <x:v>1763.73</x:v>
      </x:c>
      <x:c r="L1991" s="54" t="n">
        <x:v>1156.79</x:v>
      </x:c>
      <x:c r="M1991" s="55" t="n">
        <x:v>0.1333</x:v>
      </x:c>
      <x:c r="N1991" s="54" t="n">
        <x:f>ROUND(J1991*K1991,2)</x:f>
        <x:v>10582.38</x:v>
      </x:c>
      <x:c r="O1991" s="54" t="n">
        <x:f>ROUND(N1991*(1-M1991),2)</x:f>
        <x:v>9171.75</x:v>
      </x:c>
      <x:c r="P1991" s="54" t="n">
        <x:f>ROUND(J1991*L1991,2)</x:f>
        <x:v>6940.74</x:v>
      </x:c>
      <x:c r="Q1991" s="54" t="n">
        <x:f>ROUND(O1991-P1991,2)</x:f>
        <x:v>2231.01</x:v>
      </x:c>
      <x:c r="R1991" s="55" t="n">
        <x:f>IF(O1991=0,0,ROUND(Q1991/O1991,4))</x:f>
        <x:v>0.2432</x:v>
      </x:c>
      <x:c r="S1991" s="53" t="n">
        <x:v>9</x:v>
      </x:c>
      <x:c r="T1991" t="str">
        <x:v>Cancelado</x:v>
      </x:c>
      <x:c r="U1991"/>
      <x:c r="V1991" t="str"/>
    </x:row>
    <x:row r="1992">
      <x:c r="A1992" s="52" t="n">
        <x:v>46140</x:v>
      </x:c>
      <x:c r="B1992" t="str">
        <x:v>PED-101991</x:v>
      </x:c>
      <x:c r="C1992" t="str">
        <x:v>Cliente 011</x:v>
      </x:c>
      <x:c r="D1992" t="str">
        <x:v>BA</x:v>
      </x:c>
      <x:c r="E1992" t="str">
        <x:v>Nordeste</x:v>
      </x:c>
      <x:c r="F1992" t="str">
        <x:v>Loja</x:v>
      </x:c>
      <x:c r="G1992" t="str">
        <x:v>Escritório</x:v>
      </x:c>
      <x:c r="H1992" t="str">
        <x:v>Cadeira Ergonômica</x:v>
      </x:c>
      <x:c r="I1992" t="str">
        <x:v>Henrique</x:v>
      </x:c>
      <x:c r="J1992" s="53" t="n">
        <x:v>4</x:v>
      </x:c>
      <x:c r="K1992" s="54" t="n">
        <x:v>2235.89</x:v>
      </x:c>
      <x:c r="L1992" s="54" t="n">
        <x:v>1402.16</x:v>
      </x:c>
      <x:c r="M1992" s="55" t="n">
        <x:v>0.0826</x:v>
      </x:c>
      <x:c r="N1992" s="54" t="n">
        <x:f>ROUND(J1992*K1992,2)</x:f>
        <x:v>8943.56</x:v>
      </x:c>
      <x:c r="O1992" s="54" t="n">
        <x:f>ROUND(N1992*(1-M1992),2)</x:f>
        <x:v>8204.82</x:v>
      </x:c>
      <x:c r="P1992" s="54" t="n">
        <x:f>ROUND(J1992*L1992,2)</x:f>
        <x:v>5608.64</x:v>
      </x:c>
      <x:c r="Q1992" s="54" t="n">
        <x:f>ROUND(O1992-P1992,2)</x:f>
        <x:v>2596.18</x:v>
      </x:c>
      <x:c r="R1992" s="55" t="n">
        <x:f>IF(O1992=0,0,ROUND(Q1992/O1992,4))</x:f>
        <x:v>0.3164</x:v>
      </x:c>
      <x:c r="S1992" s="53" t="n">
        <x:v>9</x:v>
      </x:c>
      <x:c r="T1992" t="str">
        <x:v>Entregue</x:v>
      </x:c>
      <x:c r="U1992" t="n">
        <x:v>5</x:v>
      </x:c>
      <x:c r="V1992" t="str"/>
    </x:row>
    <x:row r="1993">
      <x:c r="A1993" s="52" t="n">
        <x:v>46223</x:v>
      </x:c>
      <x:c r="B1993" t="str">
        <x:v>PED-101992</x:v>
      </x:c>
      <x:c r="C1993" t="str">
        <x:v>Cliente 097</x:v>
      </x:c>
      <x:c r="D1993" t="str">
        <x:v>PA</x:v>
      </x:c>
      <x:c r="E1993" t="str">
        <x:v>Norte</x:v>
      </x:c>
      <x:c r="F1993" t="str">
        <x:v>E-commerce</x:v>
      </x:c>
      <x:c r="G1993" t="str">
        <x:v>Casa</x:v>
      </x:c>
      <x:c r="H1993" t="str">
        <x:v>Purificador</x:v>
      </x:c>
      <x:c r="I1993" t="str">
        <x:v>Carla</x:v>
      </x:c>
      <x:c r="J1993" s="53" t="n">
        <x:v>6</x:v>
      </x:c>
      <x:c r="K1993" s="54" t="n">
        <x:v>1315.83</x:v>
      </x:c>
      <x:c r="L1993" s="54" t="n">
        <x:v>817.18</x:v>
      </x:c>
      <x:c r="M1993" s="55" t="n">
        <x:v>0</x:v>
      </x:c>
      <x:c r="N1993" s="54" t="n">
        <x:f>ROUND(J1993*K1993,2)</x:f>
        <x:v>7894.98</x:v>
      </x:c>
      <x:c r="O1993" s="54" t="n">
        <x:f>ROUND(N1993*(1-M1993),2)</x:f>
        <x:v>7894.98</x:v>
      </x:c>
      <x:c r="P1993" s="54" t="n">
        <x:f>ROUND(J1993*L1993,2)</x:f>
        <x:v>4903.08</x:v>
      </x:c>
      <x:c r="Q1993" s="54" t="n">
        <x:f>ROUND(O1993-P1993,2)</x:f>
        <x:v>2991.9</x:v>
      </x:c>
      <x:c r="R1993" s="55" t="n">
        <x:f>IF(O1993=0,0,ROUND(Q1993/O1993,4))</x:f>
        <x:v>0.379</x:v>
      </x:c>
      <x:c r="S1993" s="53" t="n">
        <x:v>10</x:v>
      </x:c>
      <x:c r="T1993" t="str">
        <x:v>Entregue</x:v>
      </x:c>
      <x:c r="U1993" t="n">
        <x:v>3</x:v>
      </x:c>
      <x:c r="V1993" t="str"/>
    </x:row>
    <x:row r="1994">
      <x:c r="A1994" s="52" t="n">
        <x:v>46142</x:v>
      </x:c>
      <x:c r="B1994" t="str">
        <x:v>PED-101993</x:v>
      </x:c>
      <x:c r="C1994" t="str">
        <x:v>Cliente 048</x:v>
      </x:c>
      <x:c r="D1994" t="str">
        <x:v>RJ</x:v>
      </x:c>
      <x:c r="E1994" t="str">
        <x:v>Sudeste</x:v>
      </x:c>
      <x:c r="F1994" t="str">
        <x:v>Loja</x:v>
      </x:c>
      <x:c r="G1994" t="str">
        <x:v>Escritório</x:v>
      </x:c>
      <x:c r="H1994" t="str">
        <x:v>Mesa Ajustável</x:v>
      </x:c>
      <x:c r="I1994" t="str">
        <x:v>Henrique</x:v>
      </x:c>
      <x:c r="J1994" s="53" t="n">
        <x:v>1</x:v>
      </x:c>
      <x:c r="K1994" s="54" t="n">
        <x:v>2645.78</x:v>
      </x:c>
      <x:c r="L1994" s="54" t="n">
        <x:v>1811.42</x:v>
      </x:c>
      <x:c r="M1994" s="55" t="n">
        <x:v>0.0862</x:v>
      </x:c>
      <x:c r="N1994" s="54" t="n">
        <x:f>ROUND(J1994*K1994,2)</x:f>
        <x:v>2645.78</x:v>
      </x:c>
      <x:c r="O1994" s="54" t="n">
        <x:f>ROUND(N1994*(1-M1994),2)</x:f>
        <x:v>2417.71</x:v>
      </x:c>
      <x:c r="P1994" s="54" t="n">
        <x:f>ROUND(J1994*L1994,2)</x:f>
        <x:v>1811.42</x:v>
      </x:c>
      <x:c r="Q1994" s="54" t="n">
        <x:f>ROUND(O1994-P1994,2)</x:f>
        <x:v>606.29</x:v>
      </x:c>
      <x:c r="R1994" s="55" t="n">
        <x:f>IF(O1994=0,0,ROUND(Q1994/O1994,4))</x:f>
        <x:v>0.2508</x:v>
      </x:c>
      <x:c r="S1994" s="53" t="n">
        <x:v>14</x:v>
      </x:c>
      <x:c r="T1994" t="str">
        <x:v>Entregue com atraso</x:v>
      </x:c>
      <x:c r="U1994" t="n">
        <x:v>5</x:v>
      </x:c>
      <x:c r="V1994" t="str"/>
    </x:row>
    <x:row r="1995">
      <x:c r="A1995" s="52" t="n">
        <x:v>46024</x:v>
      </x:c>
      <x:c r="B1995" t="str">
        <x:v>PED-101994</x:v>
      </x:c>
      <x:c r="C1995" t="str">
        <x:v>Cliente 113</x:v>
      </x:c>
      <x:c r="D1995" t="str">
        <x:v>PR</x:v>
      </x:c>
      <x:c r="E1995" t="str">
        <x:v>Sul</x:v>
      </x:c>
      <x:c r="F1995" t="str">
        <x:v>E-commerce</x:v>
      </x:c>
      <x:c r="G1995" t="str">
        <x:v>Tecnologia</x:v>
      </x:c>
      <x:c r="H1995" t="str">
        <x:v>Headset Office</x:v>
      </x:c>
      <x:c r="I1995" t="str">
        <x:v>Felipe</x:v>
      </x:c>
      <x:c r="J1995" s="53" t="n">
        <x:v>2</x:v>
      </x:c>
      <x:c r="K1995" s="54" t="n">
        <x:v>374.76</x:v>
      </x:c>
      <x:c r="L1995" s="54" t="n">
        <x:v>212.03</x:v>
      </x:c>
      <x:c r="M1995" s="55" t="n">
        <x:v>0</x:v>
      </x:c>
      <x:c r="N1995" s="54" t="n">
        <x:f>ROUND(J1995*K1995,2)</x:f>
        <x:v>749.52</x:v>
      </x:c>
      <x:c r="O1995" s="54" t="n">
        <x:f>ROUND(N1995*(1-M1995),2)</x:f>
        <x:v>749.52</x:v>
      </x:c>
      <x:c r="P1995" s="54" t="n">
        <x:f>ROUND(J1995*L1995,2)</x:f>
        <x:v>424.06</x:v>
      </x:c>
      <x:c r="Q1995" s="54" t="n">
        <x:f>ROUND(O1995-P1995,2)</x:f>
        <x:v>325.46</x:v>
      </x:c>
      <x:c r="R1995" s="55" t="n">
        <x:f>IF(O1995=0,0,ROUND(Q1995/O1995,4))</x:f>
        <x:v>0.4342</x:v>
      </x:c>
      <x:c r="S1995" s="53" t="n">
        <x:v>6</x:v>
      </x:c>
      <x:c r="T1995" t="str">
        <x:v>Entregue</x:v>
      </x:c>
      <x:c r="U1995" t="n">
        <x:v>3</x:v>
      </x:c>
      <x:c r="V1995" t="str"/>
    </x:row>
    <x:row r="1996">
      <x:c r="A1996" s="52" t="n">
        <x:v>46126</x:v>
      </x:c>
      <x:c r="B1996" t="str">
        <x:v>PED-101995</x:v>
      </x:c>
      <x:c r="C1996" t="str">
        <x:v>Cliente 118</x:v>
      </x:c>
      <x:c r="D1996" t="str">
        <x:v>MG</x:v>
      </x:c>
      <x:c r="E1996" t="str">
        <x:v>Sudeste</x:v>
      </x:c>
      <x:c r="F1996" t="str">
        <x:v>Marketplace</x:v>
      </x:c>
      <x:c r="G1996" t="str">
        <x:v>Escritório</x:v>
      </x:c>
      <x:c r="H1996" t="str">
        <x:v>Cadeira Ergonômica</x:v>
      </x:c>
      <x:c r="I1996" t="str">
        <x:v>Isabela</x:v>
      </x:c>
      <x:c r="J1996" s="53" t="n">
        <x:v>8</x:v>
      </x:c>
      <x:c r="K1996" s="54" t="n">
        <x:v>2220.47</x:v>
      </x:c>
      <x:c r="L1996" s="54" t="n">
        <x:v>1434.46</x:v>
      </x:c>
      <x:c r="M1996" s="55" t="n">
        <x:v>0.035</x:v>
      </x:c>
      <x:c r="N1996" s="54" t="n">
        <x:f>ROUND(J1996*K1996,2)</x:f>
        <x:v>17763.76</x:v>
      </x:c>
      <x:c r="O1996" s="54" t="n">
        <x:f>ROUND(N1996*(1-M1996),2)</x:f>
        <x:v>17142.03</x:v>
      </x:c>
      <x:c r="P1996" s="54" t="n">
        <x:f>ROUND(J1996*L1996,2)</x:f>
        <x:v>11475.68</x:v>
      </x:c>
      <x:c r="Q1996" s="54" t="n">
        <x:f>ROUND(O1996-P1996,2)</x:f>
        <x:v>5666.35</x:v>
      </x:c>
      <x:c r="R1996" s="55" t="n">
        <x:f>IF(O1996=0,0,ROUND(Q1996/O1996,4))</x:f>
        <x:v>0.3306</x:v>
      </x:c>
      <x:c r="S1996" s="53" t="n">
        <x:v>10</x:v>
      </x:c>
      <x:c r="T1996" t="str">
        <x:v>Entregue</x:v>
      </x:c>
      <x:c r="U1996" t="n">
        <x:v>3</x:v>
      </x:c>
      <x:c r="V1996" t="str"/>
    </x:row>
    <x:row r="1997">
      <x:c r="A1997" s="52" t="n">
        <x:v>46200</x:v>
      </x:c>
      <x:c r="B1997" t="str">
        <x:v>PED-101996</x:v>
      </x:c>
      <x:c r="C1997" t="str">
        <x:v>Cliente 008</x:v>
      </x:c>
      <x:c r="D1997" t="str">
        <x:v>MG</x:v>
      </x:c>
      <x:c r="E1997" t="str">
        <x:v>Sudeste</x:v>
      </x:c>
      <x:c r="F1997" t="str">
        <x:v>Loja</x:v>
      </x:c>
      <x:c r="G1997" t="str">
        <x:v>Escritório</x:v>
      </x:c>
      <x:c r="H1997" t="str">
        <x:v>Mesa Ajustável</x:v>
      </x:c>
      <x:c r="I1997" t="str">
        <x:v>Carla</x:v>
      </x:c>
      <x:c r="J1997" s="53" t="n">
        <x:v>5</x:v>
      </x:c>
      <x:c r="K1997" s="54" t="n">
        <x:v>2856.2</x:v>
      </x:c>
      <x:c r="L1997" s="54" t="n">
        <x:v>1875.25</x:v>
      </x:c>
      <x:c r="M1997" s="55" t="n">
        <x:v>0</x:v>
      </x:c>
      <x:c r="N1997" s="54" t="n">
        <x:f>ROUND(J1997*K1997,2)</x:f>
        <x:v>14281</x:v>
      </x:c>
      <x:c r="O1997" s="54" t="n">
        <x:f>ROUND(N1997*(1-M1997),2)</x:f>
        <x:v>14281</x:v>
      </x:c>
      <x:c r="P1997" s="54" t="n">
        <x:f>ROUND(J1997*L1997,2)</x:f>
        <x:v>9376.25</x:v>
      </x:c>
      <x:c r="Q1997" s="54" t="n">
        <x:f>ROUND(O1997-P1997,2)</x:f>
        <x:v>4904.75</x:v>
      </x:c>
      <x:c r="R1997" s="55" t="n">
        <x:f>IF(O1997=0,0,ROUND(Q1997/O1997,4))</x:f>
        <x:v>0.3434</x:v>
      </x:c>
      <x:c r="S1997" s="53" t="n">
        <x:v>3</x:v>
      </x:c>
      <x:c r="T1997" t="str">
        <x:v>Entregue</x:v>
      </x:c>
      <x:c r="U1997" t="n">
        <x:v>2</x:v>
      </x:c>
      <x:c r="V1997" t="str"/>
    </x:row>
    <x:row r="1998">
      <x:c r="A1998" s="52" t="n">
        <x:v>46220</x:v>
      </x:c>
      <x:c r="B1998" t="str">
        <x:v>PED-101997</x:v>
      </x:c>
      <x:c r="C1998" t="str">
        <x:v>Cliente 119</x:v>
      </x:c>
      <x:c r="D1998" t="str">
        <x:v>MG</x:v>
      </x:c>
      <x:c r="E1998" t="str">
        <x:v>Sudeste</x:v>
      </x:c>
      <x:c r="F1998" t="str">
        <x:v>Marketplace</x:v>
      </x:c>
      <x:c r="G1998" t="str">
        <x:v>Casa</x:v>
      </x:c>
      <x:c r="H1998" t="str">
        <x:v>Cafeteira Smart</x:v>
      </x:c>
      <x:c r="I1998" t="str">
        <x:v>Felipe</x:v>
      </x:c>
      <x:c r="J1998" s="53" t="n">
        <x:v>2</x:v>
      </x:c>
      <x:c r="K1998" s="54" t="n">
        <x:v>816.96</x:v>
      </x:c>
      <x:c r="L1998" s="54" t="n">
        <x:v>439.65</x:v>
      </x:c>
      <x:c r="M1998" s="55" t="n">
        <x:v>0.1448</x:v>
      </x:c>
      <x:c r="N1998" s="54" t="n">
        <x:f>ROUND(J1998*K1998,2)</x:f>
        <x:v>1633.92</x:v>
      </x:c>
      <x:c r="O1998" s="54" t="n">
        <x:f>ROUND(N1998*(1-M1998),2)</x:f>
        <x:v>1397.33</x:v>
      </x:c>
      <x:c r="P1998" s="54" t="n">
        <x:f>ROUND(J1998*L1998,2)</x:f>
        <x:v>879.3</x:v>
      </x:c>
      <x:c r="Q1998" s="54" t="n">
        <x:f>ROUND(O1998-P1998,2)</x:f>
        <x:v>518.03</x:v>
      </x:c>
      <x:c r="R1998" s="55" t="n">
        <x:f>IF(O1998=0,0,ROUND(Q1998/O1998,4))</x:f>
        <x:v>0.3707</x:v>
      </x:c>
      <x:c r="S1998" s="53" t="n">
        <x:v>7</x:v>
      </x:c>
      <x:c r="T1998" t="str">
        <x:v>Entregue</x:v>
      </x:c>
      <x:c r="U1998" t="n">
        <x:v>5</x:v>
      </x:c>
      <x:c r="V1998" t="str"/>
    </x:row>
    <x:row r="1999">
      <x:c r="A1999" s="52" t="n">
        <x:v>46052</x:v>
      </x:c>
      <x:c r="B1999" t="str">
        <x:v>PED-101998</x:v>
      </x:c>
      <x:c r="C1999" t="str">
        <x:v>Cliente 083</x:v>
      </x:c>
      <x:c r="D1999" t="str">
        <x:v>AM</x:v>
      </x:c>
      <x:c r="E1999" t="str">
        <x:v>Norte</x:v>
      </x:c>
      <x:c r="F1999" t="str">
        <x:v>Loja</x:v>
      </x:c>
      <x:c r="G1999" t="str">
        <x:v>Casa</x:v>
      </x:c>
      <x:c r="H1999" t="str">
        <x:v>Purificador</x:v>
      </x:c>
      <x:c r="I1999" t="str">
        <x:v>Isabela</x:v>
      </x:c>
      <x:c r="J1999" s="53" t="n">
        <x:v>5</x:v>
      </x:c>
      <x:c r="K1999" s="54" t="n">
        <x:v>1342.66</x:v>
      </x:c>
      <x:c r="L1999" s="54" t="n">
        <x:v>780.61</x:v>
      </x:c>
      <x:c r="M1999" s="55" t="n">
        <x:v>0.0565</x:v>
      </x:c>
      <x:c r="N1999" s="54" t="n">
        <x:f>ROUND(J1999*K1999,2)</x:f>
        <x:v>6713.3</x:v>
      </x:c>
      <x:c r="O1999" s="54" t="n">
        <x:f>ROUND(N1999*(1-M1999),2)</x:f>
        <x:v>6334</x:v>
      </x:c>
      <x:c r="P1999" s="54" t="n">
        <x:f>ROUND(J1999*L1999,2)</x:f>
        <x:v>3903.05</x:v>
      </x:c>
      <x:c r="Q1999" s="54" t="n">
        <x:f>ROUND(O1999-P1999,2)</x:f>
        <x:v>2430.95</x:v>
      </x:c>
      <x:c r="R1999" s="55" t="n">
        <x:f>IF(O1999=0,0,ROUND(Q1999/O1999,4))</x:f>
        <x:v>0.3838</x:v>
      </x:c>
      <x:c r="S1999" s="53" t="n">
        <x:v>11</x:v>
      </x:c>
      <x:c r="T1999" t="str">
        <x:v>Entregue com atraso</x:v>
      </x:c>
      <x:c r="U1999" t="n">
        <x:v>3</x:v>
      </x:c>
      <x:c r="V1999" t="str"/>
    </x:row>
    <x:row r="2000">
      <x:c r="A2000" s="52" t="n">
        <x:v>46064</x:v>
      </x:c>
      <x:c r="B2000" t="str">
        <x:v>PED-101999</x:v>
      </x:c>
      <x:c r="C2000" t="str">
        <x:v>Cliente 029</x:v>
      </x:c>
      <x:c r="D2000" t="str">
        <x:v>GO</x:v>
      </x:c>
      <x:c r="E2000" t="str">
        <x:v>Centro-Oeste</x:v>
      </x:c>
      <x:c r="F2000" t="str">
        <x:v>Marketplace</x:v>
      </x:c>
      <x:c r="G2000" t="str">
        <x:v>Casa</x:v>
      </x:c>
      <x:c r="H2000" t="str">
        <x:v>Cafeteira Smart</x:v>
      </x:c>
      <x:c r="I2000" t="str">
        <x:v>Elaine</x:v>
      </x:c>
      <x:c r="J2000" s="53" t="n">
        <x:v>4</x:v>
      </x:c>
      <x:c r="K2000" s="54" t="n">
        <x:v>816.63</x:v>
      </x:c>
      <x:c r="L2000" s="54" t="n">
        <x:v>455.25</x:v>
      </x:c>
      <x:c r="M2000" s="55" t="n">
        <x:v>0.035</x:v>
      </x:c>
      <x:c r="N2000" s="54" t="n">
        <x:f>ROUND(J2000*K2000,2)</x:f>
        <x:v>3266.52</x:v>
      </x:c>
      <x:c r="O2000" s="54" t="n">
        <x:f>ROUND(N2000*(1-M2000),2)</x:f>
        <x:v>3152.19</x:v>
      </x:c>
      <x:c r="P2000" s="54" t="n">
        <x:f>ROUND(J2000*L2000,2)</x:f>
        <x:v>1821</x:v>
      </x:c>
      <x:c r="Q2000" s="54" t="n">
        <x:f>ROUND(O2000-P2000,2)</x:f>
        <x:v>1331.19</x:v>
      </x:c>
      <x:c r="R2000" s="55" t="n">
        <x:f>IF(O2000=0,0,ROUND(Q2000/O2000,4))</x:f>
        <x:v>0.4223</x:v>
      </x:c>
      <x:c r="S2000" s="53" t="n">
        <x:v>3</x:v>
      </x:c>
      <x:c r="T2000" t="str">
        <x:v>Entregue</x:v>
      </x:c>
      <x:c r="U2000" t="n">
        <x:v>2</x:v>
      </x:c>
      <x:c r="V2000" t="str"/>
    </x:row>
    <x:row r="2001">
      <x:c r="A2001" s="52" t="n">
        <x:v>46112</x:v>
      </x:c>
      <x:c r="B2001" t="str">
        <x:v>PED-102000</x:v>
      </x:c>
      <x:c r="C2001" t="str">
        <x:v>Cliente 100</x:v>
      </x:c>
      <x:c r="D2001" t="str">
        <x:v>BA</x:v>
      </x:c>
      <x:c r="E2001" t="str">
        <x:v>Nordeste</x:v>
      </x:c>
      <x:c r="F2001" t="str">
        <x:v>Televendas</x:v>
      </x:c>
      <x:c r="G2001" t="str">
        <x:v>Acessórios</x:v>
      </x:c>
      <x:c r="H2001" t="str">
        <x:v>Hub USB-C</x:v>
      </x:c>
      <x:c r="I2001" t="str">
        <x:v>Felipe</x:v>
      </x:c>
      <x:c r="J2001" s="53" t="n">
        <x:v>4</x:v>
      </x:c>
      <x:c r="K2001" s="54" t="n">
        <x:v>337.01</x:v>
      </x:c>
      <x:c r="L2001" s="54" t="n">
        <x:v>143.49</x:v>
      </x:c>
      <x:c r="M2001" s="55" t="n">
        <x:v>0.0259</x:v>
      </x:c>
      <x:c r="N2001" s="54" t="n">
        <x:f>ROUND(J2001*K2001,2)</x:f>
        <x:v>1348.04</x:v>
      </x:c>
      <x:c r="O2001" s="54" t="n">
        <x:f>ROUND(N2001*(1-M2001),2)</x:f>
        <x:v>1313.13</x:v>
      </x:c>
      <x:c r="P2001" s="54" t="n">
        <x:f>ROUND(J2001*L2001,2)</x:f>
        <x:v>573.96</x:v>
      </x:c>
      <x:c r="Q2001" s="54" t="n">
        <x:f>ROUND(O2001-P2001,2)</x:f>
        <x:v>739.17</x:v>
      </x:c>
      <x:c r="R2001" s="55" t="n">
        <x:f>IF(O2001=0,0,ROUND(Q2001/O2001,4))</x:f>
        <x:v>0.5629</x:v>
      </x:c>
      <x:c r="S2001" s="53" t="n">
        <x:v>12</x:v>
      </x:c>
      <x:c r="T2001" t="str">
        <x:v>Entregue com atraso</x:v>
      </x:c>
      <x:c r="U2001" t="n">
        <x:v>3</x:v>
      </x:c>
      <x:c r="V2001" t="str"/>
    </x:row>
    <x:row r="2002">
      <x:c r="A2002" s="52" t="n">
        <x:v>46127</x:v>
      </x:c>
      <x:c r="B2002" t="str">
        <x:v>PED-102001</x:v>
      </x:c>
      <x:c r="C2002" t="str">
        <x:v>Cliente 006</x:v>
      </x:c>
      <x:c r="D2002" t="str">
        <x:v>MT</x:v>
      </x:c>
      <x:c r="E2002" t="str">
        <x:v>Centro-Oeste</x:v>
      </x:c>
      <x:c r="F2002" t="str">
        <x:v>Marketplace</x:v>
      </x:c>
      <x:c r="G2002" t="str">
        <x:v>Escritório</x:v>
      </x:c>
      <x:c r="H2002" t="str">
        <x:v>Luminária LED</x:v>
      </x:c>
      <x:c r="I2002" t="str">
        <x:v>Gabriela</x:v>
      </x:c>
      <x:c r="J2002" s="53" t="n">
        <x:v>4</x:v>
      </x:c>
      <x:c r="K2002" s="54" t="n">
        <x:v>249.19</x:v>
      </x:c>
      <x:c r="L2002" s="54" t="n">
        <x:v>123.55</x:v>
      </x:c>
      <x:c r="M2002" s="55" t="n">
        <x:v>0.035</x:v>
      </x:c>
      <x:c r="N2002" s="54" t="n">
        <x:f>ROUND(J2002*K2002,2)</x:f>
        <x:v>996.76</x:v>
      </x:c>
      <x:c r="O2002" s="54" t="n">
        <x:f>ROUND(N2002*(1-M2002),2)</x:f>
        <x:v>961.87</x:v>
      </x:c>
      <x:c r="P2002" s="54" t="n">
        <x:f>ROUND(J2002*L2002,2)</x:f>
        <x:v>494.2</x:v>
      </x:c>
      <x:c r="Q2002" s="54" t="n">
        <x:f>ROUND(O2002-P2002,2)</x:f>
        <x:v>467.67</x:v>
      </x:c>
      <x:c r="R2002" s="55" t="n">
        <x:f>IF(O2002=0,0,ROUND(Q2002/O2002,4))</x:f>
        <x:v>0.4862</x:v>
      </x:c>
      <x:c r="S2002" s="53" t="n">
        <x:v>2</x:v>
      </x:c>
      <x:c r="T2002" t="str">
        <x:v>Entregue</x:v>
      </x:c>
      <x:c r="U2002" t="n">
        <x:v>5</x:v>
      </x:c>
      <x:c r="V2002" t="str"/>
    </x:row>
    <x:row r="2003">
      <x:c r="A2003" s="52" t="n">
        <x:v>46194</x:v>
      </x:c>
      <x:c r="B2003" t="str">
        <x:v>PED-102002</x:v>
      </x:c>
      <x:c r="C2003" t="str">
        <x:v>Cliente 042</x:v>
      </x:c>
      <x:c r="D2003" t="str">
        <x:v>MG</x:v>
      </x:c>
      <x:c r="E2003" t="str">
        <x:v>Sudeste</x:v>
      </x:c>
      <x:c r="F2003" t="str">
        <x:v>Loja</x:v>
      </x:c>
      <x:c r="G2003" t="str">
        <x:v>Tecnologia</x:v>
      </x:c>
      <x:c r="H2003" t="str">
        <x:v>Notebook Pro</x:v>
      </x:c>
      <x:c r="I2003" t="str">
        <x:v>Isabela</x:v>
      </x:c>
      <x:c r="J2003" s="53" t="n">
        <x:v>6</x:v>
      </x:c>
      <x:c r="K2003" s="54" t="n">
        <x:v>6099.13</x:v>
      </x:c>
      <x:c r="L2003" s="54" t="n">
        <x:v>4226.03</x:v>
      </x:c>
      <x:c r="M2003" s="55" t="n">
        <x:v>0.026</x:v>
      </x:c>
      <x:c r="N2003" s="54" t="n">
        <x:f>ROUND(J2003*K2003,2)</x:f>
        <x:v>36594.78</x:v>
      </x:c>
      <x:c r="O2003" s="54" t="n">
        <x:f>ROUND(N2003*(1-M2003),2)</x:f>
        <x:v>35643.32</x:v>
      </x:c>
      <x:c r="P2003" s="54" t="n">
        <x:f>ROUND(J2003*L2003,2)</x:f>
        <x:v>25356.18</x:v>
      </x:c>
      <x:c r="Q2003" s="54" t="n">
        <x:f>ROUND(O2003-P2003,2)</x:f>
        <x:v>10287.14</x:v>
      </x:c>
      <x:c r="R2003" s="55" t="n">
        <x:f>IF(O2003=0,0,ROUND(Q2003/O2003,4))</x:f>
        <x:v>0.2886</x:v>
      </x:c>
      <x:c r="S2003" s="53" t="n">
        <x:v>14</x:v>
      </x:c>
      <x:c r="T2003" t="str">
        <x:v>Entregue com atraso</x:v>
      </x:c>
      <x:c r="U2003" t="n">
        <x:v>2</x:v>
      </x:c>
      <x:c r="V2003" t="str"/>
    </x:row>
    <x:row r="2004">
      <x:c r="A2004" s="52" t="n">
        <x:v>46226</x:v>
      </x:c>
      <x:c r="B2004" t="str">
        <x:v>PED-102003</x:v>
      </x:c>
      <x:c r="C2004" t="str">
        <x:v>Cliente 115</x:v>
      </x:c>
      <x:c r="D2004" t="str">
        <x:v>PE</x:v>
      </x:c>
      <x:c r="E2004" t="str">
        <x:v>Nordeste</x:v>
      </x:c>
      <x:c r="F2004" t="str">
        <x:v>Televendas</x:v>
      </x:c>
      <x:c r="G2004" t="str">
        <x:v>Tecnologia</x:v>
      </x:c>
      <x:c r="H2004" t="str">
        <x:v>Monitor 27</x:v>
      </x:c>
      <x:c r="I2004" t="str">
        <x:v>Henrique</x:v>
      </x:c>
      <x:c r="J2004" s="53" t="n">
        <x:v>8</x:v>
      </x:c>
      <x:c r="K2004" s="54" t="n">
        <x:v>1693.09</x:v>
      </x:c>
      <x:c r="L2004" s="54" t="n">
        <x:v>1147.77</x:v>
      </x:c>
      <x:c r="M2004" s="55" t="n">
        <x:v>0.083</x:v>
      </x:c>
      <x:c r="N2004" s="54" t="n">
        <x:f>ROUND(J2004*K2004,2)</x:f>
        <x:v>13544.72</x:v>
      </x:c>
      <x:c r="O2004" s="54" t="n">
        <x:f>ROUND(N2004*(1-M2004),2)</x:f>
        <x:v>12420.51</x:v>
      </x:c>
      <x:c r="P2004" s="54" t="n">
        <x:f>ROUND(J2004*L2004,2)</x:f>
        <x:v>9182.16</x:v>
      </x:c>
      <x:c r="Q2004" s="54" t="n">
        <x:f>ROUND(O2004-P2004,2)</x:f>
        <x:v>3238.35</x:v>
      </x:c>
      <x:c r="R2004" s="55" t="n">
        <x:f>IF(O2004=0,0,ROUND(Q2004/O2004,4))</x:f>
        <x:v>0.2607</x:v>
      </x:c>
      <x:c r="S2004" s="53" t="n">
        <x:v>9</x:v>
      </x:c>
      <x:c r="T2004" t="str">
        <x:v>Entregue</x:v>
      </x:c>
      <x:c r="U2004" t="n">
        <x:v>3</x:v>
      </x:c>
      <x:c r="V2004" t="str"/>
    </x:row>
    <x:row r="2005">
      <x:c r="A2005" s="52" t="n">
        <x:v>46140</x:v>
      </x:c>
      <x:c r="B2005" t="str">
        <x:v>PED-102004</x:v>
      </x:c>
      <x:c r="C2005" t="str">
        <x:v>Cliente 107</x:v>
      </x:c>
      <x:c r="D2005" t="str">
        <x:v>AM</x:v>
      </x:c>
      <x:c r="E2005" t="str">
        <x:v>Norte</x:v>
      </x:c>
      <x:c r="F2005" t="str">
        <x:v>E-commerce</x:v>
      </x:c>
      <x:c r="G2005" t="str">
        <x:v>Acessórios</x:v>
      </x:c>
      <x:c r="H2005" t="str">
        <x:v>Mochila Executiva</x:v>
      </x:c>
      <x:c r="I2005" t="str">
        <x:v>Gabriela</x:v>
      </x:c>
      <x:c r="J2005" s="53" t="n">
        <x:v>2</x:v>
      </x:c>
      <x:c r="K2005" s="54" t="n">
        <x:v>441</x:v>
      </x:c>
      <x:c r="L2005" s="54" t="n">
        <x:v>193.87</x:v>
      </x:c>
      <x:c r="M2005" s="55" t="n">
        <x:v>0.0855</x:v>
      </x:c>
      <x:c r="N2005" s="54" t="n">
        <x:f>ROUND(J2005*K2005,2)</x:f>
        <x:v>882</x:v>
      </x:c>
      <x:c r="O2005" s="54" t="n">
        <x:f>ROUND(N2005*(1-M2005),2)</x:f>
        <x:v>806.59</x:v>
      </x:c>
      <x:c r="P2005" s="54" t="n">
        <x:f>ROUND(J2005*L2005,2)</x:f>
        <x:v>387.74</x:v>
      </x:c>
      <x:c r="Q2005" s="54" t="n">
        <x:f>ROUND(O2005-P2005,2)</x:f>
        <x:v>418.85</x:v>
      </x:c>
      <x:c r="R2005" s="55" t="n">
        <x:f>IF(O2005=0,0,ROUND(Q2005/O2005,4))</x:f>
        <x:v>0.5193</x:v>
      </x:c>
      <x:c r="S2005" s="53" t="n">
        <x:v>3</x:v>
      </x:c>
      <x:c r="T2005" t="str">
        <x:v>Entregue</x:v>
      </x:c>
      <x:c r="U2005" t="n">
        <x:v>4</x:v>
      </x:c>
      <x:c r="V2005" t="str"/>
    </x:row>
    <x:row r="2006">
      <x:c r="A2006" s="52" t="n">
        <x:v>46098</x:v>
      </x:c>
      <x:c r="B2006" t="str">
        <x:v>PED-102005</x:v>
      </x:c>
      <x:c r="C2006" t="str">
        <x:v>Cliente 059</x:v>
      </x:c>
      <x:c r="D2006" t="str">
        <x:v>RS</x:v>
      </x:c>
      <x:c r="E2006" t="str">
        <x:v>Sul</x:v>
      </x:c>
      <x:c r="F2006" t="str">
        <x:v>Loja</x:v>
      </x:c>
      <x:c r="G2006" t="str">
        <x:v>Tecnologia</x:v>
      </x:c>
      <x:c r="H2006" t="str">
        <x:v>Monitor 27</x:v>
      </x:c>
      <x:c r="I2006" t="str">
        <x:v>Bruno</x:v>
      </x:c>
      <x:c r="J2006" s="53" t="n">
        <x:v>7</x:v>
      </x:c>
      <x:c r="K2006" s="54" t="n">
        <x:v>1703.21</x:v>
      </x:c>
      <x:c r="L2006" s="54" t="n">
        <x:v>1129.91</x:v>
      </x:c>
      <x:c r="M2006" s="55" t="n">
        <x:v>0</x:v>
      </x:c>
      <x:c r="N2006" s="54" t="n">
        <x:f>ROUND(J2006*K2006,2)</x:f>
        <x:v>11922.47</x:v>
      </x:c>
      <x:c r="O2006" s="54" t="n">
        <x:f>ROUND(N2006*(1-M2006),2)</x:f>
        <x:v>11922.47</x:v>
      </x:c>
      <x:c r="P2006" s="54" t="n">
        <x:f>ROUND(J2006*L2006,2)</x:f>
        <x:v>7909.37</x:v>
      </x:c>
      <x:c r="Q2006" s="54" t="n">
        <x:f>ROUND(O2006-P2006,2)</x:f>
        <x:v>4013.1</x:v>
      </x:c>
      <x:c r="R2006" s="55" t="n">
        <x:f>IF(O2006=0,0,ROUND(Q2006/O2006,4))</x:f>
        <x:v>0.3366</x:v>
      </x:c>
      <x:c r="S2006" s="53" t="n">
        <x:v>14</x:v>
      </x:c>
      <x:c r="T2006" t="str">
        <x:v>Entregue com atraso</x:v>
      </x:c>
      <x:c r="U2006" t="n">
        <x:v>4</x:v>
      </x:c>
      <x:c r="V2006" t="str"/>
    </x:row>
    <x:row r="2007">
      <x:c r="A2007" s="52" t="n">
        <x:v>46075</x:v>
      </x:c>
      <x:c r="B2007" t="str">
        <x:v>PED-102006</x:v>
      </x:c>
      <x:c r="C2007" t="str">
        <x:v>Cliente 074</x:v>
      </x:c>
      <x:c r="D2007" t="str">
        <x:v>SP</x:v>
      </x:c>
      <x:c r="E2007" t="str">
        <x:v>Sudeste</x:v>
      </x:c>
      <x:c r="F2007" t="str">
        <x:v>Marketplace</x:v>
      </x:c>
      <x:c r="G2007" t="str">
        <x:v>Casa</x:v>
      </x:c>
      <x:c r="H2007" t="str">
        <x:v>Cafeteira Smart</x:v>
      </x:c>
      <x:c r="I2007" t="str">
        <x:v>Carla</x:v>
      </x:c>
      <x:c r="J2007" s="53" t="n">
        <x:v>5</x:v>
      </x:c>
      <x:c r="K2007" s="54" t="n">
        <x:v>807.18</x:v>
      </x:c>
      <x:c r="L2007" s="54" t="n">
        <x:v>439.94</x:v>
      </x:c>
      <x:c r="M2007" s="55" t="n">
        <x:v>0.1381</x:v>
      </x:c>
      <x:c r="N2007" s="54" t="n">
        <x:f>ROUND(J2007*K2007,2)</x:f>
        <x:v>4035.9</x:v>
      </x:c>
      <x:c r="O2007" s="54" t="n">
        <x:f>ROUND(N2007*(1-M2007),2)</x:f>
        <x:v>3478.54</x:v>
      </x:c>
      <x:c r="P2007" s="54" t="n">
        <x:f>ROUND(J2007*L2007,2)</x:f>
        <x:v>2199.7</x:v>
      </x:c>
      <x:c r="Q2007" s="54" t="n">
        <x:f>ROUND(O2007-P2007,2)</x:f>
        <x:v>1278.84</x:v>
      </x:c>
      <x:c r="R2007" s="55" t="n">
        <x:f>IF(O2007=0,0,ROUND(Q2007/O2007,4))</x:f>
        <x:v>0.3676</x:v>
      </x:c>
      <x:c r="S2007" s="53" t="n">
        <x:v>13</x:v>
      </x:c>
      <x:c r="T2007" t="str">
        <x:v>Entregue com atraso</x:v>
      </x:c>
      <x:c r="U2007" t="n">
        <x:v>5</x:v>
      </x:c>
      <x:c r="V2007" t="str"/>
    </x:row>
    <x:row r="2008">
      <x:c r="A2008" s="52" t="n">
        <x:v>46043</x:v>
      </x:c>
      <x:c r="B2008" t="str">
        <x:v>PED-102007</x:v>
      </x:c>
      <x:c r="C2008" t="str">
        <x:v>Cliente 103</x:v>
      </x:c>
      <x:c r="D2008" t="str">
        <x:v>RJ</x:v>
      </x:c>
      <x:c r="E2008" t="str">
        <x:v>Sudeste</x:v>
      </x:c>
      <x:c r="F2008" t="str">
        <x:v>E-commerce</x:v>
      </x:c>
      <x:c r="G2008" t="str">
        <x:v>Escritório</x:v>
      </x:c>
      <x:c r="H2008" t="str">
        <x:v>Mesa Ajustável</x:v>
      </x:c>
      <x:c r="I2008" t="str">
        <x:v>Gabriela</x:v>
      </x:c>
      <x:c r="J2008" s="53" t="n">
        <x:v>1</x:v>
      </x:c>
      <x:c r="K2008" s="54" t="n">
        <x:v>2751.47</x:v>
      </x:c>
      <x:c r="L2008" s="54" t="n">
        <x:v>1886.9</x:v>
      </x:c>
      <x:c r="M2008" s="55" t="n">
        <x:v>0</x:v>
      </x:c>
      <x:c r="N2008" s="54" t="n">
        <x:f>ROUND(J2008*K2008,2)</x:f>
        <x:v>2751.47</x:v>
      </x:c>
      <x:c r="O2008" s="54" t="n">
        <x:f>ROUND(N2008*(1-M2008),2)</x:f>
        <x:v>2751.47</x:v>
      </x:c>
      <x:c r="P2008" s="54" t="n">
        <x:f>ROUND(J2008*L2008,2)</x:f>
        <x:v>1886.9</x:v>
      </x:c>
      <x:c r="Q2008" s="54" t="n">
        <x:f>ROUND(O2008-P2008,2)</x:f>
        <x:v>864.57</x:v>
      </x:c>
      <x:c r="R2008" s="55" t="n">
        <x:f>IF(O2008=0,0,ROUND(Q2008/O2008,4))</x:f>
        <x:v>0.3142</x:v>
      </x:c>
      <x:c r="S2008" s="53" t="n">
        <x:v>14</x:v>
      </x:c>
      <x:c r="T2008" t="str">
        <x:v>Entregue com atraso</x:v>
      </x:c>
      <x:c r="U2008" t="n">
        <x:v>3</x:v>
      </x:c>
      <x:c r="V2008" t="str"/>
    </x:row>
    <x:row r="2009">
      <x:c r="A2009" s="52" t="n">
        <x:v>46072</x:v>
      </x:c>
      <x:c r="B2009" t="str">
        <x:v>PED-102008</x:v>
      </x:c>
      <x:c r="C2009" t="str">
        <x:v>Cliente 118</x:v>
      </x:c>
      <x:c r="D2009" t="str">
        <x:v>MG</x:v>
      </x:c>
      <x:c r="E2009" t="str">
        <x:v>Sudeste</x:v>
      </x:c>
      <x:c r="F2009" t="str">
        <x:v>Televendas</x:v>
      </x:c>
      <x:c r="G2009" t="str">
        <x:v>Casa</x:v>
      </x:c>
      <x:c r="H2009" t="str">
        <x:v>Purificador</x:v>
      </x:c>
      <x:c r="I2009" t="str">
        <x:v>Elaine</x:v>
      </x:c>
      <x:c r="J2009" s="53" t="n">
        <x:v>7</x:v>
      </x:c>
      <x:c r="K2009" s="54" t="n">
        <x:v>1361.32</x:v>
      </x:c>
      <x:c r="L2009" s="54" t="n">
        <x:v>764.4</x:v>
      </x:c>
      <x:c r="M2009" s="55" t="n">
        <x:v>0.0443</x:v>
      </x:c>
      <x:c r="N2009" s="54" t="n">
        <x:f>ROUND(J2009*K2009,2)</x:f>
        <x:v>9529.24</x:v>
      </x:c>
      <x:c r="O2009" s="54" t="n">
        <x:f>ROUND(N2009*(1-M2009),2)</x:f>
        <x:v>9107.09</x:v>
      </x:c>
      <x:c r="P2009" s="54" t="n">
        <x:f>ROUND(J2009*L2009,2)</x:f>
        <x:v>5350.8</x:v>
      </x:c>
      <x:c r="Q2009" s="54" t="n">
        <x:f>ROUND(O2009-P2009,2)</x:f>
        <x:v>3756.29</x:v>
      </x:c>
      <x:c r="R2009" s="55" t="n">
        <x:f>IF(O2009=0,0,ROUND(Q2009/O2009,4))</x:f>
        <x:v>0.4125</x:v>
      </x:c>
      <x:c r="S2009" s="53" t="n">
        <x:v>8</x:v>
      </x:c>
      <x:c r="T2009" t="str">
        <x:v>Entregue</x:v>
      </x:c>
      <x:c r="U2009" t="n">
        <x:v>5</x:v>
      </x:c>
      <x:c r="V2009" t="str"/>
    </x:row>
    <x:row r="2010">
      <x:c r="A2010" s="52" t="n">
        <x:v>46031</x:v>
      </x:c>
      <x:c r="B2010" t="str">
        <x:v>PED-102009</x:v>
      </x:c>
      <x:c r="C2010" t="str">
        <x:v>Cliente 114</x:v>
      </x:c>
      <x:c r="D2010" t="str">
        <x:v>CE</x:v>
      </x:c>
      <x:c r="E2010" t="str">
        <x:v>Nordeste</x:v>
      </x:c>
      <x:c r="F2010" t="str">
        <x:v>Loja</x:v>
      </x:c>
      <x:c r="G2010" t="str">
        <x:v>Casa</x:v>
      </x:c>
      <x:c r="H2010" t="str">
        <x:v>Purificador</x:v>
      </x:c>
      <x:c r="I2010" t="str">
        <x:v>Henrique</x:v>
      </x:c>
      <x:c r="J2010" s="53" t="n">
        <x:v>5</x:v>
      </x:c>
      <x:c r="K2010" s="54" t="n">
        <x:v>1247.2</x:v>
      </x:c>
      <x:c r="L2010" s="54" t="n">
        <x:v>803.56</x:v>
      </x:c>
      <x:c r="M2010" s="55" t="n">
        <x:v>0</x:v>
      </x:c>
      <x:c r="N2010" s="54" t="n">
        <x:f>ROUND(J2010*K2010,2)</x:f>
        <x:v>6236</x:v>
      </x:c>
      <x:c r="O2010" s="54" t="n">
        <x:f>ROUND(N2010*(1-M2010),2)</x:f>
        <x:v>6236</x:v>
      </x:c>
      <x:c r="P2010" s="54" t="n">
        <x:f>ROUND(J2010*L2010,2)</x:f>
        <x:v>4017.8</x:v>
      </x:c>
      <x:c r="Q2010" s="54" t="n">
        <x:f>ROUND(O2010-P2010,2)</x:f>
        <x:v>2218.2</x:v>
      </x:c>
      <x:c r="R2010" s="55" t="n">
        <x:f>IF(O2010=0,0,ROUND(Q2010/O2010,4))</x:f>
        <x:v>0.3557</x:v>
      </x:c>
      <x:c r="S2010" s="53" t="n">
        <x:v>3</x:v>
      </x:c>
      <x:c r="T2010" t="str">
        <x:v>Entregue</x:v>
      </x:c>
      <x:c r="U2010" t="n">
        <x:v>2</x:v>
      </x:c>
      <x:c r="V2010" t="str"/>
    </x:row>
    <x:row r="2011">
      <x:c r="A2011" s="52" t="n">
        <x:v>46041</x:v>
      </x:c>
      <x:c r="B2011" t="str">
        <x:v>PED-102010</x:v>
      </x:c>
      <x:c r="C2011" t="str">
        <x:v>Cliente 007</x:v>
      </x:c>
      <x:c r="D2011" t="str">
        <x:v>RS</x:v>
      </x:c>
      <x:c r="E2011" t="str">
        <x:v>Sul</x:v>
      </x:c>
      <x:c r="F2011" t="str">
        <x:v>Marketplace</x:v>
      </x:c>
      <x:c r="G2011" t="str">
        <x:v>Casa</x:v>
      </x:c>
      <x:c r="H2011" t="str">
        <x:v>Aspirador Robô</x:v>
      </x:c>
      <x:c r="I2011" t="str">
        <x:v>Bruno</x:v>
      </x:c>
      <x:c r="J2011" s="53" t="n">
        <x:v>6</x:v>
      </x:c>
      <x:c r="K2011" s="54" t="n">
        <x:v>1934.68</x:v>
      </x:c>
      <x:c r="L2011" s="54" t="n">
        <x:v>1224.67</x:v>
      </x:c>
      <x:c r="M2011" s="55" t="n">
        <x:v>0.0396</x:v>
      </x:c>
      <x:c r="N2011" s="54" t="n">
        <x:f>ROUND(J2011*K2011,2)</x:f>
        <x:v>11608.08</x:v>
      </x:c>
      <x:c r="O2011" s="54" t="n">
        <x:f>ROUND(N2011*(1-M2011),2)</x:f>
        <x:v>11148.4</x:v>
      </x:c>
      <x:c r="P2011" s="54" t="n">
        <x:f>ROUND(J2011*L2011,2)</x:f>
        <x:v>7348.02</x:v>
      </x:c>
      <x:c r="Q2011" s="54" t="n">
        <x:f>ROUND(O2011-P2011,2)</x:f>
        <x:v>3800.38</x:v>
      </x:c>
      <x:c r="R2011" s="55" t="n">
        <x:f>IF(O2011=0,0,ROUND(Q2011/O2011,4))</x:f>
        <x:v>0.3409</x:v>
      </x:c>
      <x:c r="S2011" s="53" t="n">
        <x:v>14</x:v>
      </x:c>
      <x:c r="T2011" t="str">
        <x:v>Entregue com atraso</x:v>
      </x:c>
      <x:c r="U2011" t="n">
        <x:v>4</x:v>
      </x:c>
      <x:c r="V2011" t="str"/>
    </x:row>
    <x:row r="2012">
      <x:c r="A2012" s="52" t="n">
        <x:v>46094</x:v>
      </x:c>
      <x:c r="B2012" t="str">
        <x:v>PED-102011</x:v>
      </x:c>
      <x:c r="C2012" t="str">
        <x:v>Cliente 002</x:v>
      </x:c>
      <x:c r="D2012" t="str">
        <x:v>PE</x:v>
      </x:c>
      <x:c r="E2012" t="str">
        <x:v>Nordeste</x:v>
      </x:c>
      <x:c r="F2012" t="str">
        <x:v>E-commerce</x:v>
      </x:c>
      <x:c r="G2012" t="str">
        <x:v>Escritório</x:v>
      </x:c>
      <x:c r="H2012" t="str">
        <x:v>Luminária LED</x:v>
      </x:c>
      <x:c r="I2012" t="str">
        <x:v>Felipe</x:v>
      </x:c>
      <x:c r="J2012" s="53" t="n">
        <x:v>3</x:v>
      </x:c>
      <x:c r="K2012" s="54" t="n">
        <x:v>253.37</x:v>
      </x:c>
      <x:c r="L2012" s="54" t="n">
        <x:v>124.77</x:v>
      </x:c>
      <x:c r="M2012" s="55" t="n">
        <x:v>0</x:v>
      </x:c>
      <x:c r="N2012" s="54" t="n">
        <x:f>ROUND(J2012*K2012,2)</x:f>
        <x:v>760.11</x:v>
      </x:c>
      <x:c r="O2012" s="54" t="n">
        <x:f>ROUND(N2012*(1-M2012),2)</x:f>
        <x:v>760.11</x:v>
      </x:c>
      <x:c r="P2012" s="54" t="n">
        <x:f>ROUND(J2012*L2012,2)</x:f>
        <x:v>374.31</x:v>
      </x:c>
      <x:c r="Q2012" s="54" t="n">
        <x:f>ROUND(O2012-P2012,2)</x:f>
        <x:v>385.8</x:v>
      </x:c>
      <x:c r="R2012" s="55" t="n">
        <x:f>IF(O2012=0,0,ROUND(Q2012/O2012,4))</x:f>
        <x:v>0.5076</x:v>
      </x:c>
      <x:c r="S2012" s="53" t="n">
        <x:v>8</x:v>
      </x:c>
      <x:c r="T2012" t="str">
        <x:v>Entregue</x:v>
      </x:c>
      <x:c r="U2012" t="n">
        <x:v>3</x:v>
      </x:c>
      <x:c r="V2012" t="str"/>
    </x:row>
    <x:row r="2013">
      <x:c r="A2013" s="52" t="n">
        <x:v>46044</x:v>
      </x:c>
      <x:c r="B2013" t="str">
        <x:v>PED-102012</x:v>
      </x:c>
      <x:c r="C2013" t="str">
        <x:v>Cliente 112</x:v>
      </x:c>
      <x:c r="D2013" t="str">
        <x:v>MG</x:v>
      </x:c>
      <x:c r="E2013" t="str">
        <x:v>Sudeste</x:v>
      </x:c>
      <x:c r="F2013" t="str">
        <x:v>E-commerce</x:v>
      </x:c>
      <x:c r="G2013" t="str">
        <x:v>Acessórios</x:v>
      </x:c>
      <x:c r="H2013" t="str">
        <x:v>Mochila Executiva</x:v>
      </x:c>
      <x:c r="I2013" t="str">
        <x:v>Henrique</x:v>
      </x:c>
      <x:c r="J2013" s="53" t="n">
        <x:v>2</x:v>
      </x:c>
      <x:c r="K2013" s="54" t="n">
        <x:v>427.27</x:v>
      </x:c>
      <x:c r="L2013" s="54" t="n">
        <x:v>196.05</x:v>
      </x:c>
      <x:c r="M2013" s="55" t="n">
        <x:v>0</x:v>
      </x:c>
      <x:c r="N2013" s="54" t="n">
        <x:f>ROUND(J2013*K2013,2)</x:f>
        <x:v>854.54</x:v>
      </x:c>
      <x:c r="O2013" s="54" t="n">
        <x:f>ROUND(N2013*(1-M2013),2)</x:f>
        <x:v>854.54</x:v>
      </x:c>
      <x:c r="P2013" s="54" t="n">
        <x:f>ROUND(J2013*L2013,2)</x:f>
        <x:v>392.1</x:v>
      </x:c>
      <x:c r="Q2013" s="54" t="n">
        <x:f>ROUND(O2013-P2013,2)</x:f>
        <x:v>462.44</x:v>
      </x:c>
      <x:c r="R2013" s="55" t="n">
        <x:f>IF(O2013=0,0,ROUND(Q2013/O2013,4))</x:f>
        <x:v>0.5412</x:v>
      </x:c>
      <x:c r="S2013" s="53" t="n">
        <x:v>14</x:v>
      </x:c>
      <x:c r="T2013" t="str">
        <x:v>Entregue com atraso</x:v>
      </x:c>
      <x:c r="U2013" t="n">
        <x:v>4</x:v>
      </x:c>
      <x:c r="V2013" t="str"/>
    </x:row>
    <x:row r="2014">
      <x:c r="A2014" s="52" t="n">
        <x:v>46178</x:v>
      </x:c>
      <x:c r="B2014" t="str">
        <x:v>PED-102013</x:v>
      </x:c>
      <x:c r="C2014" t="str">
        <x:v>Cliente 017</x:v>
      </x:c>
      <x:c r="D2014" t="str">
        <x:v>PR</x:v>
      </x:c>
      <x:c r="E2014" t="str">
        <x:v>Sul</x:v>
      </x:c>
      <x:c r="F2014" t="str">
        <x:v>E-commerce</x:v>
      </x:c>
      <x:c r="G2014" t="str">
        <x:v>Tecnologia</x:v>
      </x:c>
      <x:c r="H2014" t="str">
        <x:v>Monitor 27</x:v>
      </x:c>
      <x:c r="I2014" t="str">
        <x:v>Gabriela</x:v>
      </x:c>
      <x:c r="J2014" s="53" t="n">
        <x:v>3</x:v>
      </x:c>
      <x:c r="K2014" s="54" t="n">
        <x:v>1755.38</x:v>
      </x:c>
      <x:c r="L2014" s="54" t="n">
        <x:v>1094.19</x:v>
      </x:c>
      <x:c r="M2014" s="55" t="n">
        <x:v>0</x:v>
      </x:c>
      <x:c r="N2014" s="54" t="n">
        <x:f>ROUND(J2014*K2014,2)</x:f>
        <x:v>5266.14</x:v>
      </x:c>
      <x:c r="O2014" s="54" t="n">
        <x:f>ROUND(N2014*(1-M2014),2)</x:f>
        <x:v>5266.14</x:v>
      </x:c>
      <x:c r="P2014" s="54" t="n">
        <x:f>ROUND(J2014*L2014,2)</x:f>
        <x:v>3282.57</x:v>
      </x:c>
      <x:c r="Q2014" s="54" t="n">
        <x:f>ROUND(O2014-P2014,2)</x:f>
        <x:v>1983.57</x:v>
      </x:c>
      <x:c r="R2014" s="55" t="n">
        <x:f>IF(O2014=0,0,ROUND(Q2014/O2014,4))</x:f>
        <x:v>0.3767</x:v>
      </x:c>
      <x:c r="S2014" s="53" t="n">
        <x:v>2</x:v>
      </x:c>
      <x:c r="T2014" t="str">
        <x:v>Entregue</x:v>
      </x:c>
      <x:c r="U2014" t="n">
        <x:v>5</x:v>
      </x:c>
      <x:c r="V2014" t="str"/>
    </x:row>
    <x:row r="2015">
      <x:c r="A2015" s="52" t="n">
        <x:v>46136</x:v>
      </x:c>
      <x:c r="B2015" t="str">
        <x:v>PED-102014</x:v>
      </x:c>
      <x:c r="C2015" t="str">
        <x:v>Cliente 118</x:v>
      </x:c>
      <x:c r="D2015" t="str">
        <x:v>AM</x:v>
      </x:c>
      <x:c r="E2015" t="str">
        <x:v>Norte</x:v>
      </x:c>
      <x:c r="F2015" t="str">
        <x:v>Televendas</x:v>
      </x:c>
      <x:c r="G2015" t="str">
        <x:v>Escritório</x:v>
      </x:c>
      <x:c r="H2015" t="str">
        <x:v>Cadeira Ergonômica</x:v>
      </x:c>
      <x:c r="I2015" t="str">
        <x:v>Gabriela</x:v>
      </x:c>
      <x:c r="J2015" s="53" t="n">
        <x:v>2</x:v>
      </x:c>
      <x:c r="K2015" s="54" t="n">
        <x:v>2225.86</x:v>
      </x:c>
      <x:c r="L2015" s="54" t="n">
        <x:v>1449.69</x:v>
      </x:c>
      <x:c r="M2015" s="55" t="n">
        <x:v>0.007</x:v>
      </x:c>
      <x:c r="N2015" s="54" t="n">
        <x:f>ROUND(J2015*K2015,2)</x:f>
        <x:v>4451.72</x:v>
      </x:c>
      <x:c r="O2015" s="54" t="n">
        <x:f>ROUND(N2015*(1-M2015),2)</x:f>
        <x:v>4420.56</x:v>
      </x:c>
      <x:c r="P2015" s="54" t="n">
        <x:f>ROUND(J2015*L2015,2)</x:f>
        <x:v>2899.38</x:v>
      </x:c>
      <x:c r="Q2015" s="54" t="n">
        <x:f>ROUND(O2015-P2015,2)</x:f>
        <x:v>1521.18</x:v>
      </x:c>
      <x:c r="R2015" s="55" t="n">
        <x:f>IF(O2015=0,0,ROUND(Q2015/O2015,4))</x:f>
        <x:v>0.3441</x:v>
      </x:c>
      <x:c r="S2015" s="53" t="n">
        <x:v>5</x:v>
      </x:c>
      <x:c r="T2015" t="str">
        <x:v>Entregue</x:v>
      </x:c>
      <x:c r="U2015" t="n">
        <x:v>5</x:v>
      </x:c>
      <x:c r="V2015" t="str"/>
    </x:row>
    <x:row r="2016">
      <x:c r="A2016" s="52" t="n">
        <x:v>46046</x:v>
      </x:c>
      <x:c r="B2016" t="str">
        <x:v>PED-102015</x:v>
      </x:c>
      <x:c r="C2016" t="str">
        <x:v>Cliente 108</x:v>
      </x:c>
      <x:c r="D2016" t="str">
        <x:v>MA</x:v>
      </x:c>
      <x:c r="E2016" t="str">
        <x:v>Nordeste</x:v>
      </x:c>
      <x:c r="F2016" t="str">
        <x:v>E-commerce</x:v>
      </x:c>
      <x:c r="G2016" t="str">
        <x:v>Acessórios</x:v>
      </x:c>
      <x:c r="H2016" t="str">
        <x:v>Mochila Executiva</x:v>
      </x:c>
      <x:c r="I2016" t="str">
        <x:v>João</x:v>
      </x:c>
      <x:c r="J2016" s="53" t="n">
        <x:v>6</x:v>
      </x:c>
      <x:c r="K2016" s="54" t="n">
        <x:v>442.71</x:v>
      </x:c>
      <x:c r="L2016" s="54" t="n">
        <x:v>203.52</x:v>
      </x:c>
      <x:c r="M2016" s="55" t="n">
        <x:v>0.0188</x:v>
      </x:c>
      <x:c r="N2016" s="54" t="n">
        <x:f>ROUND(J2016*K2016,2)</x:f>
        <x:v>2656.26</x:v>
      </x:c>
      <x:c r="O2016" s="54" t="n">
        <x:f>ROUND(N2016*(1-M2016),2)</x:f>
        <x:v>2606.32</x:v>
      </x:c>
      <x:c r="P2016" s="54" t="n">
        <x:f>ROUND(J2016*L2016,2)</x:f>
        <x:v>1221.12</x:v>
      </x:c>
      <x:c r="Q2016" s="54" t="n">
        <x:f>ROUND(O2016-P2016,2)</x:f>
        <x:v>1385.2</x:v>
      </x:c>
      <x:c r="R2016" s="55" t="n">
        <x:f>IF(O2016=0,0,ROUND(Q2016/O2016,4))</x:f>
        <x:v>0.5315</x:v>
      </x:c>
      <x:c r="S2016" s="53" t="n">
        <x:v>14</x:v>
      </x:c>
      <x:c r="T2016" t="str">
        <x:v>Entregue com atraso</x:v>
      </x:c>
      <x:c r="U2016" t="n">
        <x:v>3</x:v>
      </x:c>
      <x:c r="V2016" t="str"/>
    </x:row>
    <x:row r="2017">
      <x:c r="A2017" s="52" t="n">
        <x:v>46120</x:v>
      </x:c>
      <x:c r="B2017" t="str">
        <x:v>PED-102016</x:v>
      </x:c>
      <x:c r="C2017" t="str">
        <x:v>Cliente 081</x:v>
      </x:c>
      <x:c r="D2017" t="str">
        <x:v>MA</x:v>
      </x:c>
      <x:c r="E2017" t="str">
        <x:v>Nordeste</x:v>
      </x:c>
      <x:c r="F2017" t="str">
        <x:v>Televendas</x:v>
      </x:c>
      <x:c r="G2017" t="str">
        <x:v>Escritório</x:v>
      </x:c>
      <x:c r="H2017" t="str">
        <x:v>Mesa Ajustável</x:v>
      </x:c>
      <x:c r="I2017" t="str">
        <x:v>Henrique</x:v>
      </x:c>
      <x:c r="J2017" s="53" t="n">
        <x:v>8</x:v>
      </x:c>
      <x:c r="K2017" s="54" t="n">
        <x:v>2777.6</x:v>
      </x:c>
      <x:c r="L2017" s="54" t="n">
        <x:v>1874.37</x:v>
      </x:c>
      <x:c r="M2017" s="55" t="n">
        <x:v>0</x:v>
      </x:c>
      <x:c r="N2017" s="54" t="n">
        <x:f>ROUND(J2017*K2017,2)</x:f>
        <x:v>22220.8</x:v>
      </x:c>
      <x:c r="O2017" s="54" t="n">
        <x:f>ROUND(N2017*(1-M2017),2)</x:f>
        <x:v>22220.8</x:v>
      </x:c>
      <x:c r="P2017" s="54" t="n">
        <x:f>ROUND(J2017*L2017,2)</x:f>
        <x:v>14994.96</x:v>
      </x:c>
      <x:c r="Q2017" s="54" t="n">
        <x:f>ROUND(O2017-P2017,2)</x:f>
        <x:v>7225.84</x:v>
      </x:c>
      <x:c r="R2017" s="55" t="n">
        <x:f>IF(O2017=0,0,ROUND(Q2017/O2017,4))</x:f>
        <x:v>0.3252</x:v>
      </x:c>
      <x:c r="S2017" s="53" t="n">
        <x:v>3</x:v>
      </x:c>
      <x:c r="T2017" t="str">
        <x:v>Entregue</x:v>
      </x:c>
      <x:c r="U2017" t="n">
        <x:v>2</x:v>
      </x:c>
      <x:c r="V2017" t="str"/>
    </x:row>
    <x:row r="2018">
      <x:c r="A2018" s="52" t="n">
        <x:v>46217</x:v>
      </x:c>
      <x:c r="B2018" t="str">
        <x:v>PED-102017</x:v>
      </x:c>
      <x:c r="C2018" t="str">
        <x:v>Cliente 098</x:v>
      </x:c>
      <x:c r="D2018" t="str">
        <x:v>MT</x:v>
      </x:c>
      <x:c r="E2018" t="str">
        <x:v>Centro-Oeste</x:v>
      </x:c>
      <x:c r="F2018" t="str">
        <x:v>Loja</x:v>
      </x:c>
      <x:c r="G2018" t="str">
        <x:v>Tecnologia</x:v>
      </x:c>
      <x:c r="H2018" t="str">
        <x:v>Monitor 27</x:v>
      </x:c>
      <x:c r="I2018" t="str">
        <x:v>Gabriela</x:v>
      </x:c>
      <x:c r="J2018" s="53" t="n">
        <x:v>7</x:v>
      </x:c>
      <x:c r="K2018" s="54" t="n">
        <x:v>1590.64</x:v>
      </x:c>
      <x:c r="L2018" s="54" t="n">
        <x:v>1044.27</x:v>
      </x:c>
      <x:c r="M2018" s="55" t="n">
        <x:v>0</x:v>
      </x:c>
      <x:c r="N2018" s="54" t="n">
        <x:f>ROUND(J2018*K2018,2)</x:f>
        <x:v>11134.48</x:v>
      </x:c>
      <x:c r="O2018" s="54" t="n">
        <x:f>ROUND(N2018*(1-M2018),2)</x:f>
        <x:v>11134.48</x:v>
      </x:c>
      <x:c r="P2018" s="54" t="n">
        <x:f>ROUND(J2018*L2018,2)</x:f>
        <x:v>7309.89</x:v>
      </x:c>
      <x:c r="Q2018" s="54" t="n">
        <x:f>ROUND(O2018-P2018,2)</x:f>
        <x:v>3824.59</x:v>
      </x:c>
      <x:c r="R2018" s="55" t="n">
        <x:f>IF(O2018=0,0,ROUND(Q2018/O2018,4))</x:f>
        <x:v>0.3435</x:v>
      </x:c>
      <x:c r="S2018" s="53" t="n">
        <x:v>10</x:v>
      </x:c>
      <x:c r="T2018" t="str">
        <x:v>Entregue</x:v>
      </x:c>
      <x:c r="U2018" t="n">
        <x:v>2</x:v>
      </x:c>
      <x:c r="V2018" t="str"/>
    </x:row>
    <x:row r="2019">
      <x:c r="A2019" s="52" t="n">
        <x:v>46055</x:v>
      </x:c>
      <x:c r="B2019" t="str">
        <x:v>PED-102018</x:v>
      </x:c>
      <x:c r="C2019" t="str">
        <x:v>Cliente 037</x:v>
      </x:c>
      <x:c r="D2019" t="str">
        <x:v>SP</x:v>
      </x:c>
      <x:c r="E2019" t="str">
        <x:v>Sudeste</x:v>
      </x:c>
      <x:c r="F2019" t="str">
        <x:v>Marketplace</x:v>
      </x:c>
      <x:c r="G2019" t="str">
        <x:v>Acessórios</x:v>
      </x:c>
      <x:c r="H2019" t="str">
        <x:v>Webcam HD</x:v>
      </x:c>
      <x:c r="I2019" t="str">
        <x:v>Ana</x:v>
      </x:c>
      <x:c r="J2019" s="53" t="n">
        <x:v>8</x:v>
      </x:c>
      <x:c r="K2019" s="54" t="n">
        <x:v>538</x:v>
      </x:c>
      <x:c r="L2019" s="54" t="n">
        <x:v>237.41</x:v>
      </x:c>
      <x:c r="M2019" s="55" t="n">
        <x:v>0.1469</x:v>
      </x:c>
      <x:c r="N2019" s="54" t="n">
        <x:f>ROUND(J2019*K2019,2)</x:f>
        <x:v>4304</x:v>
      </x:c>
      <x:c r="O2019" s="54" t="n">
        <x:f>ROUND(N2019*(1-M2019),2)</x:f>
        <x:v>3671.74</x:v>
      </x:c>
      <x:c r="P2019" s="54" t="n">
        <x:f>ROUND(J2019*L2019,2)</x:f>
        <x:v>1899.28</x:v>
      </x:c>
      <x:c r="Q2019" s="54" t="n">
        <x:f>ROUND(O2019-P2019,2)</x:f>
        <x:v>1772.46</x:v>
      </x:c>
      <x:c r="R2019" s="55" t="n">
        <x:f>IF(O2019=0,0,ROUND(Q2019/O2019,4))</x:f>
        <x:v>0.4827</x:v>
      </x:c>
      <x:c r="S2019" s="53" t="n">
        <x:v>10</x:v>
      </x:c>
      <x:c r="T2019" t="str">
        <x:v>Entregue</x:v>
      </x:c>
      <x:c r="U2019" t="n">
        <x:v>3</x:v>
      </x:c>
      <x:c r="V2019" t="str"/>
    </x:row>
    <x:row r="2020">
      <x:c r="A2020" s="52" t="n">
        <x:v>46035</x:v>
      </x:c>
      <x:c r="B2020" t="str">
        <x:v>PED-102019</x:v>
      </x:c>
      <x:c r="C2020" t="str">
        <x:v>Cliente 119</x:v>
      </x:c>
      <x:c r="D2020" t="str">
        <x:v>SP</x:v>
      </x:c>
      <x:c r="E2020" t="str">
        <x:v>Sudeste</x:v>
      </x:c>
      <x:c r="F2020" t="str">
        <x:v>E-commerce</x:v>
      </x:c>
      <x:c r="G2020" t="str">
        <x:v>Escritório</x:v>
      </x:c>
      <x:c r="H2020" t="str">
        <x:v>Luminária LED</x:v>
      </x:c>
      <x:c r="I2020" t="str">
        <x:v>Elaine</x:v>
      </x:c>
      <x:c r="J2020" s="53" t="n">
        <x:v>7</x:v>
      </x:c>
      <x:c r="K2020" s="54" t="n">
        <x:v>272.32</x:v>
      </x:c>
      <x:c r="L2020" s="54" t="n">
        <x:v>120.53</x:v>
      </x:c>
      <x:c r="M2020" s="55" t="n">
        <x:v>0.0408</x:v>
      </x:c>
      <x:c r="N2020" s="54" t="n">
        <x:f>ROUND(J2020*K2020,2)</x:f>
        <x:v>1906.24</x:v>
      </x:c>
      <x:c r="O2020" s="54" t="n">
        <x:f>ROUND(N2020*(1-M2020),2)</x:f>
        <x:v>1828.47</x:v>
      </x:c>
      <x:c r="P2020" s="54" t="n">
        <x:f>ROUND(J2020*L2020,2)</x:f>
        <x:v>843.71</x:v>
      </x:c>
      <x:c r="Q2020" s="54" t="n">
        <x:f>ROUND(O2020-P2020,2)</x:f>
        <x:v>984.76</x:v>
      </x:c>
      <x:c r="R2020" s="55" t="n">
        <x:f>IF(O2020=0,0,ROUND(Q2020/O2020,4))</x:f>
        <x:v>0.5386</x:v>
      </x:c>
      <x:c r="S2020" s="53" t="n">
        <x:v>14</x:v>
      </x:c>
      <x:c r="T2020" t="str">
        <x:v>Entregue com atraso</x:v>
      </x:c>
      <x:c r="U2020" t="n">
        <x:v>4</x:v>
      </x:c>
      <x:c r="V2020" t="str"/>
    </x:row>
    <x:row r="2021">
      <x:c r="A2021" s="52" t="n">
        <x:v>46043</x:v>
      </x:c>
      <x:c r="B2021" t="str">
        <x:v>PED-102020</x:v>
      </x:c>
      <x:c r="C2021" t="str">
        <x:v>Cliente 073</x:v>
      </x:c>
      <x:c r="D2021" t="str">
        <x:v>GO</x:v>
      </x:c>
      <x:c r="E2021" t="str">
        <x:v>Centro-Oeste</x:v>
      </x:c>
      <x:c r="F2021" t="str">
        <x:v>Loja</x:v>
      </x:c>
      <x:c r="G2021" t="str">
        <x:v>Escritório</x:v>
      </x:c>
      <x:c r="H2021" t="str">
        <x:v>Cadeira Ergonômica</x:v>
      </x:c>
      <x:c r="I2021" t="str">
        <x:v>Isabela</x:v>
      </x:c>
      <x:c r="J2021" s="53" t="n">
        <x:v>1</x:v>
      </x:c>
      <x:c r="K2021" s="54" t="n">
        <x:v>2222.79</x:v>
      </x:c>
      <x:c r="L2021" s="54" t="n">
        <x:v>1368.11</x:v>
      </x:c>
      <x:c r="M2021" s="55" t="n">
        <x:v>0.1207</x:v>
      </x:c>
      <x:c r="N2021" s="54" t="n">
        <x:f>ROUND(J2021*K2021,2)</x:f>
        <x:v>2222.79</x:v>
      </x:c>
      <x:c r="O2021" s="54" t="n">
        <x:f>ROUND(N2021*(1-M2021),2)</x:f>
        <x:v>1954.5</x:v>
      </x:c>
      <x:c r="P2021" s="54" t="n">
        <x:f>ROUND(J2021*L2021,2)</x:f>
        <x:v>1368.11</x:v>
      </x:c>
      <x:c r="Q2021" s="54" t="n">
        <x:f>ROUND(O2021-P2021,2)</x:f>
        <x:v>586.39</x:v>
      </x:c>
      <x:c r="R2021" s="55" t="n">
        <x:f>IF(O2021=0,0,ROUND(Q2021/O2021,4))</x:f>
        <x:v>0.3</x:v>
      </x:c>
      <x:c r="S2021" s="53" t="n">
        <x:v>8</x:v>
      </x:c>
      <x:c r="T2021" t="str">
        <x:v>Entregue</x:v>
      </x:c>
      <x:c r="U2021" t="n">
        <x:v>5</x:v>
      </x:c>
      <x:c r="V2021" t="str"/>
    </x:row>
    <x:row r="2022">
      <x:c r="A2022" s="52" t="n">
        <x:v>46029</x:v>
      </x:c>
      <x:c r="B2022" t="str">
        <x:v>PED-102021</x:v>
      </x:c>
      <x:c r="C2022" t="str">
        <x:v>Cliente 093</x:v>
      </x:c>
      <x:c r="D2022" t="str">
        <x:v>AM</x:v>
      </x:c>
      <x:c r="E2022" t="str">
        <x:v>Norte</x:v>
      </x:c>
      <x:c r="F2022" t="str">
        <x:v>Marketplace</x:v>
      </x:c>
      <x:c r="G2022" t="str">
        <x:v>Escritório</x:v>
      </x:c>
      <x:c r="H2022" t="str">
        <x:v>Luminária LED</x:v>
      </x:c>
      <x:c r="I2022" t="str">
        <x:v>Isabela</x:v>
      </x:c>
      <x:c r="J2022" s="53" t="n">
        <x:v>8</x:v>
      </x:c>
      <x:c r="K2022" s="54" t="n">
        <x:v>274.58</x:v>
      </x:c>
      <x:c r="L2022" s="54" t="n">
        <x:v>123.04</x:v>
      </x:c>
      <x:c r="M2022" s="55" t="n">
        <x:v>0.035</x:v>
      </x:c>
      <x:c r="N2022" s="54" t="n">
        <x:f>ROUND(J2022*K2022,2)</x:f>
        <x:v>2196.64</x:v>
      </x:c>
      <x:c r="O2022" s="54" t="n">
        <x:f>ROUND(N2022*(1-M2022),2)</x:f>
        <x:v>2119.76</x:v>
      </x:c>
      <x:c r="P2022" s="54" t="n">
        <x:f>ROUND(J2022*L2022,2)</x:f>
        <x:v>984.32</x:v>
      </x:c>
      <x:c r="Q2022" s="54" t="n">
        <x:f>ROUND(O2022-P2022,2)</x:f>
        <x:v>1135.44</x:v>
      </x:c>
      <x:c r="R2022" s="55" t="n">
        <x:f>IF(O2022=0,0,ROUND(Q2022/O2022,4))</x:f>
        <x:v>0.5356</x:v>
      </x:c>
      <x:c r="S2022" s="53" t="n">
        <x:v>8</x:v>
      </x:c>
      <x:c r="T2022" t="str">
        <x:v>Entregue</x:v>
      </x:c>
      <x:c r="U2022" t="n">
        <x:v>4</x:v>
      </x:c>
      <x:c r="V2022" t="str"/>
    </x:row>
    <x:row r="2023">
      <x:c r="A2023" s="52" t="n">
        <x:v>46199</x:v>
      </x:c>
      <x:c r="B2023" t="str">
        <x:v>PED-102022</x:v>
      </x:c>
      <x:c r="C2023" t="str">
        <x:v>Cliente 100</x:v>
      </x:c>
      <x:c r="D2023" t="str">
        <x:v>PR</x:v>
      </x:c>
      <x:c r="E2023" t="str">
        <x:v>Sul</x:v>
      </x:c>
      <x:c r="F2023" t="str">
        <x:v>Marketplace</x:v>
      </x:c>
      <x:c r="G2023" t="str">
        <x:v>Escritório</x:v>
      </x:c>
      <x:c r="H2023" t="str">
        <x:v>Mesa Ajustável</x:v>
      </x:c>
      <x:c r="I2023" t="str">
        <x:v>Bruno</x:v>
      </x:c>
      <x:c r="J2023" s="53" t="n">
        <x:v>6</x:v>
      </x:c>
      <x:c r="K2023" s="54" t="n">
        <x:v>2814.14</x:v>
      </x:c>
      <x:c r="L2023" s="54" t="n">
        <x:v>1834.88</x:v>
      </x:c>
      <x:c r="M2023" s="55" t="n">
        <x:v>0.13</x:v>
      </x:c>
      <x:c r="N2023" s="54" t="n">
        <x:f>ROUND(J2023*K2023,2)</x:f>
        <x:v>16884.84</x:v>
      </x:c>
      <x:c r="O2023" s="54" t="n">
        <x:f>ROUND(N2023*(1-M2023),2)</x:f>
        <x:v>14689.81</x:v>
      </x:c>
      <x:c r="P2023" s="54" t="n">
        <x:f>ROUND(J2023*L2023,2)</x:f>
        <x:v>11009.28</x:v>
      </x:c>
      <x:c r="Q2023" s="54" t="n">
        <x:f>ROUND(O2023-P2023,2)</x:f>
        <x:v>3680.53</x:v>
      </x:c>
      <x:c r="R2023" s="55" t="n">
        <x:f>IF(O2023=0,0,ROUND(Q2023/O2023,4))</x:f>
        <x:v>0.2505</x:v>
      </x:c>
      <x:c r="S2023" s="53" t="n">
        <x:v>10</x:v>
      </x:c>
      <x:c r="T2023" t="str">
        <x:v>Entregue</x:v>
      </x:c>
      <x:c r="U2023" t="n">
        <x:v>3</x:v>
      </x:c>
      <x:c r="V2023" t="str"/>
    </x:row>
    <x:row r="2024">
      <x:c r="A2024" s="52" t="n">
        <x:v>46175</x:v>
      </x:c>
      <x:c r="B2024" t="str">
        <x:v>PED-102023</x:v>
      </x:c>
      <x:c r="C2024" t="str">
        <x:v>Cliente 002</x:v>
      </x:c>
      <x:c r="D2024" t="str">
        <x:v>SC</x:v>
      </x:c>
      <x:c r="E2024" t="str">
        <x:v>Sul</x:v>
      </x:c>
      <x:c r="F2024" t="str">
        <x:v>Marketplace</x:v>
      </x:c>
      <x:c r="G2024" t="str">
        <x:v>Tecnologia</x:v>
      </x:c>
      <x:c r="H2024" t="str">
        <x:v>Notebook Pro</x:v>
      </x:c>
      <x:c r="I2024" t="str">
        <x:v>Carla</x:v>
      </x:c>
      <x:c r="J2024" s="53" t="n">
        <x:v>1</x:v>
      </x:c>
      <x:c r="K2024" s="54" t="n">
        <x:v>6180.31</x:v>
      </x:c>
      <x:c r="L2024" s="54" t="n">
        <x:v>4493.61</x:v>
      </x:c>
      <x:c r="M2024" s="55" t="n">
        <x:v>0.035</x:v>
      </x:c>
      <x:c r="N2024" s="54" t="n">
        <x:f>ROUND(J2024*K2024,2)</x:f>
        <x:v>6180.31</x:v>
      </x:c>
      <x:c r="O2024" s="54" t="n">
        <x:f>ROUND(N2024*(1-M2024),2)</x:f>
        <x:v>5964</x:v>
      </x:c>
      <x:c r="P2024" s="54" t="n">
        <x:f>ROUND(J2024*L2024,2)</x:f>
        <x:v>4493.61</x:v>
      </x:c>
      <x:c r="Q2024" s="54" t="n">
        <x:f>ROUND(O2024-P2024,2)</x:f>
        <x:v>1470.39</x:v>
      </x:c>
      <x:c r="R2024" s="55" t="n">
        <x:f>IF(O2024=0,0,ROUND(Q2024/O2024,4))</x:f>
        <x:v>0.2465</x:v>
      </x:c>
      <x:c r="S2024" s="53" t="n">
        <x:v>13</x:v>
      </x:c>
      <x:c r="T2024" t="str">
        <x:v>Entregue com atraso</x:v>
      </x:c>
      <x:c r="U2024" t="n">
        <x:v>5</x:v>
      </x:c>
      <x:c r="V2024" t="str"/>
    </x:row>
    <x:row r="2025">
      <x:c r="A2025" s="52" t="n">
        <x:v>46095</x:v>
      </x:c>
      <x:c r="B2025" t="str">
        <x:v>PED-102024</x:v>
      </x:c>
      <x:c r="C2025" t="str">
        <x:v>Cliente 105</x:v>
      </x:c>
      <x:c r="D2025" t="str">
        <x:v>CE</x:v>
      </x:c>
      <x:c r="E2025" t="str">
        <x:v>Nordeste</x:v>
      </x:c>
      <x:c r="F2025" t="str">
        <x:v>Loja</x:v>
      </x:c>
      <x:c r="G2025" t="str">
        <x:v>Acessórios</x:v>
      </x:c>
      <x:c r="H2025" t="str">
        <x:v>Hub USB-C</x:v>
      </x:c>
      <x:c r="I2025" t="str">
        <x:v>Felipe</x:v>
      </x:c>
      <x:c r="J2025" s="53" t="n">
        <x:v>2</x:v>
      </x:c>
      <x:c r="K2025" s="54" t="n">
        <x:v>322.64</x:v>
      </x:c>
      <x:c r="L2025" s="54" t="n">
        <x:v>139.34</x:v>
      </x:c>
      <x:c r="M2025" s="55" t="n">
        <x:v>0.0937</x:v>
      </x:c>
      <x:c r="N2025" s="54" t="n">
        <x:f>ROUND(J2025*K2025,2)</x:f>
        <x:v>645.28</x:v>
      </x:c>
      <x:c r="O2025" s="54" t="n">
        <x:f>ROUND(N2025*(1-M2025),2)</x:f>
        <x:v>584.82</x:v>
      </x:c>
      <x:c r="P2025" s="54" t="n">
        <x:f>ROUND(J2025*L2025,2)</x:f>
        <x:v>278.68</x:v>
      </x:c>
      <x:c r="Q2025" s="54" t="n">
        <x:f>ROUND(O2025-P2025,2)</x:f>
        <x:v>306.14</x:v>
      </x:c>
      <x:c r="R2025" s="55" t="n">
        <x:f>IF(O2025=0,0,ROUND(Q2025/O2025,4))</x:f>
        <x:v>0.5235</x:v>
      </x:c>
      <x:c r="S2025" s="53" t="n">
        <x:v>4</x:v>
      </x:c>
      <x:c r="T2025" t="str">
        <x:v>Entregue</x:v>
      </x:c>
      <x:c r="U2025" t="n">
        <x:v>2</x:v>
      </x:c>
      <x:c r="V2025" t="str"/>
    </x:row>
    <x:row r="2026">
      <x:c r="A2026" s="52" t="n">
        <x:v>46111</x:v>
      </x:c>
      <x:c r="B2026" t="str">
        <x:v>PED-102025</x:v>
      </x:c>
      <x:c r="C2026" t="str">
        <x:v>Cliente 019</x:v>
      </x:c>
      <x:c r="D2026" t="str">
        <x:v>MG</x:v>
      </x:c>
      <x:c r="E2026" t="str">
        <x:v>Sudeste</x:v>
      </x:c>
      <x:c r="F2026" t="str">
        <x:v>E-commerce</x:v>
      </x:c>
      <x:c r="G2026" t="str">
        <x:v>Tecnologia</x:v>
      </x:c>
      <x:c r="H2026" t="str">
        <x:v>Headset Office</x:v>
      </x:c>
      <x:c r="I2026" t="str">
        <x:v>Bruno</x:v>
      </x:c>
      <x:c r="J2026" s="53" t="n">
        <x:v>8</x:v>
      </x:c>
      <x:c r="K2026" s="54" t="n">
        <x:v>380</x:v>
      </x:c>
      <x:c r="L2026" s="54" t="n">
        <x:v>219.16</x:v>
      </x:c>
      <x:c r="M2026" s="55" t="n">
        <x:v>0.0143</x:v>
      </x:c>
      <x:c r="N2026" s="54" t="n">
        <x:f>ROUND(J2026*K2026,2)</x:f>
        <x:v>3040</x:v>
      </x:c>
      <x:c r="O2026" s="54" t="n">
        <x:f>ROUND(N2026*(1-M2026),2)</x:f>
        <x:v>2996.53</x:v>
      </x:c>
      <x:c r="P2026" s="54" t="n">
        <x:f>ROUND(J2026*L2026,2)</x:f>
        <x:v>1753.28</x:v>
      </x:c>
      <x:c r="Q2026" s="54" t="n">
        <x:f>ROUND(O2026-P2026,2)</x:f>
        <x:v>1243.25</x:v>
      </x:c>
      <x:c r="R2026" s="55" t="n">
        <x:f>IF(O2026=0,0,ROUND(Q2026/O2026,4))</x:f>
        <x:v>0.4149</x:v>
      </x:c>
      <x:c r="S2026" s="53" t="n">
        <x:v>3</x:v>
      </x:c>
      <x:c r="T2026" t="str">
        <x:v>Entregue</x:v>
      </x:c>
      <x:c r="U2026" t="n">
        <x:v>2</x:v>
      </x:c>
      <x:c r="V2026" t="str"/>
    </x:row>
    <x:row r="2027">
      <x:c r="A2027" s="52" t="n">
        <x:v>46153</x:v>
      </x:c>
      <x:c r="B2027" t="str">
        <x:v>PED-102026</x:v>
      </x:c>
      <x:c r="C2027" t="str">
        <x:v>Cliente 061</x:v>
      </x:c>
      <x:c r="D2027" t="str">
        <x:v>BA</x:v>
      </x:c>
      <x:c r="E2027" t="str">
        <x:v>Nordeste</x:v>
      </x:c>
      <x:c r="F2027" t="str">
        <x:v>E-commerce</x:v>
      </x:c>
      <x:c r="G2027" t="str">
        <x:v>Casa</x:v>
      </x:c>
      <x:c r="H2027" t="str">
        <x:v>Aspirador Robô</x:v>
      </x:c>
      <x:c r="I2027" t="str">
        <x:v>Elaine</x:v>
      </x:c>
      <x:c r="J2027" s="53" t="n">
        <x:v>3</x:v>
      </x:c>
      <x:c r="K2027" s="54" t="n">
        <x:v>1959.07</x:v>
      </x:c>
      <x:c r="L2027" s="54" t="n">
        <x:v>1280.94</x:v>
      </x:c>
      <x:c r="M2027" s="55" t="n">
        <x:v>0</x:v>
      </x:c>
      <x:c r="N2027" s="54" t="n">
        <x:f>ROUND(J2027*K2027,2)</x:f>
        <x:v>5877.21</x:v>
      </x:c>
      <x:c r="O2027" s="54" t="n">
        <x:f>ROUND(N2027*(1-M2027),2)</x:f>
        <x:v>5877.21</x:v>
      </x:c>
      <x:c r="P2027" s="54" t="n">
        <x:f>ROUND(J2027*L2027,2)</x:f>
        <x:v>3842.82</x:v>
      </x:c>
      <x:c r="Q2027" s="54" t="n">
        <x:f>ROUND(O2027-P2027,2)</x:f>
        <x:v>2034.39</x:v>
      </x:c>
      <x:c r="R2027" s="55" t="n">
        <x:f>IF(O2027=0,0,ROUND(Q2027/O2027,4))</x:f>
        <x:v>0.3461</x:v>
      </x:c>
      <x:c r="S2027" s="53" t="n">
        <x:v>8</x:v>
      </x:c>
      <x:c r="T2027" t="str">
        <x:v>Entregue</x:v>
      </x:c>
      <x:c r="U2027" t="n">
        <x:v>2</x:v>
      </x:c>
      <x:c r="V2027" t="str"/>
    </x:row>
    <x:row r="2028">
      <x:c r="A2028" s="52" t="n">
        <x:v>46193</x:v>
      </x:c>
      <x:c r="B2028" t="str">
        <x:v>PED-102027</x:v>
      </x:c>
      <x:c r="C2028" t="str">
        <x:v>Cliente 032</x:v>
      </x:c>
      <x:c r="D2028" t="str">
        <x:v>MG</x:v>
      </x:c>
      <x:c r="E2028" t="str">
        <x:v>Sudeste</x:v>
      </x:c>
      <x:c r="F2028" t="str">
        <x:v>Loja</x:v>
      </x:c>
      <x:c r="G2028" t="str">
        <x:v>Escritório</x:v>
      </x:c>
      <x:c r="H2028" t="str">
        <x:v>Luminária LED</x:v>
      </x:c>
      <x:c r="I2028" t="str">
        <x:v>Gabriela</x:v>
      </x:c>
      <x:c r="J2028" s="53" t="n">
        <x:v>8</x:v>
      </x:c>
      <x:c r="K2028" s="54" t="n">
        <x:v>268.19</x:v>
      </x:c>
      <x:c r="L2028" s="54" t="n">
        <x:v>122.78</x:v>
      </x:c>
      <x:c r="M2028" s="55" t="n">
        <x:v>0.0559</x:v>
      </x:c>
      <x:c r="N2028" s="54" t="n">
        <x:f>ROUND(J2028*K2028,2)</x:f>
        <x:v>2145.52</x:v>
      </x:c>
      <x:c r="O2028" s="54" t="n">
        <x:f>ROUND(N2028*(1-M2028),2)</x:f>
        <x:v>2025.59</x:v>
      </x:c>
      <x:c r="P2028" s="54" t="n">
        <x:f>ROUND(J2028*L2028,2)</x:f>
        <x:v>982.24</x:v>
      </x:c>
      <x:c r="Q2028" s="54" t="n">
        <x:f>ROUND(O2028-P2028,2)</x:f>
        <x:v>1043.35</x:v>
      </x:c>
      <x:c r="R2028" s="55" t="n">
        <x:f>IF(O2028=0,0,ROUND(Q2028/O2028,4))</x:f>
        <x:v>0.5151</x:v>
      </x:c>
      <x:c r="S2028" s="53" t="n">
        <x:v>2</x:v>
      </x:c>
      <x:c r="T2028" t="str">
        <x:v>Entregue</x:v>
      </x:c>
      <x:c r="U2028" t="n">
        <x:v>4</x:v>
      </x:c>
      <x:c r="V2028" t="str"/>
    </x:row>
    <x:row r="2029">
      <x:c r="A2029" s="52" t="n">
        <x:v>46077</x:v>
      </x:c>
      <x:c r="B2029" t="str">
        <x:v>PED-102028</x:v>
      </x:c>
      <x:c r="C2029" t="str">
        <x:v>Cliente 107</x:v>
      </x:c>
      <x:c r="D2029" t="str">
        <x:v>ES</x:v>
      </x:c>
      <x:c r="E2029" t="str">
        <x:v>Sudeste</x:v>
      </x:c>
      <x:c r="F2029" t="str">
        <x:v>Televendas</x:v>
      </x:c>
      <x:c r="G2029" t="str">
        <x:v>Tecnologia</x:v>
      </x:c>
      <x:c r="H2029" t="str">
        <x:v>Headset Office</x:v>
      </x:c>
      <x:c r="I2029" t="str">
        <x:v>Henrique</x:v>
      </x:c>
      <x:c r="J2029" s="53" t="n">
        <x:v>3</x:v>
      </x:c>
      <x:c r="K2029" s="54" t="n">
        <x:v>376.51</x:v>
      </x:c>
      <x:c r="L2029" s="54" t="n">
        <x:v>217.25</x:v>
      </x:c>
      <x:c r="M2029" s="55" t="n">
        <x:v>0.0487</x:v>
      </x:c>
      <x:c r="N2029" s="54" t="n">
        <x:f>ROUND(J2029*K2029,2)</x:f>
        <x:v>1129.53</x:v>
      </x:c>
      <x:c r="O2029" s="54" t="n">
        <x:f>ROUND(N2029*(1-M2029),2)</x:f>
        <x:v>1074.52</x:v>
      </x:c>
      <x:c r="P2029" s="54" t="n">
        <x:f>ROUND(J2029*L2029,2)</x:f>
        <x:v>651.75</x:v>
      </x:c>
      <x:c r="Q2029" s="54" t="n">
        <x:f>ROUND(O2029-P2029,2)</x:f>
        <x:v>422.77</x:v>
      </x:c>
      <x:c r="R2029" s="55" t="n">
        <x:f>IF(O2029=0,0,ROUND(Q2029/O2029,4))</x:f>
        <x:v>0.3935</x:v>
      </x:c>
      <x:c r="S2029" s="53" t="n">
        <x:v>11</x:v>
      </x:c>
      <x:c r="T2029" t="str">
        <x:v>Entregue com atraso</x:v>
      </x:c>
      <x:c r="U2029" t="n">
        <x:v>5</x:v>
      </x:c>
      <x:c r="V2029" t="str"/>
    </x:row>
    <x:row r="2030">
      <x:c r="A2030" s="52" t="n">
        <x:v>46228</x:v>
      </x:c>
      <x:c r="B2030" t="str">
        <x:v>PED-102029</x:v>
      </x:c>
      <x:c r="C2030" t="str">
        <x:v>Cliente 101</x:v>
      </x:c>
      <x:c r="D2030" t="str">
        <x:v>PR</x:v>
      </x:c>
      <x:c r="E2030" t="str">
        <x:v>Sul</x:v>
      </x:c>
      <x:c r="F2030" t="str">
        <x:v>Marketplace</x:v>
      </x:c>
      <x:c r="G2030" t="str">
        <x:v>Casa</x:v>
      </x:c>
      <x:c r="H2030" t="str">
        <x:v>Aspirador Robô</x:v>
      </x:c>
      <x:c r="I2030" t="str">
        <x:v>Gabriela</x:v>
      </x:c>
      <x:c r="J2030" s="53" t="n">
        <x:v>7</x:v>
      </x:c>
      <x:c r="K2030" s="54" t="n">
        <x:v>1878.86</x:v>
      </x:c>
      <x:c r="L2030" s="54" t="n">
        <x:v>1153.74</x:v>
      </x:c>
      <x:c r="M2030" s="55" t="n">
        <x:v>0.035</x:v>
      </x:c>
      <x:c r="N2030" s="54" t="n">
        <x:f>ROUND(J2030*K2030,2)</x:f>
        <x:v>13152.02</x:v>
      </x:c>
      <x:c r="O2030" s="54" t="n">
        <x:f>ROUND(N2030*(1-M2030),2)</x:f>
        <x:v>12691.7</x:v>
      </x:c>
      <x:c r="P2030" s="54" t="n">
        <x:f>ROUND(J2030*L2030,2)</x:f>
        <x:v>8076.18</x:v>
      </x:c>
      <x:c r="Q2030" s="54" t="n">
        <x:f>ROUND(O2030-P2030,2)</x:f>
        <x:v>4615.52</x:v>
      </x:c>
      <x:c r="R2030" s="55" t="n">
        <x:f>IF(O2030=0,0,ROUND(Q2030/O2030,4))</x:f>
        <x:v>0.3637</x:v>
      </x:c>
      <x:c r="S2030" s="53" t="n">
        <x:v>2</x:v>
      </x:c>
      <x:c r="T2030" t="str">
        <x:v>Entregue</x:v>
      </x:c>
      <x:c r="U2030" t="n">
        <x:v>2</x:v>
      </x:c>
      <x:c r="V2030" t="str"/>
    </x:row>
    <x:row r="2031">
      <x:c r="A2031" s="52" t="n">
        <x:v>46080</x:v>
      </x:c>
      <x:c r="B2031" t="str">
        <x:v>PED-102030</x:v>
      </x:c>
      <x:c r="C2031" t="str">
        <x:v>Cliente 044</x:v>
      </x:c>
      <x:c r="D2031" t="str">
        <x:v>AM</x:v>
      </x:c>
      <x:c r="E2031" t="str">
        <x:v>Norte</x:v>
      </x:c>
      <x:c r="F2031" t="str">
        <x:v>Loja</x:v>
      </x:c>
      <x:c r="G2031" t="str">
        <x:v>Acessórios</x:v>
      </x:c>
      <x:c r="H2031" t="str">
        <x:v>Hub USB-C</x:v>
      </x:c>
      <x:c r="I2031" t="str">
        <x:v>Gabriela</x:v>
      </x:c>
      <x:c r="J2031" s="53" t="n">
        <x:v>1</x:v>
      </x:c>
      <x:c r="K2031" s="54" t="n">
        <x:v>319.68</x:v>
      </x:c>
      <x:c r="L2031" s="54" t="n">
        <x:v>143.34</x:v>
      </x:c>
      <x:c r="M2031" s="55" t="n">
        <x:v>0.0325</x:v>
      </x:c>
      <x:c r="N2031" s="54" t="n">
        <x:f>ROUND(J2031*K2031,2)</x:f>
        <x:v>319.68</x:v>
      </x:c>
      <x:c r="O2031" s="54" t="n">
        <x:f>ROUND(N2031*(1-M2031),2)</x:f>
        <x:v>309.29</x:v>
      </x:c>
      <x:c r="P2031" s="54" t="n">
        <x:f>ROUND(J2031*L2031,2)</x:f>
        <x:v>143.34</x:v>
      </x:c>
      <x:c r="Q2031" s="54" t="n">
        <x:f>ROUND(O2031-P2031,2)</x:f>
        <x:v>165.95</x:v>
      </x:c>
      <x:c r="R2031" s="55" t="n">
        <x:f>IF(O2031=0,0,ROUND(Q2031/O2031,4))</x:f>
        <x:v>0.5366</x:v>
      </x:c>
      <x:c r="S2031" s="53" t="n">
        <x:v>8</x:v>
      </x:c>
      <x:c r="T2031" t="str">
        <x:v>Entregue</x:v>
      </x:c>
      <x:c r="U2031" t="n">
        <x:v>3</x:v>
      </x:c>
      <x:c r="V2031" t="str"/>
    </x:row>
    <x:row r="2032">
      <x:c r="A2032" s="52" t="n">
        <x:v>46135</x:v>
      </x:c>
      <x:c r="B2032" t="str">
        <x:v>PED-102031</x:v>
      </x:c>
      <x:c r="C2032" t="str">
        <x:v>Cliente 117</x:v>
      </x:c>
      <x:c r="D2032" t="str">
        <x:v>MT</x:v>
      </x:c>
      <x:c r="E2032" t="str">
        <x:v>Centro-Oeste</x:v>
      </x:c>
      <x:c r="F2032" t="str">
        <x:v>Televendas</x:v>
      </x:c>
      <x:c r="G2032" t="str">
        <x:v>Escritório</x:v>
      </x:c>
      <x:c r="H2032" t="str">
        <x:v>Mesa Ajustável</x:v>
      </x:c>
      <x:c r="I2032" t="str">
        <x:v>Isabela</x:v>
      </x:c>
      <x:c r="J2032" s="53" t="n">
        <x:v>6</x:v>
      </x:c>
      <x:c r="K2032" s="54" t="n">
        <x:v>2900.66</x:v>
      </x:c>
      <x:c r="L2032" s="54" t="n">
        <x:v>1813.04</x:v>
      </x:c>
      <x:c r="M2032" s="55" t="n">
        <x:v>0.0194</x:v>
      </x:c>
      <x:c r="N2032" s="54" t="n">
        <x:f>ROUND(J2032*K2032,2)</x:f>
        <x:v>17403.96</x:v>
      </x:c>
      <x:c r="O2032" s="54" t="n">
        <x:f>ROUND(N2032*(1-M2032),2)</x:f>
        <x:v>17066.32</x:v>
      </x:c>
      <x:c r="P2032" s="54" t="n">
        <x:f>ROUND(J2032*L2032,2)</x:f>
        <x:v>10878.24</x:v>
      </x:c>
      <x:c r="Q2032" s="54" t="n">
        <x:f>ROUND(O2032-P2032,2)</x:f>
        <x:v>6188.08</x:v>
      </x:c>
      <x:c r="R2032" s="55" t="n">
        <x:f>IF(O2032=0,0,ROUND(Q2032/O2032,4))</x:f>
        <x:v>0.3626</x:v>
      </x:c>
      <x:c r="S2032" s="53" t="n">
        <x:v>3</x:v>
      </x:c>
      <x:c r="T2032" t="str">
        <x:v>Entregue</x:v>
      </x:c>
      <x:c r="U2032" t="n">
        <x:v>2</x:v>
      </x:c>
      <x:c r="V2032" t="str"/>
    </x:row>
    <x:row r="2033">
      <x:c r="A2033" s="52" t="n">
        <x:v>46176</x:v>
      </x:c>
      <x:c r="B2033" t="str">
        <x:v>PED-102032</x:v>
      </x:c>
      <x:c r="C2033" t="str">
        <x:v>Cliente 063</x:v>
      </x:c>
      <x:c r="D2033" t="str">
        <x:v>PE</x:v>
      </x:c>
      <x:c r="E2033" t="str">
        <x:v>Nordeste</x:v>
      </x:c>
      <x:c r="F2033" t="str">
        <x:v>Marketplace</x:v>
      </x:c>
      <x:c r="G2033" t="str">
        <x:v>Tecnologia</x:v>
      </x:c>
      <x:c r="H2033" t="str">
        <x:v>Headset Office</x:v>
      </x:c>
      <x:c r="I2033" t="str">
        <x:v>Elaine</x:v>
      </x:c>
      <x:c r="J2033" s="53" t="n">
        <x:v>1</x:v>
      </x:c>
      <x:c r="K2033" s="54" t="n">
        <x:v>393.69</x:v>
      </x:c>
      <x:c r="L2033" s="54" t="n">
        <x:v>209.41</x:v>
      </x:c>
      <x:c r="M2033" s="55" t="n">
        <x:v>0.1245</x:v>
      </x:c>
      <x:c r="N2033" s="54" t="n">
        <x:f>ROUND(J2033*K2033,2)</x:f>
        <x:v>393.69</x:v>
      </x:c>
      <x:c r="O2033" s="54" t="n">
        <x:f>ROUND(N2033*(1-M2033),2)</x:f>
        <x:v>344.68</x:v>
      </x:c>
      <x:c r="P2033" s="54" t="n">
        <x:f>ROUND(J2033*L2033,2)</x:f>
        <x:v>209.41</x:v>
      </x:c>
      <x:c r="Q2033" s="54" t="n">
        <x:f>ROUND(O2033-P2033,2)</x:f>
        <x:v>135.27</x:v>
      </x:c>
      <x:c r="R2033" s="55" t="n">
        <x:f>IF(O2033=0,0,ROUND(Q2033/O2033,4))</x:f>
        <x:v>0.3925</x:v>
      </x:c>
      <x:c r="S2033" s="53" t="n">
        <x:v>8</x:v>
      </x:c>
      <x:c r="T2033" t="str">
        <x:v>Entregue</x:v>
      </x:c>
      <x:c r="U2033" t="n">
        <x:v>2</x:v>
      </x:c>
      <x:c r="V2033" t="str"/>
    </x:row>
    <x:row r="2034">
      <x:c r="A2034" s="52" t="n">
        <x:v>46048</x:v>
      </x:c>
      <x:c r="B2034" t="str">
        <x:v>PED-102033</x:v>
      </x:c>
      <x:c r="C2034" t="str">
        <x:v>Cliente 057</x:v>
      </x:c>
      <x:c r="D2034" t="str">
        <x:v>PR</x:v>
      </x:c>
      <x:c r="E2034" t="str">
        <x:v>Sul</x:v>
      </x:c>
      <x:c r="F2034" t="str">
        <x:v>Loja</x:v>
      </x:c>
      <x:c r="G2034" t="str">
        <x:v>Casa</x:v>
      </x:c>
      <x:c r="H2034" t="str">
        <x:v>Purificador</x:v>
      </x:c>
      <x:c r="I2034" t="str">
        <x:v>Ana</x:v>
      </x:c>
      <x:c r="J2034" s="53" t="n">
        <x:v>6</x:v>
      </x:c>
      <x:c r="K2034" s="54" t="n">
        <x:v>1304.08</x:v>
      </x:c>
      <x:c r="L2034" s="54" t="n">
        <x:v>769.91</x:v>
      </x:c>
      <x:c r="M2034" s="55" t="n">
        <x:v>0.0948</x:v>
      </x:c>
      <x:c r="N2034" s="54" t="n">
        <x:f>ROUND(J2034*K2034,2)</x:f>
        <x:v>7824.48</x:v>
      </x:c>
      <x:c r="O2034" s="54" t="n">
        <x:f>ROUND(N2034*(1-M2034),2)</x:f>
        <x:v>7082.72</x:v>
      </x:c>
      <x:c r="P2034" s="54" t="n">
        <x:f>ROUND(J2034*L2034,2)</x:f>
        <x:v>4619.46</x:v>
      </x:c>
      <x:c r="Q2034" s="54" t="n">
        <x:f>ROUND(O2034-P2034,2)</x:f>
        <x:v>2463.26</x:v>
      </x:c>
      <x:c r="R2034" s="55" t="n">
        <x:f>IF(O2034=0,0,ROUND(Q2034/O2034,4))</x:f>
        <x:v>0.3478</x:v>
      </x:c>
      <x:c r="S2034" s="53" t="n">
        <x:v>8</x:v>
      </x:c>
      <x:c r="T2034" t="str">
        <x:v>Entregue</x:v>
      </x:c>
      <x:c r="U2034" t="n">
        <x:v>4</x:v>
      </x:c>
      <x:c r="V2034" t="str"/>
    </x:row>
    <x:row r="2035">
      <x:c r="A2035" s="52" t="n">
        <x:v>46157</x:v>
      </x:c>
      <x:c r="B2035" t="str">
        <x:v>PED-102034</x:v>
      </x:c>
      <x:c r="C2035" t="str">
        <x:v>Cliente 098</x:v>
      </x:c>
      <x:c r="D2035" t="str">
        <x:v>PA</x:v>
      </x:c>
      <x:c r="E2035" t="str">
        <x:v>Norte</x:v>
      </x:c>
      <x:c r="F2035" t="str">
        <x:v>Marketplace</x:v>
      </x:c>
      <x:c r="G2035" t="str">
        <x:v>Acessórios</x:v>
      </x:c>
      <x:c r="H2035" t="str">
        <x:v>Hub USB-C</x:v>
      </x:c>
      <x:c r="I2035" t="str">
        <x:v>Ana</x:v>
      </x:c>
      <x:c r="J2035" s="53" t="n">
        <x:v>2</x:v>
      </x:c>
      <x:c r="K2035" s="54" t="n">
        <x:v>333.77</x:v>
      </x:c>
      <x:c r="L2035" s="54" t="n">
        <x:v>134.46</x:v>
      </x:c>
      <x:c r="M2035" s="55" t="n">
        <x:v>0.035</x:v>
      </x:c>
      <x:c r="N2035" s="54" t="n">
        <x:f>ROUND(J2035*K2035,2)</x:f>
        <x:v>667.54</x:v>
      </x:c>
      <x:c r="O2035" s="54" t="n">
        <x:f>ROUND(N2035*(1-M2035),2)</x:f>
        <x:v>644.18</x:v>
      </x:c>
      <x:c r="P2035" s="54" t="n">
        <x:f>ROUND(J2035*L2035,2)</x:f>
        <x:v>268.92</x:v>
      </x:c>
      <x:c r="Q2035" s="54" t="n">
        <x:f>ROUND(O2035-P2035,2)</x:f>
        <x:v>375.26</x:v>
      </x:c>
      <x:c r="R2035" s="55" t="n">
        <x:f>IF(O2035=0,0,ROUND(Q2035/O2035,4))</x:f>
        <x:v>0.5825</x:v>
      </x:c>
      <x:c r="S2035" s="53" t="n">
        <x:v>2</x:v>
      </x:c>
      <x:c r="T2035" t="str">
        <x:v>Entregue</x:v>
      </x:c>
      <x:c r="U2035" t="n">
        <x:v>3</x:v>
      </x:c>
      <x:c r="V2035" t="str"/>
    </x:row>
    <x:row r="2036">
      <x:c r="A2036" s="52" t="n">
        <x:v>46051</x:v>
      </x:c>
      <x:c r="B2036" t="str">
        <x:v>PED-102035</x:v>
      </x:c>
      <x:c r="C2036" t="str">
        <x:v>Cliente 107</x:v>
      </x:c>
      <x:c r="D2036" t="str">
        <x:v>DF</x:v>
      </x:c>
      <x:c r="E2036" t="str">
        <x:v>Centro-Oeste</x:v>
      </x:c>
      <x:c r="F2036" t="str">
        <x:v>Loja</x:v>
      </x:c>
      <x:c r="G2036" t="str">
        <x:v>Acessórios</x:v>
      </x:c>
      <x:c r="H2036" t="str">
        <x:v>Hub USB-C</x:v>
      </x:c>
      <x:c r="I2036" t="str">
        <x:v>João</x:v>
      </x:c>
      <x:c r="J2036" s="53" t="n">
        <x:v>5</x:v>
      </x:c>
      <x:c r="K2036" s="54" t="n">
        <x:v>307.33</x:v>
      </x:c>
      <x:c r="L2036" s="54" t="n">
        <x:v>131.68</x:v>
      </x:c>
      <x:c r="M2036" s="55" t="n">
        <x:v>0</x:v>
      </x:c>
      <x:c r="N2036" s="54" t="n">
        <x:f>ROUND(J2036*K2036,2)</x:f>
        <x:v>1536.65</x:v>
      </x:c>
      <x:c r="O2036" s="54" t="n">
        <x:f>ROUND(N2036*(1-M2036),2)</x:f>
        <x:v>1536.65</x:v>
      </x:c>
      <x:c r="P2036" s="54" t="n">
        <x:f>ROUND(J2036*L2036,2)</x:f>
        <x:v>658.4</x:v>
      </x:c>
      <x:c r="Q2036" s="54" t="n">
        <x:f>ROUND(O2036-P2036,2)</x:f>
        <x:v>878.25</x:v>
      </x:c>
      <x:c r="R2036" s="55" t="n">
        <x:f>IF(O2036=0,0,ROUND(Q2036/O2036,4))</x:f>
        <x:v>0.5715</x:v>
      </x:c>
      <x:c r="S2036" s="53" t="n">
        <x:v>3</x:v>
      </x:c>
      <x:c r="T2036" t="str">
        <x:v>Entregue</x:v>
      </x:c>
      <x:c r="U2036" t="n">
        <x:v>2</x:v>
      </x:c>
      <x:c r="V2036" t="str"/>
    </x:row>
    <x:row r="2037">
      <x:c r="A2037" s="52" t="n">
        <x:v>46220</x:v>
      </x:c>
      <x:c r="B2037" t="str">
        <x:v>PED-102036</x:v>
      </x:c>
      <x:c r="C2037" t="str">
        <x:v>Cliente 050</x:v>
      </x:c>
      <x:c r="D2037" t="str">
        <x:v>MT</x:v>
      </x:c>
      <x:c r="E2037" t="str">
        <x:v>Centro-Oeste</x:v>
      </x:c>
      <x:c r="F2037" t="str">
        <x:v>E-commerce</x:v>
      </x:c>
      <x:c r="G2037" t="str">
        <x:v>Acessórios</x:v>
      </x:c>
      <x:c r="H2037" t="str">
        <x:v>Hub USB-C</x:v>
      </x:c>
      <x:c r="I2037" t="str">
        <x:v>Elaine</x:v>
      </x:c>
      <x:c r="J2037" s="53" t="n">
        <x:v>3</x:v>
      </x:c>
      <x:c r="K2037" s="54" t="n">
        <x:v>322.8</x:v>
      </x:c>
      <x:c r="L2037" s="54" t="n">
        <x:v>140.4</x:v>
      </x:c>
      <x:c r="M2037" s="55" t="n">
        <x:v>0.0398</x:v>
      </x:c>
      <x:c r="N2037" s="54" t="n">
        <x:f>ROUND(J2037*K2037,2)</x:f>
        <x:v>968.4</x:v>
      </x:c>
      <x:c r="O2037" s="54" t="n">
        <x:f>ROUND(N2037*(1-M2037),2)</x:f>
        <x:v>929.86</x:v>
      </x:c>
      <x:c r="P2037" s="54" t="n">
        <x:f>ROUND(J2037*L2037,2)</x:f>
        <x:v>421.2</x:v>
      </x:c>
      <x:c r="Q2037" s="54" t="n">
        <x:f>ROUND(O2037-P2037,2)</x:f>
        <x:v>508.66</x:v>
      </x:c>
      <x:c r="R2037" s="55" t="n">
        <x:f>IF(O2037=0,0,ROUND(Q2037/O2037,4))</x:f>
        <x:v>0.547</x:v>
      </x:c>
      <x:c r="S2037" s="53" t="n">
        <x:v>13</x:v>
      </x:c>
      <x:c r="T2037" t="str">
        <x:v>Entregue com atraso</x:v>
      </x:c>
      <x:c r="U2037" t="n">
        <x:v>5</x:v>
      </x:c>
      <x:c r="V2037" t="str"/>
    </x:row>
    <x:row r="2038">
      <x:c r="A2038" s="52" t="n">
        <x:v>46122</x:v>
      </x:c>
      <x:c r="B2038" t="str">
        <x:v>PED-102037</x:v>
      </x:c>
      <x:c r="C2038" t="str">
        <x:v>Cliente 010</x:v>
      </x:c>
      <x:c r="D2038" t="str">
        <x:v>PE</x:v>
      </x:c>
      <x:c r="E2038" t="str">
        <x:v>Nordeste</x:v>
      </x:c>
      <x:c r="F2038" t="str">
        <x:v>E-commerce</x:v>
      </x:c>
      <x:c r="G2038" t="str">
        <x:v>Acessórios</x:v>
      </x:c>
      <x:c r="H2038" t="str">
        <x:v>Mochila Executiva</x:v>
      </x:c>
      <x:c r="I2038" t="str">
        <x:v>Elaine</x:v>
      </x:c>
      <x:c r="J2038" s="53" t="n">
        <x:v>1</x:v>
      </x:c>
      <x:c r="K2038" s="54" t="n">
        <x:v>434.64</x:v>
      </x:c>
      <x:c r="L2038" s="54" t="n">
        <x:v>201.35</x:v>
      </x:c>
      <x:c r="M2038" s="55" t="n">
        <x:v>0</x:v>
      </x:c>
      <x:c r="N2038" s="54" t="n">
        <x:f>ROUND(J2038*K2038,2)</x:f>
        <x:v>434.64</x:v>
      </x:c>
      <x:c r="O2038" s="54" t="n">
        <x:f>ROUND(N2038*(1-M2038),2)</x:f>
        <x:v>434.64</x:v>
      </x:c>
      <x:c r="P2038" s="54" t="n">
        <x:f>ROUND(J2038*L2038,2)</x:f>
        <x:v>201.35</x:v>
      </x:c>
      <x:c r="Q2038" s="54" t="n">
        <x:f>ROUND(O2038-P2038,2)</x:f>
        <x:v>233.29</x:v>
      </x:c>
      <x:c r="R2038" s="55" t="n">
        <x:f>IF(O2038=0,0,ROUND(Q2038/O2038,4))</x:f>
        <x:v>0.5367</x:v>
      </x:c>
      <x:c r="S2038" s="53" t="n">
        <x:v>6</x:v>
      </x:c>
      <x:c r="T2038" t="str">
        <x:v>Entregue</x:v>
      </x:c>
      <x:c r="U2038" t="n">
        <x:v>5</x:v>
      </x:c>
      <x:c r="V2038" t="str"/>
    </x:row>
    <x:row r="2039">
      <x:c r="A2039" s="52" t="n">
        <x:v>46209</x:v>
      </x:c>
      <x:c r="B2039" t="str">
        <x:v>PED-102038</x:v>
      </x:c>
      <x:c r="C2039" t="str">
        <x:v>Cliente 092</x:v>
      </x:c>
      <x:c r="D2039" t="str">
        <x:v>PE</x:v>
      </x:c>
      <x:c r="E2039" t="str">
        <x:v>Nordeste</x:v>
      </x:c>
      <x:c r="F2039" t="str">
        <x:v>Marketplace</x:v>
      </x:c>
      <x:c r="G2039" t="str">
        <x:v>Tecnologia</x:v>
      </x:c>
      <x:c r="H2039" t="str">
        <x:v>Notebook Pro</x:v>
      </x:c>
      <x:c r="I2039" t="str">
        <x:v>João</x:v>
      </x:c>
      <x:c r="J2039" s="53" t="n">
        <x:v>1</x:v>
      </x:c>
      <x:c r="K2039" s="54" t="n">
        <x:v>5594.74</x:v>
      </x:c>
      <x:c r="L2039" s="54" t="n">
        <x:v>4300.83</x:v>
      </x:c>
      <x:c r="M2039" s="55" t="n">
        <x:v>0.1445</x:v>
      </x:c>
      <x:c r="N2039" s="54" t="n">
        <x:f>ROUND(J2039*K2039,2)</x:f>
        <x:v>5594.74</x:v>
      </x:c>
      <x:c r="O2039" s="54" t="n">
        <x:f>ROUND(N2039*(1-M2039),2)</x:f>
        <x:v>4786.3</x:v>
      </x:c>
      <x:c r="P2039" s="54" t="n">
        <x:f>ROUND(J2039*L2039,2)</x:f>
        <x:v>4300.83</x:v>
      </x:c>
      <x:c r="Q2039" s="54" t="n">
        <x:f>ROUND(O2039-P2039,2)</x:f>
        <x:v>485.47</x:v>
      </x:c>
      <x:c r="R2039" s="55" t="n">
        <x:f>IF(O2039=0,0,ROUND(Q2039/O2039,4))</x:f>
        <x:v>0.1014</x:v>
      </x:c>
      <x:c r="S2039" s="53" t="n">
        <x:v>12</x:v>
      </x:c>
      <x:c r="T2039" t="str">
        <x:v>Entregue com atraso</x:v>
      </x:c>
      <x:c r="U2039" t="n">
        <x:v>5</x:v>
      </x:c>
      <x:c r="V2039" t="str"/>
    </x:row>
    <x:row r="2040">
      <x:c r="A2040" s="52" t="n">
        <x:v>46154</x:v>
      </x:c>
      <x:c r="B2040" t="str">
        <x:v>PED-102039</x:v>
      </x:c>
      <x:c r="C2040" t="str">
        <x:v>Cliente 083</x:v>
      </x:c>
      <x:c r="D2040" t="str">
        <x:v>AM</x:v>
      </x:c>
      <x:c r="E2040" t="str">
        <x:v>Norte</x:v>
      </x:c>
      <x:c r="F2040" t="str">
        <x:v>Loja</x:v>
      </x:c>
      <x:c r="G2040" t="str">
        <x:v>Casa</x:v>
      </x:c>
      <x:c r="H2040" t="str">
        <x:v>Cafeteira Smart</x:v>
      </x:c>
      <x:c r="I2040" t="str">
        <x:v>Bruno</x:v>
      </x:c>
      <x:c r="J2040" s="53" t="n">
        <x:v>4</x:v>
      </x:c>
      <x:c r="K2040" s="54" t="n">
        <x:v>754.06</x:v>
      </x:c>
      <x:c r="L2040" s="54" t="n">
        <x:v>491.21</x:v>
      </x:c>
      <x:c r="M2040" s="55" t="n">
        <x:v>0.0018</x:v>
      </x:c>
      <x:c r="N2040" s="54" t="n">
        <x:f>ROUND(J2040*K2040,2)</x:f>
        <x:v>3016.24</x:v>
      </x:c>
      <x:c r="O2040" s="54" t="n">
        <x:f>ROUND(N2040*(1-M2040),2)</x:f>
        <x:v>3010.81</x:v>
      </x:c>
      <x:c r="P2040" s="54" t="n">
        <x:f>ROUND(J2040*L2040,2)</x:f>
        <x:v>1964.84</x:v>
      </x:c>
      <x:c r="Q2040" s="54" t="n">
        <x:f>ROUND(O2040-P2040,2)</x:f>
        <x:v>1045.97</x:v>
      </x:c>
      <x:c r="R2040" s="55" t="n">
        <x:f>IF(O2040=0,0,ROUND(Q2040/O2040,4))</x:f>
        <x:v>0.3474</x:v>
      </x:c>
      <x:c r="S2040" s="53" t="n">
        <x:v>14</x:v>
      </x:c>
      <x:c r="T2040" t="str">
        <x:v>Entregue com atraso</x:v>
      </x:c>
      <x:c r="U2040" t="n">
        <x:v>5</x:v>
      </x:c>
      <x:c r="V2040" t="str"/>
    </x:row>
    <x:row r="2041">
      <x:c r="A2041" s="52" t="n">
        <x:v>46026</x:v>
      </x:c>
      <x:c r="B2041" t="str">
        <x:v>PED-102040</x:v>
      </x:c>
      <x:c r="C2041" t="str">
        <x:v>Cliente 082</x:v>
      </x:c>
      <x:c r="D2041" t="str">
        <x:v>MG</x:v>
      </x:c>
      <x:c r="E2041" t="str">
        <x:v>Sudeste</x:v>
      </x:c>
      <x:c r="F2041" t="str">
        <x:v>Marketplace</x:v>
      </x:c>
      <x:c r="G2041" t="str">
        <x:v>Casa</x:v>
      </x:c>
      <x:c r="H2041" t="str">
        <x:v>Purificador</x:v>
      </x:c>
      <x:c r="I2041" t="str">
        <x:v>Gabriela</x:v>
      </x:c>
      <x:c r="J2041" s="53" t="n">
        <x:v>3</x:v>
      </x:c>
      <x:c r="K2041" s="54" t="n">
        <x:v>1313.95</x:v>
      </x:c>
      <x:c r="L2041" s="54" t="n">
        <x:v>772.12</x:v>
      </x:c>
      <x:c r="M2041" s="55" t="n">
        <x:v>0.0942</x:v>
      </x:c>
      <x:c r="N2041" s="54" t="n">
        <x:f>ROUND(J2041*K2041,2)</x:f>
        <x:v>3941.85</x:v>
      </x:c>
      <x:c r="O2041" s="54" t="n">
        <x:f>ROUND(N2041*(1-M2041),2)</x:f>
        <x:v>3570.53</x:v>
      </x:c>
      <x:c r="P2041" s="54" t="n">
        <x:f>ROUND(J2041*L2041,2)</x:f>
        <x:v>2316.36</x:v>
      </x:c>
      <x:c r="Q2041" s="54" t="n">
        <x:f>ROUND(O2041-P2041,2)</x:f>
        <x:v>1254.17</x:v>
      </x:c>
      <x:c r="R2041" s="55" t="n">
        <x:f>IF(O2041=0,0,ROUND(Q2041/O2041,4))</x:f>
        <x:v>0.3513</x:v>
      </x:c>
      <x:c r="S2041" s="53" t="n">
        <x:v>6</x:v>
      </x:c>
      <x:c r="T2041" t="str">
        <x:v>Entregue</x:v>
      </x:c>
      <x:c r="U2041" t="n">
        <x:v>4</x:v>
      </x:c>
      <x:c r="V2041" t="str"/>
    </x:row>
    <x:row r="2042">
      <x:c r="A2042" s="52" t="n">
        <x:v>46204</x:v>
      </x:c>
      <x:c r="B2042" t="str">
        <x:v>PED-102041</x:v>
      </x:c>
      <x:c r="C2042" t="str">
        <x:v>Cliente 056</x:v>
      </x:c>
      <x:c r="D2042" t="str">
        <x:v>PR</x:v>
      </x:c>
      <x:c r="E2042" t="str">
        <x:v>Sul</x:v>
      </x:c>
      <x:c r="F2042" t="str">
        <x:v>Marketplace</x:v>
      </x:c>
      <x:c r="G2042" t="str">
        <x:v>Tecnologia</x:v>
      </x:c>
      <x:c r="H2042" t="str">
        <x:v>Headset Office</x:v>
      </x:c>
      <x:c r="I2042" t="str">
        <x:v>Henrique</x:v>
      </x:c>
      <x:c r="J2042" s="53" t="n">
        <x:v>7</x:v>
      </x:c>
      <x:c r="K2042" s="54" t="n">
        <x:v>411.09</x:v>
      </x:c>
      <x:c r="L2042" s="54" t="n">
        <x:v>210.63</x:v>
      </x:c>
      <x:c r="M2042" s="55" t="n">
        <x:v>0.035</x:v>
      </x:c>
      <x:c r="N2042" s="54" t="n">
        <x:f>ROUND(J2042*K2042,2)</x:f>
        <x:v>2877.63</x:v>
      </x:c>
      <x:c r="O2042" s="54" t="n">
        <x:f>ROUND(N2042*(1-M2042),2)</x:f>
        <x:v>2776.91</x:v>
      </x:c>
      <x:c r="P2042" s="54" t="n">
        <x:f>ROUND(J2042*L2042,2)</x:f>
        <x:v>1474.41</x:v>
      </x:c>
      <x:c r="Q2042" s="54" t="n">
        <x:f>ROUND(O2042-P2042,2)</x:f>
        <x:v>1302.5</x:v>
      </x:c>
      <x:c r="R2042" s="55" t="n">
        <x:f>IF(O2042=0,0,ROUND(Q2042/O2042,4))</x:f>
        <x:v>0.469</x:v>
      </x:c>
      <x:c r="S2042" s="53" t="n">
        <x:v>13</x:v>
      </x:c>
      <x:c r="T2042" t="str">
        <x:v>Entregue com atraso</x:v>
      </x:c>
      <x:c r="U2042" t="n">
        <x:v>2</x:v>
      </x:c>
      <x:c r="V2042" t="str"/>
    </x:row>
    <x:row r="2043">
      <x:c r="A2043" s="52" t="n">
        <x:v>46156</x:v>
      </x:c>
      <x:c r="B2043" t="str">
        <x:v>PED-102042</x:v>
      </x:c>
      <x:c r="C2043" t="str">
        <x:v>Cliente 103</x:v>
      </x:c>
      <x:c r="D2043" t="str">
        <x:v>ES</x:v>
      </x:c>
      <x:c r="E2043" t="str">
        <x:v>Sudeste</x:v>
      </x:c>
      <x:c r="F2043" t="str">
        <x:v>Televendas</x:v>
      </x:c>
      <x:c r="G2043" t="str">
        <x:v>Escritório</x:v>
      </x:c>
      <x:c r="H2043" t="str">
        <x:v>Mesa Ajustável</x:v>
      </x:c>
      <x:c r="I2043" t="str">
        <x:v>Felipe</x:v>
      </x:c>
      <x:c r="J2043" s="53" t="n">
        <x:v>4</x:v>
      </x:c>
      <x:c r="K2043" s="54" t="n">
        <x:v>2947.67</x:v>
      </x:c>
      <x:c r="L2043" s="54" t="n">
        <x:v>1831.99</x:v>
      </x:c>
      <x:c r="M2043" s="55" t="n">
        <x:v>0.073</x:v>
      </x:c>
      <x:c r="N2043" s="54" t="n">
        <x:f>ROUND(J2043*K2043,2)</x:f>
        <x:v>11790.68</x:v>
      </x:c>
      <x:c r="O2043" s="54" t="n">
        <x:f>ROUND(N2043*(1-M2043),2)</x:f>
        <x:v>10929.96</x:v>
      </x:c>
      <x:c r="P2043" s="54" t="n">
        <x:f>ROUND(J2043*L2043,2)</x:f>
        <x:v>7327.96</x:v>
      </x:c>
      <x:c r="Q2043" s="54" t="n">
        <x:f>ROUND(O2043-P2043,2)</x:f>
        <x:v>3602</x:v>
      </x:c>
      <x:c r="R2043" s="55" t="n">
        <x:f>IF(O2043=0,0,ROUND(Q2043/O2043,4))</x:f>
        <x:v>0.3296</x:v>
      </x:c>
      <x:c r="S2043" s="53" t="n">
        <x:v>4</x:v>
      </x:c>
      <x:c r="T2043" t="str">
        <x:v>Entregue</x:v>
      </x:c>
      <x:c r="U2043" t="n">
        <x:v>2</x:v>
      </x:c>
      <x:c r="V2043" t="str"/>
    </x:row>
    <x:row r="2044">
      <x:c r="A2044" s="52" t="n">
        <x:v>46190</x:v>
      </x:c>
      <x:c r="B2044" t="str">
        <x:v>PED-102043</x:v>
      </x:c>
      <x:c r="C2044" t="str">
        <x:v>Cliente 071</x:v>
      </x:c>
      <x:c r="D2044" t="str">
        <x:v>PR</x:v>
      </x:c>
      <x:c r="E2044" t="str">
        <x:v>Sul</x:v>
      </x:c>
      <x:c r="F2044" t="str">
        <x:v>Loja</x:v>
      </x:c>
      <x:c r="G2044" t="str">
        <x:v>Casa</x:v>
      </x:c>
      <x:c r="H2044" t="str">
        <x:v>Cafeteira Smart</x:v>
      </x:c>
      <x:c r="I2044" t="str">
        <x:v>Felipe</x:v>
      </x:c>
      <x:c r="J2044" s="53" t="n">
        <x:v>5</x:v>
      </x:c>
      <x:c r="K2044" s="54" t="n">
        <x:v>805.67</x:v>
      </x:c>
      <x:c r="L2044" s="54" t="n">
        <x:v>454.39</x:v>
      </x:c>
      <x:c r="M2044" s="55" t="n">
        <x:v>0</x:v>
      </x:c>
      <x:c r="N2044" s="54" t="n">
        <x:f>ROUND(J2044*K2044,2)</x:f>
        <x:v>4028.35</x:v>
      </x:c>
      <x:c r="O2044" s="54" t="n">
        <x:f>ROUND(N2044*(1-M2044),2)</x:f>
        <x:v>4028.35</x:v>
      </x:c>
      <x:c r="P2044" s="54" t="n">
        <x:f>ROUND(J2044*L2044,2)</x:f>
        <x:v>2271.95</x:v>
      </x:c>
      <x:c r="Q2044" s="54" t="n">
        <x:f>ROUND(O2044-P2044,2)</x:f>
        <x:v>1756.4</x:v>
      </x:c>
      <x:c r="R2044" s="55" t="n">
        <x:f>IF(O2044=0,0,ROUND(Q2044/O2044,4))</x:f>
        <x:v>0.436</x:v>
      </x:c>
      <x:c r="S2044" s="53" t="n">
        <x:v>4</x:v>
      </x:c>
      <x:c r="T2044" t="str">
        <x:v>Entregue</x:v>
      </x:c>
      <x:c r="U2044" t="n">
        <x:v>5</x:v>
      </x:c>
      <x:c r="V2044" t="str"/>
    </x:row>
    <x:row r="2045">
      <x:c r="A2045" s="52" t="n">
        <x:v>46037</x:v>
      </x:c>
      <x:c r="B2045" t="str">
        <x:v>PED-102044</x:v>
      </x:c>
      <x:c r="C2045" t="str">
        <x:v>Cliente 079</x:v>
      </x:c>
      <x:c r="D2045" t="str">
        <x:v>AM</x:v>
      </x:c>
      <x:c r="E2045" t="str">
        <x:v>Norte</x:v>
      </x:c>
      <x:c r="F2045" t="str">
        <x:v>E-commerce</x:v>
      </x:c>
      <x:c r="G2045" t="str">
        <x:v>Acessórios</x:v>
      </x:c>
      <x:c r="H2045" t="str">
        <x:v>Mochila Executiva</x:v>
      </x:c>
      <x:c r="I2045" t="str">
        <x:v>Carla</x:v>
      </x:c>
      <x:c r="J2045" s="53" t="n">
        <x:v>6</x:v>
      </x:c>
      <x:c r="K2045" s="54" t="n">
        <x:v>423.09</x:v>
      </x:c>
      <x:c r="L2045" s="54" t="n">
        <x:v>190.45</x:v>
      </x:c>
      <x:c r="M2045" s="55" t="n">
        <x:v>0</x:v>
      </x:c>
      <x:c r="N2045" s="54" t="n">
        <x:f>ROUND(J2045*K2045,2)</x:f>
        <x:v>2538.54</x:v>
      </x:c>
      <x:c r="O2045" s="54" t="n">
        <x:f>ROUND(N2045*(1-M2045),2)</x:f>
        <x:v>2538.54</x:v>
      </x:c>
      <x:c r="P2045" s="54" t="n">
        <x:f>ROUND(J2045*L2045,2)</x:f>
        <x:v>1142.7</x:v>
      </x:c>
      <x:c r="Q2045" s="54" t="n">
        <x:f>ROUND(O2045-P2045,2)</x:f>
        <x:v>1395.84</x:v>
      </x:c>
      <x:c r="R2045" s="55" t="n">
        <x:f>IF(O2045=0,0,ROUND(Q2045/O2045,4))</x:f>
        <x:v>0.5499</x:v>
      </x:c>
      <x:c r="S2045" s="53" t="n">
        <x:v>2</x:v>
      </x:c>
      <x:c r="T2045" t="str">
        <x:v>Entregue</x:v>
      </x:c>
      <x:c r="U2045" t="n">
        <x:v>5</x:v>
      </x:c>
      <x:c r="V2045" t="str"/>
    </x:row>
    <x:row r="2046">
      <x:c r="A2046" s="52" t="n">
        <x:v>46105</x:v>
      </x:c>
      <x:c r="B2046" t="str">
        <x:v>PED-102045</x:v>
      </x:c>
      <x:c r="C2046" t="str">
        <x:v>Cliente 084</x:v>
      </x:c>
      <x:c r="D2046" t="str">
        <x:v>MT</x:v>
      </x:c>
      <x:c r="E2046" t="str">
        <x:v>Centro-Oeste</x:v>
      </x:c>
      <x:c r="F2046" t="str">
        <x:v>Marketplace</x:v>
      </x:c>
      <x:c r="G2046" t="str">
        <x:v>Casa</x:v>
      </x:c>
      <x:c r="H2046" t="str">
        <x:v>Purificador</x:v>
      </x:c>
      <x:c r="I2046" t="str">
        <x:v>Gabriela</x:v>
      </x:c>
      <x:c r="J2046" s="53" t="n">
        <x:v>2</x:v>
      </x:c>
      <x:c r="K2046" s="54" t="n">
        <x:v>1223.6</x:v>
      </x:c>
      <x:c r="L2046" s="54" t="n">
        <x:v>786.99</x:v>
      </x:c>
      <x:c r="M2046" s="55" t="n">
        <x:v>0.0905</x:v>
      </x:c>
      <x:c r="N2046" s="54" t="n">
        <x:f>ROUND(J2046*K2046,2)</x:f>
        <x:v>2447.2</x:v>
      </x:c>
      <x:c r="O2046" s="54" t="n">
        <x:f>ROUND(N2046*(1-M2046),2)</x:f>
        <x:v>2225.73</x:v>
      </x:c>
      <x:c r="P2046" s="54" t="n">
        <x:f>ROUND(J2046*L2046,2)</x:f>
        <x:v>1573.98</x:v>
      </x:c>
      <x:c r="Q2046" s="54" t="n">
        <x:f>ROUND(O2046-P2046,2)</x:f>
        <x:v>651.75</x:v>
      </x:c>
      <x:c r="R2046" s="55" t="n">
        <x:f>IF(O2046=0,0,ROUND(Q2046/O2046,4))</x:f>
        <x:v>0.2928</x:v>
      </x:c>
      <x:c r="S2046" s="53" t="n">
        <x:v>21</x:v>
      </x:c>
      <x:c r="T2046" t="str">
        <x:v>Entregue com atraso</x:v>
      </x:c>
      <x:c r="U2046" t="n">
        <x:v>2</x:v>
      </x:c>
      <x:c r="V2046" t="str">
        <x:v>Ocorrência logística</x:v>
      </x:c>
    </x:row>
    <x:row r="2047">
      <x:c r="A2047" s="52" t="n">
        <x:v>46149</x:v>
      </x:c>
      <x:c r="B2047" t="str">
        <x:v>PED-102046</x:v>
      </x:c>
      <x:c r="C2047" t="str">
        <x:v>Cliente 095</x:v>
      </x:c>
      <x:c r="D2047" t="str">
        <x:v>MA</x:v>
      </x:c>
      <x:c r="E2047" t="str">
        <x:v>Nordeste</x:v>
      </x:c>
      <x:c r="F2047" t="str">
        <x:v>Loja</x:v>
      </x:c>
      <x:c r="G2047" t="str">
        <x:v>Escritório</x:v>
      </x:c>
      <x:c r="H2047" t="str">
        <x:v>Cadeira Ergonômica</x:v>
      </x:c>
      <x:c r="I2047" t="str">
        <x:v>Elaine</x:v>
      </x:c>
      <x:c r="J2047" s="53" t="n">
        <x:v>5</x:v>
      </x:c>
      <x:c r="K2047" s="54" t="n">
        <x:v>2315.72</x:v>
      </x:c>
      <x:c r="L2047" s="54" t="n">
        <x:v>1483.92</x:v>
      </x:c>
      <x:c r="M2047" s="55" t="n">
        <x:v>0</x:v>
      </x:c>
      <x:c r="N2047" s="54" t="n">
        <x:f>ROUND(J2047*K2047,2)</x:f>
        <x:v>11578.6</x:v>
      </x:c>
      <x:c r="O2047" s="54" t="n">
        <x:f>ROUND(N2047*(1-M2047),2)</x:f>
        <x:v>11578.6</x:v>
      </x:c>
      <x:c r="P2047" s="54" t="n">
        <x:f>ROUND(J2047*L2047,2)</x:f>
        <x:v>7419.6</x:v>
      </x:c>
      <x:c r="Q2047" s="54" t="n">
        <x:f>ROUND(O2047-P2047,2)</x:f>
        <x:v>4159</x:v>
      </x:c>
      <x:c r="R2047" s="55" t="n">
        <x:f>IF(O2047=0,0,ROUND(Q2047/O2047,4))</x:f>
        <x:v>0.3592</x:v>
      </x:c>
      <x:c r="S2047" s="53" t="n">
        <x:v>9</x:v>
      </x:c>
      <x:c r="T2047" t="str">
        <x:v>Entregue</x:v>
      </x:c>
      <x:c r="U2047" t="n">
        <x:v>3</x:v>
      </x:c>
      <x:c r="V2047" t="str"/>
    </x:row>
    <x:row r="2048">
      <x:c r="A2048" s="52" t="n">
        <x:v>46182</x:v>
      </x:c>
      <x:c r="B2048" t="str">
        <x:v>PED-102047</x:v>
      </x:c>
      <x:c r="C2048" t="str">
        <x:v>Cliente 099</x:v>
      </x:c>
      <x:c r="D2048" t="str">
        <x:v>GO</x:v>
      </x:c>
      <x:c r="E2048" t="str">
        <x:v>Centro-Oeste</x:v>
      </x:c>
      <x:c r="F2048" t="str">
        <x:v>Loja</x:v>
      </x:c>
      <x:c r="G2048" t="str">
        <x:v>Acessórios</x:v>
      </x:c>
      <x:c r="H2048" t="str">
        <x:v>Webcam HD</x:v>
      </x:c>
      <x:c r="I2048" t="str">
        <x:v>Isabela</x:v>
      </x:c>
      <x:c r="J2048" s="53" t="n">
        <x:v>5</x:v>
      </x:c>
      <x:c r="K2048" s="54" t="n">
        <x:v>525.07</x:v>
      </x:c>
      <x:c r="L2048" s="54" t="n">
        <x:v>251.66</x:v>
      </x:c>
      <x:c r="M2048" s="55" t="n">
        <x:v>0.0824</x:v>
      </x:c>
      <x:c r="N2048" s="54" t="n">
        <x:f>ROUND(J2048*K2048,2)</x:f>
        <x:v>2625.35</x:v>
      </x:c>
      <x:c r="O2048" s="54" t="n">
        <x:f>ROUND(N2048*(1-M2048),2)</x:f>
        <x:v>2409.02</x:v>
      </x:c>
      <x:c r="P2048" s="54" t="n">
        <x:f>ROUND(J2048*L2048,2)</x:f>
        <x:v>1258.3</x:v>
      </x:c>
      <x:c r="Q2048" s="54" t="n">
        <x:f>ROUND(O2048-P2048,2)</x:f>
        <x:v>1150.72</x:v>
      </x:c>
      <x:c r="R2048" s="55" t="n">
        <x:f>IF(O2048=0,0,ROUND(Q2048/O2048,4))</x:f>
        <x:v>0.4777</x:v>
      </x:c>
      <x:c r="S2048" s="53" t="n">
        <x:v>13</x:v>
      </x:c>
      <x:c r="T2048" t="str">
        <x:v>Entregue com atraso</x:v>
      </x:c>
      <x:c r="U2048" t="n">
        <x:v>4</x:v>
      </x:c>
      <x:c r="V2048" t="str"/>
    </x:row>
    <x:row r="2049">
      <x:c r="A2049" s="52" t="n">
        <x:v>46102</x:v>
      </x:c>
      <x:c r="B2049" t="str">
        <x:v>PED-102048</x:v>
      </x:c>
      <x:c r="C2049" t="str">
        <x:v>Cliente 071</x:v>
      </x:c>
      <x:c r="D2049" t="str">
        <x:v>AM</x:v>
      </x:c>
      <x:c r="E2049" t="str">
        <x:v>Norte</x:v>
      </x:c>
      <x:c r="F2049" t="str">
        <x:v>Televendas</x:v>
      </x:c>
      <x:c r="G2049" t="str">
        <x:v>Acessórios</x:v>
      </x:c>
      <x:c r="H2049" t="str">
        <x:v>Mochila Executiva</x:v>
      </x:c>
      <x:c r="I2049" t="str">
        <x:v>Felipe</x:v>
      </x:c>
      <x:c r="J2049" s="53" t="n">
        <x:v>1</x:v>
      </x:c>
      <x:c r="K2049" s="54" t="n">
        <x:v>423.48</x:v>
      </x:c>
      <x:c r="L2049" s="54" t="n">
        <x:v>192.27</x:v>
      </x:c>
      <x:c r="M2049" s="55" t="n">
        <x:v>0.121</x:v>
      </x:c>
      <x:c r="N2049" s="54" t="n">
        <x:f>ROUND(J2049*K2049,2)</x:f>
        <x:v>423.48</x:v>
      </x:c>
      <x:c r="O2049" s="54" t="n">
        <x:f>ROUND(N2049*(1-M2049),2)</x:f>
        <x:v>372.24</x:v>
      </x:c>
      <x:c r="P2049" s="54" t="n">
        <x:f>ROUND(J2049*L2049,2)</x:f>
        <x:v>192.27</x:v>
      </x:c>
      <x:c r="Q2049" s="54" t="n">
        <x:f>ROUND(O2049-P2049,2)</x:f>
        <x:v>179.97</x:v>
      </x:c>
      <x:c r="R2049" s="55" t="n">
        <x:f>IF(O2049=0,0,ROUND(Q2049/O2049,4))</x:f>
        <x:v>0.4835</x:v>
      </x:c>
      <x:c r="S2049" s="53" t="n">
        <x:v>14</x:v>
      </x:c>
      <x:c r="T2049" t="str">
        <x:v>Entregue com atraso</x:v>
      </x:c>
      <x:c r="U2049" t="n">
        <x:v>2</x:v>
      </x:c>
      <x:c r="V2049" t="str"/>
    </x:row>
    <x:row r="2050">
      <x:c r="A2050" s="52" t="n">
        <x:v>46159</x:v>
      </x:c>
      <x:c r="B2050" t="str">
        <x:v>PED-102049</x:v>
      </x:c>
      <x:c r="C2050" t="str">
        <x:v>Cliente 060</x:v>
      </x:c>
      <x:c r="D2050" t="str">
        <x:v>PA</x:v>
      </x:c>
      <x:c r="E2050" t="str">
        <x:v>Norte</x:v>
      </x:c>
      <x:c r="F2050" t="str">
        <x:v>Televendas</x:v>
      </x:c>
      <x:c r="G2050" t="str">
        <x:v>Acessórios</x:v>
      </x:c>
      <x:c r="H2050" t="str">
        <x:v>Webcam HD</x:v>
      </x:c>
      <x:c r="I2050" t="str">
        <x:v>João</x:v>
      </x:c>
      <x:c r="J2050" s="53" t="n">
        <x:v>7</x:v>
      </x:c>
      <x:c r="K2050" s="54" t="n">
        <x:v>489.57</x:v>
      </x:c>
      <x:c r="L2050" s="54" t="n">
        <x:v>247.75</x:v>
      </x:c>
      <x:c r="M2050" s="55" t="n">
        <x:v>0.0805</x:v>
      </x:c>
      <x:c r="N2050" s="54" t="n">
        <x:f>ROUND(J2050*K2050,2)</x:f>
        <x:v>3426.99</x:v>
      </x:c>
      <x:c r="O2050" s="54" t="n">
        <x:f>ROUND(N2050*(1-M2050),2)</x:f>
        <x:v>3151.12</x:v>
      </x:c>
      <x:c r="P2050" s="54" t="n">
        <x:f>ROUND(J2050*L2050,2)</x:f>
        <x:v>1734.25</x:v>
      </x:c>
      <x:c r="Q2050" s="54" t="n">
        <x:f>ROUND(O2050-P2050,2)</x:f>
        <x:v>1416.87</x:v>
      </x:c>
      <x:c r="R2050" s="55" t="n">
        <x:f>IF(O2050=0,0,ROUND(Q2050/O2050,4))</x:f>
        <x:v>0.4496</x:v>
      </x:c>
      <x:c r="S2050" s="53" t="n">
        <x:v>5</x:v>
      </x:c>
      <x:c r="T2050" t="str">
        <x:v>Entregue</x:v>
      </x:c>
      <x:c r="U2050" t="n">
        <x:v>4</x:v>
      </x:c>
      <x:c r="V2050" t="str"/>
    </x:row>
    <x:row r="2051">
      <x:c r="A2051" s="52" t="n">
        <x:v>46112</x:v>
      </x:c>
      <x:c r="B2051" t="str">
        <x:v>PED-102050</x:v>
      </x:c>
      <x:c r="C2051" t="str">
        <x:v>Cliente 060</x:v>
      </x:c>
      <x:c r="D2051" t="str">
        <x:v>DF</x:v>
      </x:c>
      <x:c r="E2051" t="str">
        <x:v>Centro-Oeste</x:v>
      </x:c>
      <x:c r="F2051" t="str">
        <x:v>Televendas</x:v>
      </x:c>
      <x:c r="G2051" t="str">
        <x:v>Escritório</x:v>
      </x:c>
      <x:c r="H2051" t="str">
        <x:v>Cadeira Ergonômica</x:v>
      </x:c>
      <x:c r="I2051" t="str">
        <x:v>Carla</x:v>
      </x:c>
      <x:c r="J2051" s="53" t="n">
        <x:v>2</x:v>
      </x:c>
      <x:c r="K2051" s="54" t="n">
        <x:v>2191.11</x:v>
      </x:c>
      <x:c r="L2051" s="54" t="n">
        <x:v>1404.26</x:v>
      </x:c>
      <x:c r="M2051" s="55" t="n">
        <x:v>0.0456</x:v>
      </x:c>
      <x:c r="N2051" s="54" t="n">
        <x:f>ROUND(J2051*K2051,2)</x:f>
        <x:v>4382.22</x:v>
      </x:c>
      <x:c r="O2051" s="54" t="n">
        <x:f>ROUND(N2051*(1-M2051),2)</x:f>
        <x:v>4182.39</x:v>
      </x:c>
      <x:c r="P2051" s="54" t="n">
        <x:f>ROUND(J2051*L2051,2)</x:f>
        <x:v>2808.52</x:v>
      </x:c>
      <x:c r="Q2051" s="54" t="n">
        <x:f>ROUND(O2051-P2051,2)</x:f>
        <x:v>1373.87</x:v>
      </x:c>
      <x:c r="R2051" s="55" t="n">
        <x:f>IF(O2051=0,0,ROUND(Q2051/O2051,4))</x:f>
        <x:v>0.3285</x:v>
      </x:c>
      <x:c r="S2051" s="53" t="n">
        <x:v>10</x:v>
      </x:c>
      <x:c r="T2051" t="str">
        <x:v>Entregue</x:v>
      </x:c>
      <x:c r="U2051" t="n">
        <x:v>4</x:v>
      </x:c>
      <x:c r="V2051" t="str"/>
    </x:row>
    <x:row r="2052">
      <x:c r="A2052" s="52" t="n">
        <x:v>46198</x:v>
      </x:c>
      <x:c r="B2052" t="str">
        <x:v>PED-102051</x:v>
      </x:c>
      <x:c r="C2052" t="str">
        <x:v>Cliente 061</x:v>
      </x:c>
      <x:c r="D2052" t="str">
        <x:v>GO</x:v>
      </x:c>
      <x:c r="E2052" t="str">
        <x:v>Centro-Oeste</x:v>
      </x:c>
      <x:c r="F2052" t="str">
        <x:v>Marketplace</x:v>
      </x:c>
      <x:c r="G2052" t="str">
        <x:v>Tecnologia</x:v>
      </x:c>
      <x:c r="H2052" t="str">
        <x:v>Headset Office</x:v>
      </x:c>
      <x:c r="I2052" t="str">
        <x:v>Ana</x:v>
      </x:c>
      <x:c r="J2052" s="53" t="n">
        <x:v>2</x:v>
      </x:c>
      <x:c r="K2052" s="54" t="n">
        <x:v>406.66</x:v>
      </x:c>
      <x:c r="L2052" s="54" t="n">
        <x:v>219.97</x:v>
      </x:c>
      <x:c r="M2052" s="55" t="n">
        <x:v>0.0527</x:v>
      </x:c>
      <x:c r="N2052" s="54" t="n">
        <x:f>ROUND(J2052*K2052,2)</x:f>
        <x:v>813.32</x:v>
      </x:c>
      <x:c r="O2052" s="54" t="n">
        <x:f>ROUND(N2052*(1-M2052),2)</x:f>
        <x:v>770.46</x:v>
      </x:c>
      <x:c r="P2052" s="54" t="n">
        <x:f>ROUND(J2052*L2052,2)</x:f>
        <x:v>439.94</x:v>
      </x:c>
      <x:c r="Q2052" s="54" t="n">
        <x:f>ROUND(O2052-P2052,2)</x:f>
        <x:v>330.52</x:v>
      </x:c>
      <x:c r="R2052" s="55" t="n">
        <x:f>IF(O2052=0,0,ROUND(Q2052/O2052,4))</x:f>
        <x:v>0.429</x:v>
      </x:c>
      <x:c r="S2052" s="53" t="n">
        <x:v>10</x:v>
      </x:c>
      <x:c r="T2052" t="str">
        <x:v>Entregue</x:v>
      </x:c>
      <x:c r="U2052" t="n">
        <x:v>5</x:v>
      </x:c>
      <x:c r="V2052" t="str"/>
    </x:row>
    <x:row r="2053">
      <x:c r="A2053" s="52" t="n">
        <x:v>46216</x:v>
      </x:c>
      <x:c r="B2053" t="str">
        <x:v>PED-102052</x:v>
      </x:c>
      <x:c r="C2053" t="str">
        <x:v>Cliente 020</x:v>
      </x:c>
      <x:c r="D2053" t="str">
        <x:v>PA</x:v>
      </x:c>
      <x:c r="E2053" t="str">
        <x:v>Norte</x:v>
      </x:c>
      <x:c r="F2053" t="str">
        <x:v>Marketplace</x:v>
      </x:c>
      <x:c r="G2053" t="str">
        <x:v>Acessórios</x:v>
      </x:c>
      <x:c r="H2053" t="str">
        <x:v>Webcam HD</x:v>
      </x:c>
      <x:c r="I2053" t="str">
        <x:v>Diego</x:v>
      </x:c>
      <x:c r="J2053" s="53" t="n">
        <x:v>4</x:v>
      </x:c>
      <x:c r="K2053" s="54" t="n">
        <x:v>499.43</x:v>
      </x:c>
      <x:c r="L2053" s="54" t="n">
        <x:v>253.24</x:v>
      </x:c>
      <x:c r="M2053" s="55" t="n">
        <x:v>0.035</x:v>
      </x:c>
      <x:c r="N2053" s="54" t="n">
        <x:f>ROUND(J2053*K2053,2)</x:f>
        <x:v>1997.72</x:v>
      </x:c>
      <x:c r="O2053" s="54" t="n">
        <x:f>ROUND(N2053*(1-M2053),2)</x:f>
        <x:v>1927.8</x:v>
      </x:c>
      <x:c r="P2053" s="54" t="n">
        <x:f>ROUND(J2053*L2053,2)</x:f>
        <x:v>1012.96</x:v>
      </x:c>
      <x:c r="Q2053" s="54" t="n">
        <x:f>ROUND(O2053-P2053,2)</x:f>
        <x:v>914.84</x:v>
      </x:c>
      <x:c r="R2053" s="55" t="n">
        <x:f>IF(O2053=0,0,ROUND(Q2053/O2053,4))</x:f>
        <x:v>0.4746</x:v>
      </x:c>
      <x:c r="S2053" s="53" t="n">
        <x:v>14</x:v>
      </x:c>
      <x:c r="T2053" t="str">
        <x:v>Entregue com atraso</x:v>
      </x:c>
      <x:c r="U2053" t="n">
        <x:v>2</x:v>
      </x:c>
      <x:c r="V2053" t="str"/>
    </x:row>
    <x:row r="2054">
      <x:c r="A2054" s="52" t="n">
        <x:v>46069</x:v>
      </x:c>
      <x:c r="B2054" t="str">
        <x:v>PED-102053</x:v>
      </x:c>
      <x:c r="C2054" t="str">
        <x:v>Cliente 097</x:v>
      </x:c>
      <x:c r="D2054" t="str">
        <x:v>MT</x:v>
      </x:c>
      <x:c r="E2054" t="str">
        <x:v>Centro-Oeste</x:v>
      </x:c>
      <x:c r="F2054" t="str">
        <x:v>Marketplace</x:v>
      </x:c>
      <x:c r="G2054" t="str">
        <x:v>Acessórios</x:v>
      </x:c>
      <x:c r="H2054" t="str">
        <x:v>Mochila Executiva</x:v>
      </x:c>
      <x:c r="I2054" t="str">
        <x:v>Ana</x:v>
      </x:c>
      <x:c r="J2054" s="53" t="n">
        <x:v>3</x:v>
      </x:c>
      <x:c r="K2054" s="54" t="n">
        <x:v>440.99</x:v>
      </x:c>
      <x:c r="L2054" s="54" t="n">
        <x:v>189.22</x:v>
      </x:c>
      <x:c r="M2054" s="55" t="n">
        <x:v>0.035</x:v>
      </x:c>
      <x:c r="N2054" s="54" t="n">
        <x:f>ROUND(J2054*K2054,2)</x:f>
        <x:v>1322.97</x:v>
      </x:c>
      <x:c r="O2054" s="54" t="n">
        <x:f>ROUND(N2054*(1-M2054),2)</x:f>
        <x:v>1276.67</x:v>
      </x:c>
      <x:c r="P2054" s="54" t="n">
        <x:f>ROUND(J2054*L2054,2)</x:f>
        <x:v>567.66</x:v>
      </x:c>
      <x:c r="Q2054" s="54" t="n">
        <x:f>ROUND(O2054-P2054,2)</x:f>
        <x:v>709.01</x:v>
      </x:c>
      <x:c r="R2054" s="55" t="n">
        <x:f>IF(O2054=0,0,ROUND(Q2054/O2054,4))</x:f>
        <x:v>0.5554</x:v>
      </x:c>
      <x:c r="S2054" s="53" t="n">
        <x:v>4</x:v>
      </x:c>
      <x:c r="T2054" t="str">
        <x:v>Entregue</x:v>
      </x:c>
      <x:c r="U2054" t="n">
        <x:v>5</x:v>
      </x:c>
      <x:c r="V2054" t="str"/>
    </x:row>
    <x:row r="2055">
      <x:c r="A2055" s="52" t="n">
        <x:v>46155</x:v>
      </x:c>
      <x:c r="B2055" t="str">
        <x:v>PED-102054</x:v>
      </x:c>
      <x:c r="C2055" t="str">
        <x:v>Cliente 062</x:v>
      </x:c>
      <x:c r="D2055" t="str">
        <x:v>PE</x:v>
      </x:c>
      <x:c r="E2055" t="str">
        <x:v>Nordeste</x:v>
      </x:c>
      <x:c r="F2055" t="str">
        <x:v>Televendas</x:v>
      </x:c>
      <x:c r="G2055" t="str">
        <x:v>Casa</x:v>
      </x:c>
      <x:c r="H2055" t="str">
        <x:v>Aspirador Robô</x:v>
      </x:c>
      <x:c r="I2055" t="str">
        <x:v>Isabela</x:v>
      </x:c>
      <x:c r="J2055" s="53" t="n">
        <x:v>8</x:v>
      </x:c>
      <x:c r="K2055" s="54" t="n">
        <x:v>1964.63</x:v>
      </x:c>
      <x:c r="L2055" s="54" t="n">
        <x:v>1257.14</x:v>
      </x:c>
      <x:c r="M2055" s="55" t="n">
        <x:v>0</x:v>
      </x:c>
      <x:c r="N2055" s="54" t="n">
        <x:f>ROUND(J2055*K2055,2)</x:f>
        <x:v>15717.04</x:v>
      </x:c>
      <x:c r="O2055" s="54" t="n">
        <x:f>ROUND(N2055*(1-M2055),2)</x:f>
        <x:v>15717.04</x:v>
      </x:c>
      <x:c r="P2055" s="54" t="n">
        <x:f>ROUND(J2055*L2055,2)</x:f>
        <x:v>10057.12</x:v>
      </x:c>
      <x:c r="Q2055" s="54" t="n">
        <x:f>ROUND(O2055-P2055,2)</x:f>
        <x:v>5659.92</x:v>
      </x:c>
      <x:c r="R2055" s="55" t="n">
        <x:f>IF(O2055=0,0,ROUND(Q2055/O2055,4))</x:f>
        <x:v>0.3601</x:v>
      </x:c>
      <x:c r="S2055" s="53" t="n">
        <x:v>13</x:v>
      </x:c>
      <x:c r="T2055" t="str">
        <x:v>Entregue com atraso</x:v>
      </x:c>
      <x:c r="U2055" t="n">
        <x:v>3</x:v>
      </x:c>
      <x:c r="V2055" t="str"/>
    </x:row>
    <x:row r="2056">
      <x:c r="A2056" s="52" t="n">
        <x:v>46103</x:v>
      </x:c>
      <x:c r="B2056" t="str">
        <x:v>PED-102055</x:v>
      </x:c>
      <x:c r="C2056" t="str">
        <x:v>Cliente 049</x:v>
      </x:c>
      <x:c r="D2056" t="str">
        <x:v>MG</x:v>
      </x:c>
      <x:c r="E2056" t="str">
        <x:v>Sudeste</x:v>
      </x:c>
      <x:c r="F2056" t="str">
        <x:v>E-commerce</x:v>
      </x:c>
      <x:c r="G2056" t="str">
        <x:v>Acessórios</x:v>
      </x:c>
      <x:c r="H2056" t="str">
        <x:v>Hub USB-C</x:v>
      </x:c>
      <x:c r="I2056" t="str">
        <x:v>Bruno</x:v>
      </x:c>
      <x:c r="J2056" s="53" t="n">
        <x:v>2</x:v>
      </x:c>
      <x:c r="K2056" s="54" t="n">
        <x:v>306.5</x:v>
      </x:c>
      <x:c r="L2056" s="54" t="n">
        <x:v>136.33</x:v>
      </x:c>
      <x:c r="M2056" s="55" t="n">
        <x:v>0.0702</x:v>
      </x:c>
      <x:c r="N2056" s="54" t="n">
        <x:f>ROUND(J2056*K2056,2)</x:f>
        <x:v>613</x:v>
      </x:c>
      <x:c r="O2056" s="54" t="n">
        <x:f>ROUND(N2056*(1-M2056),2)</x:f>
        <x:v>569.97</x:v>
      </x:c>
      <x:c r="P2056" s="54" t="n">
        <x:f>ROUND(J2056*L2056,2)</x:f>
        <x:v>272.66</x:v>
      </x:c>
      <x:c r="Q2056" s="54" t="n">
        <x:f>ROUND(O2056-P2056,2)</x:f>
        <x:v>297.31</x:v>
      </x:c>
      <x:c r="R2056" s="55" t="n">
        <x:f>IF(O2056=0,0,ROUND(Q2056/O2056,4))</x:f>
        <x:v>0.5216</x:v>
      </x:c>
      <x:c r="S2056" s="53" t="n">
        <x:v>13</x:v>
      </x:c>
      <x:c r="T2056" t="str">
        <x:v>Entregue com atraso</x:v>
      </x:c>
      <x:c r="U2056" t="n">
        <x:v>4</x:v>
      </x:c>
      <x:c r="V2056" t="str"/>
    </x:row>
    <x:row r="2057">
      <x:c r="A2057" s="52" t="n">
        <x:v>46175</x:v>
      </x:c>
      <x:c r="B2057" t="str">
        <x:v>PED-102056</x:v>
      </x:c>
      <x:c r="C2057" t="str">
        <x:v>Cliente 050</x:v>
      </x:c>
      <x:c r="D2057" t="str">
        <x:v>RJ</x:v>
      </x:c>
      <x:c r="E2057" t="str">
        <x:v>Sudeste</x:v>
      </x:c>
      <x:c r="F2057" t="str">
        <x:v>Loja</x:v>
      </x:c>
      <x:c r="G2057" t="str">
        <x:v>Tecnologia</x:v>
      </x:c>
      <x:c r="H2057" t="str">
        <x:v>Monitor 27</x:v>
      </x:c>
      <x:c r="I2057" t="str">
        <x:v>Elaine</x:v>
      </x:c>
      <x:c r="J2057" s="53" t="n">
        <x:v>1</x:v>
      </x:c>
      <x:c r="K2057" s="54" t="n">
        <x:v>1729.15</x:v>
      </x:c>
      <x:c r="L2057" s="54" t="n">
        <x:v>1116.56</x:v>
      </x:c>
      <x:c r="M2057" s="55" t="n">
        <x:v>0.0755</x:v>
      </x:c>
      <x:c r="N2057" s="54" t="n">
        <x:f>ROUND(J2057*K2057,2)</x:f>
        <x:v>1729.15</x:v>
      </x:c>
      <x:c r="O2057" s="54" t="n">
        <x:f>ROUND(N2057*(1-M2057),2)</x:f>
        <x:v>1598.6</x:v>
      </x:c>
      <x:c r="P2057" s="54" t="n">
        <x:f>ROUND(J2057*L2057,2)</x:f>
        <x:v>1116.56</x:v>
      </x:c>
      <x:c r="Q2057" s="54" t="n">
        <x:f>ROUND(O2057-P2057,2)</x:f>
        <x:v>482.04</x:v>
      </x:c>
      <x:c r="R2057" s="55" t="n">
        <x:f>IF(O2057=0,0,ROUND(Q2057/O2057,4))</x:f>
        <x:v>0.3015</x:v>
      </x:c>
      <x:c r="S2057" s="53" t="n">
        <x:v>10</x:v>
      </x:c>
      <x:c r="T2057" t="str">
        <x:v>Entregue</x:v>
      </x:c>
      <x:c r="U2057" t="n">
        <x:v>2</x:v>
      </x:c>
      <x:c r="V2057" t="str"/>
    </x:row>
    <x:row r="2058">
      <x:c r="A2058" s="52" t="n">
        <x:v>46181</x:v>
      </x:c>
      <x:c r="B2058" t="str">
        <x:v>PED-102057</x:v>
      </x:c>
      <x:c r="C2058" t="str">
        <x:v>Cliente 010</x:v>
      </x:c>
      <x:c r="D2058" t="str">
        <x:v>AM</x:v>
      </x:c>
      <x:c r="E2058" t="str">
        <x:v>Norte</x:v>
      </x:c>
      <x:c r="F2058" t="str">
        <x:v>Marketplace</x:v>
      </x:c>
      <x:c r="G2058" t="str">
        <x:v>Acessórios</x:v>
      </x:c>
      <x:c r="H2058" t="str">
        <x:v>Webcam HD</x:v>
      </x:c>
      <x:c r="I2058" t="str">
        <x:v>Henrique</x:v>
      </x:c>
      <x:c r="J2058" s="53" t="n">
        <x:v>8</x:v>
      </x:c>
      <x:c r="K2058" s="54" t="n">
        <x:v>521.88</x:v>
      </x:c>
      <x:c r="L2058" s="54" t="n">
        <x:v>257.02</x:v>
      </x:c>
      <x:c r="M2058" s="55" t="n">
        <x:v>0.1443</x:v>
      </x:c>
      <x:c r="N2058" s="54" t="n">
        <x:f>ROUND(J2058*K2058,2)</x:f>
        <x:v>4175.04</x:v>
      </x:c>
      <x:c r="O2058" s="54" t="n">
        <x:f>ROUND(N2058*(1-M2058),2)</x:f>
        <x:v>3572.58</x:v>
      </x:c>
      <x:c r="P2058" s="54" t="n">
        <x:f>ROUND(J2058*L2058,2)</x:f>
        <x:v>2056.16</x:v>
      </x:c>
      <x:c r="Q2058" s="54" t="n">
        <x:f>ROUND(O2058-P2058,2)</x:f>
        <x:v>1516.42</x:v>
      </x:c>
      <x:c r="R2058" s="55" t="n">
        <x:f>IF(O2058=0,0,ROUND(Q2058/O2058,4))</x:f>
        <x:v>0.4245</x:v>
      </x:c>
      <x:c r="S2058" s="53" t="n">
        <x:v>14</x:v>
      </x:c>
      <x:c r="T2058" t="str">
        <x:v>Entregue com atraso</x:v>
      </x:c>
      <x:c r="U2058" t="n">
        <x:v>3</x:v>
      </x:c>
      <x:c r="V2058" t="str"/>
    </x:row>
    <x:row r="2059">
      <x:c r="A2059" s="52" t="n">
        <x:v>46163</x:v>
      </x:c>
      <x:c r="B2059" t="str">
        <x:v>PED-102058</x:v>
      </x:c>
      <x:c r="C2059" t="str">
        <x:v>Cliente 015</x:v>
      </x:c>
      <x:c r="D2059" t="str">
        <x:v>RJ</x:v>
      </x:c>
      <x:c r="E2059" t="str">
        <x:v>Sudeste</x:v>
      </x:c>
      <x:c r="F2059" t="str">
        <x:v>E-commerce</x:v>
      </x:c>
      <x:c r="G2059" t="str">
        <x:v>Tecnologia</x:v>
      </x:c>
      <x:c r="H2059" t="str">
        <x:v>Notebook Pro</x:v>
      </x:c>
      <x:c r="I2059" t="str">
        <x:v>Henrique</x:v>
      </x:c>
      <x:c r="J2059" s="53" t="n">
        <x:v>4</x:v>
      </x:c>
      <x:c r="K2059" s="54" t="n">
        <x:v>6131.77</x:v>
      </x:c>
      <x:c r="L2059" s="54" t="n">
        <x:v>4483.9</x:v>
      </x:c>
      <x:c r="M2059" s="55" t="n">
        <x:v>0</x:v>
      </x:c>
      <x:c r="N2059" s="54" t="n">
        <x:f>ROUND(J2059*K2059,2)</x:f>
        <x:v>24527.08</x:v>
      </x:c>
      <x:c r="O2059" s="54" t="n">
        <x:f>ROUND(N2059*(1-M2059),2)</x:f>
        <x:v>24527.08</x:v>
      </x:c>
      <x:c r="P2059" s="54" t="n">
        <x:f>ROUND(J2059*L2059,2)</x:f>
        <x:v>17935.6</x:v>
      </x:c>
      <x:c r="Q2059" s="54" t="n">
        <x:f>ROUND(O2059-P2059,2)</x:f>
        <x:v>6591.48</x:v>
      </x:c>
      <x:c r="R2059" s="55" t="n">
        <x:f>IF(O2059=0,0,ROUND(Q2059/O2059,4))</x:f>
        <x:v>0.2687</x:v>
      </x:c>
      <x:c r="S2059" s="53" t="n">
        <x:v>6</x:v>
      </x:c>
      <x:c r="T2059" t="str">
        <x:v>Entregue</x:v>
      </x:c>
      <x:c r="U2059" t="n">
        <x:v>3</x:v>
      </x:c>
      <x:c r="V2059" t="str"/>
    </x:row>
    <x:row r="2060">
      <x:c r="A2060" s="52" t="n">
        <x:v>46086</x:v>
      </x:c>
      <x:c r="B2060" t="str">
        <x:v>PED-102059</x:v>
      </x:c>
      <x:c r="C2060" t="str">
        <x:v>Cliente 100</x:v>
      </x:c>
      <x:c r="D2060" t="str">
        <x:v>PA</x:v>
      </x:c>
      <x:c r="E2060" t="str">
        <x:v>Norte</x:v>
      </x:c>
      <x:c r="F2060" t="str">
        <x:v>Televendas</x:v>
      </x:c>
      <x:c r="G2060" t="str">
        <x:v>Casa</x:v>
      </x:c>
      <x:c r="H2060" t="str">
        <x:v>Purificador</x:v>
      </x:c>
      <x:c r="I2060" t="str">
        <x:v>Carla</x:v>
      </x:c>
      <x:c r="J2060" s="53" t="n">
        <x:v>4</x:v>
      </x:c>
      <x:c r="K2060" s="54" t="n">
        <x:v>1249.51</x:v>
      </x:c>
      <x:c r="L2060" s="54" t="n">
        <x:v>769.02</x:v>
      </x:c>
      <x:c r="M2060" s="55" t="n">
        <x:v>0.0371</x:v>
      </x:c>
      <x:c r="N2060" s="54" t="n">
        <x:f>ROUND(J2060*K2060,2)</x:f>
        <x:v>4998.04</x:v>
      </x:c>
      <x:c r="O2060" s="54" t="n">
        <x:f>ROUND(N2060*(1-M2060),2)</x:f>
        <x:v>4812.61</x:v>
      </x:c>
      <x:c r="P2060" s="54" t="n">
        <x:f>ROUND(J2060*L2060,2)</x:f>
        <x:v>3076.08</x:v>
      </x:c>
      <x:c r="Q2060" s="54" t="n">
        <x:f>ROUND(O2060-P2060,2)</x:f>
        <x:v>1736.53</x:v>
      </x:c>
      <x:c r="R2060" s="55" t="n">
        <x:f>IF(O2060=0,0,ROUND(Q2060/O2060,4))</x:f>
        <x:v>0.3608</x:v>
      </x:c>
      <x:c r="S2060" s="53" t="n">
        <x:v>3</x:v>
      </x:c>
      <x:c r="T2060" t="str">
        <x:v>Entregue</x:v>
      </x:c>
      <x:c r="U2060" t="n">
        <x:v>2</x:v>
      </x:c>
      <x:c r="V2060" t="str"/>
    </x:row>
    <x:row r="2061">
      <x:c r="A2061" s="52" t="n">
        <x:v>46188</x:v>
      </x:c>
      <x:c r="B2061" t="str">
        <x:v>PED-102060</x:v>
      </x:c>
      <x:c r="C2061" t="str">
        <x:v>Cliente 014</x:v>
      </x:c>
      <x:c r="D2061" t="str">
        <x:v>GO</x:v>
      </x:c>
      <x:c r="E2061" t="str">
        <x:v>Centro-Oeste</x:v>
      </x:c>
      <x:c r="F2061" t="str">
        <x:v>Loja</x:v>
      </x:c>
      <x:c r="G2061" t="str">
        <x:v>Casa</x:v>
      </x:c>
      <x:c r="H2061" t="str">
        <x:v>Cafeteira Smart</x:v>
      </x:c>
      <x:c r="I2061" t="str">
        <x:v>Bruno</x:v>
      </x:c>
      <x:c r="J2061" s="53" t="n">
        <x:v>7</x:v>
      </x:c>
      <x:c r="K2061" s="54" t="n">
        <x:v>802.08</x:v>
      </x:c>
      <x:c r="L2061" s="54" t="n">
        <x:v>454.9</x:v>
      </x:c>
      <x:c r="M2061" s="55" t="n">
        <x:v>0</x:v>
      </x:c>
      <x:c r="N2061" s="54" t="n">
        <x:f>ROUND(J2061*K2061,2)</x:f>
        <x:v>5614.56</x:v>
      </x:c>
      <x:c r="O2061" s="54" t="n">
        <x:f>ROUND(N2061*(1-M2061),2)</x:f>
        <x:v>5614.56</x:v>
      </x:c>
      <x:c r="P2061" s="54" t="n">
        <x:f>ROUND(J2061*L2061,2)</x:f>
        <x:v>3184.3</x:v>
      </x:c>
      <x:c r="Q2061" s="54" t="n">
        <x:f>ROUND(O2061-P2061,2)</x:f>
        <x:v>2430.26</x:v>
      </x:c>
      <x:c r="R2061" s="55" t="n">
        <x:f>IF(O2061=0,0,ROUND(Q2061/O2061,4))</x:f>
        <x:v>0.4328</x:v>
      </x:c>
      <x:c r="S2061" s="53" t="n">
        <x:v>6</x:v>
      </x:c>
      <x:c r="T2061" t="str">
        <x:v>Cancelado</x:v>
      </x:c>
      <x:c r="U2061"/>
      <x:c r="V2061" t="str"/>
    </x:row>
    <x:row r="2062">
      <x:c r="A2062" s="52" t="n">
        <x:v>46050</x:v>
      </x:c>
      <x:c r="B2062" t="str">
        <x:v>PED-102061</x:v>
      </x:c>
      <x:c r="C2062" t="str">
        <x:v>Cliente 114</x:v>
      </x:c>
      <x:c r="D2062" t="str">
        <x:v>PE</x:v>
      </x:c>
      <x:c r="E2062" t="str">
        <x:v>Nordeste</x:v>
      </x:c>
      <x:c r="F2062" t="str">
        <x:v>Televendas</x:v>
      </x:c>
      <x:c r="G2062" t="str">
        <x:v>Tecnologia</x:v>
      </x:c>
      <x:c r="H2062" t="str">
        <x:v>Monitor 27</x:v>
      </x:c>
      <x:c r="I2062" t="str">
        <x:v>Carla</x:v>
      </x:c>
      <x:c r="J2062" s="53" t="n">
        <x:v>3</x:v>
      </x:c>
      <x:c r="K2062" s="54" t="n">
        <x:v>1692.88</x:v>
      </x:c>
      <x:c r="L2062" s="54" t="n">
        <x:v>1166.39</x:v>
      </x:c>
      <x:c r="M2062" s="55" t="n">
        <x:v>0.112</x:v>
      </x:c>
      <x:c r="N2062" s="54" t="n">
        <x:f>ROUND(J2062*K2062,2)</x:f>
        <x:v>5078.64</x:v>
      </x:c>
      <x:c r="O2062" s="54" t="n">
        <x:f>ROUND(N2062*(1-M2062),2)</x:f>
        <x:v>4509.83</x:v>
      </x:c>
      <x:c r="P2062" s="54" t="n">
        <x:f>ROUND(J2062*L2062,2)</x:f>
        <x:v>3499.17</x:v>
      </x:c>
      <x:c r="Q2062" s="54" t="n">
        <x:f>ROUND(O2062-P2062,2)</x:f>
        <x:v>1010.66</x:v>
      </x:c>
      <x:c r="R2062" s="55" t="n">
        <x:f>IF(O2062=0,0,ROUND(Q2062/O2062,4))</x:f>
        <x:v>0.2241</x:v>
      </x:c>
      <x:c r="S2062" s="53" t="n">
        <x:v>11</x:v>
      </x:c>
      <x:c r="T2062" t="str">
        <x:v>Entregue com atraso</x:v>
      </x:c>
      <x:c r="U2062" t="n">
        <x:v>3</x:v>
      </x:c>
      <x:c r="V2062" t="str"/>
    </x:row>
    <x:row r="2063">
      <x:c r="A2063" s="52" t="n">
        <x:v>46047</x:v>
      </x:c>
      <x:c r="B2063" t="str">
        <x:v>PED-102062</x:v>
      </x:c>
      <x:c r="C2063" t="str">
        <x:v>Cliente 107</x:v>
      </x:c>
      <x:c r="D2063" t="str">
        <x:v>AM</x:v>
      </x:c>
      <x:c r="E2063" t="str">
        <x:v>Norte</x:v>
      </x:c>
      <x:c r="F2063" t="str">
        <x:v>Loja</x:v>
      </x:c>
      <x:c r="G2063" t="str">
        <x:v>Casa</x:v>
      </x:c>
      <x:c r="H2063" t="str">
        <x:v>Purificador</x:v>
      </x:c>
      <x:c r="I2063" t="str">
        <x:v>Gabriela</x:v>
      </x:c>
      <x:c r="J2063" s="53" t="n">
        <x:v>6</x:v>
      </x:c>
      <x:c r="K2063" s="54" t="n">
        <x:v>1239.03</x:v>
      </x:c>
      <x:c r="L2063" s="54" t="n">
        <x:v>830.05</x:v>
      </x:c>
      <x:c r="M2063" s="55" t="n">
        <x:v>0</x:v>
      </x:c>
      <x:c r="N2063" s="54" t="n">
        <x:f>ROUND(J2063*K2063,2)</x:f>
        <x:v>7434.18</x:v>
      </x:c>
      <x:c r="O2063" s="54" t="n">
        <x:f>ROUND(N2063*(1-M2063),2)</x:f>
        <x:v>7434.18</x:v>
      </x:c>
      <x:c r="P2063" s="54" t="n">
        <x:f>ROUND(J2063*L2063,2)</x:f>
        <x:v>4980.3</x:v>
      </x:c>
      <x:c r="Q2063" s="54" t="n">
        <x:f>ROUND(O2063-P2063,2)</x:f>
        <x:v>2453.88</x:v>
      </x:c>
      <x:c r="R2063" s="55" t="n">
        <x:f>IF(O2063=0,0,ROUND(Q2063/O2063,4))</x:f>
        <x:v>0.3301</x:v>
      </x:c>
      <x:c r="S2063" s="53" t="n">
        <x:v>10</x:v>
      </x:c>
      <x:c r="T2063" t="str">
        <x:v>Entregue</x:v>
      </x:c>
      <x:c r="U2063" t="n">
        <x:v>3</x:v>
      </x:c>
      <x:c r="V2063" t="str"/>
    </x:row>
    <x:row r="2064">
      <x:c r="A2064" s="52" t="n">
        <x:v>46167</x:v>
      </x:c>
      <x:c r="B2064" t="str">
        <x:v>PED-102063</x:v>
      </x:c>
      <x:c r="C2064" t="str">
        <x:v>Cliente 011</x:v>
      </x:c>
      <x:c r="D2064" t="str">
        <x:v>CE</x:v>
      </x:c>
      <x:c r="E2064" t="str">
        <x:v>Nordeste</x:v>
      </x:c>
      <x:c r="F2064" t="str">
        <x:v>E-commerce</x:v>
      </x:c>
      <x:c r="G2064" t="str">
        <x:v>Casa</x:v>
      </x:c>
      <x:c r="H2064" t="str">
        <x:v>Aspirador Robô</x:v>
      </x:c>
      <x:c r="I2064" t="str">
        <x:v>Elaine</x:v>
      </x:c>
      <x:c r="J2064" s="53" t="n">
        <x:v>3</x:v>
      </x:c>
      <x:c r="K2064" s="54" t="n">
        <x:v>1850.55</x:v>
      </x:c>
      <x:c r="L2064" s="54" t="n">
        <x:v>1275.77</x:v>
      </x:c>
      <x:c r="M2064" s="55" t="n">
        <x:v>0.0546</x:v>
      </x:c>
      <x:c r="N2064" s="54" t="n">
        <x:f>ROUND(J2064*K2064,2)</x:f>
        <x:v>5551.65</x:v>
      </x:c>
      <x:c r="O2064" s="54" t="n">
        <x:f>ROUND(N2064*(1-M2064),2)</x:f>
        <x:v>5248.53</x:v>
      </x:c>
      <x:c r="P2064" s="54" t="n">
        <x:f>ROUND(J2064*L2064,2)</x:f>
        <x:v>3827.31</x:v>
      </x:c>
      <x:c r="Q2064" s="54" t="n">
        <x:f>ROUND(O2064-P2064,2)</x:f>
        <x:v>1421.22</x:v>
      </x:c>
      <x:c r="R2064" s="55" t="n">
        <x:f>IF(O2064=0,0,ROUND(Q2064/O2064,4))</x:f>
        <x:v>0.2708</x:v>
      </x:c>
      <x:c r="S2064" s="53" t="n">
        <x:v>13</x:v>
      </x:c>
      <x:c r="T2064" t="str">
        <x:v>Entregue com atraso</x:v>
      </x:c>
      <x:c r="U2064" t="n">
        <x:v>4</x:v>
      </x:c>
      <x:c r="V2064" t="str"/>
    </x:row>
    <x:row r="2065">
      <x:c r="A2065" s="52" t="n">
        <x:v>46135</x:v>
      </x:c>
      <x:c r="B2065" t="str">
        <x:v>PED-102064</x:v>
      </x:c>
      <x:c r="C2065" t="str">
        <x:v>Cliente 067</x:v>
      </x:c>
      <x:c r="D2065" t="str">
        <x:v>MG</x:v>
      </x:c>
      <x:c r="E2065" t="str">
        <x:v>Sudeste</x:v>
      </x:c>
      <x:c r="F2065" t="str">
        <x:v>Marketplace</x:v>
      </x:c>
      <x:c r="G2065" t="str">
        <x:v>Casa</x:v>
      </x:c>
      <x:c r="H2065" t="str">
        <x:v>Aspirador Robô</x:v>
      </x:c>
      <x:c r="I2065" t="str">
        <x:v>Isabela</x:v>
      </x:c>
      <x:c r="J2065" s="53" t="n">
        <x:v>2</x:v>
      </x:c>
      <x:c r="K2065" s="54" t="n">
        <x:v>1983.19</x:v>
      </x:c>
      <x:c r="L2065" s="54" t="n">
        <x:v>1186.72</x:v>
      </x:c>
      <x:c r="M2065" s="55" t="n">
        <x:v>0.0634</x:v>
      </x:c>
      <x:c r="N2065" s="54" t="n">
        <x:f>ROUND(J2065*K2065,2)</x:f>
        <x:v>3966.38</x:v>
      </x:c>
      <x:c r="O2065" s="54" t="n">
        <x:f>ROUND(N2065*(1-M2065),2)</x:f>
        <x:v>3714.91</x:v>
      </x:c>
      <x:c r="P2065" s="54" t="n">
        <x:f>ROUND(J2065*L2065,2)</x:f>
        <x:v>2373.44</x:v>
      </x:c>
      <x:c r="Q2065" s="54" t="n">
        <x:f>ROUND(O2065-P2065,2)</x:f>
        <x:v>1341.47</x:v>
      </x:c>
      <x:c r="R2065" s="55" t="n">
        <x:f>IF(O2065=0,0,ROUND(Q2065/O2065,4))</x:f>
        <x:v>0.3611</x:v>
      </x:c>
      <x:c r="S2065" s="53" t="n">
        <x:v>11</x:v>
      </x:c>
      <x:c r="T2065" t="str">
        <x:v>Entregue com atraso</x:v>
      </x:c>
      <x:c r="U2065" t="n">
        <x:v>2</x:v>
      </x:c>
      <x:c r="V2065" t="str"/>
    </x:row>
    <x:row r="2066">
      <x:c r="A2066" s="52" t="n">
        <x:v>46056</x:v>
      </x:c>
      <x:c r="B2066" t="str">
        <x:v>PED-102065</x:v>
      </x:c>
      <x:c r="C2066" t="str">
        <x:v>Cliente 092</x:v>
      </x:c>
      <x:c r="D2066" t="str">
        <x:v>SP</x:v>
      </x:c>
      <x:c r="E2066" t="str">
        <x:v>Sudeste</x:v>
      </x:c>
      <x:c r="F2066" t="str">
        <x:v>E-commerce</x:v>
      </x:c>
      <x:c r="G2066" t="str">
        <x:v>Tecnologia</x:v>
      </x:c>
      <x:c r="H2066" t="str">
        <x:v>Notebook Pro</x:v>
      </x:c>
      <x:c r="I2066" t="str">
        <x:v>Bruno</x:v>
      </x:c>
      <x:c r="J2066" s="53" t="n">
        <x:v>5</x:v>
      </x:c>
      <x:c r="K2066" s="54" t="n">
        <x:v>5788.02</x:v>
      </x:c>
      <x:c r="L2066" s="54" t="n">
        <x:v>4470.9</x:v>
      </x:c>
      <x:c r="M2066" s="55" t="n">
        <x:v>0.0476</x:v>
      </x:c>
      <x:c r="N2066" s="54" t="n">
        <x:f>ROUND(J2066*K2066,2)</x:f>
        <x:v>28940.1</x:v>
      </x:c>
      <x:c r="O2066" s="54" t="n">
        <x:f>ROUND(N2066*(1-M2066),2)</x:f>
        <x:v>27562.55</x:v>
      </x:c>
      <x:c r="P2066" s="54" t="n">
        <x:f>ROUND(J2066*L2066,2)</x:f>
        <x:v>22354.5</x:v>
      </x:c>
      <x:c r="Q2066" s="54" t="n">
        <x:f>ROUND(O2066-P2066,2)</x:f>
        <x:v>5208.05</x:v>
      </x:c>
      <x:c r="R2066" s="55" t="n">
        <x:f>IF(O2066=0,0,ROUND(Q2066/O2066,4))</x:f>
        <x:v>0.189</x:v>
      </x:c>
      <x:c r="S2066" s="53" t="n">
        <x:v>3</x:v>
      </x:c>
      <x:c r="T2066" t="str">
        <x:v>Cancelado</x:v>
      </x:c>
      <x:c r="U2066"/>
      <x:c r="V2066" t="str"/>
    </x:row>
    <x:row r="2067">
      <x:c r="A2067" s="52" t="n">
        <x:v>46211</x:v>
      </x:c>
      <x:c r="B2067" t="str">
        <x:v>PED-102066</x:v>
      </x:c>
      <x:c r="C2067" t="str">
        <x:v>Cliente 057</x:v>
      </x:c>
      <x:c r="D2067" t="str">
        <x:v>MA</x:v>
      </x:c>
      <x:c r="E2067" t="str">
        <x:v>Nordeste</x:v>
      </x:c>
      <x:c r="F2067" t="str">
        <x:v>Marketplace</x:v>
      </x:c>
      <x:c r="G2067" t="str">
        <x:v>Acessórios</x:v>
      </x:c>
      <x:c r="H2067" t="str">
        <x:v>Hub USB-C</x:v>
      </x:c>
      <x:c r="I2067" t="str">
        <x:v>Ana</x:v>
      </x:c>
      <x:c r="J2067" s="53" t="n">
        <x:v>8</x:v>
      </x:c>
      <x:c r="K2067" s="54" t="n">
        <x:v>332.91</x:v>
      </x:c>
      <x:c r="L2067" s="54" t="n">
        <x:v>139.38</x:v>
      </x:c>
      <x:c r="M2067" s="55" t="n">
        <x:v>0.035</x:v>
      </x:c>
      <x:c r="N2067" s="54" t="n">
        <x:f>ROUND(J2067*K2067,2)</x:f>
        <x:v>2663.28</x:v>
      </x:c>
      <x:c r="O2067" s="54" t="n">
        <x:f>ROUND(N2067*(1-M2067),2)</x:f>
        <x:v>2570.07</x:v>
      </x:c>
      <x:c r="P2067" s="54" t="n">
        <x:f>ROUND(J2067*L2067,2)</x:f>
        <x:v>1115.04</x:v>
      </x:c>
      <x:c r="Q2067" s="54" t="n">
        <x:f>ROUND(O2067-P2067,2)</x:f>
        <x:v>1455.03</x:v>
      </x:c>
      <x:c r="R2067" s="55" t="n">
        <x:f>IF(O2067=0,0,ROUND(Q2067/O2067,4))</x:f>
        <x:v>0.5661</x:v>
      </x:c>
      <x:c r="S2067" s="53" t="n">
        <x:v>12</x:v>
      </x:c>
      <x:c r="T2067" t="str">
        <x:v>Entregue com atraso</x:v>
      </x:c>
      <x:c r="U2067" t="n">
        <x:v>2</x:v>
      </x:c>
      <x:c r="V2067" t="str"/>
    </x:row>
    <x:row r="2068">
      <x:c r="A2068" s="52" t="n">
        <x:v>46173</x:v>
      </x:c>
      <x:c r="B2068" t="str">
        <x:v>PED-102067</x:v>
      </x:c>
      <x:c r="C2068" t="str">
        <x:v>Cliente 080</x:v>
      </x:c>
      <x:c r="D2068" t="str">
        <x:v>GO</x:v>
      </x:c>
      <x:c r="E2068" t="str">
        <x:v>Centro-Oeste</x:v>
      </x:c>
      <x:c r="F2068" t="str">
        <x:v>E-commerce</x:v>
      </x:c>
      <x:c r="G2068" t="str">
        <x:v>Acessórios</x:v>
      </x:c>
      <x:c r="H2068" t="str">
        <x:v>Hub USB-C</x:v>
      </x:c>
      <x:c r="I2068" t="str">
        <x:v>Henrique</x:v>
      </x:c>
      <x:c r="J2068" s="53" t="n">
        <x:v>4</x:v>
      </x:c>
      <x:c r="K2068" s="54" t="n">
        <x:v>332.5</x:v>
      </x:c>
      <x:c r="L2068" s="54" t="n">
        <x:v>140.56</x:v>
      </x:c>
      <x:c r="M2068" s="55" t="n">
        <x:v>0.0185</x:v>
      </x:c>
      <x:c r="N2068" s="54" t="n">
        <x:f>ROUND(J2068*K2068,2)</x:f>
        <x:v>1330</x:v>
      </x:c>
      <x:c r="O2068" s="54" t="n">
        <x:f>ROUND(N2068*(1-M2068),2)</x:f>
        <x:v>1305.4</x:v>
      </x:c>
      <x:c r="P2068" s="54" t="n">
        <x:f>ROUND(J2068*L2068,2)</x:f>
        <x:v>562.24</x:v>
      </x:c>
      <x:c r="Q2068" s="54" t="n">
        <x:f>ROUND(O2068-P2068,2)</x:f>
        <x:v>743.16</x:v>
      </x:c>
      <x:c r="R2068" s="55" t="n">
        <x:f>IF(O2068=0,0,ROUND(Q2068/O2068,4))</x:f>
        <x:v>0.5693</x:v>
      </x:c>
      <x:c r="S2068" s="53" t="n">
        <x:v>12</x:v>
      </x:c>
      <x:c r="T2068" t="str">
        <x:v>Entregue com atraso</x:v>
      </x:c>
      <x:c r="U2068" t="n">
        <x:v>2</x:v>
      </x:c>
      <x:c r="V2068" t="str"/>
    </x:row>
    <x:row r="2069">
      <x:c r="A2069" s="52" t="n">
        <x:v>46219</x:v>
      </x:c>
      <x:c r="B2069" t="str">
        <x:v>PED-102068</x:v>
      </x:c>
      <x:c r="C2069" t="str">
        <x:v>Cliente 001</x:v>
      </x:c>
      <x:c r="D2069" t="str">
        <x:v>CE</x:v>
      </x:c>
      <x:c r="E2069" t="str">
        <x:v>Nordeste</x:v>
      </x:c>
      <x:c r="F2069" t="str">
        <x:v>E-commerce</x:v>
      </x:c>
      <x:c r="G2069" t="str">
        <x:v>Casa</x:v>
      </x:c>
      <x:c r="H2069" t="str">
        <x:v>Purificador</x:v>
      </x:c>
      <x:c r="I2069" t="str">
        <x:v>Ana</x:v>
      </x:c>
      <x:c r="J2069" s="53" t="n">
        <x:v>8</x:v>
      </x:c>
      <x:c r="K2069" s="54" t="n">
        <x:v>1236.22</x:v>
      </x:c>
      <x:c r="L2069" s="54" t="n">
        <x:v>819.81</x:v>
      </x:c>
      <x:c r="M2069" s="55" t="n">
        <x:v>0.1283</x:v>
      </x:c>
      <x:c r="N2069" s="54" t="n">
        <x:f>ROUND(J2069*K2069,2)</x:f>
        <x:v>9889.76</x:v>
      </x:c>
      <x:c r="O2069" s="54" t="n">
        <x:f>ROUND(N2069*(1-M2069),2)</x:f>
        <x:v>8620.9</x:v>
      </x:c>
      <x:c r="P2069" s="54" t="n">
        <x:f>ROUND(J2069*L2069,2)</x:f>
        <x:v>6558.48</x:v>
      </x:c>
      <x:c r="Q2069" s="54" t="n">
        <x:f>ROUND(O2069-P2069,2)</x:f>
        <x:v>2062.42</x:v>
      </x:c>
      <x:c r="R2069" s="55" t="n">
        <x:f>IF(O2069=0,0,ROUND(Q2069/O2069,4))</x:f>
        <x:v>0.2392</x:v>
      </x:c>
      <x:c r="S2069" s="53" t="n">
        <x:v>3</x:v>
      </x:c>
      <x:c r="T2069" t="str">
        <x:v>Entregue</x:v>
      </x:c>
      <x:c r="U2069" t="n">
        <x:v>5</x:v>
      </x:c>
      <x:c r="V2069" t="str"/>
    </x:row>
    <x:row r="2070">
      <x:c r="A2070" s="52" t="n">
        <x:v>46025</x:v>
      </x:c>
      <x:c r="B2070" t="str">
        <x:v>PED-102069</x:v>
      </x:c>
      <x:c r="C2070" t="str">
        <x:v>Cliente 076</x:v>
      </x:c>
      <x:c r="D2070" t="str">
        <x:v>AM</x:v>
      </x:c>
      <x:c r="E2070" t="str">
        <x:v>Norte</x:v>
      </x:c>
      <x:c r="F2070" t="str">
        <x:v>E-commerce</x:v>
      </x:c>
      <x:c r="G2070" t="str">
        <x:v>Casa</x:v>
      </x:c>
      <x:c r="H2070" t="str">
        <x:v>Cafeteira Smart</x:v>
      </x:c>
      <x:c r="I2070" t="str">
        <x:v>Bruno</x:v>
      </x:c>
      <x:c r="J2070" s="53" t="n">
        <x:v>6</x:v>
      </x:c>
      <x:c r="K2070" s="54" t="n">
        <x:v>815.49</x:v>
      </x:c>
      <x:c r="L2070" s="54" t="n">
        <x:v>468.25</x:v>
      </x:c>
      <x:c r="M2070" s="55" t="n">
        <x:v>0</x:v>
      </x:c>
      <x:c r="N2070" s="54" t="n">
        <x:f>ROUND(J2070*K2070,2)</x:f>
        <x:v>4892.94</x:v>
      </x:c>
      <x:c r="O2070" s="54" t="n">
        <x:f>ROUND(N2070*(1-M2070),2)</x:f>
        <x:v>4892.94</x:v>
      </x:c>
      <x:c r="P2070" s="54" t="n">
        <x:f>ROUND(J2070*L2070,2)</x:f>
        <x:v>2809.5</x:v>
      </x:c>
      <x:c r="Q2070" s="54" t="n">
        <x:f>ROUND(O2070-P2070,2)</x:f>
        <x:v>2083.44</x:v>
      </x:c>
      <x:c r="R2070" s="55" t="n">
        <x:f>IF(O2070=0,0,ROUND(Q2070/O2070,4))</x:f>
        <x:v>0.4258</x:v>
      </x:c>
      <x:c r="S2070" s="53" t="n">
        <x:v>8</x:v>
      </x:c>
      <x:c r="T2070" t="str">
        <x:v>Entregue</x:v>
      </x:c>
      <x:c r="U2070" t="n">
        <x:v>2</x:v>
      </x:c>
      <x:c r="V2070" t="str"/>
    </x:row>
    <x:row r="2071">
      <x:c r="A2071" s="52" t="n">
        <x:v>46122</x:v>
      </x:c>
      <x:c r="B2071" t="str">
        <x:v>PED-102070</x:v>
      </x:c>
      <x:c r="C2071" t="str">
        <x:v>Cliente 087</x:v>
      </x:c>
      <x:c r="D2071" t="str">
        <x:v>PE</x:v>
      </x:c>
      <x:c r="E2071" t="str">
        <x:v>Nordeste</x:v>
      </x:c>
      <x:c r="F2071" t="str">
        <x:v>E-commerce</x:v>
      </x:c>
      <x:c r="G2071" t="str">
        <x:v>Escritório</x:v>
      </x:c>
      <x:c r="H2071" t="str">
        <x:v>Mesa Ajustável</x:v>
      </x:c>
      <x:c r="I2071" t="str">
        <x:v>Bruno</x:v>
      </x:c>
      <x:c r="J2071" s="53" t="n">
        <x:v>3</x:v>
      </x:c>
      <x:c r="K2071" s="54" t="n">
        <x:v>2691.17</x:v>
      </x:c>
      <x:c r="L2071" s="54" t="n">
        <x:v>1828.89</x:v>
      </x:c>
      <x:c r="M2071" s="55" t="n">
        <x:v>0.0224</x:v>
      </x:c>
      <x:c r="N2071" s="54" t="n">
        <x:f>ROUND(J2071*K2071,2)</x:f>
        <x:v>8073.51</x:v>
      </x:c>
      <x:c r="O2071" s="54" t="n">
        <x:f>ROUND(N2071*(1-M2071),2)</x:f>
        <x:v>7892.66</x:v>
      </x:c>
      <x:c r="P2071" s="54" t="n">
        <x:f>ROUND(J2071*L2071,2)</x:f>
        <x:v>5486.67</x:v>
      </x:c>
      <x:c r="Q2071" s="54" t="n">
        <x:f>ROUND(O2071-P2071,2)</x:f>
        <x:v>2405.99</x:v>
      </x:c>
      <x:c r="R2071" s="55" t="n">
        <x:f>IF(O2071=0,0,ROUND(Q2071/O2071,4))</x:f>
        <x:v>0.3048</x:v>
      </x:c>
      <x:c r="S2071" s="53" t="n">
        <x:v>14</x:v>
      </x:c>
      <x:c r="T2071" t="str">
        <x:v>Entregue com atraso</x:v>
      </x:c>
      <x:c r="U2071" t="n">
        <x:v>5</x:v>
      </x:c>
      <x:c r="V2071" t="str"/>
    </x:row>
    <x:row r="2072">
      <x:c r="A2072" s="52" t="n">
        <x:v>46147</x:v>
      </x:c>
      <x:c r="B2072" t="str">
        <x:v>PED-102071</x:v>
      </x:c>
      <x:c r="C2072" t="str">
        <x:v>Cliente 116</x:v>
      </x:c>
      <x:c r="D2072" t="str">
        <x:v>RS</x:v>
      </x:c>
      <x:c r="E2072" t="str">
        <x:v>Sul</x:v>
      </x:c>
      <x:c r="F2072" t="str">
        <x:v>E-commerce</x:v>
      </x:c>
      <x:c r="G2072" t="str">
        <x:v>Casa</x:v>
      </x:c>
      <x:c r="H2072" t="str">
        <x:v>Cafeteira Smart</x:v>
      </x:c>
      <x:c r="I2072" t="str">
        <x:v>Diego</x:v>
      </x:c>
      <x:c r="J2072" s="53" t="n">
        <x:v>6</x:v>
      </x:c>
      <x:c r="K2072" s="54" t="n">
        <x:v>803.45</x:v>
      </x:c>
      <x:c r="L2072" s="54" t="n">
        <x:v>439.79</x:v>
      </x:c>
      <x:c r="M2072" s="55" t="n">
        <x:v>0</x:v>
      </x:c>
      <x:c r="N2072" s="54" t="n">
        <x:f>ROUND(J2072*K2072,2)</x:f>
        <x:v>4820.7</x:v>
      </x:c>
      <x:c r="O2072" s="54" t="n">
        <x:f>ROUND(N2072*(1-M2072),2)</x:f>
        <x:v>4820.7</x:v>
      </x:c>
      <x:c r="P2072" s="54" t="n">
        <x:f>ROUND(J2072*L2072,2)</x:f>
        <x:v>2638.74</x:v>
      </x:c>
      <x:c r="Q2072" s="54" t="n">
        <x:f>ROUND(O2072-P2072,2)</x:f>
        <x:v>2181.96</x:v>
      </x:c>
      <x:c r="R2072" s="55" t="n">
        <x:f>IF(O2072=0,0,ROUND(Q2072/O2072,4))</x:f>
        <x:v>0.4526</x:v>
      </x:c>
      <x:c r="S2072" s="53" t="n">
        <x:v>7</x:v>
      </x:c>
      <x:c r="T2072" t="str">
        <x:v>Entregue</x:v>
      </x:c>
      <x:c r="U2072" t="n">
        <x:v>3</x:v>
      </x:c>
      <x:c r="V2072" t="str"/>
    </x:row>
    <x:row r="2073">
      <x:c r="A2073" s="52" t="n">
        <x:v>46101</x:v>
      </x:c>
      <x:c r="B2073" t="str">
        <x:v>PED-102072</x:v>
      </x:c>
      <x:c r="C2073" t="str">
        <x:v>Cliente 033</x:v>
      </x:c>
      <x:c r="D2073" t="str">
        <x:v>DF</x:v>
      </x:c>
      <x:c r="E2073" t="str">
        <x:v>Centro-Oeste</x:v>
      </x:c>
      <x:c r="F2073" t="str">
        <x:v>Marketplace</x:v>
      </x:c>
      <x:c r="G2073" t="str">
        <x:v>Tecnologia</x:v>
      </x:c>
      <x:c r="H2073" t="str">
        <x:v>Monitor 27</x:v>
      </x:c>
      <x:c r="I2073" t="str">
        <x:v>Gabriela</x:v>
      </x:c>
      <x:c r="J2073" s="53" t="n">
        <x:v>7</x:v>
      </x:c>
      <x:c r="K2073" s="54" t="n">
        <x:v>1742.47</x:v>
      </x:c>
      <x:c r="L2073" s="54" t="n">
        <x:v>1045.63</x:v>
      </x:c>
      <x:c r="M2073" s="55" t="n">
        <x:v>0.1252</x:v>
      </x:c>
      <x:c r="N2073" s="54" t="n">
        <x:f>ROUND(J2073*K2073,2)</x:f>
        <x:v>12197.29</x:v>
      </x:c>
      <x:c r="O2073" s="54" t="n">
        <x:f>ROUND(N2073*(1-M2073),2)</x:f>
        <x:v>10670.19</x:v>
      </x:c>
      <x:c r="P2073" s="54" t="n">
        <x:f>ROUND(J2073*L2073,2)</x:f>
        <x:v>7319.41</x:v>
      </x:c>
      <x:c r="Q2073" s="54" t="n">
        <x:f>ROUND(O2073-P2073,2)</x:f>
        <x:v>3350.78</x:v>
      </x:c>
      <x:c r="R2073" s="55" t="n">
        <x:f>IF(O2073=0,0,ROUND(Q2073/O2073,4))</x:f>
        <x:v>0.314</x:v>
      </x:c>
      <x:c r="S2073" s="53" t="n">
        <x:v>2</x:v>
      </x:c>
      <x:c r="T2073" t="str">
        <x:v>Entregue</x:v>
      </x:c>
      <x:c r="U2073" t="n">
        <x:v>5</x:v>
      </x:c>
      <x:c r="V2073" t="str"/>
    </x:row>
    <x:row r="2074">
      <x:c r="A2074" s="52" t="n">
        <x:v>46028</x:v>
      </x:c>
      <x:c r="B2074" t="str">
        <x:v>PED-102073</x:v>
      </x:c>
      <x:c r="C2074" t="str">
        <x:v>Cliente 107</x:v>
      </x:c>
      <x:c r="D2074" t="str">
        <x:v>ES</x:v>
      </x:c>
      <x:c r="E2074" t="str">
        <x:v>Sudeste</x:v>
      </x:c>
      <x:c r="F2074" t="str">
        <x:v>Loja</x:v>
      </x:c>
      <x:c r="G2074" t="str">
        <x:v>Casa</x:v>
      </x:c>
      <x:c r="H2074" t="str">
        <x:v>Aspirador Robô</x:v>
      </x:c>
      <x:c r="I2074" t="str">
        <x:v>Elaine</x:v>
      </x:c>
      <x:c r="J2074" s="53" t="n">
        <x:v>3</x:v>
      </x:c>
      <x:c r="K2074" s="54" t="n">
        <x:v>1986.59</x:v>
      </x:c>
      <x:c r="L2074" s="54" t="n">
        <x:v>1144.78</x:v>
      </x:c>
      <x:c r="M2074" s="55" t="n">
        <x:v>0.1031</x:v>
      </x:c>
      <x:c r="N2074" s="54" t="n">
        <x:f>ROUND(J2074*K2074,2)</x:f>
        <x:v>5959.77</x:v>
      </x:c>
      <x:c r="O2074" s="54" t="n">
        <x:f>ROUND(N2074*(1-M2074),2)</x:f>
        <x:v>5345.32</x:v>
      </x:c>
      <x:c r="P2074" s="54" t="n">
        <x:f>ROUND(J2074*L2074,2)</x:f>
        <x:v>3434.34</x:v>
      </x:c>
      <x:c r="Q2074" s="54" t="n">
        <x:f>ROUND(O2074-P2074,2)</x:f>
        <x:v>1910.98</x:v>
      </x:c>
      <x:c r="R2074" s="55" t="n">
        <x:f>IF(O2074=0,0,ROUND(Q2074/O2074,4))</x:f>
        <x:v>0.3575</x:v>
      </x:c>
      <x:c r="S2074" s="53" t="n">
        <x:v>4</x:v>
      </x:c>
      <x:c r="T2074" t="str">
        <x:v>Entregue</x:v>
      </x:c>
      <x:c r="U2074" t="n">
        <x:v>5</x:v>
      </x:c>
      <x:c r="V2074" t="str"/>
    </x:row>
    <x:row r="2075">
      <x:c r="A2075" s="52" t="n">
        <x:v>46039</x:v>
      </x:c>
      <x:c r="B2075" t="str">
        <x:v>PED-102074</x:v>
      </x:c>
      <x:c r="C2075" t="str">
        <x:v>Cliente 043</x:v>
      </x:c>
      <x:c r="D2075" t="str">
        <x:v>MA</x:v>
      </x:c>
      <x:c r="E2075" t="str">
        <x:v>Nordeste</x:v>
      </x:c>
      <x:c r="F2075" t="str">
        <x:v>Loja</x:v>
      </x:c>
      <x:c r="G2075" t="str">
        <x:v>Acessórios</x:v>
      </x:c>
      <x:c r="H2075" t="str">
        <x:v>Mochila Executiva</x:v>
      </x:c>
      <x:c r="I2075" t="str">
        <x:v>Ana</x:v>
      </x:c>
      <x:c r="J2075" s="53" t="n">
        <x:v>8</x:v>
      </x:c>
      <x:c r="K2075" s="54" t="n">
        <x:v>408.92</x:v>
      </x:c>
      <x:c r="L2075" s="54" t="n">
        <x:v>193.64</x:v>
      </x:c>
      <x:c r="M2075" s="55" t="n">
        <x:v>0</x:v>
      </x:c>
      <x:c r="N2075" s="54" t="n">
        <x:f>ROUND(J2075*K2075,2)</x:f>
        <x:v>3271.36</x:v>
      </x:c>
      <x:c r="O2075" s="54" t="n">
        <x:f>ROUND(N2075*(1-M2075),2)</x:f>
        <x:v>3271.36</x:v>
      </x:c>
      <x:c r="P2075" s="54" t="n">
        <x:f>ROUND(J2075*L2075,2)</x:f>
        <x:v>1549.12</x:v>
      </x:c>
      <x:c r="Q2075" s="54" t="n">
        <x:f>ROUND(O2075-P2075,2)</x:f>
        <x:v>1722.24</x:v>
      </x:c>
      <x:c r="R2075" s="55" t="n">
        <x:f>IF(O2075=0,0,ROUND(Q2075/O2075,4))</x:f>
        <x:v>0.5265</x:v>
      </x:c>
      <x:c r="S2075" s="53" t="n">
        <x:v>6</x:v>
      </x:c>
      <x:c r="T2075" t="str">
        <x:v>Entregue</x:v>
      </x:c>
      <x:c r="U2075" t="n">
        <x:v>4</x:v>
      </x:c>
      <x:c r="V2075" t="str"/>
    </x:row>
    <x:row r="2076">
      <x:c r="A2076" s="52" t="n">
        <x:v>46046</x:v>
      </x:c>
      <x:c r="B2076" t="str">
        <x:v>PED-102075</x:v>
      </x:c>
      <x:c r="C2076" t="str">
        <x:v>Cliente 008</x:v>
      </x:c>
      <x:c r="D2076" t="str">
        <x:v>PE</x:v>
      </x:c>
      <x:c r="E2076" t="str">
        <x:v>Nordeste</x:v>
      </x:c>
      <x:c r="F2076" t="str">
        <x:v>Televendas</x:v>
      </x:c>
      <x:c r="G2076" t="str">
        <x:v>Casa</x:v>
      </x:c>
      <x:c r="H2076" t="str">
        <x:v>Aspirador Robô</x:v>
      </x:c>
      <x:c r="I2076" t="str">
        <x:v>Gabriela</x:v>
      </x:c>
      <x:c r="J2076" s="53" t="n">
        <x:v>7</x:v>
      </x:c>
      <x:c r="K2076" s="54" t="n">
        <x:v>1937.38</x:v>
      </x:c>
      <x:c r="L2076" s="54" t="n">
        <x:v>1195.77</x:v>
      </x:c>
      <x:c r="M2076" s="55" t="n">
        <x:v>0.0439</x:v>
      </x:c>
      <x:c r="N2076" s="54" t="n">
        <x:f>ROUND(J2076*K2076,2)</x:f>
        <x:v>13561.66</x:v>
      </x:c>
      <x:c r="O2076" s="54" t="n">
        <x:f>ROUND(N2076*(1-M2076),2)</x:f>
        <x:v>12966.3</x:v>
      </x:c>
      <x:c r="P2076" s="54" t="n">
        <x:f>ROUND(J2076*L2076,2)</x:f>
        <x:v>8370.39</x:v>
      </x:c>
      <x:c r="Q2076" s="54" t="n">
        <x:f>ROUND(O2076-P2076,2)</x:f>
        <x:v>4595.91</x:v>
      </x:c>
      <x:c r="R2076" s="55" t="n">
        <x:f>IF(O2076=0,0,ROUND(Q2076/O2076,4))</x:f>
        <x:v>0.3545</x:v>
      </x:c>
      <x:c r="S2076" s="53" t="n">
        <x:v>11</x:v>
      </x:c>
      <x:c r="T2076" t="str">
        <x:v>Entregue com atraso</x:v>
      </x:c>
      <x:c r="U2076" t="n">
        <x:v>4</x:v>
      </x:c>
      <x:c r="V2076" t="str"/>
    </x:row>
    <x:row r="2077">
      <x:c r="A2077" s="52" t="n">
        <x:v>46032</x:v>
      </x:c>
      <x:c r="B2077" t="str">
        <x:v>PED-102076</x:v>
      </x:c>
      <x:c r="C2077" t="str">
        <x:v>Cliente 106</x:v>
      </x:c>
      <x:c r="D2077" t="str">
        <x:v>PE</x:v>
      </x:c>
      <x:c r="E2077" t="str">
        <x:v>Nordeste</x:v>
      </x:c>
      <x:c r="F2077" t="str">
        <x:v>Loja</x:v>
      </x:c>
      <x:c r="G2077" t="str">
        <x:v>Acessórios</x:v>
      </x:c>
      <x:c r="H2077" t="str">
        <x:v>Mochila Executiva</x:v>
      </x:c>
      <x:c r="I2077" t="str">
        <x:v>Ana</x:v>
      </x:c>
      <x:c r="J2077" s="53" t="n">
        <x:v>7</x:v>
      </x:c>
      <x:c r="K2077" s="54" t="n">
        <x:v>443.19</x:v>
      </x:c>
      <x:c r="L2077" s="54" t="n">
        <x:v>189.62</x:v>
      </x:c>
      <x:c r="M2077" s="55" t="n">
        <x:v>0.1197</x:v>
      </x:c>
      <x:c r="N2077" s="54" t="n">
        <x:f>ROUND(J2077*K2077,2)</x:f>
        <x:v>3102.33</x:v>
      </x:c>
      <x:c r="O2077" s="54" t="n">
        <x:f>ROUND(N2077*(1-M2077),2)</x:f>
        <x:v>2730.98</x:v>
      </x:c>
      <x:c r="P2077" s="54" t="n">
        <x:f>ROUND(J2077*L2077,2)</x:f>
        <x:v>1327.34</x:v>
      </x:c>
      <x:c r="Q2077" s="54" t="n">
        <x:f>ROUND(O2077-P2077,2)</x:f>
        <x:v>1403.64</x:v>
      </x:c>
      <x:c r="R2077" s="55" t="n">
        <x:f>IF(O2077=0,0,ROUND(Q2077/O2077,4))</x:f>
        <x:v>0.514</x:v>
      </x:c>
      <x:c r="S2077" s="53" t="n">
        <x:v>10</x:v>
      </x:c>
      <x:c r="T2077" t="str">
        <x:v>Entregue</x:v>
      </x:c>
      <x:c r="U2077" t="n">
        <x:v>2</x:v>
      </x:c>
      <x:c r="V2077" t="str"/>
    </x:row>
    <x:row r="2078">
      <x:c r="A2078" s="52" t="n">
        <x:v>46138</x:v>
      </x:c>
      <x:c r="B2078" t="str">
        <x:v>PED-102077</x:v>
      </x:c>
      <x:c r="C2078" t="str">
        <x:v>Cliente 053</x:v>
      </x:c>
      <x:c r="D2078" t="str">
        <x:v>MA</x:v>
      </x:c>
      <x:c r="E2078" t="str">
        <x:v>Nordeste</x:v>
      </x:c>
      <x:c r="F2078" t="str">
        <x:v>Marketplace</x:v>
      </x:c>
      <x:c r="G2078" t="str">
        <x:v>Acessórios</x:v>
      </x:c>
      <x:c r="H2078" t="str">
        <x:v>Hub USB-C</x:v>
      </x:c>
      <x:c r="I2078" t="str">
        <x:v>Henrique</x:v>
      </x:c>
      <x:c r="J2078" s="53" t="n">
        <x:v>8</x:v>
      </x:c>
      <x:c r="K2078" s="54" t="n">
        <x:v>322.29</x:v>
      </x:c>
      <x:c r="L2078" s="54" t="n">
        <x:v>136.74</x:v>
      </x:c>
      <x:c r="M2078" s="55" t="n">
        <x:v>0.1646</x:v>
      </x:c>
      <x:c r="N2078" s="54" t="n">
        <x:f>ROUND(J2078*K2078,2)</x:f>
        <x:v>2578.32</x:v>
      </x:c>
      <x:c r="O2078" s="54" t="n">
        <x:f>ROUND(N2078*(1-M2078),2)</x:f>
        <x:v>2153.93</x:v>
      </x:c>
      <x:c r="P2078" s="54" t="n">
        <x:f>ROUND(J2078*L2078,2)</x:f>
        <x:v>1093.92</x:v>
      </x:c>
      <x:c r="Q2078" s="54" t="n">
        <x:f>ROUND(O2078-P2078,2)</x:f>
        <x:v>1060.01</x:v>
      </x:c>
      <x:c r="R2078" s="55" t="n">
        <x:f>IF(O2078=0,0,ROUND(Q2078/O2078,4))</x:f>
        <x:v>0.4921</x:v>
      </x:c>
      <x:c r="S2078" s="53" t="n">
        <x:v>6</x:v>
      </x:c>
      <x:c r="T2078" t="str">
        <x:v>Entregue</x:v>
      </x:c>
      <x:c r="U2078" t="n">
        <x:v>4</x:v>
      </x:c>
      <x:c r="V2078" t="str"/>
    </x:row>
    <x:row r="2079">
      <x:c r="A2079" s="52" t="n">
        <x:v>46059</x:v>
      </x:c>
      <x:c r="B2079" t="str">
        <x:v>PED-102078</x:v>
      </x:c>
      <x:c r="C2079" t="str">
        <x:v>Cliente 019</x:v>
      </x:c>
      <x:c r="D2079" t="str">
        <x:v>RJ</x:v>
      </x:c>
      <x:c r="E2079" t="str">
        <x:v>Sudeste</x:v>
      </x:c>
      <x:c r="F2079" t="str">
        <x:v>Marketplace</x:v>
      </x:c>
      <x:c r="G2079" t="str">
        <x:v>Acessórios</x:v>
      </x:c>
      <x:c r="H2079" t="str">
        <x:v>Hub USB-C</x:v>
      </x:c>
      <x:c r="I2079" t="str">
        <x:v>Isabela</x:v>
      </x:c>
      <x:c r="J2079" s="53" t="n">
        <x:v>7</x:v>
      </x:c>
      <x:c r="K2079" s="54" t="n">
        <x:v>323.12</x:v>
      </x:c>
      <x:c r="L2079" s="54" t="n">
        <x:v>136.07</x:v>
      </x:c>
      <x:c r="M2079" s="55" t="n">
        <x:v>0.1609</x:v>
      </x:c>
      <x:c r="N2079" s="54" t="n">
        <x:f>ROUND(J2079*K2079,2)</x:f>
        <x:v>2261.84</x:v>
      </x:c>
      <x:c r="O2079" s="54" t="n">
        <x:f>ROUND(N2079*(1-M2079),2)</x:f>
        <x:v>1897.91</x:v>
      </x:c>
      <x:c r="P2079" s="54" t="n">
        <x:f>ROUND(J2079*L2079,2)</x:f>
        <x:v>952.49</x:v>
      </x:c>
      <x:c r="Q2079" s="54" t="n">
        <x:f>ROUND(O2079-P2079,2)</x:f>
        <x:v>945.42</x:v>
      </x:c>
      <x:c r="R2079" s="55" t="n">
        <x:f>IF(O2079=0,0,ROUND(Q2079/O2079,4))</x:f>
        <x:v>0.4981</x:v>
      </x:c>
      <x:c r="S2079" s="53" t="n">
        <x:v>4</x:v>
      </x:c>
      <x:c r="T2079" t="str">
        <x:v>Entregue</x:v>
      </x:c>
      <x:c r="U2079" t="n">
        <x:v>3</x:v>
      </x:c>
      <x:c r="V2079" t="str"/>
    </x:row>
    <x:row r="2080">
      <x:c r="A2080" s="52" t="n">
        <x:v>46082</x:v>
      </x:c>
      <x:c r="B2080" t="str">
        <x:v>PED-102079</x:v>
      </x:c>
      <x:c r="C2080" t="str">
        <x:v>Cliente 118</x:v>
      </x:c>
      <x:c r="D2080" t="str">
        <x:v>SC</x:v>
      </x:c>
      <x:c r="E2080" t="str">
        <x:v>Sul</x:v>
      </x:c>
      <x:c r="F2080" t="str">
        <x:v>Loja</x:v>
      </x:c>
      <x:c r="G2080" t="str">
        <x:v>Tecnologia</x:v>
      </x:c>
      <x:c r="H2080" t="str">
        <x:v>Notebook Pro</x:v>
      </x:c>
      <x:c r="I2080" t="str">
        <x:v>Felipe</x:v>
      </x:c>
      <x:c r="J2080" s="53" t="n">
        <x:v>8</x:v>
      </x:c>
      <x:c r="K2080" s="54" t="n">
        <x:v>5792.3</x:v>
      </x:c>
      <x:c r="L2080" s="54" t="n">
        <x:v>4467.47</x:v>
      </x:c>
      <x:c r="M2080" s="55" t="n">
        <x:v>0</x:v>
      </x:c>
      <x:c r="N2080" s="54" t="n">
        <x:f>ROUND(J2080*K2080,2)</x:f>
        <x:v>46338.4</x:v>
      </x:c>
      <x:c r="O2080" s="54" t="n">
        <x:f>ROUND(N2080*(1-M2080),2)</x:f>
        <x:v>46338.4</x:v>
      </x:c>
      <x:c r="P2080" s="54" t="n">
        <x:f>ROUND(J2080*L2080,2)</x:f>
        <x:v>35739.76</x:v>
      </x:c>
      <x:c r="Q2080" s="54" t="n">
        <x:f>ROUND(O2080-P2080,2)</x:f>
        <x:v>10598.64</x:v>
      </x:c>
      <x:c r="R2080" s="55" t="n">
        <x:f>IF(O2080=0,0,ROUND(Q2080/O2080,4))</x:f>
        <x:v>0.2287</x:v>
      </x:c>
      <x:c r="S2080" s="53" t="n">
        <x:v>11</x:v>
      </x:c>
      <x:c r="T2080" t="str">
        <x:v>Entregue com atraso</x:v>
      </x:c>
      <x:c r="U2080" t="n">
        <x:v>5</x:v>
      </x:c>
      <x:c r="V2080" t="str"/>
    </x:row>
    <x:row r="2081">
      <x:c r="A2081" s="52" t="n">
        <x:v>46194</x:v>
      </x:c>
      <x:c r="B2081" t="str">
        <x:v>PED-102080</x:v>
      </x:c>
      <x:c r="C2081" t="str">
        <x:v>Cliente 086</x:v>
      </x:c>
      <x:c r="D2081" t="str">
        <x:v>GO</x:v>
      </x:c>
      <x:c r="E2081" t="str">
        <x:v>Centro-Oeste</x:v>
      </x:c>
      <x:c r="F2081" t="str">
        <x:v>Loja</x:v>
      </x:c>
      <x:c r="G2081" t="str">
        <x:v>Casa</x:v>
      </x:c>
      <x:c r="H2081" t="str">
        <x:v>Purificador</x:v>
      </x:c>
      <x:c r="I2081" t="str">
        <x:v>Henrique</x:v>
      </x:c>
      <x:c r="J2081" s="53" t="n">
        <x:v>4</x:v>
      </x:c>
      <x:c r="K2081" s="54" t="n">
        <x:v>1222.58</x:v>
      </x:c>
      <x:c r="L2081" s="54" t="n">
        <x:v>788.12</x:v>
      </x:c>
      <x:c r="M2081" s="55" t="n">
        <x:v>0.0458</x:v>
      </x:c>
      <x:c r="N2081" s="54" t="n">
        <x:f>ROUND(J2081*K2081,2)</x:f>
        <x:v>4890.32</x:v>
      </x:c>
      <x:c r="O2081" s="54" t="n">
        <x:f>ROUND(N2081*(1-M2081),2)</x:f>
        <x:v>4666.34</x:v>
      </x:c>
      <x:c r="P2081" s="54" t="n">
        <x:f>ROUND(J2081*L2081,2)</x:f>
        <x:v>3152.48</x:v>
      </x:c>
      <x:c r="Q2081" s="54" t="n">
        <x:f>ROUND(O2081-P2081,2)</x:f>
        <x:v>1513.86</x:v>
      </x:c>
      <x:c r="R2081" s="55" t="n">
        <x:f>IF(O2081=0,0,ROUND(Q2081/O2081,4))</x:f>
        <x:v>0.3244</x:v>
      </x:c>
      <x:c r="S2081" s="53" t="n">
        <x:v>10</x:v>
      </x:c>
      <x:c r="T2081" t="str">
        <x:v>Entregue</x:v>
      </x:c>
      <x:c r="U2081" t="n">
        <x:v>5</x:v>
      </x:c>
      <x:c r="V2081" t="str"/>
    </x:row>
    <x:row r="2082">
      <x:c r="A2082" s="52" t="n">
        <x:v>46085</x:v>
      </x:c>
      <x:c r="B2082" t="str">
        <x:v>PED-102081</x:v>
      </x:c>
      <x:c r="C2082" t="str">
        <x:v>Cliente 027</x:v>
      </x:c>
      <x:c r="D2082" t="str">
        <x:v>MG</x:v>
      </x:c>
      <x:c r="E2082" t="str">
        <x:v>Sudeste</x:v>
      </x:c>
      <x:c r="F2082" t="str">
        <x:v>Marketplace</x:v>
      </x:c>
      <x:c r="G2082" t="str">
        <x:v>Tecnologia</x:v>
      </x:c>
      <x:c r="H2082" t="str">
        <x:v>Headset Office</x:v>
      </x:c>
      <x:c r="I2082" t="str">
        <x:v>Elaine</x:v>
      </x:c>
      <x:c r="J2082" s="53" t="n">
        <x:v>2</x:v>
      </x:c>
      <x:c r="K2082" s="54" t="n">
        <x:v>406.64</x:v>
      </x:c>
      <x:c r="L2082" s="54" t="n">
        <x:v>212.58</x:v>
      </x:c>
      <x:c r="M2082" s="55" t="n">
        <x:v>0.0832</x:v>
      </x:c>
      <x:c r="N2082" s="54" t="n">
        <x:f>ROUND(J2082*K2082,2)</x:f>
        <x:v>813.28</x:v>
      </x:c>
      <x:c r="O2082" s="54" t="n">
        <x:f>ROUND(N2082*(1-M2082),2)</x:f>
        <x:v>745.62</x:v>
      </x:c>
      <x:c r="P2082" s="54" t="n">
        <x:f>ROUND(J2082*L2082,2)</x:f>
        <x:v>425.16</x:v>
      </x:c>
      <x:c r="Q2082" s="54" t="n">
        <x:f>ROUND(O2082-P2082,2)</x:f>
        <x:v>320.46</x:v>
      </x:c>
      <x:c r="R2082" s="55" t="n">
        <x:f>IF(O2082=0,0,ROUND(Q2082/O2082,4))</x:f>
        <x:v>0.4298</x:v>
      </x:c>
      <x:c r="S2082" s="53" t="n">
        <x:v>5</x:v>
      </x:c>
      <x:c r="T2082" t="str">
        <x:v>Entregue</x:v>
      </x:c>
      <x:c r="U2082" t="n">
        <x:v>2</x:v>
      </x:c>
      <x:c r="V2082" t="str"/>
    </x:row>
    <x:row r="2083">
      <x:c r="A2083" s="52" t="n">
        <x:v>46223</x:v>
      </x:c>
      <x:c r="B2083" t="str">
        <x:v>PED-102082</x:v>
      </x:c>
      <x:c r="C2083" t="str">
        <x:v>Cliente 015</x:v>
      </x:c>
      <x:c r="D2083" t="str">
        <x:v>PE</x:v>
      </x:c>
      <x:c r="E2083" t="str">
        <x:v>Nordeste</x:v>
      </x:c>
      <x:c r="F2083" t="str">
        <x:v>Televendas</x:v>
      </x:c>
      <x:c r="G2083" t="str">
        <x:v>Acessórios</x:v>
      </x:c>
      <x:c r="H2083" t="str">
        <x:v>Webcam HD</x:v>
      </x:c>
      <x:c r="I2083" t="str">
        <x:v>Isabela</x:v>
      </x:c>
      <x:c r="J2083" s="53" t="n">
        <x:v>8</x:v>
      </x:c>
      <x:c r="K2083" s="54" t="n">
        <x:v>521.41</x:v>
      </x:c>
      <x:c r="L2083" s="54" t="n">
        <x:v>258.74</x:v>
      </x:c>
      <x:c r="M2083" s="55" t="n">
        <x:v>0.0794</x:v>
      </x:c>
      <x:c r="N2083" s="54" t="n">
        <x:f>ROUND(J2083*K2083,2)</x:f>
        <x:v>4171.28</x:v>
      </x:c>
      <x:c r="O2083" s="54" t="n">
        <x:f>ROUND(N2083*(1-M2083),2)</x:f>
        <x:v>3840.08</x:v>
      </x:c>
      <x:c r="P2083" s="54" t="n">
        <x:f>ROUND(J2083*L2083,2)</x:f>
        <x:v>2069.92</x:v>
      </x:c>
      <x:c r="Q2083" s="54" t="n">
        <x:f>ROUND(O2083-P2083,2)</x:f>
        <x:v>1770.16</x:v>
      </x:c>
      <x:c r="R2083" s="55" t="n">
        <x:f>IF(O2083=0,0,ROUND(Q2083/O2083,4))</x:f>
        <x:v>0.461</x:v>
      </x:c>
      <x:c r="S2083" s="53" t="n">
        <x:v>6</x:v>
      </x:c>
      <x:c r="T2083" t="str">
        <x:v>Entregue</x:v>
      </x:c>
      <x:c r="U2083" t="n">
        <x:v>5</x:v>
      </x:c>
      <x:c r="V2083" t="str"/>
    </x:row>
    <x:row r="2084">
      <x:c r="A2084" s="52" t="n">
        <x:v>46036</x:v>
      </x:c>
      <x:c r="B2084" t="str">
        <x:v>PED-102083</x:v>
      </x:c>
      <x:c r="C2084" t="str">
        <x:v>Cliente 045</x:v>
      </x:c>
      <x:c r="D2084" t="str">
        <x:v>AM</x:v>
      </x:c>
      <x:c r="E2084" t="str">
        <x:v>Norte</x:v>
      </x:c>
      <x:c r="F2084" t="str">
        <x:v>Loja</x:v>
      </x:c>
      <x:c r="G2084" t="str">
        <x:v>Tecnologia</x:v>
      </x:c>
      <x:c r="H2084" t="str">
        <x:v>Notebook Pro</x:v>
      </x:c>
      <x:c r="I2084" t="str">
        <x:v>Felipe</x:v>
      </x:c>
      <x:c r="J2084" s="53" t="n">
        <x:v>8</x:v>
      </x:c>
      <x:c r="K2084" s="54" t="n">
        <x:v>6170.53</x:v>
      </x:c>
      <x:c r="L2084" s="54" t="n">
        <x:v>4589.62</x:v>
      </x:c>
      <x:c r="M2084" s="55" t="n">
        <x:v>0.0301</x:v>
      </x:c>
      <x:c r="N2084" s="54" t="n">
        <x:f>ROUND(J2084*K2084,2)</x:f>
        <x:v>49364.24</x:v>
      </x:c>
      <x:c r="O2084" s="54" t="n">
        <x:f>ROUND(N2084*(1-M2084),2)</x:f>
        <x:v>47878.38</x:v>
      </x:c>
      <x:c r="P2084" s="54" t="n">
        <x:f>ROUND(J2084*L2084,2)</x:f>
        <x:v>36716.96</x:v>
      </x:c>
      <x:c r="Q2084" s="54" t="n">
        <x:f>ROUND(O2084-P2084,2)</x:f>
        <x:v>11161.42</x:v>
      </x:c>
      <x:c r="R2084" s="55" t="n">
        <x:f>IF(O2084=0,0,ROUND(Q2084/O2084,4))</x:f>
        <x:v>0.2331</x:v>
      </x:c>
      <x:c r="S2084" s="53" t="n">
        <x:v>2</x:v>
      </x:c>
      <x:c r="T2084" t="str">
        <x:v>Entregue</x:v>
      </x:c>
      <x:c r="U2084" t="n">
        <x:v>3</x:v>
      </x:c>
      <x:c r="V2084" t="str"/>
    </x:row>
    <x:row r="2085">
      <x:c r="A2085" s="52" t="n">
        <x:v>46062</x:v>
      </x:c>
      <x:c r="B2085" t="str">
        <x:v>PED-102084</x:v>
      </x:c>
      <x:c r="C2085" t="str">
        <x:v>Cliente 064</x:v>
      </x:c>
      <x:c r="D2085" t="str">
        <x:v>RJ</x:v>
      </x:c>
      <x:c r="E2085" t="str">
        <x:v>Sudeste</x:v>
      </x:c>
      <x:c r="F2085" t="str">
        <x:v>Marketplace</x:v>
      </x:c>
      <x:c r="G2085" t="str">
        <x:v>Acessórios</x:v>
      </x:c>
      <x:c r="H2085" t="str">
        <x:v>Mochila Executiva</x:v>
      </x:c>
      <x:c r="I2085" t="str">
        <x:v>Gabriela</x:v>
      </x:c>
      <x:c r="J2085" s="53" t="n">
        <x:v>3</x:v>
      </x:c>
      <x:c r="K2085" s="54" t="n">
        <x:v>424.66</x:v>
      </x:c>
      <x:c r="L2085" s="54" t="n">
        <x:v>197.37</x:v>
      </x:c>
      <x:c r="M2085" s="55" t="n">
        <x:v>0.1225</x:v>
      </x:c>
      <x:c r="N2085" s="54" t="n">
        <x:f>ROUND(J2085*K2085,2)</x:f>
        <x:v>1273.98</x:v>
      </x:c>
      <x:c r="O2085" s="54" t="n">
        <x:f>ROUND(N2085*(1-M2085),2)</x:f>
        <x:v>1117.92</x:v>
      </x:c>
      <x:c r="P2085" s="54" t="n">
        <x:f>ROUND(J2085*L2085,2)</x:f>
        <x:v>592.11</x:v>
      </x:c>
      <x:c r="Q2085" s="54" t="n">
        <x:f>ROUND(O2085-P2085,2)</x:f>
        <x:v>525.81</x:v>
      </x:c>
      <x:c r="R2085" s="55" t="n">
        <x:f>IF(O2085=0,0,ROUND(Q2085/O2085,4))</x:f>
        <x:v>0.4703</x:v>
      </x:c>
      <x:c r="S2085" s="53" t="n">
        <x:v>2</x:v>
      </x:c>
      <x:c r="T2085" t="str">
        <x:v>Entregue</x:v>
      </x:c>
      <x:c r="U2085" t="n">
        <x:v>4</x:v>
      </x:c>
      <x:c r="V2085" t="str"/>
    </x:row>
    <x:row r="2086">
      <x:c r="A2086" s="52" t="n">
        <x:v>46128</x:v>
      </x:c>
      <x:c r="B2086" t="str">
        <x:v>PED-102085</x:v>
      </x:c>
      <x:c r="C2086" t="str">
        <x:v>Cliente 068</x:v>
      </x:c>
      <x:c r="D2086" t="str">
        <x:v>ES</x:v>
      </x:c>
      <x:c r="E2086" t="str">
        <x:v>Sudeste</x:v>
      </x:c>
      <x:c r="F2086" t="str">
        <x:v>Loja</x:v>
      </x:c>
      <x:c r="G2086" t="str">
        <x:v>Acessórios</x:v>
      </x:c>
      <x:c r="H2086" t="str">
        <x:v>Hub USB-C</x:v>
      </x:c>
      <x:c r="I2086" t="str">
        <x:v>Henrique</x:v>
      </x:c>
      <x:c r="J2086" s="53" t="n">
        <x:v>2</x:v>
      </x:c>
      <x:c r="K2086" s="54" t="n">
        <x:v>315.52</x:v>
      </x:c>
      <x:c r="L2086" s="54" t="n">
        <x:v>141.04</x:v>
      </x:c>
      <x:c r="M2086" s="55" t="n">
        <x:v>0.0288</x:v>
      </x:c>
      <x:c r="N2086" s="54" t="n">
        <x:f>ROUND(J2086*K2086,2)</x:f>
        <x:v>631.04</x:v>
      </x:c>
      <x:c r="O2086" s="54" t="n">
        <x:f>ROUND(N2086*(1-M2086),2)</x:f>
        <x:v>612.87</x:v>
      </x:c>
      <x:c r="P2086" s="54" t="n">
        <x:f>ROUND(J2086*L2086,2)</x:f>
        <x:v>282.08</x:v>
      </x:c>
      <x:c r="Q2086" s="54" t="n">
        <x:f>ROUND(O2086-P2086,2)</x:f>
        <x:v>330.79</x:v>
      </x:c>
      <x:c r="R2086" s="55" t="n">
        <x:f>IF(O2086=0,0,ROUND(Q2086/O2086,4))</x:f>
        <x:v>0.5397</x:v>
      </x:c>
      <x:c r="S2086" s="53" t="n">
        <x:v>4</x:v>
      </x:c>
      <x:c r="T2086" t="str">
        <x:v>Entregue</x:v>
      </x:c>
      <x:c r="U2086" t="n">
        <x:v>4</x:v>
      </x:c>
      <x:c r="V2086" t="str"/>
    </x:row>
    <x:row r="2087">
      <x:c r="A2087" s="52" t="n">
        <x:v>46222</x:v>
      </x:c>
      <x:c r="B2087" t="str">
        <x:v>PED-102086</x:v>
      </x:c>
      <x:c r="C2087" t="str">
        <x:v>Cliente 106</x:v>
      </x:c>
      <x:c r="D2087" t="str">
        <x:v>AM</x:v>
      </x:c>
      <x:c r="E2087" t="str">
        <x:v>Norte</x:v>
      </x:c>
      <x:c r="F2087" t="str">
        <x:v>Marketplace</x:v>
      </x:c>
      <x:c r="G2087" t="str">
        <x:v>Escritório</x:v>
      </x:c>
      <x:c r="H2087" t="str">
        <x:v>Cadeira Ergonômica</x:v>
      </x:c>
      <x:c r="I2087" t="str">
        <x:v>Gabriela</x:v>
      </x:c>
      <x:c r="J2087" s="53" t="n">
        <x:v>2</x:v>
      </x:c>
      <x:c r="K2087" s="54" t="n">
        <x:v>2269.28</x:v>
      </x:c>
      <x:c r="L2087" s="54" t="n">
        <x:v>1482.4</x:v>
      </x:c>
      <x:c r="M2087" s="55" t="n">
        <x:v>0.1016</x:v>
      </x:c>
      <x:c r="N2087" s="54" t="n">
        <x:f>ROUND(J2087*K2087,2)</x:f>
        <x:v>4538.56</x:v>
      </x:c>
      <x:c r="O2087" s="54" t="n">
        <x:f>ROUND(N2087*(1-M2087),2)</x:f>
        <x:v>4077.44</x:v>
      </x:c>
      <x:c r="P2087" s="54" t="n">
        <x:f>ROUND(J2087*L2087,2)</x:f>
        <x:v>2964.8</x:v>
      </x:c>
      <x:c r="Q2087" s="54" t="n">
        <x:f>ROUND(O2087-P2087,2)</x:f>
        <x:v>1112.64</x:v>
      </x:c>
      <x:c r="R2087" s="55" t="n">
        <x:f>IF(O2087=0,0,ROUND(Q2087/O2087,4))</x:f>
        <x:v>0.2729</x:v>
      </x:c>
      <x:c r="S2087" s="53" t="n">
        <x:v>5</x:v>
      </x:c>
      <x:c r="T2087" t="str">
        <x:v>Entregue</x:v>
      </x:c>
      <x:c r="U2087" t="n">
        <x:v>5</x:v>
      </x:c>
      <x:c r="V2087" t="str"/>
    </x:row>
    <x:row r="2088">
      <x:c r="A2088" s="52" t="n">
        <x:v>46038</x:v>
      </x:c>
      <x:c r="B2088" t="str">
        <x:v>PED-102087</x:v>
      </x:c>
      <x:c r="C2088" t="str">
        <x:v>Cliente 044</x:v>
      </x:c>
      <x:c r="D2088" t="str">
        <x:v>PE</x:v>
      </x:c>
      <x:c r="E2088" t="str">
        <x:v>Nordeste</x:v>
      </x:c>
      <x:c r="F2088" t="str">
        <x:v>Marketplace</x:v>
      </x:c>
      <x:c r="G2088" t="str">
        <x:v>Acessórios</x:v>
      </x:c>
      <x:c r="H2088" t="str">
        <x:v>Hub USB-C</x:v>
      </x:c>
      <x:c r="I2088" t="str">
        <x:v>Elaine</x:v>
      </x:c>
      <x:c r="J2088" s="53" t="n">
        <x:v>2</x:v>
      </x:c>
      <x:c r="K2088" s="54" t="n">
        <x:v>332.7</x:v>
      </x:c>
      <x:c r="L2088" s="54" t="n">
        <x:v>140.54</x:v>
      </x:c>
      <x:c r="M2088" s="55" t="n">
        <x:v>0.1371</x:v>
      </x:c>
      <x:c r="N2088" s="54" t="n">
        <x:f>ROUND(J2088*K2088,2)</x:f>
        <x:v>665.4</x:v>
      </x:c>
      <x:c r="O2088" s="54" t="n">
        <x:f>ROUND(N2088*(1-M2088),2)</x:f>
        <x:v>574.17</x:v>
      </x:c>
      <x:c r="P2088" s="54" t="n">
        <x:f>ROUND(J2088*L2088,2)</x:f>
        <x:v>281.08</x:v>
      </x:c>
      <x:c r="Q2088" s="54" t="n">
        <x:f>ROUND(O2088-P2088,2)</x:f>
        <x:v>293.09</x:v>
      </x:c>
      <x:c r="R2088" s="55" t="n">
        <x:f>IF(O2088=0,0,ROUND(Q2088/O2088,4))</x:f>
        <x:v>0.5105</x:v>
      </x:c>
      <x:c r="S2088" s="53" t="n">
        <x:v>8</x:v>
      </x:c>
      <x:c r="T2088" t="str">
        <x:v>Entregue</x:v>
      </x:c>
      <x:c r="U2088" t="n">
        <x:v>3</x:v>
      </x:c>
      <x:c r="V2088" t="str"/>
    </x:row>
    <x:row r="2089">
      <x:c r="A2089" s="52" t="n">
        <x:v>46028</x:v>
      </x:c>
      <x:c r="B2089" t="str">
        <x:v>PED-102088</x:v>
      </x:c>
      <x:c r="C2089" t="str">
        <x:v>Cliente 088</x:v>
      </x:c>
      <x:c r="D2089" t="str">
        <x:v>MT</x:v>
      </x:c>
      <x:c r="E2089" t="str">
        <x:v>Centro-Oeste</x:v>
      </x:c>
      <x:c r="F2089" t="str">
        <x:v>Marketplace</x:v>
      </x:c>
      <x:c r="G2089" t="str">
        <x:v>Casa</x:v>
      </x:c>
      <x:c r="H2089" t="str">
        <x:v>Purificador</x:v>
      </x:c>
      <x:c r="I2089" t="str">
        <x:v>Henrique</x:v>
      </x:c>
      <x:c r="J2089" s="53" t="n">
        <x:v>6</x:v>
      </x:c>
      <x:c r="K2089" s="54" t="n">
        <x:v>1319.29</x:v>
      </x:c>
      <x:c r="L2089" s="54" t="n">
        <x:v>798.99</x:v>
      </x:c>
      <x:c r="M2089" s="55" t="n">
        <x:v>0.035</x:v>
      </x:c>
      <x:c r="N2089" s="54" t="n">
        <x:f>ROUND(J2089*K2089,2)</x:f>
        <x:v>7915.74</x:v>
      </x:c>
      <x:c r="O2089" s="54" t="n">
        <x:f>ROUND(N2089*(1-M2089),2)</x:f>
        <x:v>7638.69</x:v>
      </x:c>
      <x:c r="P2089" s="54" t="n">
        <x:f>ROUND(J2089*L2089,2)</x:f>
        <x:v>4793.94</x:v>
      </x:c>
      <x:c r="Q2089" s="54" t="n">
        <x:f>ROUND(O2089-P2089,2)</x:f>
        <x:v>2844.75</x:v>
      </x:c>
      <x:c r="R2089" s="55" t="n">
        <x:f>IF(O2089=0,0,ROUND(Q2089/O2089,4))</x:f>
        <x:v>0.3724</x:v>
      </x:c>
      <x:c r="S2089" s="53" t="n">
        <x:v>12</x:v>
      </x:c>
      <x:c r="T2089" t="str">
        <x:v>Entregue com atraso</x:v>
      </x:c>
      <x:c r="U2089" t="n">
        <x:v>5</x:v>
      </x:c>
      <x:c r="V2089" t="str"/>
    </x:row>
    <x:row r="2090">
      <x:c r="A2090" s="52" t="n">
        <x:v>46133</x:v>
      </x:c>
      <x:c r="B2090" t="str">
        <x:v>PED-102089</x:v>
      </x:c>
      <x:c r="C2090" t="str">
        <x:v>Cliente 103</x:v>
      </x:c>
      <x:c r="D2090" t="str">
        <x:v>MT</x:v>
      </x:c>
      <x:c r="E2090" t="str">
        <x:v>Centro-Oeste</x:v>
      </x:c>
      <x:c r="F2090" t="str">
        <x:v>Televendas</x:v>
      </x:c>
      <x:c r="G2090" t="str">
        <x:v>Escritório</x:v>
      </x:c>
      <x:c r="H2090" t="str">
        <x:v>Mesa Ajustável</x:v>
      </x:c>
      <x:c r="I2090" t="str">
        <x:v>Bruno</x:v>
      </x:c>
      <x:c r="J2090" s="53" t="n">
        <x:v>4</x:v>
      </x:c>
      <x:c r="K2090" s="54" t="n">
        <x:v>2814.48</x:v>
      </x:c>
      <x:c r="L2090" s="54" t="n">
        <x:v>1750.04</x:v>
      </x:c>
      <x:c r="M2090" s="55" t="n">
        <x:v>0.0593</x:v>
      </x:c>
      <x:c r="N2090" s="54" t="n">
        <x:f>ROUND(J2090*K2090,2)</x:f>
        <x:v>11257.92</x:v>
      </x:c>
      <x:c r="O2090" s="54" t="n">
        <x:f>ROUND(N2090*(1-M2090),2)</x:f>
        <x:v>10590.33</x:v>
      </x:c>
      <x:c r="P2090" s="54" t="n">
        <x:f>ROUND(J2090*L2090,2)</x:f>
        <x:v>7000.16</x:v>
      </x:c>
      <x:c r="Q2090" s="54" t="n">
        <x:f>ROUND(O2090-P2090,2)</x:f>
        <x:v>3590.17</x:v>
      </x:c>
      <x:c r="R2090" s="55" t="n">
        <x:f>IF(O2090=0,0,ROUND(Q2090/O2090,4))</x:f>
        <x:v>0.339</x:v>
      </x:c>
      <x:c r="S2090" s="53" t="n">
        <x:v>8</x:v>
      </x:c>
      <x:c r="T2090" t="str">
        <x:v>Entregue</x:v>
      </x:c>
      <x:c r="U2090" t="n">
        <x:v>3</x:v>
      </x:c>
      <x:c r="V2090" t="str"/>
    </x:row>
    <x:row r="2091">
      <x:c r="A2091" s="52" t="n">
        <x:v>46124</x:v>
      </x:c>
      <x:c r="B2091" t="str">
        <x:v>PED-102090</x:v>
      </x:c>
      <x:c r="C2091" t="str">
        <x:v>Cliente 035</x:v>
      </x:c>
      <x:c r="D2091" t="str">
        <x:v>ES</x:v>
      </x:c>
      <x:c r="E2091" t="str">
        <x:v>Sudeste</x:v>
      </x:c>
      <x:c r="F2091" t="str">
        <x:v>Marketplace</x:v>
      </x:c>
      <x:c r="G2091" t="str">
        <x:v>Tecnologia</x:v>
      </x:c>
      <x:c r="H2091" t="str">
        <x:v>Headset Office</x:v>
      </x:c>
      <x:c r="I2091" t="str">
        <x:v>Gabriela</x:v>
      </x:c>
      <x:c r="J2091" s="53" t="n">
        <x:v>7</x:v>
      </x:c>
      <x:c r="K2091" s="54" t="n">
        <x:v>391.4</x:v>
      </x:c>
      <x:c r="L2091" s="54" t="n">
        <x:v>201.62</x:v>
      </x:c>
      <x:c r="M2091" s="55" t="n">
        <x:v>0.1443</x:v>
      </x:c>
      <x:c r="N2091" s="54" t="n">
        <x:f>ROUND(J2091*K2091,2)</x:f>
        <x:v>2739.8</x:v>
      </x:c>
      <x:c r="O2091" s="54" t="n">
        <x:f>ROUND(N2091*(1-M2091),2)</x:f>
        <x:v>2344.45</x:v>
      </x:c>
      <x:c r="P2091" s="54" t="n">
        <x:f>ROUND(J2091*L2091,2)</x:f>
        <x:v>1411.34</x:v>
      </x:c>
      <x:c r="Q2091" s="54" t="n">
        <x:f>ROUND(O2091-P2091,2)</x:f>
        <x:v>933.11</x:v>
      </x:c>
      <x:c r="R2091" s="55" t="n">
        <x:f>IF(O2091=0,0,ROUND(Q2091/O2091,4))</x:f>
        <x:v>0.398</x:v>
      </x:c>
      <x:c r="S2091" s="53" t="n">
        <x:v>6</x:v>
      </x:c>
      <x:c r="T2091" t="str">
        <x:v>Entregue</x:v>
      </x:c>
      <x:c r="U2091" t="n">
        <x:v>5</x:v>
      </x:c>
      <x:c r="V2091" t="str"/>
    </x:row>
    <x:row r="2092">
      <x:c r="A2092" s="52" t="n">
        <x:v>46165</x:v>
      </x:c>
      <x:c r="B2092" t="str">
        <x:v>PED-102091</x:v>
      </x:c>
      <x:c r="C2092" t="str">
        <x:v>Cliente 053</x:v>
      </x:c>
      <x:c r="D2092" t="str">
        <x:v>MA</x:v>
      </x:c>
      <x:c r="E2092" t="str">
        <x:v>Nordeste</x:v>
      </x:c>
      <x:c r="F2092" t="str">
        <x:v>Televendas</x:v>
      </x:c>
      <x:c r="G2092" t="str">
        <x:v>Tecnologia</x:v>
      </x:c>
      <x:c r="H2092" t="str">
        <x:v>Notebook Pro</x:v>
      </x:c>
      <x:c r="I2092" t="str">
        <x:v>Isabela</x:v>
      </x:c>
      <x:c r="J2092" s="53" t="n">
        <x:v>3</x:v>
      </x:c>
      <x:c r="K2092" s="54" t="n">
        <x:v>6209.63</x:v>
      </x:c>
      <x:c r="L2092" s="54" t="n">
        <x:v>4620.76</x:v>
      </x:c>
      <x:c r="M2092" s="55" t="n">
        <x:v>0.042</x:v>
      </x:c>
      <x:c r="N2092" s="54" t="n">
        <x:f>ROUND(J2092*K2092,2)</x:f>
        <x:v>18628.89</x:v>
      </x:c>
      <x:c r="O2092" s="54" t="n">
        <x:f>ROUND(N2092*(1-M2092),2)</x:f>
        <x:v>17846.48</x:v>
      </x:c>
      <x:c r="P2092" s="54" t="n">
        <x:f>ROUND(J2092*L2092,2)</x:f>
        <x:v>13862.28</x:v>
      </x:c>
      <x:c r="Q2092" s="54" t="n">
        <x:f>ROUND(O2092-P2092,2)</x:f>
        <x:v>3984.2</x:v>
      </x:c>
      <x:c r="R2092" s="55" t="n">
        <x:f>IF(O2092=0,0,ROUND(Q2092/O2092,4))</x:f>
        <x:v>0.2232</x:v>
      </x:c>
      <x:c r="S2092" s="53" t="n">
        <x:v>2</x:v>
      </x:c>
      <x:c r="T2092" t="str">
        <x:v>Entregue</x:v>
      </x:c>
      <x:c r="U2092" t="n">
        <x:v>5</x:v>
      </x:c>
      <x:c r="V2092" t="str"/>
    </x:row>
    <x:row r="2093">
      <x:c r="A2093" s="52" t="n">
        <x:v>46124</x:v>
      </x:c>
      <x:c r="B2093" t="str">
        <x:v>PED-102092</x:v>
      </x:c>
      <x:c r="C2093" t="str">
        <x:v>Cliente 088</x:v>
      </x:c>
      <x:c r="D2093" t="str">
        <x:v>ES</x:v>
      </x:c>
      <x:c r="E2093" t="str">
        <x:v>Sudeste</x:v>
      </x:c>
      <x:c r="F2093" t="str">
        <x:v>Loja</x:v>
      </x:c>
      <x:c r="G2093" t="str">
        <x:v>Escritório</x:v>
      </x:c>
      <x:c r="H2093" t="str">
        <x:v>Cadeira Ergonômica</x:v>
      </x:c>
      <x:c r="I2093" t="str">
        <x:v>João</x:v>
      </x:c>
      <x:c r="J2093" s="53" t="n">
        <x:v>5</x:v>
      </x:c>
      <x:c r="K2093" s="54" t="n">
        <x:v>2225.72</x:v>
      </x:c>
      <x:c r="L2093" s="54" t="n">
        <x:v>1452.07</x:v>
      </x:c>
      <x:c r="M2093" s="55" t="n">
        <x:v>0.0812</x:v>
      </x:c>
      <x:c r="N2093" s="54" t="n">
        <x:f>ROUND(J2093*K2093,2)</x:f>
        <x:v>11128.6</x:v>
      </x:c>
      <x:c r="O2093" s="54" t="n">
        <x:f>ROUND(N2093*(1-M2093),2)</x:f>
        <x:v>10224.96</x:v>
      </x:c>
      <x:c r="P2093" s="54" t="n">
        <x:f>ROUND(J2093*L2093,2)</x:f>
        <x:v>7260.35</x:v>
      </x:c>
      <x:c r="Q2093" s="54" t="n">
        <x:f>ROUND(O2093-P2093,2)</x:f>
        <x:v>2964.61</x:v>
      </x:c>
      <x:c r="R2093" s="55" t="n">
        <x:f>IF(O2093=0,0,ROUND(Q2093/O2093,4))</x:f>
        <x:v>0.2899</x:v>
      </x:c>
      <x:c r="S2093" s="53" t="n">
        <x:v>4</x:v>
      </x:c>
      <x:c r="T2093" t="str">
        <x:v>Entregue</x:v>
      </x:c>
      <x:c r="U2093" t="n">
        <x:v>3</x:v>
      </x:c>
      <x:c r="V2093" t="str"/>
    </x:row>
    <x:row r="2094">
      <x:c r="A2094" s="52" t="n">
        <x:v>46166</x:v>
      </x:c>
      <x:c r="B2094" t="str">
        <x:v>PED-102093</x:v>
      </x:c>
      <x:c r="C2094" t="str">
        <x:v>Cliente 008</x:v>
      </x:c>
      <x:c r="D2094" t="str">
        <x:v>DF</x:v>
      </x:c>
      <x:c r="E2094" t="str">
        <x:v>Centro-Oeste</x:v>
      </x:c>
      <x:c r="F2094" t="str">
        <x:v>Marketplace</x:v>
      </x:c>
      <x:c r="G2094" t="str">
        <x:v>Acessórios</x:v>
      </x:c>
      <x:c r="H2094" t="str">
        <x:v>Hub USB-C</x:v>
      </x:c>
      <x:c r="I2094" t="str">
        <x:v>Ana</x:v>
      </x:c>
      <x:c r="J2094" s="53" t="n">
        <x:v>7</x:v>
      </x:c>
      <x:c r="K2094" s="54" t="n">
        <x:v>311.19</x:v>
      </x:c>
      <x:c r="L2094" s="54" t="n">
        <x:v>136.38</x:v>
      </x:c>
      <x:c r="M2094" s="55" t="n">
        <x:v>0.164</x:v>
      </x:c>
      <x:c r="N2094" s="54" t="n">
        <x:f>ROUND(J2094*K2094,2)</x:f>
        <x:v>2178.33</x:v>
      </x:c>
      <x:c r="O2094" s="54" t="n">
        <x:f>ROUND(N2094*(1-M2094),2)</x:f>
        <x:v>1821.08</x:v>
      </x:c>
      <x:c r="P2094" s="54" t="n">
        <x:f>ROUND(J2094*L2094,2)</x:f>
        <x:v>954.66</x:v>
      </x:c>
      <x:c r="Q2094" s="54" t="n">
        <x:f>ROUND(O2094-P2094,2)</x:f>
        <x:v>866.42</x:v>
      </x:c>
      <x:c r="R2094" s="55" t="n">
        <x:f>IF(O2094=0,0,ROUND(Q2094/O2094,4))</x:f>
        <x:v>0.4758</x:v>
      </x:c>
      <x:c r="S2094" s="53" t="n">
        <x:v>9</x:v>
      </x:c>
      <x:c r="T2094" t="str">
        <x:v>Entregue</x:v>
      </x:c>
      <x:c r="U2094" t="n">
        <x:v>4</x:v>
      </x:c>
      <x:c r="V2094" t="str"/>
    </x:row>
    <x:row r="2095">
      <x:c r="A2095" s="52" t="n">
        <x:v>46189</x:v>
      </x:c>
      <x:c r="B2095" t="str">
        <x:v>PED-102094</x:v>
      </x:c>
      <x:c r="C2095" t="str">
        <x:v>Cliente 055</x:v>
      </x:c>
      <x:c r="D2095" t="str">
        <x:v>AM</x:v>
      </x:c>
      <x:c r="E2095" t="str">
        <x:v>Norte</x:v>
      </x:c>
      <x:c r="F2095" t="str">
        <x:v>Televendas</x:v>
      </x:c>
      <x:c r="G2095" t="str">
        <x:v>Tecnologia</x:v>
      </x:c>
      <x:c r="H2095" t="str">
        <x:v>Headset Office</x:v>
      </x:c>
      <x:c r="I2095" t="str">
        <x:v>Henrique</x:v>
      </x:c>
      <x:c r="J2095" s="53" t="n">
        <x:v>7</x:v>
      </x:c>
      <x:c r="K2095" s="54" t="n">
        <x:v>384.6</x:v>
      </x:c>
      <x:c r="L2095" s="54" t="n">
        <x:v>220</x:v>
      </x:c>
      <x:c r="M2095" s="55" t="n">
        <x:v>0.0398</x:v>
      </x:c>
      <x:c r="N2095" s="54" t="n">
        <x:f>ROUND(J2095*K2095,2)</x:f>
        <x:v>2692.2</x:v>
      </x:c>
      <x:c r="O2095" s="54" t="n">
        <x:f>ROUND(N2095*(1-M2095),2)</x:f>
        <x:v>2585.05</x:v>
      </x:c>
      <x:c r="P2095" s="54" t="n">
        <x:f>ROUND(J2095*L2095,2)</x:f>
        <x:v>1540</x:v>
      </x:c>
      <x:c r="Q2095" s="54" t="n">
        <x:f>ROUND(O2095-P2095,2)</x:f>
        <x:v>1045.05</x:v>
      </x:c>
      <x:c r="R2095" s="55" t="n">
        <x:f>IF(O2095=0,0,ROUND(Q2095/O2095,4))</x:f>
        <x:v>0.4043</x:v>
      </x:c>
      <x:c r="S2095" s="53" t="n">
        <x:v>13</x:v>
      </x:c>
      <x:c r="T2095" t="str">
        <x:v>Entregue com atraso</x:v>
      </x:c>
      <x:c r="U2095" t="n">
        <x:v>2</x:v>
      </x:c>
      <x:c r="V2095" t="str"/>
    </x:row>
    <x:row r="2096">
      <x:c r="A2096" s="52" t="n">
        <x:v>46092</x:v>
      </x:c>
      <x:c r="B2096" t="str">
        <x:v>PED-102095</x:v>
      </x:c>
      <x:c r="C2096" t="str">
        <x:v>Cliente 040</x:v>
      </x:c>
      <x:c r="D2096" t="str">
        <x:v>RJ</x:v>
      </x:c>
      <x:c r="E2096" t="str">
        <x:v>Sudeste</x:v>
      </x:c>
      <x:c r="F2096" t="str">
        <x:v>Marketplace</x:v>
      </x:c>
      <x:c r="G2096" t="str">
        <x:v>Escritório</x:v>
      </x:c>
      <x:c r="H2096" t="str">
        <x:v>Luminária LED</x:v>
      </x:c>
      <x:c r="I2096" t="str">
        <x:v>João</x:v>
      </x:c>
      <x:c r="J2096" s="53" t="n">
        <x:v>2</x:v>
      </x:c>
      <x:c r="K2096" s="54" t="n">
        <x:v>271.02</x:v>
      </x:c>
      <x:c r="L2096" s="54" t="n">
        <x:v>118.33</x:v>
      </x:c>
      <x:c r="M2096" s="55" t="n">
        <x:v>0.1353</x:v>
      </x:c>
      <x:c r="N2096" s="54" t="n">
        <x:f>ROUND(J2096*K2096,2)</x:f>
        <x:v>542.04</x:v>
      </x:c>
      <x:c r="O2096" s="54" t="n">
        <x:f>ROUND(N2096*(1-M2096),2)</x:f>
        <x:v>468.7</x:v>
      </x:c>
      <x:c r="P2096" s="54" t="n">
        <x:f>ROUND(J2096*L2096,2)</x:f>
        <x:v>236.66</x:v>
      </x:c>
      <x:c r="Q2096" s="54" t="n">
        <x:f>ROUND(O2096-P2096,2)</x:f>
        <x:v>232.04</x:v>
      </x:c>
      <x:c r="R2096" s="55" t="n">
        <x:f>IF(O2096=0,0,ROUND(Q2096/O2096,4))</x:f>
        <x:v>0.4951</x:v>
      </x:c>
      <x:c r="S2096" s="53" t="n">
        <x:v>13</x:v>
      </x:c>
      <x:c r="T2096" t="str">
        <x:v>Entregue com atraso</x:v>
      </x:c>
      <x:c r="U2096" t="n">
        <x:v>2</x:v>
      </x:c>
      <x:c r="V2096" t="str"/>
    </x:row>
    <x:row r="2097">
      <x:c r="A2097" s="52" t="n">
        <x:v>46223</x:v>
      </x:c>
      <x:c r="B2097" t="str">
        <x:v>PED-102096</x:v>
      </x:c>
      <x:c r="C2097" t="str">
        <x:v>Cliente 101</x:v>
      </x:c>
      <x:c r="D2097" t="str">
        <x:v>AM</x:v>
      </x:c>
      <x:c r="E2097" t="str">
        <x:v>Norte</x:v>
      </x:c>
      <x:c r="F2097" t="str">
        <x:v>Loja</x:v>
      </x:c>
      <x:c r="G2097" t="str">
        <x:v>Escritório</x:v>
      </x:c>
      <x:c r="H2097" t="str">
        <x:v>Mesa Ajustável</x:v>
      </x:c>
      <x:c r="I2097" t="str">
        <x:v>João</x:v>
      </x:c>
      <x:c r="J2097" s="53" t="n">
        <x:v>3</x:v>
      </x:c>
      <x:c r="K2097" s="54" t="n">
        <x:v>2836.3</x:v>
      </x:c>
      <x:c r="L2097" s="54" t="n">
        <x:v>1858.41</x:v>
      </x:c>
      <x:c r="M2097" s="55" t="n">
        <x:v>0</x:v>
      </x:c>
      <x:c r="N2097" s="54" t="n">
        <x:f>ROUND(J2097*K2097,2)</x:f>
        <x:v>8508.9</x:v>
      </x:c>
      <x:c r="O2097" s="54" t="n">
        <x:f>ROUND(N2097*(1-M2097),2)</x:f>
        <x:v>8508.9</x:v>
      </x:c>
      <x:c r="P2097" s="54" t="n">
        <x:f>ROUND(J2097*L2097,2)</x:f>
        <x:v>5575.23</x:v>
      </x:c>
      <x:c r="Q2097" s="54" t="n">
        <x:f>ROUND(O2097-P2097,2)</x:f>
        <x:v>2933.67</x:v>
      </x:c>
      <x:c r="R2097" s="55" t="n">
        <x:f>IF(O2097=0,0,ROUND(Q2097/O2097,4))</x:f>
        <x:v>0.3448</x:v>
      </x:c>
      <x:c r="S2097" s="53" t="n">
        <x:v>9</x:v>
      </x:c>
      <x:c r="T2097" t="str">
        <x:v>Entregue</x:v>
      </x:c>
      <x:c r="U2097" t="n">
        <x:v>5</x:v>
      </x:c>
      <x:c r="V2097" t="str"/>
    </x:row>
    <x:row r="2098">
      <x:c r="A2098" s="52" t="n">
        <x:v>46111</x:v>
      </x:c>
      <x:c r="B2098" t="str">
        <x:v>PED-102097</x:v>
      </x:c>
      <x:c r="C2098" t="str">
        <x:v>Cliente 119</x:v>
      </x:c>
      <x:c r="D2098" t="str">
        <x:v>SC</x:v>
      </x:c>
      <x:c r="E2098" t="str">
        <x:v>Sul</x:v>
      </x:c>
      <x:c r="F2098" t="str">
        <x:v>Loja</x:v>
      </x:c>
      <x:c r="G2098" t="str">
        <x:v>Casa</x:v>
      </x:c>
      <x:c r="H2098" t="str">
        <x:v>Purificador</x:v>
      </x:c>
      <x:c r="I2098" t="str">
        <x:v>Bruno</x:v>
      </x:c>
      <x:c r="J2098" s="53" t="n">
        <x:v>5</x:v>
      </x:c>
      <x:c r="K2098" s="54" t="n">
        <x:v>1234.27</x:v>
      </x:c>
      <x:c r="L2098" s="54" t="n">
        <x:v>752.57</x:v>
      </x:c>
      <x:c r="M2098" s="55" t="n">
        <x:v>0</x:v>
      </x:c>
      <x:c r="N2098" s="54" t="n">
        <x:f>ROUND(J2098*K2098,2)</x:f>
        <x:v>6171.35</x:v>
      </x:c>
      <x:c r="O2098" s="54" t="n">
        <x:f>ROUND(N2098*(1-M2098),2)</x:f>
        <x:v>6171.35</x:v>
      </x:c>
      <x:c r="P2098" s="54" t="n">
        <x:f>ROUND(J2098*L2098,2)</x:f>
        <x:v>3762.85</x:v>
      </x:c>
      <x:c r="Q2098" s="54" t="n">
        <x:f>ROUND(O2098-P2098,2)</x:f>
        <x:v>2408.5</x:v>
      </x:c>
      <x:c r="R2098" s="55" t="n">
        <x:f>IF(O2098=0,0,ROUND(Q2098/O2098,4))</x:f>
        <x:v>0.3903</x:v>
      </x:c>
      <x:c r="S2098" s="53" t="n">
        <x:v>4</x:v>
      </x:c>
      <x:c r="T2098" t="str">
        <x:v>Entregue</x:v>
      </x:c>
      <x:c r="U2098" t="n">
        <x:v>3</x:v>
      </x:c>
      <x:c r="V2098" t="str"/>
    </x:row>
    <x:row r="2099">
      <x:c r="A2099" s="52" t="n">
        <x:v>46162</x:v>
      </x:c>
      <x:c r="B2099" t="str">
        <x:v>PED-102098</x:v>
      </x:c>
      <x:c r="C2099" t="str">
        <x:v>Cliente 119</x:v>
      </x:c>
      <x:c r="D2099" t="str">
        <x:v>RJ</x:v>
      </x:c>
      <x:c r="E2099" t="str">
        <x:v>Sudeste</x:v>
      </x:c>
      <x:c r="F2099" t="str">
        <x:v>Loja</x:v>
      </x:c>
      <x:c r="G2099" t="str">
        <x:v>Escritório</x:v>
      </x:c>
      <x:c r="H2099" t="str">
        <x:v>Luminária LED</x:v>
      </x:c>
      <x:c r="I2099" t="str">
        <x:v>Isabela</x:v>
      </x:c>
      <x:c r="J2099" s="53" t="n">
        <x:v>5</x:v>
      </x:c>
      <x:c r="K2099" s="54" t="n">
        <x:v>272.02</x:v>
      </x:c>
      <x:c r="L2099" s="54" t="n">
        <x:v>113.33</x:v>
      </x:c>
      <x:c r="M2099" s="55" t="n">
        <x:v>0.0947</x:v>
      </x:c>
      <x:c r="N2099" s="54" t="n">
        <x:f>ROUND(J2099*K2099,2)</x:f>
        <x:v>1360.1</x:v>
      </x:c>
      <x:c r="O2099" s="54" t="n">
        <x:f>ROUND(N2099*(1-M2099),2)</x:f>
        <x:v>1231.3</x:v>
      </x:c>
      <x:c r="P2099" s="54" t="n">
        <x:f>ROUND(J2099*L2099,2)</x:f>
        <x:v>566.65</x:v>
      </x:c>
      <x:c r="Q2099" s="54" t="n">
        <x:f>ROUND(O2099-P2099,2)</x:f>
        <x:v>664.65</x:v>
      </x:c>
      <x:c r="R2099" s="55" t="n">
        <x:f>IF(O2099=0,0,ROUND(Q2099/O2099,4))</x:f>
        <x:v>0.5398</x:v>
      </x:c>
      <x:c r="S2099" s="53" t="n">
        <x:v>4</x:v>
      </x:c>
      <x:c r="T2099" t="str">
        <x:v>Entregue</x:v>
      </x:c>
      <x:c r="U2099" t="n">
        <x:v>5</x:v>
      </x:c>
      <x:c r="V2099" t="str"/>
    </x:row>
    <x:row r="2100">
      <x:c r="A2100" s="52" t="n">
        <x:v>46186</x:v>
      </x:c>
      <x:c r="B2100" t="str">
        <x:v>PED-102099</x:v>
      </x:c>
      <x:c r="C2100" t="str">
        <x:v>Cliente 001</x:v>
      </x:c>
      <x:c r="D2100" t="str">
        <x:v>SP</x:v>
      </x:c>
      <x:c r="E2100" t="str">
        <x:v>Sudeste</x:v>
      </x:c>
      <x:c r="F2100" t="str">
        <x:v>E-commerce</x:v>
      </x:c>
      <x:c r="G2100" t="str">
        <x:v>Escritório</x:v>
      </x:c>
      <x:c r="H2100" t="str">
        <x:v>Luminária LED</x:v>
      </x:c>
      <x:c r="I2100" t="str">
        <x:v>Bruno</x:v>
      </x:c>
      <x:c r="J2100" s="53" t="n">
        <x:v>3</x:v>
      </x:c>
      <x:c r="K2100" s="54" t="n">
        <x:v>250.89</x:v>
      </x:c>
      <x:c r="L2100" s="54" t="n">
        <x:v>123.9</x:v>
      </x:c>
      <x:c r="M2100" s="55" t="n">
        <x:v>0</x:v>
      </x:c>
      <x:c r="N2100" s="54" t="n">
        <x:f>ROUND(J2100*K2100,2)</x:f>
        <x:v>752.67</x:v>
      </x:c>
      <x:c r="O2100" s="54" t="n">
        <x:f>ROUND(N2100*(1-M2100),2)</x:f>
        <x:v>752.67</x:v>
      </x:c>
      <x:c r="P2100" s="54" t="n">
        <x:f>ROUND(J2100*L2100,2)</x:f>
        <x:v>371.7</x:v>
      </x:c>
      <x:c r="Q2100" s="54" t="n">
        <x:f>ROUND(O2100-P2100,2)</x:f>
        <x:v>380.97</x:v>
      </x:c>
      <x:c r="R2100" s="55" t="n">
        <x:f>IF(O2100=0,0,ROUND(Q2100/O2100,4))</x:f>
        <x:v>0.5062</x:v>
      </x:c>
      <x:c r="S2100" s="53" t="n">
        <x:v>3</x:v>
      </x:c>
      <x:c r="T2100" t="str">
        <x:v>Entregue</x:v>
      </x:c>
      <x:c r="U2100" t="n">
        <x:v>2</x:v>
      </x:c>
      <x:c r="V2100" t="str"/>
    </x:row>
    <x:row r="2101">
      <x:c r="A2101" s="52" t="n">
        <x:v>46203</x:v>
      </x:c>
      <x:c r="B2101" t="str">
        <x:v>PED-102100</x:v>
      </x:c>
      <x:c r="C2101" t="str">
        <x:v>Cliente 023</x:v>
      </x:c>
      <x:c r="D2101" t="str">
        <x:v>MG</x:v>
      </x:c>
      <x:c r="E2101" t="str">
        <x:v>Sudeste</x:v>
      </x:c>
      <x:c r="F2101" t="str">
        <x:v>Televendas</x:v>
      </x:c>
      <x:c r="G2101" t="str">
        <x:v>Acessórios</x:v>
      </x:c>
      <x:c r="H2101" t="str">
        <x:v>Mochila Executiva</x:v>
      </x:c>
      <x:c r="I2101" t="str">
        <x:v>Diego</x:v>
      </x:c>
      <x:c r="J2101" s="53" t="n">
        <x:v>6</x:v>
      </x:c>
      <x:c r="K2101" s="54" t="n">
        <x:v>414.19</x:v>
      </x:c>
      <x:c r="L2101" s="54" t="n">
        <x:v>192.63</x:v>
      </x:c>
      <x:c r="M2101" s="55" t="n">
        <x:v>0</x:v>
      </x:c>
      <x:c r="N2101" s="54" t="n">
        <x:f>ROUND(J2101*K2101,2)</x:f>
        <x:v>2485.14</x:v>
      </x:c>
      <x:c r="O2101" s="54" t="n">
        <x:f>ROUND(N2101*(1-M2101),2)</x:f>
        <x:v>2485.14</x:v>
      </x:c>
      <x:c r="P2101" s="54" t="n">
        <x:f>ROUND(J2101*L2101,2)</x:f>
        <x:v>1155.78</x:v>
      </x:c>
      <x:c r="Q2101" s="54" t="n">
        <x:f>ROUND(O2101-P2101,2)</x:f>
        <x:v>1329.36</x:v>
      </x:c>
      <x:c r="R2101" s="55" t="n">
        <x:f>IF(O2101=0,0,ROUND(Q2101/O2101,4))</x:f>
        <x:v>0.5349</x:v>
      </x:c>
      <x:c r="S2101" s="53" t="n">
        <x:v>4</x:v>
      </x:c>
      <x:c r="T2101" t="str">
        <x:v>Entregue</x:v>
      </x:c>
      <x:c r="U2101" t="n">
        <x:v>2</x:v>
      </x:c>
      <x:c r="V2101" t="str"/>
    </x:row>
    <x:row r="2102">
      <x:c r="A2102" s="52" t="n">
        <x:v>46093</x:v>
      </x:c>
      <x:c r="B2102" t="str">
        <x:v>PED-102101</x:v>
      </x:c>
      <x:c r="C2102" t="str">
        <x:v>Cliente 078</x:v>
      </x:c>
      <x:c r="D2102" t="str">
        <x:v>AM</x:v>
      </x:c>
      <x:c r="E2102" t="str">
        <x:v>Norte</x:v>
      </x:c>
      <x:c r="F2102" t="str">
        <x:v>Televendas</x:v>
      </x:c>
      <x:c r="G2102" t="str">
        <x:v>Tecnologia</x:v>
      </x:c>
      <x:c r="H2102" t="str">
        <x:v>Notebook Pro</x:v>
      </x:c>
      <x:c r="I2102" t="str">
        <x:v>Henrique</x:v>
      </x:c>
      <x:c r="J2102" s="53" t="n">
        <x:v>2</x:v>
      </x:c>
      <x:c r="K2102" s="54" t="n">
        <x:v>5698.41</x:v>
      </x:c>
      <x:c r="L2102" s="54" t="n">
        <x:v>4440.75</x:v>
      </x:c>
      <x:c r="M2102" s="55" t="n">
        <x:v>0</x:v>
      </x:c>
      <x:c r="N2102" s="54" t="n">
        <x:f>ROUND(J2102*K2102,2)</x:f>
        <x:v>11396.82</x:v>
      </x:c>
      <x:c r="O2102" s="54" t="n">
        <x:f>ROUND(N2102*(1-M2102),2)</x:f>
        <x:v>11396.82</x:v>
      </x:c>
      <x:c r="P2102" s="54" t="n">
        <x:f>ROUND(J2102*L2102,2)</x:f>
        <x:v>8881.5</x:v>
      </x:c>
      <x:c r="Q2102" s="54" t="n">
        <x:f>ROUND(O2102-P2102,2)</x:f>
        <x:v>2515.32</x:v>
      </x:c>
      <x:c r="R2102" s="55" t="n">
        <x:f>IF(O2102=0,0,ROUND(Q2102/O2102,4))</x:f>
        <x:v>0.2207</x:v>
      </x:c>
      <x:c r="S2102" s="53" t="n">
        <x:v>8</x:v>
      </x:c>
      <x:c r="T2102" t="str">
        <x:v>Entregue</x:v>
      </x:c>
      <x:c r="U2102" t="n">
        <x:v>5</x:v>
      </x:c>
      <x:c r="V2102" t="str"/>
    </x:row>
    <x:row r="2103">
      <x:c r="A2103" s="52" t="n">
        <x:v>46169</x:v>
      </x:c>
      <x:c r="B2103" t="str">
        <x:v>PED-102102</x:v>
      </x:c>
      <x:c r="C2103" t="str">
        <x:v>Cliente 013</x:v>
      </x:c>
      <x:c r="D2103" t="str">
        <x:v>MA</x:v>
      </x:c>
      <x:c r="E2103" t="str">
        <x:v>Nordeste</x:v>
      </x:c>
      <x:c r="F2103" t="str">
        <x:v>E-commerce</x:v>
      </x:c>
      <x:c r="G2103" t="str">
        <x:v>Casa</x:v>
      </x:c>
      <x:c r="H2103" t="str">
        <x:v>Purificador</x:v>
      </x:c>
      <x:c r="I2103" t="str">
        <x:v>João</x:v>
      </x:c>
      <x:c r="J2103" s="53" t="n">
        <x:v>4</x:v>
      </x:c>
      <x:c r="K2103" s="54" t="n">
        <x:v>1252.26</x:v>
      </x:c>
      <x:c r="L2103" s="54" t="n">
        <x:v>822.96</x:v>
      </x:c>
      <x:c r="M2103" s="55" t="n">
        <x:v>0.0977</x:v>
      </x:c>
      <x:c r="N2103" s="54" t="n">
        <x:f>ROUND(J2103*K2103,2)</x:f>
        <x:v>5009.04</x:v>
      </x:c>
      <x:c r="O2103" s="54" t="n">
        <x:f>ROUND(N2103*(1-M2103),2)</x:f>
        <x:v>4519.66</x:v>
      </x:c>
      <x:c r="P2103" s="54" t="n">
        <x:f>ROUND(J2103*L2103,2)</x:f>
        <x:v>3291.84</x:v>
      </x:c>
      <x:c r="Q2103" s="54" t="n">
        <x:f>ROUND(O2103-P2103,2)</x:f>
        <x:v>1227.82</x:v>
      </x:c>
      <x:c r="R2103" s="55" t="n">
        <x:f>IF(O2103=0,0,ROUND(Q2103/O2103,4))</x:f>
        <x:v>0.2717</x:v>
      </x:c>
      <x:c r="S2103" s="53" t="n">
        <x:v>3</x:v>
      </x:c>
      <x:c r="T2103" t="str">
        <x:v>Entregue</x:v>
      </x:c>
      <x:c r="U2103" t="n">
        <x:v>2</x:v>
      </x:c>
      <x:c r="V2103" t="str"/>
    </x:row>
    <x:row r="2104">
      <x:c r="A2104" s="52" t="n">
        <x:v>46185</x:v>
      </x:c>
      <x:c r="B2104" t="str">
        <x:v>PED-102103</x:v>
      </x:c>
      <x:c r="C2104" t="str">
        <x:v>Cliente 076</x:v>
      </x:c>
      <x:c r="D2104" t="str">
        <x:v>SP</x:v>
      </x:c>
      <x:c r="E2104" t="str">
        <x:v>Sudeste</x:v>
      </x:c>
      <x:c r="F2104" t="str">
        <x:v>Marketplace</x:v>
      </x:c>
      <x:c r="G2104" t="str">
        <x:v>Acessórios</x:v>
      </x:c>
      <x:c r="H2104" t="str">
        <x:v>Mochila Executiva</x:v>
      </x:c>
      <x:c r="I2104" t="str">
        <x:v>Henrique</x:v>
      </x:c>
      <x:c r="J2104" s="53" t="n">
        <x:v>8</x:v>
      </x:c>
      <x:c r="K2104" s="54" t="n">
        <x:v>451.98</x:v>
      </x:c>
      <x:c r="L2104" s="54" t="n">
        <x:v>195.92</x:v>
      </x:c>
      <x:c r="M2104" s="55" t="n">
        <x:v>0.035</x:v>
      </x:c>
      <x:c r="N2104" s="54" t="n">
        <x:f>ROUND(J2104*K2104,2)</x:f>
        <x:v>3615.84</x:v>
      </x:c>
      <x:c r="O2104" s="54" t="n">
        <x:f>ROUND(N2104*(1-M2104),2)</x:f>
        <x:v>3489.29</x:v>
      </x:c>
      <x:c r="P2104" s="54" t="n">
        <x:f>ROUND(J2104*L2104,2)</x:f>
        <x:v>1567.36</x:v>
      </x:c>
      <x:c r="Q2104" s="54" t="n">
        <x:f>ROUND(O2104-P2104,2)</x:f>
        <x:v>1921.93</x:v>
      </x:c>
      <x:c r="R2104" s="55" t="n">
        <x:f>IF(O2104=0,0,ROUND(Q2104/O2104,4))</x:f>
        <x:v>0.5508</x:v>
      </x:c>
      <x:c r="S2104" s="53" t="n">
        <x:v>12</x:v>
      </x:c>
      <x:c r="T2104" t="str">
        <x:v>Entregue com atraso</x:v>
      </x:c>
      <x:c r="U2104" t="n">
        <x:v>3</x:v>
      </x:c>
      <x:c r="V2104" t="str"/>
    </x:row>
    <x:row r="2105">
      <x:c r="A2105" s="52" t="n">
        <x:v>46125</x:v>
      </x:c>
      <x:c r="B2105" t="str">
        <x:v>PED-102104</x:v>
      </x:c>
      <x:c r="C2105" t="str">
        <x:v>Cliente 068</x:v>
      </x:c>
      <x:c r="D2105" t="str">
        <x:v>MG</x:v>
      </x:c>
      <x:c r="E2105" t="str">
        <x:v>Sudeste</x:v>
      </x:c>
      <x:c r="F2105" t="str">
        <x:v>Televendas</x:v>
      </x:c>
      <x:c r="G2105" t="str">
        <x:v>Acessórios</x:v>
      </x:c>
      <x:c r="H2105" t="str">
        <x:v>Hub USB-C</x:v>
      </x:c>
      <x:c r="I2105" t="str">
        <x:v>Felipe</x:v>
      </x:c>
      <x:c r="J2105" s="53" t="n">
        <x:v>5</x:v>
      </x:c>
      <x:c r="K2105" s="54" t="n">
        <x:v>337.31</x:v>
      </x:c>
      <x:c r="L2105" s="54" t="n">
        <x:v>130.59</x:v>
      </x:c>
      <x:c r="M2105" s="55" t="n">
        <x:v>0.056</x:v>
      </x:c>
      <x:c r="N2105" s="54" t="n">
        <x:f>ROUND(J2105*K2105,2)</x:f>
        <x:v>1686.55</x:v>
      </x:c>
      <x:c r="O2105" s="54" t="n">
        <x:f>ROUND(N2105*(1-M2105),2)</x:f>
        <x:v>1592.1</x:v>
      </x:c>
      <x:c r="P2105" s="54" t="n">
        <x:f>ROUND(J2105*L2105,2)</x:f>
        <x:v>652.95</x:v>
      </x:c>
      <x:c r="Q2105" s="54" t="n">
        <x:f>ROUND(O2105-P2105,2)</x:f>
        <x:v>939.15</x:v>
      </x:c>
      <x:c r="R2105" s="55" t="n">
        <x:f>IF(O2105=0,0,ROUND(Q2105/O2105,4))</x:f>
        <x:v>0.5899</x:v>
      </x:c>
      <x:c r="S2105" s="53" t="n">
        <x:v>7</x:v>
      </x:c>
      <x:c r="T2105" t="str">
        <x:v>Entregue</x:v>
      </x:c>
      <x:c r="U2105" t="n">
        <x:v>2</x:v>
      </x:c>
      <x:c r="V2105" t="str"/>
    </x:row>
    <x:row r="2106">
      <x:c r="A2106" s="52" t="n">
        <x:v>46081</x:v>
      </x:c>
      <x:c r="B2106" t="str">
        <x:v>PED-102105</x:v>
      </x:c>
      <x:c r="C2106" t="str">
        <x:v>Cliente 091</x:v>
      </x:c>
      <x:c r="D2106" t="str">
        <x:v>DF</x:v>
      </x:c>
      <x:c r="E2106" t="str">
        <x:v>Centro-Oeste</x:v>
      </x:c>
      <x:c r="F2106" t="str">
        <x:v>Televendas</x:v>
      </x:c>
      <x:c r="G2106" t="str">
        <x:v>Casa</x:v>
      </x:c>
      <x:c r="H2106" t="str">
        <x:v>Purificador</x:v>
      </x:c>
      <x:c r="I2106" t="str">
        <x:v>Elaine</x:v>
      </x:c>
      <x:c r="J2106" s="53" t="n">
        <x:v>4</x:v>
      </x:c>
      <x:c r="K2106" s="54" t="n">
        <x:v>1216.12</x:v>
      </x:c>
      <x:c r="L2106" s="54" t="n">
        <x:v>804.13</x:v>
      </x:c>
      <x:c r="M2106" s="55" t="n">
        <x:v>0.0087</x:v>
      </x:c>
      <x:c r="N2106" s="54" t="n">
        <x:f>ROUND(J2106*K2106,2)</x:f>
        <x:v>4864.48</x:v>
      </x:c>
      <x:c r="O2106" s="54" t="n">
        <x:f>ROUND(N2106*(1-M2106),2)</x:f>
        <x:v>4822.16</x:v>
      </x:c>
      <x:c r="P2106" s="54" t="n">
        <x:f>ROUND(J2106*L2106,2)</x:f>
        <x:v>3216.52</x:v>
      </x:c>
      <x:c r="Q2106" s="54" t="n">
        <x:f>ROUND(O2106-P2106,2)</x:f>
        <x:v>1605.64</x:v>
      </x:c>
      <x:c r="R2106" s="55" t="n">
        <x:f>IF(O2106=0,0,ROUND(Q2106/O2106,4))</x:f>
        <x:v>0.333</x:v>
      </x:c>
      <x:c r="S2106" s="53" t="n">
        <x:v>7</x:v>
      </x:c>
      <x:c r="T2106" t="str">
        <x:v>Entregue</x:v>
      </x:c>
      <x:c r="U2106" t="n">
        <x:v>4</x:v>
      </x:c>
      <x:c r="V2106" t="str"/>
    </x:row>
    <x:row r="2107">
      <x:c r="A2107" s="52" t="n">
        <x:v>46227</x:v>
      </x:c>
      <x:c r="B2107" t="str">
        <x:v>PED-102106</x:v>
      </x:c>
      <x:c r="C2107" t="str">
        <x:v>Cliente 045</x:v>
      </x:c>
      <x:c r="D2107" t="str">
        <x:v>SC</x:v>
      </x:c>
      <x:c r="E2107" t="str">
        <x:v>Sul</x:v>
      </x:c>
      <x:c r="F2107" t="str">
        <x:v>Televendas</x:v>
      </x:c>
      <x:c r="G2107" t="str">
        <x:v>Acessórios</x:v>
      </x:c>
      <x:c r="H2107" t="str">
        <x:v>Webcam HD</x:v>
      </x:c>
      <x:c r="I2107" t="str">
        <x:v>Felipe</x:v>
      </x:c>
      <x:c r="J2107" s="53" t="n">
        <x:v>1</x:v>
      </x:c>
      <x:c r="K2107" s="54" t="n">
        <x:v>524.03</x:v>
      </x:c>
      <x:c r="L2107" s="54" t="n">
        <x:v>234.01</x:v>
      </x:c>
      <x:c r="M2107" s="55" t="n">
        <x:v>0.0161</x:v>
      </x:c>
      <x:c r="N2107" s="54" t="n">
        <x:f>ROUND(J2107*K2107,2)</x:f>
        <x:v>524.03</x:v>
      </x:c>
      <x:c r="O2107" s="54" t="n">
        <x:f>ROUND(N2107*(1-M2107),2)</x:f>
        <x:v>515.59</x:v>
      </x:c>
      <x:c r="P2107" s="54" t="n">
        <x:f>ROUND(J2107*L2107,2)</x:f>
        <x:v>234.01</x:v>
      </x:c>
      <x:c r="Q2107" s="54" t="n">
        <x:f>ROUND(O2107-P2107,2)</x:f>
        <x:v>281.58</x:v>
      </x:c>
      <x:c r="R2107" s="55" t="n">
        <x:f>IF(O2107=0,0,ROUND(Q2107/O2107,4))</x:f>
        <x:v>0.5461</x:v>
      </x:c>
      <x:c r="S2107" s="53" t="n">
        <x:v>8</x:v>
      </x:c>
      <x:c r="T2107" t="str">
        <x:v>Entregue</x:v>
      </x:c>
      <x:c r="U2107" t="n">
        <x:v>5</x:v>
      </x:c>
      <x:c r="V2107" t="str"/>
    </x:row>
    <x:row r="2108">
      <x:c r="A2108" s="52" t="n">
        <x:v>46122</x:v>
      </x:c>
      <x:c r="B2108" t="str">
        <x:v>PED-102107</x:v>
      </x:c>
      <x:c r="C2108" t="str">
        <x:v>Cliente 114</x:v>
      </x:c>
      <x:c r="D2108" t="str">
        <x:v>RJ</x:v>
      </x:c>
      <x:c r="E2108" t="str">
        <x:v>Sudeste</x:v>
      </x:c>
      <x:c r="F2108" t="str">
        <x:v>Loja</x:v>
      </x:c>
      <x:c r="G2108" t="str">
        <x:v>Escritório</x:v>
      </x:c>
      <x:c r="H2108" t="str">
        <x:v>Luminária LED</x:v>
      </x:c>
      <x:c r="I2108" t="str">
        <x:v>Felipe</x:v>
      </x:c>
      <x:c r="J2108" s="53" t="n">
        <x:v>3</x:v>
      </x:c>
      <x:c r="K2108" s="54" t="n">
        <x:v>247.35</x:v>
      </x:c>
      <x:c r="L2108" s="54" t="n">
        <x:v>120.09</x:v>
      </x:c>
      <x:c r="M2108" s="55" t="n">
        <x:v>0.0046</x:v>
      </x:c>
      <x:c r="N2108" s="54" t="n">
        <x:f>ROUND(J2108*K2108,2)</x:f>
        <x:v>742.05</x:v>
      </x:c>
      <x:c r="O2108" s="54" t="n">
        <x:f>ROUND(N2108*(1-M2108),2)</x:f>
        <x:v>738.64</x:v>
      </x:c>
      <x:c r="P2108" s="54" t="n">
        <x:f>ROUND(J2108*L2108,2)</x:f>
        <x:v>360.27</x:v>
      </x:c>
      <x:c r="Q2108" s="54" t="n">
        <x:f>ROUND(O2108-P2108,2)</x:f>
        <x:v>378.37</x:v>
      </x:c>
      <x:c r="R2108" s="55" t="n">
        <x:f>IF(O2108=0,0,ROUND(Q2108/O2108,4))</x:f>
        <x:v>0.5123</x:v>
      </x:c>
      <x:c r="S2108" s="53" t="n">
        <x:v>7</x:v>
      </x:c>
      <x:c r="T2108" t="str">
        <x:v>Entregue</x:v>
      </x:c>
      <x:c r="U2108" t="n">
        <x:v>5</x:v>
      </x:c>
      <x:c r="V2108" t="str"/>
    </x:row>
    <x:row r="2109">
      <x:c r="A2109" s="52" t="n">
        <x:v>46070</x:v>
      </x:c>
      <x:c r="B2109" t="str">
        <x:v>PED-102108</x:v>
      </x:c>
      <x:c r="C2109" t="str">
        <x:v>Cliente 035</x:v>
      </x:c>
      <x:c r="D2109" t="str">
        <x:v>PE</x:v>
      </x:c>
      <x:c r="E2109" t="str">
        <x:v>Nordeste</x:v>
      </x:c>
      <x:c r="F2109" t="str">
        <x:v>Loja</x:v>
      </x:c>
      <x:c r="G2109" t="str">
        <x:v>Acessórios</x:v>
      </x:c>
      <x:c r="H2109" t="str">
        <x:v>Hub USB-C</x:v>
      </x:c>
      <x:c r="I2109" t="str">
        <x:v>Gabriela</x:v>
      </x:c>
      <x:c r="J2109" s="53" t="n">
        <x:v>4</x:v>
      </x:c>
      <x:c r="K2109" s="54" t="n">
        <x:v>307.81</x:v>
      </x:c>
      <x:c r="L2109" s="54" t="n">
        <x:v>141.45</x:v>
      </x:c>
      <x:c r="M2109" s="55" t="n">
        <x:v>0</x:v>
      </x:c>
      <x:c r="N2109" s="54" t="n">
        <x:f>ROUND(J2109*K2109,2)</x:f>
        <x:v>1231.24</x:v>
      </x:c>
      <x:c r="O2109" s="54" t="n">
        <x:f>ROUND(N2109*(1-M2109),2)</x:f>
        <x:v>1231.24</x:v>
      </x:c>
      <x:c r="P2109" s="54" t="n">
        <x:f>ROUND(J2109*L2109,2)</x:f>
        <x:v>565.8</x:v>
      </x:c>
      <x:c r="Q2109" s="54" t="n">
        <x:f>ROUND(O2109-P2109,2)</x:f>
        <x:v>665.44</x:v>
      </x:c>
      <x:c r="R2109" s="55" t="n">
        <x:f>IF(O2109=0,0,ROUND(Q2109/O2109,4))</x:f>
        <x:v>0.5405</x:v>
      </x:c>
      <x:c r="S2109" s="53" t="n">
        <x:v>10</x:v>
      </x:c>
      <x:c r="T2109" t="str">
        <x:v>Entregue</x:v>
      </x:c>
      <x:c r="U2109" t="n">
        <x:v>2</x:v>
      </x:c>
      <x:c r="V2109" t="str"/>
    </x:row>
    <x:row r="2110">
      <x:c r="A2110" s="52" t="n">
        <x:v>46036</x:v>
      </x:c>
      <x:c r="B2110" t="str">
        <x:v>PED-102109</x:v>
      </x:c>
      <x:c r="C2110" t="str">
        <x:v>Cliente 103</x:v>
      </x:c>
      <x:c r="D2110" t="str">
        <x:v>PR</x:v>
      </x:c>
      <x:c r="E2110" t="str">
        <x:v>Sul</x:v>
      </x:c>
      <x:c r="F2110" t="str">
        <x:v>Loja</x:v>
      </x:c>
      <x:c r="G2110" t="str">
        <x:v>Casa</x:v>
      </x:c>
      <x:c r="H2110" t="str">
        <x:v>Purificador</x:v>
      </x:c>
      <x:c r="I2110" t="str">
        <x:v>Ana</x:v>
      </x:c>
      <x:c r="J2110" s="53" t="n">
        <x:v>6</x:v>
      </x:c>
      <x:c r="K2110" s="54" t="n">
        <x:v>1311.06</x:v>
      </x:c>
      <x:c r="L2110" s="54" t="n">
        <x:v>771.78</x:v>
      </x:c>
      <x:c r="M2110" s="55" t="n">
        <x:v>0.0755</x:v>
      </x:c>
      <x:c r="N2110" s="54" t="n">
        <x:f>ROUND(J2110*K2110,2)</x:f>
        <x:v>7866.36</x:v>
      </x:c>
      <x:c r="O2110" s="54" t="n">
        <x:f>ROUND(N2110*(1-M2110),2)</x:f>
        <x:v>7272.45</x:v>
      </x:c>
      <x:c r="P2110" s="54" t="n">
        <x:f>ROUND(J2110*L2110,2)</x:f>
        <x:v>4630.68</x:v>
      </x:c>
      <x:c r="Q2110" s="54" t="n">
        <x:f>ROUND(O2110-P2110,2)</x:f>
        <x:v>2641.77</x:v>
      </x:c>
      <x:c r="R2110" s="55" t="n">
        <x:f>IF(O2110=0,0,ROUND(Q2110/O2110,4))</x:f>
        <x:v>0.3633</x:v>
      </x:c>
      <x:c r="S2110" s="53" t="n">
        <x:v>14</x:v>
      </x:c>
      <x:c r="T2110" t="str">
        <x:v>Entregue com atraso</x:v>
      </x:c>
      <x:c r="U2110" t="n">
        <x:v>4</x:v>
      </x:c>
      <x:c r="V2110" t="str"/>
    </x:row>
    <x:row r="2111">
      <x:c r="A2111" s="52" t="n">
        <x:v>46206</x:v>
      </x:c>
      <x:c r="B2111" t="str">
        <x:v>PED-102110</x:v>
      </x:c>
      <x:c r="C2111" t="str">
        <x:v>Cliente 107</x:v>
      </x:c>
      <x:c r="D2111" t="str">
        <x:v>MA</x:v>
      </x:c>
      <x:c r="E2111" t="str">
        <x:v>Nordeste</x:v>
      </x:c>
      <x:c r="F2111" t="str">
        <x:v>Loja</x:v>
      </x:c>
      <x:c r="G2111" t="str">
        <x:v>Acessórios</x:v>
      </x:c>
      <x:c r="H2111" t="str">
        <x:v>Webcam HD</x:v>
      </x:c>
      <x:c r="I2111" t="str">
        <x:v>Elaine</x:v>
      </x:c>
      <x:c r="J2111" s="53" t="n">
        <x:v>7</x:v>
      </x:c>
      <x:c r="K2111" s="54" t="n">
        <x:v>527.48</x:v>
      </x:c>
      <x:c r="L2111" s="54" t="n">
        <x:v>255.95</x:v>
      </x:c>
      <x:c r="M2111" s="55" t="n">
        <x:v>0</x:v>
      </x:c>
      <x:c r="N2111" s="54" t="n">
        <x:f>ROUND(J2111*K2111,2)</x:f>
        <x:v>3692.36</x:v>
      </x:c>
      <x:c r="O2111" s="54" t="n">
        <x:f>ROUND(N2111*(1-M2111),2)</x:f>
        <x:v>3692.36</x:v>
      </x:c>
      <x:c r="P2111" s="54" t="n">
        <x:f>ROUND(J2111*L2111,2)</x:f>
        <x:v>1791.65</x:v>
      </x:c>
      <x:c r="Q2111" s="54" t="n">
        <x:f>ROUND(O2111-P2111,2)</x:f>
        <x:v>1900.71</x:v>
      </x:c>
      <x:c r="R2111" s="55" t="n">
        <x:f>IF(O2111=0,0,ROUND(Q2111/O2111,4))</x:f>
        <x:v>0.5148</x:v>
      </x:c>
      <x:c r="S2111" s="53" t="n">
        <x:v>14</x:v>
      </x:c>
      <x:c r="T2111" t="str">
        <x:v>Entregue com atraso</x:v>
      </x:c>
      <x:c r="U2111" t="n">
        <x:v>2</x:v>
      </x:c>
      <x:c r="V2111" t="str"/>
    </x:row>
    <x:row r="2112">
      <x:c r="A2112" s="52" t="n">
        <x:v>46051</x:v>
      </x:c>
      <x:c r="B2112" t="str">
        <x:v>PED-102111</x:v>
      </x:c>
      <x:c r="C2112" t="str">
        <x:v>Cliente 049</x:v>
      </x:c>
      <x:c r="D2112" t="str">
        <x:v>BA</x:v>
      </x:c>
      <x:c r="E2112" t="str">
        <x:v>Nordeste</x:v>
      </x:c>
      <x:c r="F2112" t="str">
        <x:v>Televendas</x:v>
      </x:c>
      <x:c r="G2112" t="str">
        <x:v>Tecnologia</x:v>
      </x:c>
      <x:c r="H2112" t="str">
        <x:v>Headset Office</x:v>
      </x:c>
      <x:c r="I2112" t="str">
        <x:v>Elaine</x:v>
      </x:c>
      <x:c r="J2112" s="53" t="n">
        <x:v>1</x:v>
      </x:c>
      <x:c r="K2112" s="54" t="n">
        <x:v>394.3</x:v>
      </x:c>
      <x:c r="L2112" s="54" t="n">
        <x:v>464.7</x:v>
      </x:c>
      <x:c r="M2112" s="55" t="n">
        <x:v>0</x:v>
      </x:c>
      <x:c r="N2112" s="54" t="n">
        <x:f>ROUND(J2112*K2112,2)</x:f>
        <x:v>394.3</x:v>
      </x:c>
      <x:c r="O2112" s="54" t="n">
        <x:f>ROUND(N2112*(1-M2112),2)</x:f>
        <x:v>394.3</x:v>
      </x:c>
      <x:c r="P2112" s="54" t="n">
        <x:f>ROUND(J2112*L2112,2)</x:f>
        <x:v>464.7</x:v>
      </x:c>
      <x:c r="Q2112" s="54" t="n">
        <x:f>ROUND(O2112-P2112,2)</x:f>
        <x:v>-70.4</x:v>
      </x:c>
      <x:c r="R2112" s="55" t="n">
        <x:f>IF(O2112=0,0,ROUND(Q2112/O2112,4))</x:f>
        <x:v>-0.1785</x:v>
      </x:c>
      <x:c r="S2112" s="53" t="n">
        <x:v>4</x:v>
      </x:c>
      <x:c r="T2112" t="str">
        <x:v>Entregue</x:v>
      </x:c>
      <x:c r="U2112" t="n">
        <x:v>2</x:v>
      </x:c>
      <x:c r="V2112" t="str">
        <x:v>Custo revisado após fechamento</x:v>
      </x:c>
    </x:row>
    <x:row r="2113">
      <x:c r="A2113" s="52" t="n">
        <x:v>46234</x:v>
      </x:c>
      <x:c r="B2113" t="str">
        <x:v>PED-102112</x:v>
      </x:c>
      <x:c r="C2113" t="str">
        <x:v>Cliente 013</x:v>
      </x:c>
      <x:c r="D2113" t="str">
        <x:v>GO</x:v>
      </x:c>
      <x:c r="E2113" t="str">
        <x:v>Centro-Oeste</x:v>
      </x:c>
      <x:c r="F2113" t="str">
        <x:v>E-commerce</x:v>
      </x:c>
      <x:c r="G2113" t="str">
        <x:v>Tecnologia</x:v>
      </x:c>
      <x:c r="H2113" t="str">
        <x:v>Monitor 27</x:v>
      </x:c>
      <x:c r="I2113" t="str">
        <x:v>Henrique</x:v>
      </x:c>
      <x:c r="J2113" s="53" t="n">
        <x:v>1</x:v>
      </x:c>
      <x:c r="K2113" s="54" t="n">
        <x:v>1757.68</x:v>
      </x:c>
      <x:c r="L2113" s="54" t="n">
        <x:v>1040.26</x:v>
      </x:c>
      <x:c r="M2113" s="55" t="n">
        <x:v>0</x:v>
      </x:c>
      <x:c r="N2113" s="54" t="n">
        <x:f>ROUND(J2113*K2113,2)</x:f>
        <x:v>1757.68</x:v>
      </x:c>
      <x:c r="O2113" s="54" t="n">
        <x:f>ROUND(N2113*(1-M2113),2)</x:f>
        <x:v>1757.68</x:v>
      </x:c>
      <x:c r="P2113" s="54" t="n">
        <x:f>ROUND(J2113*L2113,2)</x:f>
        <x:v>1040.26</x:v>
      </x:c>
      <x:c r="Q2113" s="54" t="n">
        <x:f>ROUND(O2113-P2113,2)</x:f>
        <x:v>717.42</x:v>
      </x:c>
      <x:c r="R2113" s="55" t="n">
        <x:f>IF(O2113=0,0,ROUND(Q2113/O2113,4))</x:f>
        <x:v>0.4082</x:v>
      </x:c>
      <x:c r="S2113" s="53" t="n">
        <x:v>12</x:v>
      </x:c>
      <x:c r="T2113" t="str">
        <x:v>Entregue com atraso</x:v>
      </x:c>
      <x:c r="U2113" t="n">
        <x:v>5</x:v>
      </x:c>
      <x:c r="V2113" t="str"/>
    </x:row>
    <x:row r="2114">
      <x:c r="A2114" s="52" t="n">
        <x:v>46117</x:v>
      </x:c>
      <x:c r="B2114" t="str">
        <x:v>PED-102113</x:v>
      </x:c>
      <x:c r="C2114" t="str">
        <x:v>Cliente 003</x:v>
      </x:c>
      <x:c r="D2114" t="str">
        <x:v>RJ</x:v>
      </x:c>
      <x:c r="E2114" t="str">
        <x:v>Sudeste</x:v>
      </x:c>
      <x:c r="F2114" t="str">
        <x:v>E-commerce</x:v>
      </x:c>
      <x:c r="G2114" t="str">
        <x:v>Casa</x:v>
      </x:c>
      <x:c r="H2114" t="str">
        <x:v>Purificador</x:v>
      </x:c>
      <x:c r="I2114" t="str">
        <x:v>Isabela</x:v>
      </x:c>
      <x:c r="J2114" s="53" t="n">
        <x:v>7</x:v>
      </x:c>
      <x:c r="K2114" s="54" t="n">
        <x:v>1311.89</x:v>
      </x:c>
      <x:c r="L2114" s="54" t="n">
        <x:v>765.58</x:v>
      </x:c>
      <x:c r="M2114" s="55" t="n">
        <x:v>0</x:v>
      </x:c>
      <x:c r="N2114" s="54" t="n">
        <x:f>ROUND(J2114*K2114,2)</x:f>
        <x:v>9183.23</x:v>
      </x:c>
      <x:c r="O2114" s="54" t="n">
        <x:f>ROUND(N2114*(1-M2114),2)</x:f>
        <x:v>9183.23</x:v>
      </x:c>
      <x:c r="P2114" s="54" t="n">
        <x:f>ROUND(J2114*L2114,2)</x:f>
        <x:v>5359.06</x:v>
      </x:c>
      <x:c r="Q2114" s="54" t="n">
        <x:f>ROUND(O2114-P2114,2)</x:f>
        <x:v>3824.17</x:v>
      </x:c>
      <x:c r="R2114" s="55" t="n">
        <x:f>IF(O2114=0,0,ROUND(Q2114/O2114,4))</x:f>
        <x:v>0.4164</x:v>
      </x:c>
      <x:c r="S2114" s="53" t="n">
        <x:v>6</x:v>
      </x:c>
      <x:c r="T2114" t="str">
        <x:v>Entregue</x:v>
      </x:c>
      <x:c r="U2114" t="n">
        <x:v>5</x:v>
      </x:c>
      <x:c r="V2114" t="str"/>
    </x:row>
    <x:row r="2115">
      <x:c r="A2115" s="52" t="n">
        <x:v>46053</x:v>
      </x:c>
      <x:c r="B2115" t="str">
        <x:v>PED-102114</x:v>
      </x:c>
      <x:c r="C2115" t="str">
        <x:v>Cliente 015</x:v>
      </x:c>
      <x:c r="D2115" t="str">
        <x:v>MA</x:v>
      </x:c>
      <x:c r="E2115" t="str">
        <x:v>Nordeste</x:v>
      </x:c>
      <x:c r="F2115" t="str">
        <x:v>E-commerce</x:v>
      </x:c>
      <x:c r="G2115" t="str">
        <x:v>Casa</x:v>
      </x:c>
      <x:c r="H2115" t="str">
        <x:v>Purificador</x:v>
      </x:c>
      <x:c r="I2115" t="str">
        <x:v>Elaine</x:v>
      </x:c>
      <x:c r="J2115" s="53" t="n">
        <x:v>5</x:v>
      </x:c>
      <x:c r="K2115" s="54" t="n">
        <x:v>1294.53</x:v>
      </x:c>
      <x:c r="L2115" s="54" t="n">
        <x:v>807.83</x:v>
      </x:c>
      <x:c r="M2115" s="55" t="n">
        <x:v>0.068</x:v>
      </x:c>
      <x:c r="N2115" s="54" t="n">
        <x:f>ROUND(J2115*K2115,2)</x:f>
        <x:v>6472.65</x:v>
      </x:c>
      <x:c r="O2115" s="54" t="n">
        <x:f>ROUND(N2115*(1-M2115),2)</x:f>
        <x:v>6032.51</x:v>
      </x:c>
      <x:c r="P2115" s="54" t="n">
        <x:f>ROUND(J2115*L2115,2)</x:f>
        <x:v>4039.15</x:v>
      </x:c>
      <x:c r="Q2115" s="54" t="n">
        <x:f>ROUND(O2115-P2115,2)</x:f>
        <x:v>1993.36</x:v>
      </x:c>
      <x:c r="R2115" s="55" t="n">
        <x:f>IF(O2115=0,0,ROUND(Q2115/O2115,4))</x:f>
        <x:v>0.3304</x:v>
      </x:c>
      <x:c r="S2115" s="53" t="n">
        <x:v>5</x:v>
      </x:c>
      <x:c r="T2115" t="str">
        <x:v>Entregue</x:v>
      </x:c>
      <x:c r="U2115" t="n">
        <x:v>3</x:v>
      </x:c>
      <x:c r="V2115" t="str"/>
    </x:row>
    <x:row r="2116">
      <x:c r="A2116" s="52" t="n">
        <x:v>46131</x:v>
      </x:c>
      <x:c r="B2116" t="str">
        <x:v>PED-102115</x:v>
      </x:c>
      <x:c r="C2116" t="str">
        <x:v>Cliente 119</x:v>
      </x:c>
      <x:c r="D2116" t="str">
        <x:v>DF</x:v>
      </x:c>
      <x:c r="E2116" t="str">
        <x:v>Centro-Oeste</x:v>
      </x:c>
      <x:c r="F2116" t="str">
        <x:v>Televendas</x:v>
      </x:c>
      <x:c r="G2116" t="str">
        <x:v>Tecnologia</x:v>
      </x:c>
      <x:c r="H2116" t="str">
        <x:v>Monitor 27</x:v>
      </x:c>
      <x:c r="I2116" t="str">
        <x:v>Felipe</x:v>
      </x:c>
      <x:c r="J2116" s="53" t="n">
        <x:v>4</x:v>
      </x:c>
      <x:c r="K2116" s="54" t="n">
        <x:v>1781.2</x:v>
      </x:c>
      <x:c r="L2116" s="54" t="n">
        <x:v>1058.29</x:v>
      </x:c>
      <x:c r="M2116" s="55" t="n">
        <x:v>0</x:v>
      </x:c>
      <x:c r="N2116" s="54" t="n">
        <x:f>ROUND(J2116*K2116,2)</x:f>
        <x:v>7124.8</x:v>
      </x:c>
      <x:c r="O2116" s="54" t="n">
        <x:f>ROUND(N2116*(1-M2116),2)</x:f>
        <x:v>7124.8</x:v>
      </x:c>
      <x:c r="P2116" s="54" t="n">
        <x:f>ROUND(J2116*L2116,2)</x:f>
        <x:v>4233.16</x:v>
      </x:c>
      <x:c r="Q2116" s="54" t="n">
        <x:f>ROUND(O2116-P2116,2)</x:f>
        <x:v>2891.64</x:v>
      </x:c>
      <x:c r="R2116" s="55" t="n">
        <x:f>IF(O2116=0,0,ROUND(Q2116/O2116,4))</x:f>
        <x:v>0.4059</x:v>
      </x:c>
      <x:c r="S2116" s="53" t="n">
        <x:v>2</x:v>
      </x:c>
      <x:c r="T2116" t="str">
        <x:v>Entregue</x:v>
      </x:c>
      <x:c r="U2116" t="n">
        <x:v>3</x:v>
      </x:c>
      <x:c r="V2116" t="str"/>
    </x:row>
    <x:row r="2117">
      <x:c r="A2117" s="52" t="n">
        <x:v>46199</x:v>
      </x:c>
      <x:c r="B2117" t="str">
        <x:v>PED-102116</x:v>
      </x:c>
      <x:c r="C2117" t="str">
        <x:v>Cliente 001</x:v>
      </x:c>
      <x:c r="D2117" t="str">
        <x:v>CE</x:v>
      </x:c>
      <x:c r="E2117" t="str">
        <x:v>Nordeste</x:v>
      </x:c>
      <x:c r="F2117" t="str">
        <x:v>Televendas</x:v>
      </x:c>
      <x:c r="G2117" t="str">
        <x:v>Escritório</x:v>
      </x:c>
      <x:c r="H2117" t="str">
        <x:v>Luminária LED</x:v>
      </x:c>
      <x:c r="I2117" t="str">
        <x:v>João</x:v>
      </x:c>
      <x:c r="J2117" s="53" t="n">
        <x:v>3</x:v>
      </x:c>
      <x:c r="K2117" s="54" t="n">
        <x:v>271.2</x:v>
      </x:c>
      <x:c r="L2117" s="54" t="n">
        <x:v>121.13</x:v>
      </x:c>
      <x:c r="M2117" s="55" t="n">
        <x:v>0</x:v>
      </x:c>
      <x:c r="N2117" s="54" t="n">
        <x:f>ROUND(J2117*K2117,2)</x:f>
        <x:v>813.6</x:v>
      </x:c>
      <x:c r="O2117" s="54" t="n">
        <x:f>ROUND(N2117*(1-M2117),2)</x:f>
        <x:v>813.6</x:v>
      </x:c>
      <x:c r="P2117" s="54" t="n">
        <x:f>ROUND(J2117*L2117,2)</x:f>
        <x:v>363.39</x:v>
      </x:c>
      <x:c r="Q2117" s="54" t="n">
        <x:f>ROUND(O2117-P2117,2)</x:f>
        <x:v>450.21</x:v>
      </x:c>
      <x:c r="R2117" s="55" t="n">
        <x:f>IF(O2117=0,0,ROUND(Q2117/O2117,4))</x:f>
        <x:v>0.5534</x:v>
      </x:c>
      <x:c r="S2117" s="53" t="n">
        <x:v>14</x:v>
      </x:c>
      <x:c r="T2117" t="str">
        <x:v>Entregue com atraso</x:v>
      </x:c>
      <x:c r="U2117" t="n">
        <x:v>2</x:v>
      </x:c>
      <x:c r="V2117" t="str"/>
    </x:row>
    <x:row r="2118">
      <x:c r="A2118" s="52" t="n">
        <x:v>46030</x:v>
      </x:c>
      <x:c r="B2118" t="str">
        <x:v>PED-102117</x:v>
      </x:c>
      <x:c r="C2118" t="str">
        <x:v>Cliente 060</x:v>
      </x:c>
      <x:c r="D2118" t="str">
        <x:v>RJ</x:v>
      </x:c>
      <x:c r="E2118" t="str">
        <x:v>Sudeste</x:v>
      </x:c>
      <x:c r="F2118" t="str">
        <x:v>Marketplace</x:v>
      </x:c>
      <x:c r="G2118" t="str">
        <x:v>Escritório</x:v>
      </x:c>
      <x:c r="H2118" t="str">
        <x:v>Cadeira Ergonômica</x:v>
      </x:c>
      <x:c r="I2118" t="str">
        <x:v>Henrique</x:v>
      </x:c>
      <x:c r="J2118" s="53" t="n">
        <x:v>3</x:v>
      </x:c>
      <x:c r="K2118" s="54" t="n">
        <x:v>2172.1</x:v>
      </x:c>
      <x:c r="L2118" s="54" t="n">
        <x:v>1360.82</x:v>
      </x:c>
      <x:c r="M2118" s="55" t="n">
        <x:v>0.035</x:v>
      </x:c>
      <x:c r="N2118" s="54" t="n">
        <x:f>ROUND(J2118*K2118,2)</x:f>
        <x:v>6516.3</x:v>
      </x:c>
      <x:c r="O2118" s="54" t="n">
        <x:f>ROUND(N2118*(1-M2118),2)</x:f>
        <x:v>6288.23</x:v>
      </x:c>
      <x:c r="P2118" s="54" t="n">
        <x:f>ROUND(J2118*L2118,2)</x:f>
        <x:v>4082.46</x:v>
      </x:c>
      <x:c r="Q2118" s="54" t="n">
        <x:f>ROUND(O2118-P2118,2)</x:f>
        <x:v>2205.77</x:v>
      </x:c>
      <x:c r="R2118" s="55" t="n">
        <x:f>IF(O2118=0,0,ROUND(Q2118/O2118,4))</x:f>
        <x:v>0.3508</x:v>
      </x:c>
      <x:c r="S2118" s="53" t="n">
        <x:v>2</x:v>
      </x:c>
      <x:c r="T2118" t="str">
        <x:v>Entregue</x:v>
      </x:c>
      <x:c r="U2118" t="n">
        <x:v>2</x:v>
      </x:c>
      <x:c r="V2118" t="str"/>
    </x:row>
    <x:row r="2119">
      <x:c r="A2119" s="52" t="n">
        <x:v>46167</x:v>
      </x:c>
      <x:c r="B2119" t="str">
        <x:v>PED-102118</x:v>
      </x:c>
      <x:c r="C2119" t="str">
        <x:v>Cliente 039</x:v>
      </x:c>
      <x:c r="D2119" t="str">
        <x:v>CE</x:v>
      </x:c>
      <x:c r="E2119" t="str">
        <x:v>Nordeste</x:v>
      </x:c>
      <x:c r="F2119" t="str">
        <x:v>E-commerce</x:v>
      </x:c>
      <x:c r="G2119" t="str">
        <x:v>Escritório</x:v>
      </x:c>
      <x:c r="H2119" t="str">
        <x:v>Luminária LED</x:v>
      </x:c>
      <x:c r="I2119" t="str">
        <x:v>Ana</x:v>
      </x:c>
      <x:c r="J2119" s="53" t="n">
        <x:v>8</x:v>
      </x:c>
      <x:c r="K2119" s="54" t="n">
        <x:v>269.34</x:v>
      </x:c>
      <x:c r="L2119" s="54" t="n">
        <x:v>127.27</x:v>
      </x:c>
      <x:c r="M2119" s="55" t="n">
        <x:v>0.0043</x:v>
      </x:c>
      <x:c r="N2119" s="54" t="n">
        <x:f>ROUND(J2119*K2119,2)</x:f>
        <x:v>2154.72</x:v>
      </x:c>
      <x:c r="O2119" s="54" t="n">
        <x:f>ROUND(N2119*(1-M2119),2)</x:f>
        <x:v>2145.45</x:v>
      </x:c>
      <x:c r="P2119" s="54" t="n">
        <x:f>ROUND(J2119*L2119,2)</x:f>
        <x:v>1018.16</x:v>
      </x:c>
      <x:c r="Q2119" s="54" t="n">
        <x:f>ROUND(O2119-P2119,2)</x:f>
        <x:v>1127.29</x:v>
      </x:c>
      <x:c r="R2119" s="55" t="n">
        <x:f>IF(O2119=0,0,ROUND(Q2119/O2119,4))</x:f>
        <x:v>0.5254</x:v>
      </x:c>
      <x:c r="S2119" s="53" t="n">
        <x:v>23</x:v>
      </x:c>
      <x:c r="T2119" t="str">
        <x:v>Entregue com atraso</x:v>
      </x:c>
      <x:c r="U2119" t="n">
        <x:v>1</x:v>
      </x:c>
      <x:c r="V2119" t="str">
        <x:v>Ocorrência logística</x:v>
      </x:c>
    </x:row>
    <x:row r="2120">
      <x:c r="A2120" s="52" t="n">
        <x:v>46232</x:v>
      </x:c>
      <x:c r="B2120" t="str">
        <x:v>PED-101300</x:v>
      </x:c>
      <x:c r="C2120" t="str">
        <x:v>Cliente 104</x:v>
      </x:c>
      <x:c r="D2120" t="str">
        <x:v>DF</x:v>
      </x:c>
      <x:c r="E2120" t="str">
        <x:v>Centro-Oeste</x:v>
      </x:c>
      <x:c r="F2120" t="str">
        <x:v>E-commerce</x:v>
      </x:c>
      <x:c r="G2120" t="str">
        <x:v>Escritório</x:v>
      </x:c>
      <x:c r="H2120" t="str">
        <x:v>Mesa Ajustável</x:v>
      </x:c>
      <x:c r="I2120" t="str">
        <x:v>Bruno</x:v>
      </x:c>
      <x:c r="J2120" s="53" t="n">
        <x:v>7</x:v>
      </x:c>
      <x:c r="K2120" s="54" t="n">
        <x:v>2716.57</x:v>
      </x:c>
      <x:c r="L2120" s="54" t="n">
        <x:v>1750.19</x:v>
      </x:c>
      <x:c r="M2120" s="55" t="n">
        <x:v>0</x:v>
      </x:c>
      <x:c r="N2120" s="54" t="n">
        <x:f>ROUND(J2120*K2120,2)</x:f>
        <x:v>19015.99</x:v>
      </x:c>
      <x:c r="O2120" s="54" t="n">
        <x:f>ROUND(N2120*(1-M2120),2)</x:f>
        <x:v>19015.99</x:v>
      </x:c>
      <x:c r="P2120" s="54" t="n">
        <x:f>ROUND(J2120*L2120,2)</x:f>
        <x:v>12251.33</x:v>
      </x:c>
      <x:c r="Q2120" s="54" t="n">
        <x:f>ROUND(O2120-P2120,2)</x:f>
        <x:v>6764.66</x:v>
      </x:c>
      <x:c r="R2120" s="55" t="n">
        <x:f>IF(O2120=0,0,ROUND(Q2120/O2120,4))</x:f>
        <x:v>0.3557</x:v>
      </x:c>
      <x:c r="S2120" s="53" t="n">
        <x:v>3</x:v>
      </x:c>
      <x:c r="T2120" t="str">
        <x:v>Entregue</x:v>
      </x:c>
      <x:c r="U2120" t="n">
        <x:v>5</x:v>
      </x:c>
      <x:c r="V2120" t="str"/>
    </x:row>
    <x:row r="2121">
      <x:c r="A2121" s="52" t="n">
        <x:v>46134</x:v>
      </x:c>
      <x:c r="B2121" t="str">
        <x:v>PED-102120</x:v>
      </x:c>
      <x:c r="C2121" t="str">
        <x:v>Cliente 059</x:v>
      </x:c>
      <x:c r="D2121" t="str">
        <x:v>RJ</x:v>
      </x:c>
      <x:c r="E2121" t="str">
        <x:v>Sudeste</x:v>
      </x:c>
      <x:c r="F2121" t="str">
        <x:v>E-commerce</x:v>
      </x:c>
      <x:c r="G2121" t="str">
        <x:v>Escritório</x:v>
      </x:c>
      <x:c r="H2121" t="str">
        <x:v>Mesa Ajustável</x:v>
      </x:c>
      <x:c r="I2121" t="str">
        <x:v>Henrique</x:v>
      </x:c>
      <x:c r="J2121" s="53" t="n">
        <x:v>2</x:v>
      </x:c>
      <x:c r="K2121" s="54" t="n">
        <x:v>2879.1</x:v>
      </x:c>
      <x:c r="L2121" s="54" t="n">
        <x:v>1786.06</x:v>
      </x:c>
      <x:c r="M2121" s="55" t="n">
        <x:v>0</x:v>
      </x:c>
      <x:c r="N2121" s="54" t="n">
        <x:f>ROUND(J2121*K2121,2)</x:f>
        <x:v>5758.2</x:v>
      </x:c>
      <x:c r="O2121" s="54" t="n">
        <x:f>ROUND(N2121*(1-M2121),2)</x:f>
        <x:v>5758.2</x:v>
      </x:c>
      <x:c r="P2121" s="54" t="n">
        <x:f>ROUND(J2121*L2121,2)</x:f>
        <x:v>3572.12</x:v>
      </x:c>
      <x:c r="Q2121" s="54" t="n">
        <x:f>ROUND(O2121-P2121,2)</x:f>
        <x:v>2186.08</x:v>
      </x:c>
      <x:c r="R2121" s="55" t="n">
        <x:f>IF(O2121=0,0,ROUND(Q2121/O2121,4))</x:f>
        <x:v>0.3796</x:v>
      </x:c>
      <x:c r="S2121" s="53" t="n">
        <x:v>13</x:v>
      </x:c>
      <x:c r="T2121" t="str">
        <x:v>Entregue com atraso</x:v>
      </x:c>
      <x:c r="U2121" t="n">
        <x:v>5</x:v>
      </x:c>
      <x:c r="V2121" t="str"/>
    </x:row>
    <x:row r="2122">
      <x:c r="A2122" s="52" t="n">
        <x:v>46078</x:v>
      </x:c>
      <x:c r="B2122" t="str">
        <x:v>PED-102121</x:v>
      </x:c>
      <x:c r="C2122" t="str">
        <x:v>Cliente 047</x:v>
      </x:c>
      <x:c r="D2122" t="str">
        <x:v>MA</x:v>
      </x:c>
      <x:c r="E2122" t="str">
        <x:v>Nordeste</x:v>
      </x:c>
      <x:c r="F2122" t="str">
        <x:v>E-commerce</x:v>
      </x:c>
      <x:c r="G2122" t="str">
        <x:v>Casa</x:v>
      </x:c>
      <x:c r="H2122" t="str">
        <x:v>Aspirador Robô</x:v>
      </x:c>
      <x:c r="I2122" t="str">
        <x:v>Diego</x:v>
      </x:c>
      <x:c r="J2122" s="53" t="n">
        <x:v>3</x:v>
      </x:c>
      <x:c r="K2122" s="54" t="n">
        <x:v>1876.89</x:v>
      </x:c>
      <x:c r="L2122" s="54" t="n">
        <x:v>1201.56</x:v>
      </x:c>
      <x:c r="M2122" s="55" t="n">
        <x:v>0</x:v>
      </x:c>
      <x:c r="N2122" s="54" t="n">
        <x:f>ROUND(J2122*K2122,2)</x:f>
        <x:v>5630.67</x:v>
      </x:c>
      <x:c r="O2122" s="54" t="n">
        <x:f>ROUND(N2122*(1-M2122),2)</x:f>
        <x:v>5630.67</x:v>
      </x:c>
      <x:c r="P2122" s="54" t="n">
        <x:f>ROUND(J2122*L2122,2)</x:f>
        <x:v>3604.68</x:v>
      </x:c>
      <x:c r="Q2122" s="54" t="n">
        <x:f>ROUND(O2122-P2122,2)</x:f>
        <x:v>2025.99</x:v>
      </x:c>
      <x:c r="R2122" s="55" t="n">
        <x:f>IF(O2122=0,0,ROUND(Q2122/O2122,4))</x:f>
        <x:v>0.3598</x:v>
      </x:c>
      <x:c r="S2122" s="53" t="n">
        <x:v>7</x:v>
      </x:c>
      <x:c r="T2122" t="str">
        <x:v>Entregue</x:v>
      </x:c>
      <x:c r="U2122" t="n">
        <x:v>2</x:v>
      </x:c>
      <x:c r="V2122" t="str"/>
    </x:row>
    <x:row r="2123">
      <x:c r="A2123" s="52" t="n">
        <x:v>46038</x:v>
      </x:c>
      <x:c r="B2123" t="str">
        <x:v>PED-102122</x:v>
      </x:c>
      <x:c r="C2123" t="str">
        <x:v>Cliente 036</x:v>
      </x:c>
      <x:c r="D2123" t="str">
        <x:v>PE</x:v>
      </x:c>
      <x:c r="E2123" t="str">
        <x:v>Nordeste</x:v>
      </x:c>
      <x:c r="F2123" t="str">
        <x:v>Marketplace</x:v>
      </x:c>
      <x:c r="G2123" t="str">
        <x:v>Casa</x:v>
      </x:c>
      <x:c r="H2123" t="str">
        <x:v>Purificador</x:v>
      </x:c>
      <x:c r="I2123" t="str">
        <x:v>Gabriela</x:v>
      </x:c>
      <x:c r="J2123" s="53" t="n">
        <x:v>1</x:v>
      </x:c>
      <x:c r="K2123" s="54" t="n">
        <x:v>1292.03</x:v>
      </x:c>
      <x:c r="L2123" s="54" t="n">
        <x:v>796.22</x:v>
      </x:c>
      <x:c r="M2123" s="55" t="n">
        <x:v>0.035</x:v>
      </x:c>
      <x:c r="N2123" s="54" t="n">
        <x:f>ROUND(J2123*K2123,2)</x:f>
        <x:v>1292.03</x:v>
      </x:c>
      <x:c r="O2123" s="54" t="n">
        <x:f>ROUND(N2123*(1-M2123),2)</x:f>
        <x:v>1246.81</x:v>
      </x:c>
      <x:c r="P2123" s="54" t="n">
        <x:f>ROUND(J2123*L2123,2)</x:f>
        <x:v>796.22</x:v>
      </x:c>
      <x:c r="Q2123" s="54" t="n">
        <x:f>ROUND(O2123-P2123,2)</x:f>
        <x:v>450.59</x:v>
      </x:c>
      <x:c r="R2123" s="55" t="n">
        <x:f>IF(O2123=0,0,ROUND(Q2123/O2123,4))</x:f>
        <x:v>0.3614</x:v>
      </x:c>
      <x:c r="S2123" s="53" t="n">
        <x:v>13</x:v>
      </x:c>
      <x:c r="T2123" t="str">
        <x:v>Entregue com atraso</x:v>
      </x:c>
      <x:c r="U2123" t="n">
        <x:v>3</x:v>
      </x:c>
      <x:c r="V2123" t="str"/>
    </x:row>
    <x:row r="2124">
      <x:c r="A2124" s="52" t="n">
        <x:v>46087</x:v>
      </x:c>
      <x:c r="B2124" t="str">
        <x:v>PED-102123</x:v>
      </x:c>
      <x:c r="C2124" t="str">
        <x:v>Cliente 090</x:v>
      </x:c>
      <x:c r="D2124" t="str">
        <x:v>MG</x:v>
      </x:c>
      <x:c r="E2124" t="str">
        <x:v>Sudeste</x:v>
      </x:c>
      <x:c r="F2124" t="str">
        <x:v>E-commerce</x:v>
      </x:c>
      <x:c r="G2124" t="str">
        <x:v>Acessórios</x:v>
      </x:c>
      <x:c r="H2124" t="str">
        <x:v>Webcam HD</x:v>
      </x:c>
      <x:c r="I2124" t="str">
        <x:v>Gabriela</x:v>
      </x:c>
      <x:c r="J2124" s="53" t="n">
        <x:v>6</x:v>
      </x:c>
      <x:c r="K2124" s="54" t="n">
        <x:v>532.61</x:v>
      </x:c>
      <x:c r="L2124" s="54" t="n">
        <x:v>233.55</x:v>
      </x:c>
      <x:c r="M2124" s="55" t="n">
        <x:v>0.126</x:v>
      </x:c>
      <x:c r="N2124" s="54" t="n">
        <x:f>ROUND(J2124*K2124,2)</x:f>
        <x:v>3195.66</x:v>
      </x:c>
      <x:c r="O2124" s="54" t="n">
        <x:f>ROUND(N2124*(1-M2124),2)</x:f>
        <x:v>2793.01</x:v>
      </x:c>
      <x:c r="P2124" s="54" t="n">
        <x:f>ROUND(J2124*L2124,2)</x:f>
        <x:v>1401.3</x:v>
      </x:c>
      <x:c r="Q2124" s="54" t="n">
        <x:f>ROUND(O2124-P2124,2)</x:f>
        <x:v>1391.71</x:v>
      </x:c>
      <x:c r="R2124" s="55" t="n">
        <x:f>IF(O2124=0,0,ROUND(Q2124/O2124,4))</x:f>
        <x:v>0.4983</x:v>
      </x:c>
      <x:c r="S2124" s="53" t="n">
        <x:v>13</x:v>
      </x:c>
      <x:c r="T2124" t="str">
        <x:v>Entregue com atraso</x:v>
      </x:c>
      <x:c r="U2124" t="n">
        <x:v>2</x:v>
      </x:c>
      <x:c r="V2124" t="str"/>
    </x:row>
    <x:row r="2125">
      <x:c r="A2125" s="52" t="n">
        <x:v>46115</x:v>
      </x:c>
      <x:c r="B2125" t="str">
        <x:v>PED-102124</x:v>
      </x:c>
      <x:c r="C2125" t="str">
        <x:v>Cliente 080</x:v>
      </x:c>
      <x:c r="D2125" t="str">
        <x:v>RS</x:v>
      </x:c>
      <x:c r="E2125" t="str">
        <x:v>Sul</x:v>
      </x:c>
      <x:c r="F2125" t="str">
        <x:v>Televendas</x:v>
      </x:c>
      <x:c r="G2125" t="str">
        <x:v>Casa</x:v>
      </x:c>
      <x:c r="H2125" t="str">
        <x:v>Cafeteira Smart</x:v>
      </x:c>
      <x:c r="I2125" t="str">
        <x:v>João</x:v>
      </x:c>
      <x:c r="J2125" s="53" t="n">
        <x:v>6</x:v>
      </x:c>
      <x:c r="K2125" s="54" t="n">
        <x:v>803.91</x:v>
      </x:c>
      <x:c r="L2125" s="54" t="n">
        <x:v>471.16</x:v>
      </x:c>
      <x:c r="M2125" s="55" t="n">
        <x:v>0.0915</x:v>
      </x:c>
      <x:c r="N2125" s="54" t="n">
        <x:f>ROUND(J2125*K2125,2)</x:f>
        <x:v>4823.46</x:v>
      </x:c>
      <x:c r="O2125" s="54" t="n">
        <x:f>ROUND(N2125*(1-M2125),2)</x:f>
        <x:v>4382.11</x:v>
      </x:c>
      <x:c r="P2125" s="54" t="n">
        <x:f>ROUND(J2125*L2125,2)</x:f>
        <x:v>2826.96</x:v>
      </x:c>
      <x:c r="Q2125" s="54" t="n">
        <x:f>ROUND(O2125-P2125,2)</x:f>
        <x:v>1555.15</x:v>
      </x:c>
      <x:c r="R2125" s="55" t="n">
        <x:f>IF(O2125=0,0,ROUND(Q2125/O2125,4))</x:f>
        <x:v>0.3549</x:v>
      </x:c>
      <x:c r="S2125" s="53" t="n">
        <x:v>5</x:v>
      </x:c>
      <x:c r="T2125" t="str">
        <x:v>Entregue</x:v>
      </x:c>
      <x:c r="U2125" t="n">
        <x:v>4</x:v>
      </x:c>
      <x:c r="V2125" t="str"/>
    </x:row>
    <x:row r="2126">
      <x:c r="A2126" s="52" t="n">
        <x:v>46177</x:v>
      </x:c>
      <x:c r="B2126" t="str">
        <x:v>PED-102125</x:v>
      </x:c>
      <x:c r="C2126" t="str">
        <x:v>Cliente 098</x:v>
      </x:c>
      <x:c r="D2126" t="str">
        <x:v>BA</x:v>
      </x:c>
      <x:c r="E2126" t="str">
        <x:v>Nordeste</x:v>
      </x:c>
      <x:c r="F2126" t="str">
        <x:v>Loja</x:v>
      </x:c>
      <x:c r="G2126" t="str">
        <x:v>Escritório</x:v>
      </x:c>
      <x:c r="H2126" t="str">
        <x:v>Mesa Ajustável</x:v>
      </x:c>
      <x:c r="I2126" t="str">
        <x:v>Isabela</x:v>
      </x:c>
      <x:c r="J2126" s="53" t="n">
        <x:v>8</x:v>
      </x:c>
      <x:c r="K2126" s="54" t="n">
        <x:v>2920.68</x:v>
      </x:c>
      <x:c r="L2126" s="54" t="n">
        <x:v>1812.17</x:v>
      </x:c>
      <x:c r="M2126" s="55" t="n">
        <x:v>0</x:v>
      </x:c>
      <x:c r="N2126" s="54" t="n">
        <x:f>ROUND(J2126*K2126,2)</x:f>
        <x:v>23365.44</x:v>
      </x:c>
      <x:c r="O2126" s="54" t="n">
        <x:f>ROUND(N2126*(1-M2126),2)</x:f>
        <x:v>23365.44</x:v>
      </x:c>
      <x:c r="P2126" s="54" t="n">
        <x:f>ROUND(J2126*L2126,2)</x:f>
        <x:v>14497.36</x:v>
      </x:c>
      <x:c r="Q2126" s="54" t="n">
        <x:f>ROUND(O2126-P2126,2)</x:f>
        <x:v>8868.08</x:v>
      </x:c>
      <x:c r="R2126" s="55" t="n">
        <x:f>IF(O2126=0,0,ROUND(Q2126/O2126,4))</x:f>
        <x:v>0.3795</x:v>
      </x:c>
      <x:c r="S2126" s="53" t="n">
        <x:v>11</x:v>
      </x:c>
      <x:c r="T2126" t="str">
        <x:v>Entregue com atraso</x:v>
      </x:c>
      <x:c r="U2126" t="n">
        <x:v>5</x:v>
      </x:c>
      <x:c r="V2126" t="str"/>
    </x:row>
    <x:row r="2127">
      <x:c r="A2127" s="52" t="n">
        <x:v>46130</x:v>
      </x:c>
      <x:c r="B2127" t="str">
        <x:v>PED-102126</x:v>
      </x:c>
      <x:c r="C2127" t="str">
        <x:v>Cliente 101</x:v>
      </x:c>
      <x:c r="D2127" t="str">
        <x:v>SP</x:v>
      </x:c>
      <x:c r="E2127" t="str">
        <x:v>Sudeste</x:v>
      </x:c>
      <x:c r="F2127" t="str">
        <x:v>Televendas</x:v>
      </x:c>
      <x:c r="G2127" t="str">
        <x:v>Acessórios</x:v>
      </x:c>
      <x:c r="H2127" t="str">
        <x:v>Webcam HD</x:v>
      </x:c>
      <x:c r="I2127" t="str">
        <x:v>Bruno</x:v>
      </x:c>
      <x:c r="J2127" s="53" t="n">
        <x:v>5</x:v>
      </x:c>
      <x:c r="K2127" s="54" t="n">
        <x:v>513.9</x:v>
      </x:c>
      <x:c r="L2127" s="54" t="n">
        <x:v>245.37</x:v>
      </x:c>
      <x:c r="M2127" s="55" t="n">
        <x:v>0.068</x:v>
      </x:c>
      <x:c r="N2127" s="54" t="n">
        <x:f>ROUND(J2127*K2127,2)</x:f>
        <x:v>2569.5</x:v>
      </x:c>
      <x:c r="O2127" s="54" t="n">
        <x:f>ROUND(N2127*(1-M2127),2)</x:f>
        <x:v>2394.77</x:v>
      </x:c>
      <x:c r="P2127" s="54" t="n">
        <x:f>ROUND(J2127*L2127,2)</x:f>
        <x:v>1226.85</x:v>
      </x:c>
      <x:c r="Q2127" s="54" t="n">
        <x:f>ROUND(O2127-P2127,2)</x:f>
        <x:v>1167.92</x:v>
      </x:c>
      <x:c r="R2127" s="55" t="n">
        <x:f>IF(O2127=0,0,ROUND(Q2127/O2127,4))</x:f>
        <x:v>0.4877</x:v>
      </x:c>
      <x:c r="S2127" s="53" t="n">
        <x:v>8</x:v>
      </x:c>
      <x:c r="T2127" t="str">
        <x:v>Entregue</x:v>
      </x:c>
      <x:c r="U2127" t="n">
        <x:v>3</x:v>
      </x:c>
      <x:c r="V2127" t="str"/>
    </x:row>
    <x:row r="2128">
      <x:c r="A2128" s="52" t="n">
        <x:v>46188</x:v>
      </x:c>
      <x:c r="B2128" t="str">
        <x:v>PED-102127</x:v>
      </x:c>
      <x:c r="C2128" t="str">
        <x:v>Cliente 042</x:v>
      </x:c>
      <x:c r="D2128" t="str">
        <x:v>GO</x:v>
      </x:c>
      <x:c r="E2128" t="str">
        <x:v>Centro-Oeste</x:v>
      </x:c>
      <x:c r="F2128" t="str">
        <x:v>E-commerce</x:v>
      </x:c>
      <x:c r="G2128" t="str">
        <x:v>Tecnologia</x:v>
      </x:c>
      <x:c r="H2128" t="str">
        <x:v>Notebook Pro</x:v>
      </x:c>
      <x:c r="I2128" t="str">
        <x:v>Diego</x:v>
      </x:c>
      <x:c r="J2128" s="53" t="n">
        <x:v>5</x:v>
      </x:c>
      <x:c r="K2128" s="54" t="n">
        <x:v>5784.95</x:v>
      </x:c>
      <x:c r="L2128" s="54" t="n">
        <x:v>4268.86</x:v>
      </x:c>
      <x:c r="M2128" s="55" t="n">
        <x:v>0.0176</x:v>
      </x:c>
      <x:c r="N2128" s="54" t="n">
        <x:f>ROUND(J2128*K2128,2)</x:f>
        <x:v>28924.75</x:v>
      </x:c>
      <x:c r="O2128" s="54" t="n">
        <x:f>ROUND(N2128*(1-M2128),2)</x:f>
        <x:v>28415.67</x:v>
      </x:c>
      <x:c r="P2128" s="54" t="n">
        <x:f>ROUND(J2128*L2128,2)</x:f>
        <x:v>21344.3</x:v>
      </x:c>
      <x:c r="Q2128" s="54" t="n">
        <x:f>ROUND(O2128-P2128,2)</x:f>
        <x:v>7071.37</x:v>
      </x:c>
      <x:c r="R2128" s="55" t="n">
        <x:f>IF(O2128=0,0,ROUND(Q2128/O2128,4))</x:f>
        <x:v>0.2489</x:v>
      </x:c>
      <x:c r="S2128" s="53" t="n">
        <x:v>6</x:v>
      </x:c>
      <x:c r="T2128" t="str">
        <x:v>Entregue</x:v>
      </x:c>
      <x:c r="U2128" t="n">
        <x:v>2</x:v>
      </x:c>
      <x:c r="V2128" t="str"/>
    </x:row>
    <x:row r="2129">
      <x:c r="A2129" s="52" t="n">
        <x:v>46211</x:v>
      </x:c>
      <x:c r="B2129" t="str">
        <x:v>PED-102128</x:v>
      </x:c>
      <x:c r="C2129" t="str">
        <x:v>Cliente 022</x:v>
      </x:c>
      <x:c r="D2129" t="str">
        <x:v>RJ</x:v>
      </x:c>
      <x:c r="E2129" t="str">
        <x:v>Sudeste</x:v>
      </x:c>
      <x:c r="F2129" t="str">
        <x:v>E-commerce</x:v>
      </x:c>
      <x:c r="G2129" t="str">
        <x:v>Casa</x:v>
      </x:c>
      <x:c r="H2129" t="str">
        <x:v>Aspirador Robô</x:v>
      </x:c>
      <x:c r="I2129" t="str">
        <x:v>Ana</x:v>
      </x:c>
      <x:c r="J2129" s="53" t="n">
        <x:v>8</x:v>
      </x:c>
      <x:c r="K2129" s="54" t="n">
        <x:v>1912.9</x:v>
      </x:c>
      <x:c r="L2129" s="54" t="n">
        <x:v>1243.46</x:v>
      </x:c>
      <x:c r="M2129" s="55" t="n">
        <x:v>0.0993</x:v>
      </x:c>
      <x:c r="N2129" s="54" t="n">
        <x:f>ROUND(J2129*K2129,2)</x:f>
        <x:v>15303.2</x:v>
      </x:c>
      <x:c r="O2129" s="54" t="n">
        <x:f>ROUND(N2129*(1-M2129),2)</x:f>
        <x:v>13783.59</x:v>
      </x:c>
      <x:c r="P2129" s="54" t="n">
        <x:f>ROUND(J2129*L2129,2)</x:f>
        <x:v>9947.68</x:v>
      </x:c>
      <x:c r="Q2129" s="54" t="n">
        <x:f>ROUND(O2129-P2129,2)</x:f>
        <x:v>3835.91</x:v>
      </x:c>
      <x:c r="R2129" s="55" t="n">
        <x:f>IF(O2129=0,0,ROUND(Q2129/O2129,4))</x:f>
        <x:v>0.2783</x:v>
      </x:c>
      <x:c r="S2129" s="53" t="n">
        <x:v>6</x:v>
      </x:c>
      <x:c r="T2129" t="str">
        <x:v>Entregue</x:v>
      </x:c>
      <x:c r="U2129" t="n">
        <x:v>2</x:v>
      </x:c>
      <x:c r="V2129" t="str"/>
    </x:row>
    <x:row r="2130">
      <x:c r="A2130" s="52" t="n">
        <x:v>46112</x:v>
      </x:c>
      <x:c r="B2130" t="str">
        <x:v>PED-102129</x:v>
      </x:c>
      <x:c r="C2130" t="str">
        <x:v>Cliente 002</x:v>
      </x:c>
      <x:c r="D2130" t="str">
        <x:v>SC</x:v>
      </x:c>
      <x:c r="E2130" t="str">
        <x:v>Sul</x:v>
      </x:c>
      <x:c r="F2130" t="str">
        <x:v>Marketplace</x:v>
      </x:c>
      <x:c r="G2130" t="str">
        <x:v>Acessórios</x:v>
      </x:c>
      <x:c r="H2130" t="str">
        <x:v>Hub USB-C</x:v>
      </x:c>
      <x:c r="I2130" t="str">
        <x:v>Ana</x:v>
      </x:c>
      <x:c r="J2130" s="53" t="n">
        <x:v>5</x:v>
      </x:c>
      <x:c r="K2130" s="54" t="n">
        <x:v>306.97</x:v>
      </x:c>
      <x:c r="L2130" s="54" t="n">
        <x:v>131.89</x:v>
      </x:c>
      <x:c r="M2130" s="55" t="n">
        <x:v>0.1222</x:v>
      </x:c>
      <x:c r="N2130" s="54" t="n">
        <x:f>ROUND(J2130*K2130,2)</x:f>
        <x:v>1534.85</x:v>
      </x:c>
      <x:c r="O2130" s="54" t="n">
        <x:f>ROUND(N2130*(1-M2130),2)</x:f>
        <x:v>1347.29</x:v>
      </x:c>
      <x:c r="P2130" s="54" t="n">
        <x:f>ROUND(J2130*L2130,2)</x:f>
        <x:v>659.45</x:v>
      </x:c>
      <x:c r="Q2130" s="54" t="n">
        <x:f>ROUND(O2130-P2130,2)</x:f>
        <x:v>687.84</x:v>
      </x:c>
      <x:c r="R2130" s="55" t="n">
        <x:f>IF(O2130=0,0,ROUND(Q2130/O2130,4))</x:f>
        <x:v>0.5105</x:v>
      </x:c>
      <x:c r="S2130" s="53" t="n">
        <x:v>5</x:v>
      </x:c>
      <x:c r="T2130" t="str">
        <x:v>Entregue</x:v>
      </x:c>
      <x:c r="U2130" t="n">
        <x:v>4</x:v>
      </x:c>
      <x:c r="V2130" t="str"/>
    </x:row>
    <x:row r="2131">
      <x:c r="A2131" s="52" t="n">
        <x:v>46047</x:v>
      </x:c>
      <x:c r="B2131" t="str">
        <x:v>PED-102130</x:v>
      </x:c>
      <x:c r="C2131" t="str">
        <x:v>Cliente 082</x:v>
      </x:c>
      <x:c r="D2131" t="str">
        <x:v>MG</x:v>
      </x:c>
      <x:c r="E2131" t="str">
        <x:v>Sudeste</x:v>
      </x:c>
      <x:c r="F2131" t="str">
        <x:v>Televendas</x:v>
      </x:c>
      <x:c r="G2131" t="str">
        <x:v>Tecnologia</x:v>
      </x:c>
      <x:c r="H2131" t="str">
        <x:v>Headset Office</x:v>
      </x:c>
      <x:c r="I2131" t="str">
        <x:v>Isabela</x:v>
      </x:c>
      <x:c r="J2131" s="53" t="n">
        <x:v>7</x:v>
      </x:c>
      <x:c r="K2131" s="54" t="n">
        <x:v>388.31</x:v>
      </x:c>
      <x:c r="L2131" s="54" t="n">
        <x:v>203.68</x:v>
      </x:c>
      <x:c r="M2131" s="55" t="n">
        <x:v>0</x:v>
      </x:c>
      <x:c r="N2131" s="54" t="n">
        <x:f>ROUND(J2131*K2131,2)</x:f>
        <x:v>2718.17</x:v>
      </x:c>
      <x:c r="O2131" s="54" t="n">
        <x:f>ROUND(N2131*(1-M2131),2)</x:f>
        <x:v>2718.17</x:v>
      </x:c>
      <x:c r="P2131" s="54" t="n">
        <x:f>ROUND(J2131*L2131,2)</x:f>
        <x:v>1425.76</x:v>
      </x:c>
      <x:c r="Q2131" s="54" t="n">
        <x:f>ROUND(O2131-P2131,2)</x:f>
        <x:v>1292.41</x:v>
      </x:c>
      <x:c r="R2131" s="55" t="n">
        <x:f>IF(O2131=0,0,ROUND(Q2131/O2131,4))</x:f>
        <x:v>0.4755</x:v>
      </x:c>
      <x:c r="S2131" s="53" t="n">
        <x:v>10</x:v>
      </x:c>
      <x:c r="T2131" t="str">
        <x:v>Entregue</x:v>
      </x:c>
      <x:c r="U2131" t="n">
        <x:v>5</x:v>
      </x:c>
      <x:c r="V2131" t="str"/>
    </x:row>
    <x:row r="2132">
      <x:c r="A2132" s="52" t="n">
        <x:v>46111</x:v>
      </x:c>
      <x:c r="B2132" t="str">
        <x:v>PED-102131</x:v>
      </x:c>
      <x:c r="C2132" t="str">
        <x:v>Cliente 114</x:v>
      </x:c>
      <x:c r="D2132" t="str">
        <x:v>ES</x:v>
      </x:c>
      <x:c r="E2132" t="str">
        <x:v>Sudeste</x:v>
      </x:c>
      <x:c r="F2132" t="str">
        <x:v>Televendas</x:v>
      </x:c>
      <x:c r="G2132" t="str">
        <x:v>Acessórios</x:v>
      </x:c>
      <x:c r="H2132" t="str">
        <x:v>Webcam HD</x:v>
      </x:c>
      <x:c r="I2132" t="str">
        <x:v>Diego</x:v>
      </x:c>
      <x:c r="J2132" s="53" t="n">
        <x:v>3</x:v>
      </x:c>
      <x:c r="K2132" s="54" t="n">
        <x:v>503.08</x:v>
      </x:c>
      <x:c r="L2132" s="54" t="n">
        <x:v>250.13</x:v>
      </x:c>
      <x:c r="M2132" s="55" t="n">
        <x:v>0</x:v>
      </x:c>
      <x:c r="N2132" s="54" t="n">
        <x:f>ROUND(J2132*K2132,2)</x:f>
        <x:v>1509.24</x:v>
      </x:c>
      <x:c r="O2132" s="54" t="n">
        <x:f>ROUND(N2132*(1-M2132),2)</x:f>
        <x:v>1509.24</x:v>
      </x:c>
      <x:c r="P2132" s="54" t="n">
        <x:f>ROUND(J2132*L2132,2)</x:f>
        <x:v>750.39</x:v>
      </x:c>
      <x:c r="Q2132" s="54" t="n">
        <x:f>ROUND(O2132-P2132,2)</x:f>
        <x:v>758.85</x:v>
      </x:c>
      <x:c r="R2132" s="55" t="n">
        <x:f>IF(O2132=0,0,ROUND(Q2132/O2132,4))</x:f>
        <x:v>0.5028</x:v>
      </x:c>
      <x:c r="S2132" s="53" t="n">
        <x:v>10</x:v>
      </x:c>
      <x:c r="T2132" t="str">
        <x:v>Entregue</x:v>
      </x:c>
      <x:c r="U2132" t="n">
        <x:v>5</x:v>
      </x:c>
      <x:c r="V2132" t="str"/>
    </x:row>
    <x:row r="2133">
      <x:c r="A2133" s="52" t="n">
        <x:v>46176</x:v>
      </x:c>
      <x:c r="B2133" t="str">
        <x:v>PED-102132</x:v>
      </x:c>
      <x:c r="C2133" t="str">
        <x:v>Cliente 078</x:v>
      </x:c>
      <x:c r="D2133" t="str">
        <x:v>SP</x:v>
      </x:c>
      <x:c r="E2133" t="str">
        <x:v>Sudeste</x:v>
      </x:c>
      <x:c r="F2133" t="str">
        <x:v>E-commerce</x:v>
      </x:c>
      <x:c r="G2133" t="str">
        <x:v>Tecnologia</x:v>
      </x:c>
      <x:c r="H2133" t="str">
        <x:v>Notebook Pro</x:v>
      </x:c>
      <x:c r="I2133" t="str">
        <x:v>Henrique</x:v>
      </x:c>
      <x:c r="J2133" s="53" t="n">
        <x:v>2</x:v>
      </x:c>
      <x:c r="K2133" s="54" t="n">
        <x:v>5744.13</x:v>
      </x:c>
      <x:c r="L2133" s="54" t="n">
        <x:v>4393.07</x:v>
      </x:c>
      <x:c r="M2133" s="55" t="n">
        <x:v>0.1195</x:v>
      </x:c>
      <x:c r="N2133" s="54" t="n">
        <x:f>ROUND(J2133*K2133,2)</x:f>
        <x:v>11488.26</x:v>
      </x:c>
      <x:c r="O2133" s="54" t="n">
        <x:f>ROUND(N2133*(1-M2133),2)</x:f>
        <x:v>10115.41</x:v>
      </x:c>
      <x:c r="P2133" s="54" t="n">
        <x:f>ROUND(J2133*L2133,2)</x:f>
        <x:v>8786.14</x:v>
      </x:c>
      <x:c r="Q2133" s="54" t="n">
        <x:f>ROUND(O2133-P2133,2)</x:f>
        <x:v>1329.27</x:v>
      </x:c>
      <x:c r="R2133" s="55" t="n">
        <x:f>IF(O2133=0,0,ROUND(Q2133/O2133,4))</x:f>
        <x:v>0.1314</x:v>
      </x:c>
      <x:c r="S2133" s="53" t="n">
        <x:v>5</x:v>
      </x:c>
      <x:c r="T2133" t="str">
        <x:v>Entregue</x:v>
      </x:c>
      <x:c r="U2133" t="n">
        <x:v>2</x:v>
      </x:c>
      <x:c r="V2133" t="str"/>
    </x:row>
    <x:row r="2134">
      <x:c r="A2134" s="52" t="n">
        <x:v>46113</x:v>
      </x:c>
      <x:c r="B2134" t="str">
        <x:v>PED-102133</x:v>
      </x:c>
      <x:c r="C2134" t="str">
        <x:v>Cliente 016</x:v>
      </x:c>
      <x:c r="D2134" t="str">
        <x:v>RS</x:v>
      </x:c>
      <x:c r="E2134" t="str">
        <x:v>Sul</x:v>
      </x:c>
      <x:c r="F2134" t="str">
        <x:v>E-commerce</x:v>
      </x:c>
      <x:c r="G2134" t="str">
        <x:v>Acessórios</x:v>
      </x:c>
      <x:c r="H2134" t="str">
        <x:v>Mochila Executiva</x:v>
      </x:c>
      <x:c r="I2134" t="str">
        <x:v>Henrique</x:v>
      </x:c>
      <x:c r="J2134" s="53" t="n">
        <x:v>4</x:v>
      </x:c>
      <x:c r="K2134" s="54" t="n">
        <x:v>407.2</x:v>
      </x:c>
      <x:c r="L2134" s="54" t="n">
        <x:v>197.97</x:v>
      </x:c>
      <x:c r="M2134" s="55" t="n">
        <x:v>0.0472</x:v>
      </x:c>
      <x:c r="N2134" s="54" t="n">
        <x:f>ROUND(J2134*K2134,2)</x:f>
        <x:v>1628.8</x:v>
      </x:c>
      <x:c r="O2134" s="54" t="n">
        <x:f>ROUND(N2134*(1-M2134),2)</x:f>
        <x:v>1551.92</x:v>
      </x:c>
      <x:c r="P2134" s="54" t="n">
        <x:f>ROUND(J2134*L2134,2)</x:f>
        <x:v>791.88</x:v>
      </x:c>
      <x:c r="Q2134" s="54" t="n">
        <x:f>ROUND(O2134-P2134,2)</x:f>
        <x:v>760.04</x:v>
      </x:c>
      <x:c r="R2134" s="55" t="n">
        <x:f>IF(O2134=0,0,ROUND(Q2134/O2134,4))</x:f>
        <x:v>0.4897</x:v>
      </x:c>
      <x:c r="S2134" s="53" t="n">
        <x:v>12</x:v>
      </x:c>
      <x:c r="T2134" t="str">
        <x:v>Entregue com atraso</x:v>
      </x:c>
      <x:c r="U2134" t="n">
        <x:v>5</x:v>
      </x:c>
      <x:c r="V2134" t="str"/>
    </x:row>
    <x:row r="2135">
      <x:c r="A2135" s="52" t="n">
        <x:v>46125</x:v>
      </x:c>
      <x:c r="B2135" t="str">
        <x:v>PED-102134</x:v>
      </x:c>
      <x:c r="C2135" t="str">
        <x:v>Cliente 112</x:v>
      </x:c>
      <x:c r="D2135" t="str">
        <x:v>MG</x:v>
      </x:c>
      <x:c r="E2135" t="str">
        <x:v>Sudeste</x:v>
      </x:c>
      <x:c r="F2135" t="str">
        <x:v>Marketplace</x:v>
      </x:c>
      <x:c r="G2135" t="str">
        <x:v>Casa</x:v>
      </x:c>
      <x:c r="H2135" t="str">
        <x:v>Aspirador Robô</x:v>
      </x:c>
      <x:c r="I2135" t="str">
        <x:v>Ana</x:v>
      </x:c>
      <x:c r="J2135" s="53" t="n">
        <x:v>5</x:v>
      </x:c>
      <x:c r="K2135" s="54" t="n">
        <x:v>1992.25</x:v>
      </x:c>
      <x:c r="L2135" s="54" t="n">
        <x:v>1235.98</x:v>
      </x:c>
      <x:c r="M2135" s="55" t="n">
        <x:v>0.035</x:v>
      </x:c>
      <x:c r="N2135" s="54" t="n">
        <x:f>ROUND(J2135*K2135,2)</x:f>
        <x:v>9961.25</x:v>
      </x:c>
      <x:c r="O2135" s="54" t="n">
        <x:f>ROUND(N2135*(1-M2135),2)</x:f>
        <x:v>9612.61</x:v>
      </x:c>
      <x:c r="P2135" s="54" t="n">
        <x:f>ROUND(J2135*L2135,2)</x:f>
        <x:v>6179.9</x:v>
      </x:c>
      <x:c r="Q2135" s="54" t="n">
        <x:f>ROUND(O2135-P2135,2)</x:f>
        <x:v>3432.71</x:v>
      </x:c>
      <x:c r="R2135" s="55" t="n">
        <x:f>IF(O2135=0,0,ROUND(Q2135/O2135,4))</x:f>
        <x:v>0.3571</x:v>
      </x:c>
      <x:c r="S2135" s="53" t="n">
        <x:v>3</x:v>
      </x:c>
      <x:c r="T2135" t="str">
        <x:v>Entregue</x:v>
      </x:c>
      <x:c r="U2135" t="n">
        <x:v>3</x:v>
      </x:c>
      <x:c r="V2135" t="str"/>
    </x:row>
    <x:row r="2136">
      <x:c r="A2136" s="52" t="n">
        <x:v>46078</x:v>
      </x:c>
      <x:c r="B2136" t="str">
        <x:v>PED-102135</x:v>
      </x:c>
      <x:c r="C2136" t="str">
        <x:v>Cliente 063</x:v>
      </x:c>
      <x:c r="D2136" t="str">
        <x:v>MA</x:v>
      </x:c>
      <x:c r="E2136" t="str">
        <x:v>Nordeste</x:v>
      </x:c>
      <x:c r="F2136" t="str">
        <x:v>E-commerce</x:v>
      </x:c>
      <x:c r="G2136" t="str">
        <x:v>Tecnologia</x:v>
      </x:c>
      <x:c r="H2136" t="str">
        <x:v>Notebook Pro</x:v>
      </x:c>
      <x:c r="I2136" t="str">
        <x:v>João</x:v>
      </x:c>
      <x:c r="J2136" s="53" t="n">
        <x:v>6</x:v>
      </x:c>
      <x:c r="K2136" s="54" t="n">
        <x:v>6084.81</x:v>
      </x:c>
      <x:c r="L2136" s="54" t="n">
        <x:v>4629.15</x:v>
      </x:c>
      <x:c r="M2136" s="55" t="n">
        <x:v>0</x:v>
      </x:c>
      <x:c r="N2136" s="54" t="n">
        <x:f>ROUND(J2136*K2136,2)</x:f>
        <x:v>36508.86</x:v>
      </x:c>
      <x:c r="O2136" s="54" t="n">
        <x:f>ROUND(N2136*(1-M2136),2)</x:f>
        <x:v>36508.86</x:v>
      </x:c>
      <x:c r="P2136" s="54" t="n">
        <x:f>ROUND(J2136*L2136,2)</x:f>
        <x:v>27774.9</x:v>
      </x:c>
      <x:c r="Q2136" s="54" t="n">
        <x:f>ROUND(O2136-P2136,2)</x:f>
        <x:v>8733.96</x:v>
      </x:c>
      <x:c r="R2136" s="55" t="n">
        <x:f>IF(O2136=0,0,ROUND(Q2136/O2136,4))</x:f>
        <x:v>0.2392</x:v>
      </x:c>
      <x:c r="S2136" s="53" t="n">
        <x:v>5</x:v>
      </x:c>
      <x:c r="T2136" t="str">
        <x:v>Cancelado</x:v>
      </x:c>
      <x:c r="U2136"/>
      <x:c r="V2136" t="str"/>
    </x:row>
    <x:row r="2137">
      <x:c r="A2137" s="52" t="n">
        <x:v>46121</x:v>
      </x:c>
      <x:c r="B2137" t="str">
        <x:v>PED-102136</x:v>
      </x:c>
      <x:c r="C2137" t="str">
        <x:v>Cliente 008</x:v>
      </x:c>
      <x:c r="D2137" t="str">
        <x:v>PA</x:v>
      </x:c>
      <x:c r="E2137" t="str">
        <x:v>Norte</x:v>
      </x:c>
      <x:c r="F2137" t="str">
        <x:v>Televendas</x:v>
      </x:c>
      <x:c r="G2137" t="str">
        <x:v>Acessórios</x:v>
      </x:c>
      <x:c r="H2137" t="str">
        <x:v>Webcam HD</x:v>
      </x:c>
      <x:c r="I2137" t="str">
        <x:v>Carla</x:v>
      </x:c>
      <x:c r="J2137" s="53" t="n">
        <x:v>8</x:v>
      </x:c>
      <x:c r="K2137" s="54" t="n">
        <x:v>504.33</x:v>
      </x:c>
      <x:c r="L2137" s="54" t="n">
        <x:v>257.53</x:v>
      </x:c>
      <x:c r="M2137" s="55" t="n">
        <x:v>0.0737</x:v>
      </x:c>
      <x:c r="N2137" s="54" t="n">
        <x:f>ROUND(J2137*K2137,2)</x:f>
        <x:v>4034.64</x:v>
      </x:c>
      <x:c r="O2137" s="54" t="n">
        <x:f>ROUND(N2137*(1-M2137),2)</x:f>
        <x:v>3737.29</x:v>
      </x:c>
      <x:c r="P2137" s="54" t="n">
        <x:f>ROUND(J2137*L2137,2)</x:f>
        <x:v>2060.24</x:v>
      </x:c>
      <x:c r="Q2137" s="54" t="n">
        <x:f>ROUND(O2137-P2137,2)</x:f>
        <x:v>1677.05</x:v>
      </x:c>
      <x:c r="R2137" s="55" t="n">
        <x:f>IF(O2137=0,0,ROUND(Q2137/O2137,4))</x:f>
        <x:v>0.4487</x:v>
      </x:c>
      <x:c r="S2137" s="53" t="n">
        <x:v>13</x:v>
      </x:c>
      <x:c r="T2137" t="str">
        <x:v>Cancelado</x:v>
      </x:c>
      <x:c r="U2137"/>
      <x:c r="V2137" t="str"/>
    </x:row>
    <x:row r="2138">
      <x:c r="A2138" s="52" t="n">
        <x:v>46175</x:v>
      </x:c>
      <x:c r="B2138" t="str">
        <x:v>PED-102137</x:v>
      </x:c>
      <x:c r="C2138" t="str">
        <x:v>Cliente 010</x:v>
      </x:c>
      <x:c r="D2138" t="str">
        <x:v>ES</x:v>
      </x:c>
      <x:c r="E2138" t="str">
        <x:v>Sudeste</x:v>
      </x:c>
      <x:c r="F2138" t="str">
        <x:v>Televendas</x:v>
      </x:c>
      <x:c r="G2138" t="str">
        <x:v>Casa</x:v>
      </x:c>
      <x:c r="H2138" t="str">
        <x:v>Purificador</x:v>
      </x:c>
      <x:c r="I2138" t="str">
        <x:v>João</x:v>
      </x:c>
      <x:c r="J2138" s="53" t="n">
        <x:v>4</x:v>
      </x:c>
      <x:c r="K2138" s="54" t="n">
        <x:v>1349.93</x:v>
      </x:c>
      <x:c r="L2138" s="54" t="n">
        <x:v>745.7</x:v>
      </x:c>
      <x:c r="M2138" s="55" t="n">
        <x:v>0</x:v>
      </x:c>
      <x:c r="N2138" s="54" t="n">
        <x:f>ROUND(J2138*K2138,2)</x:f>
        <x:v>5399.72</x:v>
      </x:c>
      <x:c r="O2138" s="54" t="n">
        <x:f>ROUND(N2138*(1-M2138),2)</x:f>
        <x:v>5399.72</x:v>
      </x:c>
      <x:c r="P2138" s="54" t="n">
        <x:f>ROUND(J2138*L2138,2)</x:f>
        <x:v>2982.8</x:v>
      </x:c>
      <x:c r="Q2138" s="54" t="n">
        <x:f>ROUND(O2138-P2138,2)</x:f>
        <x:v>2416.92</x:v>
      </x:c>
      <x:c r="R2138" s="55" t="n">
        <x:f>IF(O2138=0,0,ROUND(Q2138/O2138,4))</x:f>
        <x:v>0.4476</x:v>
      </x:c>
      <x:c r="S2138" s="53" t="n">
        <x:v>3</x:v>
      </x:c>
      <x:c r="T2138" t="str">
        <x:v>Entregue</x:v>
      </x:c>
      <x:c r="U2138" t="n">
        <x:v>5</x:v>
      </x:c>
      <x:c r="V2138" t="str"/>
    </x:row>
    <x:row r="2139">
      <x:c r="A2139" s="52" t="n">
        <x:v>46224</x:v>
      </x:c>
      <x:c r="B2139" t="str">
        <x:v>PED-102138</x:v>
      </x:c>
      <x:c r="C2139" t="str">
        <x:v>Cliente 052</x:v>
      </x:c>
      <x:c r="D2139" t="str">
        <x:v>ES</x:v>
      </x:c>
      <x:c r="E2139" t="str">
        <x:v>Sudeste</x:v>
      </x:c>
      <x:c r="F2139" t="str">
        <x:v>E-commerce</x:v>
      </x:c>
      <x:c r="G2139" t="str">
        <x:v>Casa</x:v>
      </x:c>
      <x:c r="H2139" t="str">
        <x:v>Cafeteira Smart</x:v>
      </x:c>
      <x:c r="I2139" t="str">
        <x:v>Elaine</x:v>
      </x:c>
      <x:c r="J2139" s="53" t="n">
        <x:v>4</x:v>
      </x:c>
      <x:c r="K2139" s="54" t="n">
        <x:v>778.48</x:v>
      </x:c>
      <x:c r="L2139" s="54" t="n">
        <x:v>455.79</x:v>
      </x:c>
      <x:c r="M2139" s="55" t="n">
        <x:v>0.028</x:v>
      </x:c>
      <x:c r="N2139" s="54" t="n">
        <x:f>ROUND(J2139*K2139,2)</x:f>
        <x:v>3113.92</x:v>
      </x:c>
      <x:c r="O2139" s="54" t="n">
        <x:f>ROUND(N2139*(1-M2139),2)</x:f>
        <x:v>3026.73</x:v>
      </x:c>
      <x:c r="P2139" s="54" t="n">
        <x:f>ROUND(J2139*L2139,2)</x:f>
        <x:v>1823.16</x:v>
      </x:c>
      <x:c r="Q2139" s="54" t="n">
        <x:f>ROUND(O2139-P2139,2)</x:f>
        <x:v>1203.57</x:v>
      </x:c>
      <x:c r="R2139" s="55" t="n">
        <x:f>IF(O2139=0,0,ROUND(Q2139/O2139,4))</x:f>
        <x:v>0.3976</x:v>
      </x:c>
      <x:c r="S2139" s="53" t="n">
        <x:v>7</x:v>
      </x:c>
      <x:c r="T2139" t="str">
        <x:v>Cancelado</x:v>
      </x:c>
      <x:c r="U2139"/>
      <x:c r="V2139" t="str"/>
    </x:row>
    <x:row r="2140">
      <x:c r="A2140" s="52" t="n">
        <x:v>46230</x:v>
      </x:c>
      <x:c r="B2140" t="str">
        <x:v>PED-102139</x:v>
      </x:c>
      <x:c r="C2140" t="str">
        <x:v>Cliente 003</x:v>
      </x:c>
      <x:c r="D2140" t="str">
        <x:v>PR</x:v>
      </x:c>
      <x:c r="E2140" t="str">
        <x:v>Sul</x:v>
      </x:c>
      <x:c r="F2140" t="str">
        <x:v>Televendas</x:v>
      </x:c>
      <x:c r="G2140" t="str">
        <x:v>Casa</x:v>
      </x:c>
      <x:c r="H2140" t="str">
        <x:v>Aspirador Robô</x:v>
      </x:c>
      <x:c r="I2140" t="str">
        <x:v>Ana</x:v>
      </x:c>
      <x:c r="J2140" s="53" t="n">
        <x:v>2</x:v>
      </x:c>
      <x:c r="K2140" s="54" t="n">
        <x:v>1906.28</x:v>
      </x:c>
      <x:c r="L2140" s="54" t="n">
        <x:v>1157.62</x:v>
      </x:c>
      <x:c r="M2140" s="55" t="n">
        <x:v>0.1134</x:v>
      </x:c>
      <x:c r="N2140" s="54" t="n">
        <x:f>ROUND(J2140*K2140,2)</x:f>
        <x:v>3812.56</x:v>
      </x:c>
      <x:c r="O2140" s="54" t="n">
        <x:f>ROUND(N2140*(1-M2140),2)</x:f>
        <x:v>3380.22</x:v>
      </x:c>
      <x:c r="P2140" s="54" t="n">
        <x:f>ROUND(J2140*L2140,2)</x:f>
        <x:v>2315.24</x:v>
      </x:c>
      <x:c r="Q2140" s="54" t="n">
        <x:f>ROUND(O2140-P2140,2)</x:f>
        <x:v>1064.98</x:v>
      </x:c>
      <x:c r="R2140" s="55" t="n">
        <x:f>IF(O2140=0,0,ROUND(Q2140/O2140,4))</x:f>
        <x:v>0.3151</x:v>
      </x:c>
      <x:c r="S2140" s="53" t="n">
        <x:v>10</x:v>
      </x:c>
      <x:c r="T2140" t="str">
        <x:v>Entregue</x:v>
      </x:c>
      <x:c r="U2140" t="n">
        <x:v>4</x:v>
      </x:c>
      <x:c r="V2140" t="str"/>
    </x:row>
    <x:row r="2141">
      <x:c r="A2141" s="52" t="n">
        <x:v>46062</x:v>
      </x:c>
      <x:c r="B2141" t="str">
        <x:v>PED-102140</x:v>
      </x:c>
      <x:c r="C2141" t="str">
        <x:v>Cliente 055</x:v>
      </x:c>
      <x:c r="D2141" t="str">
        <x:v>SC</x:v>
      </x:c>
      <x:c r="E2141" t="str">
        <x:v>Sul</x:v>
      </x:c>
      <x:c r="F2141" t="str">
        <x:v>Marketplace</x:v>
      </x:c>
      <x:c r="G2141" t="str">
        <x:v>Tecnologia</x:v>
      </x:c>
      <x:c r="H2141" t="str">
        <x:v>Notebook Pro</x:v>
      </x:c>
      <x:c r="I2141" t="str">
        <x:v>Diego</x:v>
      </x:c>
      <x:c r="J2141" s="53" t="n">
        <x:v>2</x:v>
      </x:c>
      <x:c r="K2141" s="54" t="n">
        <x:v>6219.61</x:v>
      </x:c>
      <x:c r="L2141" s="54" t="n">
        <x:v>4184.76</x:v>
      </x:c>
      <x:c r="M2141" s="55" t="n">
        <x:v>0.1558</x:v>
      </x:c>
      <x:c r="N2141" s="54" t="n">
        <x:f>ROUND(J2141*K2141,2)</x:f>
        <x:v>12439.22</x:v>
      </x:c>
      <x:c r="O2141" s="54" t="n">
        <x:f>ROUND(N2141*(1-M2141),2)</x:f>
        <x:v>10501.19</x:v>
      </x:c>
      <x:c r="P2141" s="54" t="n">
        <x:f>ROUND(J2141*L2141,2)</x:f>
        <x:v>8369.52</x:v>
      </x:c>
      <x:c r="Q2141" s="54" t="n">
        <x:f>ROUND(O2141-P2141,2)</x:f>
        <x:v>2131.67</x:v>
      </x:c>
      <x:c r="R2141" s="55" t="n">
        <x:f>IF(O2141=0,0,ROUND(Q2141/O2141,4))</x:f>
        <x:v>0.203</x:v>
      </x:c>
      <x:c r="S2141" s="53" t="n">
        <x:v>3</x:v>
      </x:c>
      <x:c r="T2141" t="str">
        <x:v>Entregue</x:v>
      </x:c>
      <x:c r="U2141" t="n">
        <x:v>3</x:v>
      </x:c>
      <x:c r="V2141" t="str"/>
    </x:row>
    <x:row r="2142">
      <x:c r="A2142" s="52" t="n">
        <x:v>46043</x:v>
      </x:c>
      <x:c r="B2142" t="str">
        <x:v>PED-102141</x:v>
      </x:c>
      <x:c r="C2142" t="str">
        <x:v>Cliente 094</x:v>
      </x:c>
      <x:c r="D2142" t="str">
        <x:v>CE</x:v>
      </x:c>
      <x:c r="E2142" t="str">
        <x:v>Nordeste</x:v>
      </x:c>
      <x:c r="F2142" t="str">
        <x:v>Marketplace</x:v>
      </x:c>
      <x:c r="G2142" t="str">
        <x:v>Casa</x:v>
      </x:c>
      <x:c r="H2142" t="str">
        <x:v>Aspirador Robô</x:v>
      </x:c>
      <x:c r="I2142" t="str">
        <x:v>Carla</x:v>
      </x:c>
      <x:c r="J2142" s="53" t="n">
        <x:v>6</x:v>
      </x:c>
      <x:c r="K2142" s="54" t="n">
        <x:v>1827.84</x:v>
      </x:c>
      <x:c r="L2142" s="54" t="n">
        <x:v>1267.32</x:v>
      </x:c>
      <x:c r="M2142" s="55" t="n">
        <x:v>0.0538</x:v>
      </x:c>
      <x:c r="N2142" s="54" t="n">
        <x:f>ROUND(J2142*K2142,2)</x:f>
        <x:v>10967.04</x:v>
      </x:c>
      <x:c r="O2142" s="54" t="n">
        <x:f>ROUND(N2142*(1-M2142),2)</x:f>
        <x:v>10377.01</x:v>
      </x:c>
      <x:c r="P2142" s="54" t="n">
        <x:f>ROUND(J2142*L2142,2)</x:f>
        <x:v>7603.92</x:v>
      </x:c>
      <x:c r="Q2142" s="54" t="n">
        <x:f>ROUND(O2142-P2142,2)</x:f>
        <x:v>2773.09</x:v>
      </x:c>
      <x:c r="R2142" s="55" t="n">
        <x:f>IF(O2142=0,0,ROUND(Q2142/O2142,4))</x:f>
        <x:v>0.2672</x:v>
      </x:c>
      <x:c r="S2142" s="53" t="n">
        <x:v>9</x:v>
      </x:c>
      <x:c r="T2142" t="str">
        <x:v>Entregue</x:v>
      </x:c>
      <x:c r="U2142" t="n">
        <x:v>2</x:v>
      </x:c>
      <x:c r="V2142" t="str"/>
    </x:row>
    <x:row r="2143">
      <x:c r="A2143" s="52" t="n">
        <x:v>46173</x:v>
      </x:c>
      <x:c r="B2143" t="str">
        <x:v>PED-102142</x:v>
      </x:c>
      <x:c r="C2143" t="str">
        <x:v>Cliente 042</x:v>
      </x:c>
      <x:c r="D2143" t="str">
        <x:v>RS</x:v>
      </x:c>
      <x:c r="E2143" t="str">
        <x:v>Sul</x:v>
      </x:c>
      <x:c r="F2143" t="str">
        <x:v>E-commerce</x:v>
      </x:c>
      <x:c r="G2143" t="str">
        <x:v>Casa</x:v>
      </x:c>
      <x:c r="H2143" t="str">
        <x:v>Purificador</x:v>
      </x:c>
      <x:c r="I2143" t="str">
        <x:v>Bruno</x:v>
      </x:c>
      <x:c r="J2143" s="53" t="n">
        <x:v>5</x:v>
      </x:c>
      <x:c r="K2143" s="54" t="n">
        <x:v>1252.43</x:v>
      </x:c>
      <x:c r="L2143" s="54" t="n">
        <x:v>798.37</x:v>
      </x:c>
      <x:c r="M2143" s="55" t="n">
        <x:v>0.0321</x:v>
      </x:c>
      <x:c r="N2143" s="54" t="n">
        <x:f>ROUND(J2143*K2143,2)</x:f>
        <x:v>6262.15</x:v>
      </x:c>
      <x:c r="O2143" s="54" t="n">
        <x:f>ROUND(N2143*(1-M2143),2)</x:f>
        <x:v>6061.13</x:v>
      </x:c>
      <x:c r="P2143" s="54" t="n">
        <x:f>ROUND(J2143*L2143,2)</x:f>
        <x:v>3991.85</x:v>
      </x:c>
      <x:c r="Q2143" s="54" t="n">
        <x:f>ROUND(O2143-P2143,2)</x:f>
        <x:v>2069.28</x:v>
      </x:c>
      <x:c r="R2143" s="55" t="n">
        <x:f>IF(O2143=0,0,ROUND(Q2143/O2143,4))</x:f>
        <x:v>0.3414</x:v>
      </x:c>
      <x:c r="S2143" s="53" t="n">
        <x:v>6</x:v>
      </x:c>
      <x:c r="T2143" t="str">
        <x:v>Entregue</x:v>
      </x:c>
      <x:c r="U2143" t="n">
        <x:v>5</x:v>
      </x:c>
      <x:c r="V2143" t="str"/>
    </x:row>
    <x:row r="2144">
      <x:c r="A2144" s="52" t="n">
        <x:v>46039</x:v>
      </x:c>
      <x:c r="B2144" t="str">
        <x:v>PED-102143</x:v>
      </x:c>
      <x:c r="C2144" t="str">
        <x:v>Cliente 049</x:v>
      </x:c>
      <x:c r="D2144" t="str">
        <x:v>BA</x:v>
      </x:c>
      <x:c r="E2144" t="str">
        <x:v>Nordeste</x:v>
      </x:c>
      <x:c r="F2144" t="str">
        <x:v>Televendas</x:v>
      </x:c>
      <x:c r="G2144" t="str">
        <x:v>Acessórios</x:v>
      </x:c>
      <x:c r="H2144" t="str">
        <x:v>Webcam HD</x:v>
      </x:c>
      <x:c r="I2144" t="str">
        <x:v>Bruno</x:v>
      </x:c>
      <x:c r="J2144" s="53" t="n">
        <x:v>2</x:v>
      </x:c>
      <x:c r="K2144" s="54" t="n">
        <x:v>499.34</x:v>
      </x:c>
      <x:c r="L2144" s="54" t="n">
        <x:v>252.08</x:v>
      </x:c>
      <x:c r="M2144" s="55" t="n">
        <x:v>0</x:v>
      </x:c>
      <x:c r="N2144" s="54" t="n">
        <x:f>ROUND(J2144*K2144,2)</x:f>
        <x:v>998.68</x:v>
      </x:c>
      <x:c r="O2144" s="54" t="n">
        <x:f>ROUND(N2144*(1-M2144),2)</x:f>
        <x:v>998.68</x:v>
      </x:c>
      <x:c r="P2144" s="54" t="n">
        <x:f>ROUND(J2144*L2144,2)</x:f>
        <x:v>504.16</x:v>
      </x:c>
      <x:c r="Q2144" s="54" t="n">
        <x:f>ROUND(O2144-P2144,2)</x:f>
        <x:v>494.52</x:v>
      </x:c>
      <x:c r="R2144" s="55" t="n">
        <x:f>IF(O2144=0,0,ROUND(Q2144/O2144,4))</x:f>
        <x:v>0.4952</x:v>
      </x:c>
      <x:c r="S2144" s="53" t="n">
        <x:v>6</x:v>
      </x:c>
      <x:c r="T2144" t="str">
        <x:v>Entregue</x:v>
      </x:c>
      <x:c r="U2144" t="n">
        <x:v>2</x:v>
      </x:c>
      <x:c r="V2144" t="str"/>
    </x:row>
    <x:row r="2145">
      <x:c r="A2145" s="52" t="n">
        <x:v>46197</x:v>
      </x:c>
      <x:c r="B2145" t="str">
        <x:v>PED-102144</x:v>
      </x:c>
      <x:c r="C2145" t="str">
        <x:v>Cliente 059</x:v>
      </x:c>
      <x:c r="D2145" t="str">
        <x:v>AM</x:v>
      </x:c>
      <x:c r="E2145" t="str">
        <x:v>Norte</x:v>
      </x:c>
      <x:c r="F2145" t="str">
        <x:v>Marketplace</x:v>
      </x:c>
      <x:c r="G2145" t="str">
        <x:v>Escritório</x:v>
      </x:c>
      <x:c r="H2145" t="str">
        <x:v>Cadeira Ergonômica</x:v>
      </x:c>
      <x:c r="I2145" t="str">
        <x:v>Henrique</x:v>
      </x:c>
      <x:c r="J2145" s="53" t="n">
        <x:v>1</x:v>
      </x:c>
      <x:c r="K2145" s="54" t="n">
        <x:v>2264.2</x:v>
      </x:c>
      <x:c r="L2145" s="54" t="n">
        <x:v>1490.71</x:v>
      </x:c>
      <x:c r="M2145" s="55" t="n">
        <x:v>0.0679</x:v>
      </x:c>
      <x:c r="N2145" s="54" t="n">
        <x:f>ROUND(J2145*K2145,2)</x:f>
        <x:v>2264.2</x:v>
      </x:c>
      <x:c r="O2145" s="54" t="n">
        <x:f>ROUND(N2145*(1-M2145),2)</x:f>
        <x:v>2110.46</x:v>
      </x:c>
      <x:c r="P2145" s="54" t="n">
        <x:f>ROUND(J2145*L2145,2)</x:f>
        <x:v>1490.71</x:v>
      </x:c>
      <x:c r="Q2145" s="54" t="n">
        <x:f>ROUND(O2145-P2145,2)</x:f>
        <x:v>619.75</x:v>
      </x:c>
      <x:c r="R2145" s="55" t="n">
        <x:f>IF(O2145=0,0,ROUND(Q2145/O2145,4))</x:f>
        <x:v>0.2937</x:v>
      </x:c>
      <x:c r="S2145" s="53" t="n">
        <x:v>2</x:v>
      </x:c>
      <x:c r="T2145" t="str">
        <x:v>Entregue</x:v>
      </x:c>
      <x:c r="U2145" t="n">
        <x:v>3</x:v>
      </x:c>
      <x:c r="V2145" t="str"/>
    </x:row>
    <x:row r="2146">
      <x:c r="A2146" s="52" t="n">
        <x:v>46102</x:v>
      </x:c>
      <x:c r="B2146" t="str">
        <x:v>PED-102145</x:v>
      </x:c>
      <x:c r="C2146" t="str">
        <x:v>Cliente 049</x:v>
      </x:c>
      <x:c r="D2146" t="str">
        <x:v>ES</x:v>
      </x:c>
      <x:c r="E2146" t="str">
        <x:v>Sudeste</x:v>
      </x:c>
      <x:c r="F2146" t="str">
        <x:v>Marketplace</x:v>
      </x:c>
      <x:c r="G2146" t="str">
        <x:v>Casa</x:v>
      </x:c>
      <x:c r="H2146" t="str">
        <x:v>Aspirador Robô</x:v>
      </x:c>
      <x:c r="I2146" t="str">
        <x:v>Henrique</x:v>
      </x:c>
      <x:c r="J2146" s="53" t="n">
        <x:v>2</x:v>
      </x:c>
      <x:c r="K2146" s="54" t="n">
        <x:v>1961.42</x:v>
      </x:c>
      <x:c r="L2146" s="54" t="n">
        <x:v>1227.11</x:v>
      </x:c>
      <x:c r="M2146" s="55" t="n">
        <x:v>0.035</x:v>
      </x:c>
      <x:c r="N2146" s="54" t="n">
        <x:f>ROUND(J2146*K2146,2)</x:f>
        <x:v>3922.84</x:v>
      </x:c>
      <x:c r="O2146" s="54" t="n">
        <x:f>ROUND(N2146*(1-M2146),2)</x:f>
        <x:v>3785.54</x:v>
      </x:c>
      <x:c r="P2146" s="54" t="n">
        <x:f>ROUND(J2146*L2146,2)</x:f>
        <x:v>2454.22</x:v>
      </x:c>
      <x:c r="Q2146" s="54" t="n">
        <x:f>ROUND(O2146-P2146,2)</x:f>
        <x:v>1331.32</x:v>
      </x:c>
      <x:c r="R2146" s="55" t="n">
        <x:f>IF(O2146=0,0,ROUND(Q2146/O2146,4))</x:f>
        <x:v>0.3517</x:v>
      </x:c>
      <x:c r="S2146" s="53" t="n">
        <x:v>2</x:v>
      </x:c>
      <x:c r="T2146" t="str">
        <x:v>Entregue</x:v>
      </x:c>
      <x:c r="U2146" t="n">
        <x:v>3</x:v>
      </x:c>
      <x:c r="V2146" t="str"/>
    </x:row>
    <x:row r="2147">
      <x:c r="A2147" s="52" t="n">
        <x:v>46096</x:v>
      </x:c>
      <x:c r="B2147" t="str">
        <x:v>PED-102146</x:v>
      </x:c>
      <x:c r="C2147" t="str">
        <x:v>Cliente 067</x:v>
      </x:c>
      <x:c r="D2147" t="str">
        <x:v>BA</x:v>
      </x:c>
      <x:c r="E2147" t="str">
        <x:v>Nordeste</x:v>
      </x:c>
      <x:c r="F2147" t="str">
        <x:v>E-commerce</x:v>
      </x:c>
      <x:c r="G2147" t="str">
        <x:v>Acessórios</x:v>
      </x:c>
      <x:c r="H2147" t="str">
        <x:v>Hub USB-C</x:v>
      </x:c>
      <x:c r="I2147" t="str">
        <x:v>João</x:v>
      </x:c>
      <x:c r="J2147" s="53" t="n">
        <x:v>4</x:v>
      </x:c>
      <x:c r="K2147" s="54" t="n">
        <x:v>315.71</x:v>
      </x:c>
      <x:c r="L2147" s="54" t="n">
        <x:v>137.09</x:v>
      </x:c>
      <x:c r="M2147" s="55" t="n">
        <x:v>0</x:v>
      </x:c>
      <x:c r="N2147" s="54" t="n">
        <x:f>ROUND(J2147*K2147,2)</x:f>
        <x:v>1262.84</x:v>
      </x:c>
      <x:c r="O2147" s="54" t="n">
        <x:f>ROUND(N2147*(1-M2147),2)</x:f>
        <x:v>1262.84</x:v>
      </x:c>
      <x:c r="P2147" s="54" t="n">
        <x:f>ROUND(J2147*L2147,2)</x:f>
        <x:v>548.36</x:v>
      </x:c>
      <x:c r="Q2147" s="54" t="n">
        <x:f>ROUND(O2147-P2147,2)</x:f>
        <x:v>714.48</x:v>
      </x:c>
      <x:c r="R2147" s="55" t="n">
        <x:f>IF(O2147=0,0,ROUND(Q2147/O2147,4))</x:f>
        <x:v>0.5658</x:v>
      </x:c>
      <x:c r="S2147" s="53" t="n">
        <x:v>14</x:v>
      </x:c>
      <x:c r="T2147" t="str">
        <x:v>Entregue com atraso</x:v>
      </x:c>
      <x:c r="U2147" t="n">
        <x:v>4</x:v>
      </x:c>
      <x:c r="V2147" t="str"/>
    </x:row>
    <x:row r="2148">
      <x:c r="A2148" s="52" t="n">
        <x:v>46124</x:v>
      </x:c>
      <x:c r="B2148" t="str">
        <x:v>PED-102147</x:v>
      </x:c>
      <x:c r="C2148" t="str">
        <x:v>Cliente 017</x:v>
      </x:c>
      <x:c r="D2148" t="str">
        <x:v>BA</x:v>
      </x:c>
      <x:c r="E2148" t="str">
        <x:v>Nordeste</x:v>
      </x:c>
      <x:c r="F2148" t="str">
        <x:v>Televendas</x:v>
      </x:c>
      <x:c r="G2148" t="str">
        <x:v>Acessórios</x:v>
      </x:c>
      <x:c r="H2148" t="str">
        <x:v>Webcam HD</x:v>
      </x:c>
      <x:c r="I2148" t="str">
        <x:v>Felipe</x:v>
      </x:c>
      <x:c r="J2148" s="53" t="n">
        <x:v>7</x:v>
      </x:c>
      <x:c r="K2148" s="54" t="n">
        <x:v>536.11</x:v>
      </x:c>
      <x:c r="L2148" s="54" t="n">
        <x:v>243.49</x:v>
      </x:c>
      <x:c r="M2148" s="55" t="n">
        <x:v>0.1236</x:v>
      </x:c>
      <x:c r="N2148" s="54" t="n">
        <x:f>ROUND(J2148*K2148,2)</x:f>
        <x:v>3752.77</x:v>
      </x:c>
      <x:c r="O2148" s="54" t="n">
        <x:f>ROUND(N2148*(1-M2148),2)</x:f>
        <x:v>3288.93</x:v>
      </x:c>
      <x:c r="P2148" s="54" t="n">
        <x:f>ROUND(J2148*L2148,2)</x:f>
        <x:v>1704.43</x:v>
      </x:c>
      <x:c r="Q2148" s="54" t="n">
        <x:f>ROUND(O2148-P2148,2)</x:f>
        <x:v>1584.5</x:v>
      </x:c>
      <x:c r="R2148" s="55" t="n">
        <x:f>IF(O2148=0,0,ROUND(Q2148/O2148,4))</x:f>
        <x:v>0.4818</x:v>
      </x:c>
      <x:c r="S2148" s="53" t="n">
        <x:v>3</x:v>
      </x:c>
      <x:c r="T2148" t="str">
        <x:v>Entregue</x:v>
      </x:c>
      <x:c r="U2148" t="n">
        <x:v>4</x:v>
      </x:c>
      <x:c r="V2148" t="str"/>
    </x:row>
    <x:row r="2149">
      <x:c r="A2149" s="52" t="n">
        <x:v>46218</x:v>
      </x:c>
      <x:c r="B2149" t="str">
        <x:v>PED-102148</x:v>
      </x:c>
      <x:c r="C2149" t="str">
        <x:v>Cliente 097</x:v>
      </x:c>
      <x:c r="D2149" t="str">
        <x:v>ES</x:v>
      </x:c>
      <x:c r="E2149" t="str">
        <x:v>Sudeste</x:v>
      </x:c>
      <x:c r="F2149" t="str">
        <x:v>Marketplace</x:v>
      </x:c>
      <x:c r="G2149" t="str">
        <x:v>Casa</x:v>
      </x:c>
      <x:c r="H2149" t="str">
        <x:v>Cafeteira Smart</x:v>
      </x:c>
      <x:c r="I2149" t="str">
        <x:v>Diego</x:v>
      </x:c>
      <x:c r="J2149" s="53" t="n">
        <x:v>1</x:v>
      </x:c>
      <x:c r="K2149" s="54" t="n">
        <x:v>825.54</x:v>
      </x:c>
      <x:c r="L2149" s="54" t="n">
        <x:v>468.28</x:v>
      </x:c>
      <x:c r="M2149" s="55" t="n">
        <x:v>0.0927</x:v>
      </x:c>
      <x:c r="N2149" s="54" t="n">
        <x:f>ROUND(J2149*K2149,2)</x:f>
        <x:v>825.54</x:v>
      </x:c>
      <x:c r="O2149" s="54" t="n">
        <x:f>ROUND(N2149*(1-M2149),2)</x:f>
        <x:v>749.01</x:v>
      </x:c>
      <x:c r="P2149" s="54" t="n">
        <x:f>ROUND(J2149*L2149,2)</x:f>
        <x:v>468.28</x:v>
      </x:c>
      <x:c r="Q2149" s="54" t="n">
        <x:f>ROUND(O2149-P2149,2)</x:f>
        <x:v>280.73</x:v>
      </x:c>
      <x:c r="R2149" s="55" t="n">
        <x:f>IF(O2149=0,0,ROUND(Q2149/O2149,4))</x:f>
        <x:v>0.3748</x:v>
      </x:c>
      <x:c r="S2149" s="53" t="n">
        <x:v>10</x:v>
      </x:c>
      <x:c r="T2149" t="str">
        <x:v>Entregue</x:v>
      </x:c>
      <x:c r="U2149" t="n">
        <x:v>2</x:v>
      </x:c>
      <x:c r="V2149" t="str"/>
    </x:row>
    <x:row r="2150">
      <x:c r="A2150" s="52" t="n">
        <x:v>46083</x:v>
      </x:c>
      <x:c r="B2150" t="str">
        <x:v>PED-102149</x:v>
      </x:c>
      <x:c r="C2150" t="str">
        <x:v>Cliente 066</x:v>
      </x:c>
      <x:c r="D2150" t="str">
        <x:v>BA</x:v>
      </x:c>
      <x:c r="E2150" t="str">
        <x:v>Nordeste</x:v>
      </x:c>
      <x:c r="F2150" t="str">
        <x:v>E-commerce</x:v>
      </x:c>
      <x:c r="G2150" t="str">
        <x:v>Tecnologia</x:v>
      </x:c>
      <x:c r="H2150" t="str">
        <x:v>Headset Office</x:v>
      </x:c>
      <x:c r="I2150" t="str">
        <x:v>Carla</x:v>
      </x:c>
      <x:c r="J2150" s="53" t="n">
        <x:v>4</x:v>
      </x:c>
      <x:c r="K2150" s="54" t="n">
        <x:v>383.53</x:v>
      </x:c>
      <x:c r="L2150" s="54" t="n">
        <x:v>220.65</x:v>
      </x:c>
      <x:c r="M2150" s="55" t="n">
        <x:v>0</x:v>
      </x:c>
      <x:c r="N2150" s="54" t="n">
        <x:f>ROUND(J2150*K2150,2)</x:f>
        <x:v>1534.12</x:v>
      </x:c>
      <x:c r="O2150" s="54" t="n">
        <x:f>ROUND(N2150*(1-M2150),2)</x:f>
        <x:v>1534.12</x:v>
      </x:c>
      <x:c r="P2150" s="54" t="n">
        <x:f>ROUND(J2150*L2150,2)</x:f>
        <x:v>882.6</x:v>
      </x:c>
      <x:c r="Q2150" s="54" t="n">
        <x:f>ROUND(O2150-P2150,2)</x:f>
        <x:v>651.52</x:v>
      </x:c>
      <x:c r="R2150" s="55" t="n">
        <x:f>IF(O2150=0,0,ROUND(Q2150/O2150,4))</x:f>
        <x:v>0.4247</x:v>
      </x:c>
      <x:c r="S2150" s="53" t="n">
        <x:v>12</x:v>
      </x:c>
      <x:c r="T2150" t="str">
        <x:v>Entregue com atraso</x:v>
      </x:c>
      <x:c r="U2150" t="n">
        <x:v>3</x:v>
      </x:c>
      <x:c r="V2150" t="str"/>
    </x:row>
    <x:row r="2151">
      <x:c r="A2151" s="52" t="n">
        <x:v>46196</x:v>
      </x:c>
      <x:c r="B2151" t="str">
        <x:v>PED-102150</x:v>
      </x:c>
      <x:c r="C2151" t="str">
        <x:v>Cliente 037</x:v>
      </x:c>
      <x:c r="D2151" t="str">
        <x:v>PE</x:v>
      </x:c>
      <x:c r="E2151" t="str">
        <x:v>Nordeste</x:v>
      </x:c>
      <x:c r="F2151" t="str">
        <x:v>Loja</x:v>
      </x:c>
      <x:c r="G2151" t="str">
        <x:v>Tecnologia</x:v>
      </x:c>
      <x:c r="H2151" t="str">
        <x:v>Headset Office</x:v>
      </x:c>
      <x:c r="I2151" t="str">
        <x:v>Bruno</x:v>
      </x:c>
      <x:c r="J2151" s="53" t="n">
        <x:v>8</x:v>
      </x:c>
      <x:c r="K2151" s="54" t="n">
        <x:v>394.6</x:v>
      </x:c>
      <x:c r="L2151" s="54" t="n">
        <x:v>214.87</x:v>
      </x:c>
      <x:c r="M2151" s="55" t="n">
        <x:v>0</x:v>
      </x:c>
      <x:c r="N2151" s="54" t="n">
        <x:f>ROUND(J2151*K2151,2)</x:f>
        <x:v>3156.8</x:v>
      </x:c>
      <x:c r="O2151" s="54" t="n">
        <x:f>ROUND(N2151*(1-M2151),2)</x:f>
        <x:v>3156.8</x:v>
      </x:c>
      <x:c r="P2151" s="54" t="n">
        <x:f>ROUND(J2151*L2151,2)</x:f>
        <x:v>1718.96</x:v>
      </x:c>
      <x:c r="Q2151" s="54" t="n">
        <x:f>ROUND(O2151-P2151,2)</x:f>
        <x:v>1437.84</x:v>
      </x:c>
      <x:c r="R2151" s="55" t="n">
        <x:f>IF(O2151=0,0,ROUND(Q2151/O2151,4))</x:f>
        <x:v>0.4555</x:v>
      </x:c>
      <x:c r="S2151" s="53" t="n">
        <x:v>8</x:v>
      </x:c>
      <x:c r="T2151" t="str">
        <x:v>Entregue</x:v>
      </x:c>
      <x:c r="U2151" t="n">
        <x:v>4</x:v>
      </x:c>
      <x:c r="V2151" t="str"/>
    </x:row>
    <x:row r="2152">
      <x:c r="A2152" s="52" t="n">
        <x:v>46089</x:v>
      </x:c>
      <x:c r="B2152" t="str">
        <x:v>PED-102151</x:v>
      </x:c>
      <x:c r="C2152" t="str">
        <x:v>Cliente 077</x:v>
      </x:c>
      <x:c r="D2152" t="str">
        <x:v>RJ</x:v>
      </x:c>
      <x:c r="E2152" t="str">
        <x:v>Sudeste</x:v>
      </x:c>
      <x:c r="F2152" t="str">
        <x:v>Marketplace</x:v>
      </x:c>
      <x:c r="G2152" t="str">
        <x:v>Tecnologia</x:v>
      </x:c>
      <x:c r="H2152" t="str">
        <x:v>Notebook Pro</x:v>
      </x:c>
      <x:c r="I2152" t="str">
        <x:v>Bruno</x:v>
      </x:c>
      <x:c r="J2152" s="53" t="n">
        <x:v>4</x:v>
      </x:c>
      <x:c r="K2152" s="54" t="n">
        <x:v>6155.99</x:v>
      </x:c>
      <x:c r="L2152" s="54" t="n">
        <x:v>4352.42</x:v>
      </x:c>
      <x:c r="M2152" s="55" t="n">
        <x:v>0.035</x:v>
      </x:c>
      <x:c r="N2152" s="54" t="n">
        <x:f>ROUND(J2152*K2152,2)</x:f>
        <x:v>24623.96</x:v>
      </x:c>
      <x:c r="O2152" s="54" t="n">
        <x:f>ROUND(N2152*(1-M2152),2)</x:f>
        <x:v>23762.12</x:v>
      </x:c>
      <x:c r="P2152" s="54" t="n">
        <x:f>ROUND(J2152*L2152,2)</x:f>
        <x:v>17409.68</x:v>
      </x:c>
      <x:c r="Q2152" s="54" t="n">
        <x:f>ROUND(O2152-P2152,2)</x:f>
        <x:v>6352.44</x:v>
      </x:c>
      <x:c r="R2152" s="55" t="n">
        <x:f>IF(O2152=0,0,ROUND(Q2152/O2152,4))</x:f>
        <x:v>0.2673</x:v>
      </x:c>
      <x:c r="S2152" s="53" t="n">
        <x:v>11</x:v>
      </x:c>
      <x:c r="T2152" t="str">
        <x:v>Entregue com atraso</x:v>
      </x:c>
      <x:c r="U2152" t="n">
        <x:v>5</x:v>
      </x:c>
      <x:c r="V2152" t="str"/>
    </x:row>
    <x:row r="2153">
      <x:c r="A2153" s="52" t="n">
        <x:v>46062</x:v>
      </x:c>
      <x:c r="B2153" t="str">
        <x:v>PED-102152</x:v>
      </x:c>
      <x:c r="C2153" t="str">
        <x:v>Cliente 096</x:v>
      </x:c>
      <x:c r="D2153" t="str">
        <x:v>SC</x:v>
      </x:c>
      <x:c r="E2153" t="str">
        <x:v>Sul</x:v>
      </x:c>
      <x:c r="F2153" t="str">
        <x:v>Televendas</x:v>
      </x:c>
      <x:c r="G2153" t="str">
        <x:v>Escritório</x:v>
      </x:c>
      <x:c r="H2153" t="str">
        <x:v>Mesa Ajustável</x:v>
      </x:c>
      <x:c r="I2153" t="str">
        <x:v>Felipe</x:v>
      </x:c>
      <x:c r="J2153" s="53" t="n">
        <x:v>1</x:v>
      </x:c>
      <x:c r="K2153" s="54" t="n">
        <x:v>2733.35</x:v>
      </x:c>
      <x:c r="L2153" s="54" t="n">
        <x:v>1766.27</x:v>
      </x:c>
      <x:c r="M2153" s="55" t="n">
        <x:v>0</x:v>
      </x:c>
      <x:c r="N2153" s="54" t="n">
        <x:f>ROUND(J2153*K2153,2)</x:f>
        <x:v>2733.35</x:v>
      </x:c>
      <x:c r="O2153" s="54" t="n">
        <x:f>ROUND(N2153*(1-M2153),2)</x:f>
        <x:v>2733.35</x:v>
      </x:c>
      <x:c r="P2153" s="54" t="n">
        <x:f>ROUND(J2153*L2153,2)</x:f>
        <x:v>1766.27</x:v>
      </x:c>
      <x:c r="Q2153" s="54" t="n">
        <x:f>ROUND(O2153-P2153,2)</x:f>
        <x:v>967.08</x:v>
      </x:c>
      <x:c r="R2153" s="55" t="n">
        <x:f>IF(O2153=0,0,ROUND(Q2153/O2153,4))</x:f>
        <x:v>0.3538</x:v>
      </x:c>
      <x:c r="S2153" s="53" t="n">
        <x:v>13</x:v>
      </x:c>
      <x:c r="T2153" t="str">
        <x:v>Entregue com atraso</x:v>
      </x:c>
      <x:c r="U2153" t="n">
        <x:v>4</x:v>
      </x:c>
      <x:c r="V2153" t="str"/>
    </x:row>
    <x:row r="2154">
      <x:c r="A2154" s="52" t="n">
        <x:v>46203</x:v>
      </x:c>
      <x:c r="B2154" t="str">
        <x:v>PED-102153</x:v>
      </x:c>
      <x:c r="C2154" t="str">
        <x:v>Cliente 099</x:v>
      </x:c>
      <x:c r="D2154" t="str">
        <x:v>MT</x:v>
      </x:c>
      <x:c r="E2154" t="str">
        <x:v>Centro-Oeste</x:v>
      </x:c>
      <x:c r="F2154" t="str">
        <x:v>Marketplace</x:v>
      </x:c>
      <x:c r="G2154" t="str">
        <x:v>Tecnologia</x:v>
      </x:c>
      <x:c r="H2154" t="str">
        <x:v>Notebook Pro</x:v>
      </x:c>
      <x:c r="I2154" t="str">
        <x:v>Bruno</x:v>
      </x:c>
      <x:c r="J2154" s="53" t="n">
        <x:v>3</x:v>
      </x:c>
      <x:c r="K2154" s="54" t="n">
        <x:v>5786.18</x:v>
      </x:c>
      <x:c r="L2154" s="54" t="n">
        <x:v>4357.96</x:v>
      </x:c>
      <x:c r="M2154" s="55" t="n">
        <x:v>0.1065</x:v>
      </x:c>
      <x:c r="N2154" s="54" t="n">
        <x:f>ROUND(J2154*K2154,2)</x:f>
        <x:v>17358.54</x:v>
      </x:c>
      <x:c r="O2154" s="54" t="n">
        <x:f>ROUND(N2154*(1-M2154),2)</x:f>
        <x:v>15509.86</x:v>
      </x:c>
      <x:c r="P2154" s="54" t="n">
        <x:f>ROUND(J2154*L2154,2)</x:f>
        <x:v>13073.88</x:v>
      </x:c>
      <x:c r="Q2154" s="54" t="n">
        <x:f>ROUND(O2154-P2154,2)</x:f>
        <x:v>2435.98</x:v>
      </x:c>
      <x:c r="R2154" s="55" t="n">
        <x:f>IF(O2154=0,0,ROUND(Q2154/O2154,4))</x:f>
        <x:v>0.1571</x:v>
      </x:c>
      <x:c r="S2154" s="53" t="n">
        <x:v>8</x:v>
      </x:c>
      <x:c r="T2154" t="str">
        <x:v>Entregue</x:v>
      </x:c>
      <x:c r="U2154" t="n">
        <x:v>3</x:v>
      </x:c>
      <x:c r="V2154" t="str"/>
    </x:row>
    <x:row r="2155">
      <x:c r="A2155" s="52" t="n">
        <x:v>46057</x:v>
      </x:c>
      <x:c r="B2155" t="str">
        <x:v>PED-102154</x:v>
      </x:c>
      <x:c r="C2155" t="str">
        <x:v>Cliente 005</x:v>
      </x:c>
      <x:c r="D2155" t="str">
        <x:v>PE</x:v>
      </x:c>
      <x:c r="E2155" t="str">
        <x:v>Nordeste</x:v>
      </x:c>
      <x:c r="F2155" t="str">
        <x:v>Loja</x:v>
      </x:c>
      <x:c r="G2155" t="str">
        <x:v>Escritório</x:v>
      </x:c>
      <x:c r="H2155" t="str">
        <x:v>Luminária LED</x:v>
      </x:c>
      <x:c r="I2155" t="str">
        <x:v>Ana</x:v>
      </x:c>
      <x:c r="J2155" s="53" t="n">
        <x:v>6</x:v>
      </x:c>
      <x:c r="K2155" s="54" t="n">
        <x:v>263.39</x:v>
      </x:c>
      <x:c r="L2155" s="54" t="n">
        <x:v>120.15</x:v>
      </x:c>
      <x:c r="M2155" s="55" t="n">
        <x:v>0</x:v>
      </x:c>
      <x:c r="N2155" s="54" t="n">
        <x:f>ROUND(J2155*K2155,2)</x:f>
        <x:v>1580.34</x:v>
      </x:c>
      <x:c r="O2155" s="54" t="n">
        <x:f>ROUND(N2155*(1-M2155),2)</x:f>
        <x:v>1580.34</x:v>
      </x:c>
      <x:c r="P2155" s="54" t="n">
        <x:f>ROUND(J2155*L2155,2)</x:f>
        <x:v>720.9</x:v>
      </x:c>
      <x:c r="Q2155" s="54" t="n">
        <x:f>ROUND(O2155-P2155,2)</x:f>
        <x:v>859.44</x:v>
      </x:c>
      <x:c r="R2155" s="55" t="n">
        <x:f>IF(O2155=0,0,ROUND(Q2155/O2155,4))</x:f>
        <x:v>0.5438</x:v>
      </x:c>
      <x:c r="S2155" s="53" t="n">
        <x:v>9</x:v>
      </x:c>
      <x:c r="T2155" t="str">
        <x:v>Entregue</x:v>
      </x:c>
      <x:c r="U2155" t="n">
        <x:v>2</x:v>
      </x:c>
      <x:c r="V2155" t="str"/>
    </x:row>
    <x:row r="2156">
      <x:c r="A2156" s="52" t="n">
        <x:v>46151</x:v>
      </x:c>
      <x:c r="B2156" t="str">
        <x:v>PED-102155</x:v>
      </x:c>
      <x:c r="C2156" t="str">
        <x:v>Cliente 077</x:v>
      </x:c>
      <x:c r="D2156" t="str">
        <x:v>CE</x:v>
      </x:c>
      <x:c r="E2156" t="str">
        <x:v>Nordeste</x:v>
      </x:c>
      <x:c r="F2156" t="str">
        <x:v>E-commerce</x:v>
      </x:c>
      <x:c r="G2156" t="str">
        <x:v>Acessórios</x:v>
      </x:c>
      <x:c r="H2156" t="str">
        <x:v>Hub USB-C</x:v>
      </x:c>
      <x:c r="I2156" t="str">
        <x:v>Ana</x:v>
      </x:c>
      <x:c r="J2156" s="53" t="n">
        <x:v>5</x:v>
      </x:c>
      <x:c r="K2156" s="54" t="n">
        <x:v>307.43</x:v>
      </x:c>
      <x:c r="L2156" s="54" t="n">
        <x:v>140.81</x:v>
      </x:c>
      <x:c r="M2156" s="55" t="n">
        <x:v>0</x:v>
      </x:c>
      <x:c r="N2156" s="54" t="n">
        <x:f>ROUND(J2156*K2156,2)</x:f>
        <x:v>1537.15</x:v>
      </x:c>
      <x:c r="O2156" s="54" t="n">
        <x:f>ROUND(N2156*(1-M2156),2)</x:f>
        <x:v>1537.15</x:v>
      </x:c>
      <x:c r="P2156" s="54" t="n">
        <x:f>ROUND(J2156*L2156,2)</x:f>
        <x:v>704.05</x:v>
      </x:c>
      <x:c r="Q2156" s="54" t="n">
        <x:f>ROUND(O2156-P2156,2)</x:f>
        <x:v>833.1</x:v>
      </x:c>
      <x:c r="R2156" s="55" t="n">
        <x:f>IF(O2156=0,0,ROUND(Q2156/O2156,4))</x:f>
        <x:v>0.542</x:v>
      </x:c>
      <x:c r="S2156" s="53" t="n">
        <x:v>4</x:v>
      </x:c>
      <x:c r="T2156" t="str">
        <x:v>Entregue</x:v>
      </x:c>
      <x:c r="U2156" t="n">
        <x:v>2</x:v>
      </x:c>
      <x:c r="V2156" t="str"/>
    </x:row>
    <x:row r="2157">
      <x:c r="A2157" s="52" t="n">
        <x:v>46070</x:v>
      </x:c>
      <x:c r="B2157" t="str">
        <x:v>PED-102156</x:v>
      </x:c>
      <x:c r="C2157" t="str">
        <x:v>Cliente 021</x:v>
      </x:c>
      <x:c r="D2157" t="str">
        <x:v>MA</x:v>
      </x:c>
      <x:c r="E2157" t="str">
        <x:v>Nordeste</x:v>
      </x:c>
      <x:c r="F2157" t="str">
        <x:v>Marketplace</x:v>
      </x:c>
      <x:c r="G2157" t="str">
        <x:v>Casa</x:v>
      </x:c>
      <x:c r="H2157" t="str">
        <x:v>Purificador</x:v>
      </x:c>
      <x:c r="I2157" t="str">
        <x:v>Felipe</x:v>
      </x:c>
      <x:c r="J2157" s="53" t="n">
        <x:v>1</x:v>
      </x:c>
      <x:c r="K2157" s="54" t="n">
        <x:v>1343.33</x:v>
      </x:c>
      <x:c r="L2157" s="54" t="n">
        <x:v>773.89</x:v>
      </x:c>
      <x:c r="M2157" s="55" t="n">
        <x:v>0.158</x:v>
      </x:c>
      <x:c r="N2157" s="54" t="n">
        <x:f>ROUND(J2157*K2157,2)</x:f>
        <x:v>1343.33</x:v>
      </x:c>
      <x:c r="O2157" s="54" t="n">
        <x:f>ROUND(N2157*(1-M2157),2)</x:f>
        <x:v>1131.08</x:v>
      </x:c>
      <x:c r="P2157" s="54" t="n">
        <x:f>ROUND(J2157*L2157,2)</x:f>
        <x:v>773.89</x:v>
      </x:c>
      <x:c r="Q2157" s="54" t="n">
        <x:f>ROUND(O2157-P2157,2)</x:f>
        <x:v>357.19</x:v>
      </x:c>
      <x:c r="R2157" s="55" t="n">
        <x:f>IF(O2157=0,0,ROUND(Q2157/O2157,4))</x:f>
        <x:v>0.3158</x:v>
      </x:c>
      <x:c r="S2157" s="53" t="n">
        <x:v>10</x:v>
      </x:c>
      <x:c r="T2157" t="str">
        <x:v>Entregue</x:v>
      </x:c>
      <x:c r="U2157" t="n">
        <x:v>2</x:v>
      </x:c>
      <x:c r="V2157" t="str"/>
    </x:row>
    <x:row r="2158">
      <x:c r="A2158" s="52" t="n">
        <x:v>46193</x:v>
      </x:c>
      <x:c r="B2158" t="str">
        <x:v>PED-102157</x:v>
      </x:c>
      <x:c r="C2158" t="str">
        <x:v>Cliente 057</x:v>
      </x:c>
      <x:c r="D2158" t="str">
        <x:v>DF</x:v>
      </x:c>
      <x:c r="E2158" t="str">
        <x:v>Centro-Oeste</x:v>
      </x:c>
      <x:c r="F2158" t="str">
        <x:v>E-commerce</x:v>
      </x:c>
      <x:c r="G2158" t="str">
        <x:v>Acessórios</x:v>
      </x:c>
      <x:c r="H2158" t="str">
        <x:v>Webcam HD</x:v>
      </x:c>
      <x:c r="I2158" t="str">
        <x:v>Carla</x:v>
      </x:c>
      <x:c r="J2158" s="53" t="n">
        <x:v>4</x:v>
      </x:c>
      <x:c r="K2158" s="54" t="n">
        <x:v>524.28</x:v>
      </x:c>
      <x:c r="L2158" s="54" t="n">
        <x:v>250.56</x:v>
      </x:c>
      <x:c r="M2158" s="55" t="n">
        <x:v>0.1163</x:v>
      </x:c>
      <x:c r="N2158" s="54" t="n">
        <x:f>ROUND(J2158*K2158,2)</x:f>
        <x:v>2097.12</x:v>
      </x:c>
      <x:c r="O2158" s="54" t="n">
        <x:f>ROUND(N2158*(1-M2158),2)</x:f>
        <x:v>1853.22</x:v>
      </x:c>
      <x:c r="P2158" s="54" t="n">
        <x:f>ROUND(J2158*L2158,2)</x:f>
        <x:v>1002.24</x:v>
      </x:c>
      <x:c r="Q2158" s="54" t="n">
        <x:f>ROUND(O2158-P2158,2)</x:f>
        <x:v>850.98</x:v>
      </x:c>
      <x:c r="R2158" s="55" t="n">
        <x:f>IF(O2158=0,0,ROUND(Q2158/O2158,4))</x:f>
        <x:v>0.4592</x:v>
      </x:c>
      <x:c r="S2158" s="53" t="n">
        <x:v>2</x:v>
      </x:c>
      <x:c r="T2158" t="str">
        <x:v>Entregue</x:v>
      </x:c>
      <x:c r="U2158" t="n">
        <x:v>3</x:v>
      </x:c>
      <x:c r="V2158" t="str"/>
    </x:row>
    <x:row r="2159">
      <x:c r="A2159" s="52" t="n">
        <x:v>46085</x:v>
      </x:c>
      <x:c r="B2159" t="str">
        <x:v>PED-102158</x:v>
      </x:c>
      <x:c r="C2159" t="str">
        <x:v>Cliente 059</x:v>
      </x:c>
      <x:c r="D2159" t="str">
        <x:v>PA</x:v>
      </x:c>
      <x:c r="E2159" t="str">
        <x:v>Norte</x:v>
      </x:c>
      <x:c r="F2159" t="str">
        <x:v>Marketplace</x:v>
      </x:c>
      <x:c r="G2159" t="str">
        <x:v>Casa</x:v>
      </x:c>
      <x:c r="H2159" t="str">
        <x:v>Aspirador Robô</x:v>
      </x:c>
      <x:c r="I2159" t="str">
        <x:v>Isabela</x:v>
      </x:c>
      <x:c r="J2159" s="53" t="n">
        <x:v>3</x:v>
      </x:c>
      <x:c r="K2159" s="54" t="n">
        <x:v>1809.36</x:v>
      </x:c>
      <x:c r="L2159" s="54" t="n">
        <x:v>1202.55</x:v>
      </x:c>
      <x:c r="M2159" s="55" t="n">
        <x:v>0.0866</x:v>
      </x:c>
      <x:c r="N2159" s="54" t="n">
        <x:f>ROUND(J2159*K2159,2)</x:f>
        <x:v>5428.08</x:v>
      </x:c>
      <x:c r="O2159" s="54" t="n">
        <x:f>ROUND(N2159*(1-M2159),2)</x:f>
        <x:v>4958.01</x:v>
      </x:c>
      <x:c r="P2159" s="54" t="n">
        <x:f>ROUND(J2159*L2159,2)</x:f>
        <x:v>3607.65</x:v>
      </x:c>
      <x:c r="Q2159" s="54" t="n">
        <x:f>ROUND(O2159-P2159,2)</x:f>
        <x:v>1350.36</x:v>
      </x:c>
      <x:c r="R2159" s="55" t="n">
        <x:f>IF(O2159=0,0,ROUND(Q2159/O2159,4))</x:f>
        <x:v>0.2724</x:v>
      </x:c>
      <x:c r="S2159" s="53" t="n">
        <x:v>6</x:v>
      </x:c>
      <x:c r="T2159" t="str">
        <x:v>Entregue</x:v>
      </x:c>
      <x:c r="U2159" t="n">
        <x:v>3</x:v>
      </x:c>
      <x:c r="V2159" t="str"/>
    </x:row>
    <x:row r="2160">
      <x:c r="A2160" s="52" t="n">
        <x:v>46154</x:v>
      </x:c>
      <x:c r="B2160" t="str">
        <x:v>PED-102159</x:v>
      </x:c>
      <x:c r="C2160" t="str">
        <x:v>Cliente 091</x:v>
      </x:c>
      <x:c r="D2160" t="str">
        <x:v>AM</x:v>
      </x:c>
      <x:c r="E2160" t="str">
        <x:v>Norte</x:v>
      </x:c>
      <x:c r="F2160" t="str">
        <x:v>Loja</x:v>
      </x:c>
      <x:c r="G2160" t="str">
        <x:v>Casa</x:v>
      </x:c>
      <x:c r="H2160" t="str">
        <x:v>Aspirador Robô</x:v>
      </x:c>
      <x:c r="I2160" t="str">
        <x:v>Isabela</x:v>
      </x:c>
      <x:c r="J2160" s="53" t="n">
        <x:v>2</x:v>
      </x:c>
      <x:c r="K2160" s="54" t="n">
        <x:v>1830.8</x:v>
      </x:c>
      <x:c r="L2160" s="54" t="n">
        <x:v>1206.5</x:v>
      </x:c>
      <x:c r="M2160" s="55" t="n">
        <x:v>0.0116</x:v>
      </x:c>
      <x:c r="N2160" s="54" t="n">
        <x:f>ROUND(J2160*K2160,2)</x:f>
        <x:v>3661.6</x:v>
      </x:c>
      <x:c r="O2160" s="54" t="n">
        <x:f>ROUND(N2160*(1-M2160),2)</x:f>
        <x:v>3619.13</x:v>
      </x:c>
      <x:c r="P2160" s="54" t="n">
        <x:f>ROUND(J2160*L2160,2)</x:f>
        <x:v>2413</x:v>
      </x:c>
      <x:c r="Q2160" s="54" t="n">
        <x:f>ROUND(O2160-P2160,2)</x:f>
        <x:v>1206.13</x:v>
      </x:c>
      <x:c r="R2160" s="55" t="n">
        <x:f>IF(O2160=0,0,ROUND(Q2160/O2160,4))</x:f>
        <x:v>0.3333</x:v>
      </x:c>
      <x:c r="S2160" s="53" t="n">
        <x:v>4</x:v>
      </x:c>
      <x:c r="T2160" t="str">
        <x:v>Entregue</x:v>
      </x:c>
      <x:c r="U2160" t="n">
        <x:v>4</x:v>
      </x:c>
      <x:c r="V2160" t="str"/>
    </x:row>
    <x:row r="2161">
      <x:c r="A2161" s="52" t="n">
        <x:v>46111</x:v>
      </x:c>
      <x:c r="B2161" t="str">
        <x:v>PED-102160</x:v>
      </x:c>
      <x:c r="C2161" t="str">
        <x:v>Cliente 087</x:v>
      </x:c>
      <x:c r="D2161" t="str">
        <x:v>PR</x:v>
      </x:c>
      <x:c r="E2161" t="str">
        <x:v>Sul</x:v>
      </x:c>
      <x:c r="F2161" t="str">
        <x:v>Marketplace</x:v>
      </x:c>
      <x:c r="G2161" t="str">
        <x:v>Acessórios</x:v>
      </x:c>
      <x:c r="H2161" t="str">
        <x:v>Mochila Executiva</x:v>
      </x:c>
      <x:c r="I2161" t="str">
        <x:v>Carla</x:v>
      </x:c>
      <x:c r="J2161" s="53" t="n">
        <x:v>1</x:v>
      </x:c>
      <x:c r="K2161" s="54" t="n">
        <x:v>423.64</x:v>
      </x:c>
      <x:c r="L2161" s="54" t="n">
        <x:v>191.59</x:v>
      </x:c>
      <x:c r="M2161" s="55" t="n">
        <x:v>0.1277</x:v>
      </x:c>
      <x:c r="N2161" s="54" t="n">
        <x:f>ROUND(J2161*K2161,2)</x:f>
        <x:v>423.64</x:v>
      </x:c>
      <x:c r="O2161" s="54" t="n">
        <x:f>ROUND(N2161*(1-M2161),2)</x:f>
        <x:v>369.54</x:v>
      </x:c>
      <x:c r="P2161" s="54" t="n">
        <x:f>ROUND(J2161*L2161,2)</x:f>
        <x:v>191.59</x:v>
      </x:c>
      <x:c r="Q2161" s="54" t="n">
        <x:f>ROUND(O2161-P2161,2)</x:f>
        <x:v>177.95</x:v>
      </x:c>
      <x:c r="R2161" s="55" t="n">
        <x:f>IF(O2161=0,0,ROUND(Q2161/O2161,4))</x:f>
        <x:v>0.4815</x:v>
      </x:c>
      <x:c r="S2161" s="53" t="n">
        <x:v>3</x:v>
      </x:c>
      <x:c r="T2161" t="str">
        <x:v>Entregue</x:v>
      </x:c>
      <x:c r="U2161" t="n">
        <x:v>5</x:v>
      </x:c>
      <x:c r="V2161" t="str"/>
    </x:row>
    <x:row r="2162">
      <x:c r="A2162" s="52" t="n">
        <x:v>46119</x:v>
      </x:c>
      <x:c r="B2162" t="str">
        <x:v>PED-102161</x:v>
      </x:c>
      <x:c r="C2162" t="str">
        <x:v>Cliente 046</x:v>
      </x:c>
      <x:c r="D2162" t="str">
        <x:v>BA</x:v>
      </x:c>
      <x:c r="E2162" t="str">
        <x:v>Nordeste</x:v>
      </x:c>
      <x:c r="F2162" t="str">
        <x:v>E-commerce</x:v>
      </x:c>
      <x:c r="G2162" t="str">
        <x:v>Tecnologia</x:v>
      </x:c>
      <x:c r="H2162" t="str">
        <x:v>Notebook Pro</x:v>
      </x:c>
      <x:c r="I2162" t="str">
        <x:v>Carla</x:v>
      </x:c>
      <x:c r="J2162" s="53" t="n">
        <x:v>5</x:v>
      </x:c>
      <x:c r="K2162" s="54" t="n">
        <x:v>6082.28</x:v>
      </x:c>
      <x:c r="L2162" s="54" t="n">
        <x:v>4373.9</x:v>
      </x:c>
      <x:c r="M2162" s="55" t="n">
        <x:v>0</x:v>
      </x:c>
      <x:c r="N2162" s="54" t="n">
        <x:f>ROUND(J2162*K2162,2)</x:f>
        <x:v>30411.4</x:v>
      </x:c>
      <x:c r="O2162" s="54" t="n">
        <x:f>ROUND(N2162*(1-M2162),2)</x:f>
        <x:v>30411.4</x:v>
      </x:c>
      <x:c r="P2162" s="54" t="n">
        <x:f>ROUND(J2162*L2162,2)</x:f>
        <x:v>21869.5</x:v>
      </x:c>
      <x:c r="Q2162" s="54" t="n">
        <x:f>ROUND(O2162-P2162,2)</x:f>
        <x:v>8541.9</x:v>
      </x:c>
      <x:c r="R2162" s="55" t="n">
        <x:f>IF(O2162=0,0,ROUND(Q2162/O2162,4))</x:f>
        <x:v>0.2809</x:v>
      </x:c>
      <x:c r="S2162" s="53" t="n">
        <x:v>4</x:v>
      </x:c>
      <x:c r="T2162" t="str">
        <x:v>Entregue</x:v>
      </x:c>
      <x:c r="U2162" t="n">
        <x:v>5</x:v>
      </x:c>
      <x:c r="V2162" t="str"/>
    </x:row>
    <x:row r="2163">
      <x:c r="A2163" s="52" t="n">
        <x:v>46151</x:v>
      </x:c>
      <x:c r="B2163" t="str">
        <x:v>PED-102162</x:v>
      </x:c>
      <x:c r="C2163" t="str">
        <x:v>Cliente 024</x:v>
      </x:c>
      <x:c r="D2163" t="str">
        <x:v>MT</x:v>
      </x:c>
      <x:c r="E2163" t="str">
        <x:v>Centro-Oeste</x:v>
      </x:c>
      <x:c r="F2163" t="str">
        <x:v>Marketplace</x:v>
      </x:c>
      <x:c r="G2163" t="str">
        <x:v>Tecnologia</x:v>
      </x:c>
      <x:c r="H2163" t="str">
        <x:v>Monitor 27</x:v>
      </x:c>
      <x:c r="I2163" t="str">
        <x:v>Gabriela</x:v>
      </x:c>
      <x:c r="J2163" s="53" t="n">
        <x:v>6</x:v>
      </x:c>
      <x:c r="K2163" s="54" t="n">
        <x:v>1740.73</x:v>
      </x:c>
      <x:c r="L2163" s="54" t="n">
        <x:v>1103.39</x:v>
      </x:c>
      <x:c r="M2163" s="55" t="n">
        <x:v>0.131</x:v>
      </x:c>
      <x:c r="N2163" s="54" t="n">
        <x:f>ROUND(J2163*K2163,2)</x:f>
        <x:v>10444.38</x:v>
      </x:c>
      <x:c r="O2163" s="54" t="n">
        <x:f>ROUND(N2163*(1-M2163),2)</x:f>
        <x:v>9076.17</x:v>
      </x:c>
      <x:c r="P2163" s="54" t="n">
        <x:f>ROUND(J2163*L2163,2)</x:f>
        <x:v>6620.34</x:v>
      </x:c>
      <x:c r="Q2163" s="54" t="n">
        <x:f>ROUND(O2163-P2163,2)</x:f>
        <x:v>2455.83</x:v>
      </x:c>
      <x:c r="R2163" s="55" t="n">
        <x:f>IF(O2163=0,0,ROUND(Q2163/O2163,4))</x:f>
        <x:v>0.2706</x:v>
      </x:c>
      <x:c r="S2163" s="53" t="n">
        <x:v>6</x:v>
      </x:c>
      <x:c r="T2163" t="str">
        <x:v>Entregue</x:v>
      </x:c>
      <x:c r="U2163" t="n">
        <x:v>4</x:v>
      </x:c>
      <x:c r="V2163" t="str"/>
    </x:row>
    <x:row r="2164">
      <x:c r="A2164" s="52" t="n">
        <x:v>46135</x:v>
      </x:c>
      <x:c r="B2164" t="str">
        <x:v>PED-102163</x:v>
      </x:c>
      <x:c r="C2164" t="str">
        <x:v>Cliente 065</x:v>
      </x:c>
      <x:c r="D2164" t="str">
        <x:v>CE</x:v>
      </x:c>
      <x:c r="E2164" t="str">
        <x:v>Nordeste</x:v>
      </x:c>
      <x:c r="F2164" t="str">
        <x:v>E-commerce</x:v>
      </x:c>
      <x:c r="G2164" t="str">
        <x:v>Acessórios</x:v>
      </x:c>
      <x:c r="H2164" t="str">
        <x:v>Mochila Executiva</x:v>
      </x:c>
      <x:c r="I2164" t="str">
        <x:v>Henrique</x:v>
      </x:c>
      <x:c r="J2164" s="53" t="n">
        <x:v>2</x:v>
      </x:c>
      <x:c r="K2164" s="54" t="n">
        <x:v>447.62</x:v>
      </x:c>
      <x:c r="L2164" s="54" t="n">
        <x:v>202.69</x:v>
      </x:c>
      <x:c r="M2164" s="55" t="n">
        <x:v>0.1053</x:v>
      </x:c>
      <x:c r="N2164" s="54" t="n">
        <x:f>ROUND(J2164*K2164,2)</x:f>
        <x:v>895.24</x:v>
      </x:c>
      <x:c r="O2164" s="54" t="n">
        <x:f>ROUND(N2164*(1-M2164),2)</x:f>
        <x:v>800.97</x:v>
      </x:c>
      <x:c r="P2164" s="54" t="n">
        <x:f>ROUND(J2164*L2164,2)</x:f>
        <x:v>405.38</x:v>
      </x:c>
      <x:c r="Q2164" s="54" t="n">
        <x:f>ROUND(O2164-P2164,2)</x:f>
        <x:v>395.59</x:v>
      </x:c>
      <x:c r="R2164" s="55" t="n">
        <x:f>IF(O2164=0,0,ROUND(Q2164/O2164,4))</x:f>
        <x:v>0.4939</x:v>
      </x:c>
      <x:c r="S2164" s="53" t="n">
        <x:v>12</x:v>
      </x:c>
      <x:c r="T2164" t="str">
        <x:v>Entregue com atraso</x:v>
      </x:c>
      <x:c r="U2164" t="n">
        <x:v>5</x:v>
      </x:c>
      <x:c r="V2164" t="str"/>
    </x:row>
    <x:row r="2165">
      <x:c r="A2165" s="52" t="n">
        <x:v>46138</x:v>
      </x:c>
      <x:c r="B2165" t="str">
        <x:v>PED-102164</x:v>
      </x:c>
      <x:c r="C2165" t="str">
        <x:v>Cliente 035</x:v>
      </x:c>
      <x:c r="D2165" t="str">
        <x:v>GO</x:v>
      </x:c>
      <x:c r="E2165" t="str">
        <x:v>Centro-Oeste</x:v>
      </x:c>
      <x:c r="F2165" t="str">
        <x:v>Marketplace</x:v>
      </x:c>
      <x:c r="G2165" t="str">
        <x:v>Tecnologia</x:v>
      </x:c>
      <x:c r="H2165" t="str">
        <x:v>Notebook Pro</x:v>
      </x:c>
      <x:c r="I2165" t="str">
        <x:v>Carla</x:v>
      </x:c>
      <x:c r="J2165" s="53" t="n">
        <x:v>4</x:v>
      </x:c>
      <x:c r="K2165" s="54" t="n">
        <x:v>5943.34</x:v>
      </x:c>
      <x:c r="L2165" s="54" t="n">
        <x:v>4419.94</x:v>
      </x:c>
      <x:c r="M2165" s="55" t="n">
        <x:v>0.035</x:v>
      </x:c>
      <x:c r="N2165" s="54" t="n">
        <x:f>ROUND(J2165*K2165,2)</x:f>
        <x:v>23773.36</x:v>
      </x:c>
      <x:c r="O2165" s="54" t="n">
        <x:f>ROUND(N2165*(1-M2165),2)</x:f>
        <x:v>22941.29</x:v>
      </x:c>
      <x:c r="P2165" s="54" t="n">
        <x:f>ROUND(J2165*L2165,2)</x:f>
        <x:v>17679.76</x:v>
      </x:c>
      <x:c r="Q2165" s="54" t="n">
        <x:f>ROUND(O2165-P2165,2)</x:f>
        <x:v>5261.53</x:v>
      </x:c>
      <x:c r="R2165" s="55" t="n">
        <x:f>IF(O2165=0,0,ROUND(Q2165/O2165,4))</x:f>
        <x:v>0.2293</x:v>
      </x:c>
      <x:c r="S2165" s="53" t="n">
        <x:v>4</x:v>
      </x:c>
      <x:c r="T2165" t="str">
        <x:v>Entregue</x:v>
      </x:c>
      <x:c r="U2165" t="n">
        <x:v>4</x:v>
      </x:c>
      <x:c r="V2165" t="str"/>
    </x:row>
    <x:row r="2166">
      <x:c r="A2166" s="52" t="n">
        <x:v>46044</x:v>
      </x:c>
      <x:c r="B2166" t="str">
        <x:v>PED-102165</x:v>
      </x:c>
      <x:c r="C2166" t="str">
        <x:v>Cliente 047</x:v>
      </x:c>
      <x:c r="D2166" t="str">
        <x:v>SP</x:v>
      </x:c>
      <x:c r="E2166" t="str">
        <x:v>Sudeste</x:v>
      </x:c>
      <x:c r="F2166" t="str">
        <x:v>Marketplace</x:v>
      </x:c>
      <x:c r="G2166" t="str">
        <x:v>Casa</x:v>
      </x:c>
      <x:c r="H2166" t="str">
        <x:v>Aspirador Robô</x:v>
      </x:c>
      <x:c r="I2166" t="str">
        <x:v>Elaine</x:v>
      </x:c>
      <x:c r="J2166" s="53" t="n">
        <x:v>3</x:v>
      </x:c>
      <x:c r="K2166" s="54" t="n">
        <x:v>1897.8</x:v>
      </x:c>
      <x:c r="L2166" s="54" t="n">
        <x:v>1210.84</x:v>
      </x:c>
      <x:c r="M2166" s="55" t="n">
        <x:v>0.035</x:v>
      </x:c>
      <x:c r="N2166" s="54" t="n">
        <x:f>ROUND(J2166*K2166,2)</x:f>
        <x:v>5693.4</x:v>
      </x:c>
      <x:c r="O2166" s="54" t="n">
        <x:f>ROUND(N2166*(1-M2166),2)</x:f>
        <x:v>5494.13</x:v>
      </x:c>
      <x:c r="P2166" s="54" t="n">
        <x:f>ROUND(J2166*L2166,2)</x:f>
        <x:v>3632.52</x:v>
      </x:c>
      <x:c r="Q2166" s="54" t="n">
        <x:f>ROUND(O2166-P2166,2)</x:f>
        <x:v>1861.61</x:v>
      </x:c>
      <x:c r="R2166" s="55" t="n">
        <x:f>IF(O2166=0,0,ROUND(Q2166/O2166,4))</x:f>
        <x:v>0.3388</x:v>
      </x:c>
      <x:c r="S2166" s="53" t="n">
        <x:v>10</x:v>
      </x:c>
      <x:c r="T2166" t="str">
        <x:v>Entregue</x:v>
      </x:c>
      <x:c r="U2166" t="n">
        <x:v>3</x:v>
      </x:c>
      <x:c r="V2166" t="str"/>
    </x:row>
    <x:row r="2167">
      <x:c r="A2167" s="52" t="n">
        <x:v>46192</x:v>
      </x:c>
      <x:c r="B2167" t="str">
        <x:v>PED-102166</x:v>
      </x:c>
      <x:c r="C2167" t="str">
        <x:v>Cliente 115</x:v>
      </x:c>
      <x:c r="D2167" t="str">
        <x:v>MA</x:v>
      </x:c>
      <x:c r="E2167" t="str">
        <x:v>Nordeste</x:v>
      </x:c>
      <x:c r="F2167" t="str">
        <x:v>Loja</x:v>
      </x:c>
      <x:c r="G2167" t="str">
        <x:v>Escritório</x:v>
      </x:c>
      <x:c r="H2167" t="str">
        <x:v>Cadeira Ergonômica</x:v>
      </x:c>
      <x:c r="I2167" t="str">
        <x:v>Gabriela</x:v>
      </x:c>
      <x:c r="J2167" s="53" t="n">
        <x:v>1</x:v>
      </x:c>
      <x:c r="K2167" s="54" t="n">
        <x:v>2148.76</x:v>
      </x:c>
      <x:c r="L2167" s="54" t="n">
        <x:v>1463.08</x:v>
      </x:c>
      <x:c r="M2167" s="55" t="n">
        <x:v>0.0993</x:v>
      </x:c>
      <x:c r="N2167" s="54" t="n">
        <x:f>ROUND(J2167*K2167,2)</x:f>
        <x:v>2148.76</x:v>
      </x:c>
      <x:c r="O2167" s="54" t="n">
        <x:f>ROUND(N2167*(1-M2167),2)</x:f>
        <x:v>1935.39</x:v>
      </x:c>
      <x:c r="P2167" s="54" t="n">
        <x:f>ROUND(J2167*L2167,2)</x:f>
        <x:v>1463.08</x:v>
      </x:c>
      <x:c r="Q2167" s="54" t="n">
        <x:f>ROUND(O2167-P2167,2)</x:f>
        <x:v>472.31</x:v>
      </x:c>
      <x:c r="R2167" s="55" t="n">
        <x:f>IF(O2167=0,0,ROUND(Q2167/O2167,4))</x:f>
        <x:v>0.244</x:v>
      </x:c>
      <x:c r="S2167" s="53" t="n">
        <x:v>9</x:v>
      </x:c>
      <x:c r="T2167" t="str">
        <x:v>Entregue</x:v>
      </x:c>
      <x:c r="U2167" t="n">
        <x:v>4</x:v>
      </x:c>
      <x:c r="V2167" t="str"/>
    </x:row>
    <x:row r="2168">
      <x:c r="A2168" s="52" t="n">
        <x:v>46089</x:v>
      </x:c>
      <x:c r="B2168" t="str">
        <x:v>PED-102167</x:v>
      </x:c>
      <x:c r="C2168" t="str">
        <x:v>Cliente 053</x:v>
      </x:c>
      <x:c r="D2168" t="str">
        <x:v>PE</x:v>
      </x:c>
      <x:c r="E2168" t="str">
        <x:v>Nordeste</x:v>
      </x:c>
      <x:c r="F2168" t="str">
        <x:v>E-commerce</x:v>
      </x:c>
      <x:c r="G2168" t="str">
        <x:v>Tecnologia</x:v>
      </x:c>
      <x:c r="H2168" t="str">
        <x:v>Headset Office</x:v>
      </x:c>
      <x:c r="I2168" t="str">
        <x:v>Gabriela</x:v>
      </x:c>
      <x:c r="J2168" s="53" t="n">
        <x:v>3</x:v>
      </x:c>
      <x:c r="K2168" s="54" t="n">
        <x:v>376.96</x:v>
      </x:c>
      <x:c r="L2168" s="54" t="n">
        <x:v>218.8</x:v>
      </x:c>
      <x:c r="M2168" s="55" t="n">
        <x:v>0</x:v>
      </x:c>
      <x:c r="N2168" s="54" t="n">
        <x:f>ROUND(J2168*K2168,2)</x:f>
        <x:v>1130.88</x:v>
      </x:c>
      <x:c r="O2168" s="54" t="n">
        <x:f>ROUND(N2168*(1-M2168),2)</x:f>
        <x:v>1130.88</x:v>
      </x:c>
      <x:c r="P2168" s="54" t="n">
        <x:f>ROUND(J2168*L2168,2)</x:f>
        <x:v>656.4</x:v>
      </x:c>
      <x:c r="Q2168" s="54" t="n">
        <x:f>ROUND(O2168-P2168,2)</x:f>
        <x:v>474.48</x:v>
      </x:c>
      <x:c r="R2168" s="55" t="n">
        <x:f>IF(O2168=0,0,ROUND(Q2168/O2168,4))</x:f>
        <x:v>0.4196</x:v>
      </x:c>
      <x:c r="S2168" s="53" t="n">
        <x:v>7</x:v>
      </x:c>
      <x:c r="T2168" t="str">
        <x:v>Entregue</x:v>
      </x:c>
      <x:c r="U2168" t="n">
        <x:v>4</x:v>
      </x:c>
      <x:c r="V2168" t="str"/>
    </x:row>
    <x:row r="2169">
      <x:c r="A2169" s="52" t="n">
        <x:v>46161</x:v>
      </x:c>
      <x:c r="B2169" t="str">
        <x:v>PED-102168</x:v>
      </x:c>
      <x:c r="C2169" t="str">
        <x:v>Cliente 060</x:v>
      </x:c>
      <x:c r="D2169" t="str">
        <x:v>SP</x:v>
      </x:c>
      <x:c r="E2169" t="str">
        <x:v>Sudeste</x:v>
      </x:c>
      <x:c r="F2169" t="str">
        <x:v>Loja</x:v>
      </x:c>
      <x:c r="G2169" t="str">
        <x:v>Casa</x:v>
      </x:c>
      <x:c r="H2169" t="str">
        <x:v>Aspirador Robô</x:v>
      </x:c>
      <x:c r="I2169" t="str">
        <x:v>João</x:v>
      </x:c>
      <x:c r="J2169" s="53" t="n">
        <x:v>3</x:v>
      </x:c>
      <x:c r="K2169" s="54" t="n">
        <x:v>2002.13</x:v>
      </x:c>
      <x:c r="L2169" s="54" t="n">
        <x:v>1188.05</x:v>
      </x:c>
      <x:c r="M2169" s="55" t="n">
        <x:v>0.4507</x:v>
      </x:c>
      <x:c r="N2169" s="54" t="n">
        <x:f>ROUND(J2169*K2169,2)</x:f>
        <x:v>6006.39</x:v>
      </x:c>
      <x:c r="O2169" s="54" t="n">
        <x:f>ROUND(N2169*(1-M2169),2)</x:f>
        <x:v>3299.31</x:v>
      </x:c>
      <x:c r="P2169" s="54" t="n">
        <x:f>ROUND(J2169*L2169,2)</x:f>
        <x:v>3564.15</x:v>
      </x:c>
      <x:c r="Q2169" s="54" t="n">
        <x:f>ROUND(O2169-P2169,2)</x:f>
        <x:v>-264.84</x:v>
      </x:c>
      <x:c r="R2169" s="55" t="n">
        <x:f>IF(O2169=0,0,ROUND(Q2169/O2169,4))</x:f>
        <x:v>-0.0803</x:v>
      </x:c>
      <x:c r="S2169" s="53" t="n">
        <x:v>4</x:v>
      </x:c>
      <x:c r="T2169" t="str">
        <x:v>Entregue</x:v>
      </x:c>
      <x:c r="U2169" t="n">
        <x:v>5</x:v>
      </x:c>
      <x:c r="V2169" t="str">
        <x:v>Desconto autorizado fora da campanha</x:v>
      </x:c>
    </x:row>
    <x:row r="2170">
      <x:c r="A2170" s="52" t="n">
        <x:v>46136</x:v>
      </x:c>
      <x:c r="B2170" t="str">
        <x:v>PED-102169</x:v>
      </x:c>
      <x:c r="C2170" t="str">
        <x:v>Cliente 023</x:v>
      </x:c>
      <x:c r="D2170" t="str">
        <x:v>PR</x:v>
      </x:c>
      <x:c r="E2170" t="str">
        <x:v>Sul</x:v>
      </x:c>
      <x:c r="F2170" t="str">
        <x:v>E-commerce</x:v>
      </x:c>
      <x:c r="G2170" t="str">
        <x:v>Tecnologia</x:v>
      </x:c>
      <x:c r="H2170" t="str">
        <x:v>Monitor 27</x:v>
      </x:c>
      <x:c r="I2170" t="str">
        <x:v>Diego</x:v>
      </x:c>
      <x:c r="J2170" s="53" t="n">
        <x:v>7</x:v>
      </x:c>
      <x:c r="K2170" s="54" t="n">
        <x:v>1666.31</x:v>
      </x:c>
      <x:c r="L2170" s="54" t="n">
        <x:v>1124.73</x:v>
      </x:c>
      <x:c r="M2170" s="55" t="n">
        <x:v>0.0511</x:v>
      </x:c>
      <x:c r="N2170" s="54" t="n">
        <x:f>ROUND(J2170*K2170,2)</x:f>
        <x:v>11664.17</x:v>
      </x:c>
      <x:c r="O2170" s="54" t="n">
        <x:f>ROUND(N2170*(1-M2170),2)</x:f>
        <x:v>11068.13</x:v>
      </x:c>
      <x:c r="P2170" s="54" t="n">
        <x:f>ROUND(J2170*L2170,2)</x:f>
        <x:v>7873.11</x:v>
      </x:c>
      <x:c r="Q2170" s="54" t="n">
        <x:f>ROUND(O2170-P2170,2)</x:f>
        <x:v>3195.02</x:v>
      </x:c>
      <x:c r="R2170" s="55" t="n">
        <x:f>IF(O2170=0,0,ROUND(Q2170/O2170,4))</x:f>
        <x:v>0.2887</x:v>
      </x:c>
      <x:c r="S2170" s="53" t="n">
        <x:v>5</x:v>
      </x:c>
      <x:c r="T2170" t="str">
        <x:v>Entregue</x:v>
      </x:c>
      <x:c r="U2170" t="n">
        <x:v>5</x:v>
      </x:c>
      <x:c r="V2170" t="str"/>
    </x:row>
    <x:row r="2171">
      <x:c r="A2171" s="52" t="n">
        <x:v>46139</x:v>
      </x:c>
      <x:c r="B2171" t="str">
        <x:v>PED-102170</x:v>
      </x:c>
      <x:c r="C2171" t="str">
        <x:v>Cliente 002</x:v>
      </x:c>
      <x:c r="D2171" t="str">
        <x:v>MG</x:v>
      </x:c>
      <x:c r="E2171" t="str">
        <x:v>Sudeste</x:v>
      </x:c>
      <x:c r="F2171" t="str">
        <x:v>Loja</x:v>
      </x:c>
      <x:c r="G2171" t="str">
        <x:v>Acessórios</x:v>
      </x:c>
      <x:c r="H2171" t="str">
        <x:v>Webcam HD</x:v>
      </x:c>
      <x:c r="I2171" t="str">
        <x:v>Carla</x:v>
      </x:c>
      <x:c r="J2171" s="53" t="n">
        <x:v>1</x:v>
      </x:c>
      <x:c r="K2171" s="54" t="n">
        <x:v>505.14</x:v>
      </x:c>
      <x:c r="L2171" s="54" t="n">
        <x:v>250.95</x:v>
      </x:c>
      <x:c r="M2171" s="55" t="n">
        <x:v>0</x:v>
      </x:c>
      <x:c r="N2171" s="54" t="n">
        <x:f>ROUND(J2171*K2171,2)</x:f>
        <x:v>505.14</x:v>
      </x:c>
      <x:c r="O2171" s="54" t="n">
        <x:f>ROUND(N2171*(1-M2171),2)</x:f>
        <x:v>505.14</x:v>
      </x:c>
      <x:c r="P2171" s="54" t="n">
        <x:f>ROUND(J2171*L2171,2)</x:f>
        <x:v>250.95</x:v>
      </x:c>
      <x:c r="Q2171" s="54" t="n">
        <x:f>ROUND(O2171-P2171,2)</x:f>
        <x:v>254.19</x:v>
      </x:c>
      <x:c r="R2171" s="55" t="n">
        <x:f>IF(O2171=0,0,ROUND(Q2171/O2171,4))</x:f>
        <x:v>0.5032</x:v>
      </x:c>
      <x:c r="S2171" s="53" t="n">
        <x:v>5</x:v>
      </x:c>
      <x:c r="T2171" t="str">
        <x:v>Entregue</x:v>
      </x:c>
      <x:c r="U2171" t="n">
        <x:v>3</x:v>
      </x:c>
      <x:c r="V2171" t="str"/>
    </x:row>
    <x:row r="2172">
      <x:c r="A2172" s="52" t="n">
        <x:v>46027</x:v>
      </x:c>
      <x:c r="B2172" t="str">
        <x:v>PED-102171</x:v>
      </x:c>
      <x:c r="C2172" t="str">
        <x:v>Cliente 054</x:v>
      </x:c>
      <x:c r="D2172" t="str">
        <x:v>PR</x:v>
      </x:c>
      <x:c r="E2172" t="str">
        <x:v>Sul</x:v>
      </x:c>
      <x:c r="F2172" t="str">
        <x:v>Marketplace</x:v>
      </x:c>
      <x:c r="G2172" t="str">
        <x:v>Acessórios</x:v>
      </x:c>
      <x:c r="H2172" t="str">
        <x:v>Mochila Executiva</x:v>
      </x:c>
      <x:c r="I2172" t="str">
        <x:v>Bruno</x:v>
      </x:c>
      <x:c r="J2172" s="53" t="n">
        <x:v>6</x:v>
      </x:c>
      <x:c r="K2172" s="54" t="n">
        <x:v>437.94</x:v>
      </x:c>
      <x:c r="L2172" s="54" t="n">
        <x:v>187.64</x:v>
      </x:c>
      <x:c r="M2172" s="55" t="n">
        <x:v>0.0454</x:v>
      </x:c>
      <x:c r="N2172" s="54" t="n">
        <x:f>ROUND(J2172*K2172,2)</x:f>
        <x:v>2627.64</x:v>
      </x:c>
      <x:c r="O2172" s="54" t="n">
        <x:f>ROUND(N2172*(1-M2172),2)</x:f>
        <x:v>2508.35</x:v>
      </x:c>
      <x:c r="P2172" s="54" t="n">
        <x:f>ROUND(J2172*L2172,2)</x:f>
        <x:v>1125.84</x:v>
      </x:c>
      <x:c r="Q2172" s="54" t="n">
        <x:f>ROUND(O2172-P2172,2)</x:f>
        <x:v>1382.51</x:v>
      </x:c>
      <x:c r="R2172" s="55" t="n">
        <x:f>IF(O2172=0,0,ROUND(Q2172/O2172,4))</x:f>
        <x:v>0.5512</x:v>
      </x:c>
      <x:c r="S2172" s="53" t="n">
        <x:v>12</x:v>
      </x:c>
      <x:c r="T2172" t="str">
        <x:v>Entregue com atraso</x:v>
      </x:c>
      <x:c r="U2172" t="n">
        <x:v>4</x:v>
      </x:c>
      <x:c r="V2172" t="str"/>
    </x:row>
    <x:row r="2173">
      <x:c r="A2173" s="52" t="n">
        <x:v>46069</x:v>
      </x:c>
      <x:c r="B2173" t="str">
        <x:v>PED-102172</x:v>
      </x:c>
      <x:c r="C2173" t="str">
        <x:v>Cliente 096</x:v>
      </x:c>
      <x:c r="D2173" t="str">
        <x:v>ES</x:v>
      </x:c>
      <x:c r="E2173" t="str">
        <x:v>Sudeste</x:v>
      </x:c>
      <x:c r="F2173" t="str">
        <x:v>Loja</x:v>
      </x:c>
      <x:c r="G2173" t="str">
        <x:v>Acessórios</x:v>
      </x:c>
      <x:c r="H2173" t="str">
        <x:v>Mochila Executiva</x:v>
      </x:c>
      <x:c r="I2173" t="str">
        <x:v>Diego</x:v>
      </x:c>
      <x:c r="J2173" s="53" t="n">
        <x:v>4</x:v>
      </x:c>
      <x:c r="K2173" s="54" t="n">
        <x:v>415.73</x:v>
      </x:c>
      <x:c r="L2173" s="54" t="n">
        <x:v>187.95</x:v>
      </x:c>
      <x:c r="M2173" s="55" t="n">
        <x:v>0.0547</x:v>
      </x:c>
      <x:c r="N2173" s="54" t="n">
        <x:f>ROUND(J2173*K2173,2)</x:f>
        <x:v>1662.92</x:v>
      </x:c>
      <x:c r="O2173" s="54" t="n">
        <x:f>ROUND(N2173*(1-M2173),2)</x:f>
        <x:v>1571.96</x:v>
      </x:c>
      <x:c r="P2173" s="54" t="n">
        <x:f>ROUND(J2173*L2173,2)</x:f>
        <x:v>751.8</x:v>
      </x:c>
      <x:c r="Q2173" s="54" t="n">
        <x:f>ROUND(O2173-P2173,2)</x:f>
        <x:v>820.16</x:v>
      </x:c>
      <x:c r="R2173" s="55" t="n">
        <x:f>IF(O2173=0,0,ROUND(Q2173/O2173,4))</x:f>
        <x:v>0.5217</x:v>
      </x:c>
      <x:c r="S2173" s="53" t="n">
        <x:v>5</x:v>
      </x:c>
      <x:c r="T2173" t="str">
        <x:v>Entregue</x:v>
      </x:c>
      <x:c r="U2173" t="n">
        <x:v>4</x:v>
      </x:c>
      <x:c r="V2173" t="str"/>
    </x:row>
    <x:row r="2174">
      <x:c r="A2174" s="52" t="n">
        <x:v>46039</x:v>
      </x:c>
      <x:c r="B2174" t="str">
        <x:v>PED-102173</x:v>
      </x:c>
      <x:c r="C2174" t="str">
        <x:v>Cliente 088</x:v>
      </x:c>
      <x:c r="D2174" t="str">
        <x:v>SC</x:v>
      </x:c>
      <x:c r="E2174" t="str">
        <x:v>Sul</x:v>
      </x:c>
      <x:c r="F2174" t="str">
        <x:v>Televendas</x:v>
      </x:c>
      <x:c r="G2174" t="str">
        <x:v>Escritório</x:v>
      </x:c>
      <x:c r="H2174" t="str">
        <x:v>Mesa Ajustável</x:v>
      </x:c>
      <x:c r="I2174" t="str">
        <x:v>Carla</x:v>
      </x:c>
      <x:c r="J2174" s="53" t="n">
        <x:v>5</x:v>
      </x:c>
      <x:c r="K2174" s="54" t="n">
        <x:v>2630.91</x:v>
      </x:c>
      <x:c r="L2174" s="54" t="n">
        <x:v>1853.74</x:v>
      </x:c>
      <x:c r="M2174" s="55" t="n">
        <x:v>0.1149</x:v>
      </x:c>
      <x:c r="N2174" s="54" t="n">
        <x:f>ROUND(J2174*K2174,2)</x:f>
        <x:v>13154.55</x:v>
      </x:c>
      <x:c r="O2174" s="54" t="n">
        <x:f>ROUND(N2174*(1-M2174),2)</x:f>
        <x:v>11643.09</x:v>
      </x:c>
      <x:c r="P2174" s="54" t="n">
        <x:f>ROUND(J2174*L2174,2)</x:f>
        <x:v>9268.7</x:v>
      </x:c>
      <x:c r="Q2174" s="54" t="n">
        <x:f>ROUND(O2174-P2174,2)</x:f>
        <x:v>2374.39</x:v>
      </x:c>
      <x:c r="R2174" s="55" t="n">
        <x:f>IF(O2174=0,0,ROUND(Q2174/O2174,4))</x:f>
        <x:v>0.2039</x:v>
      </x:c>
      <x:c r="S2174" s="53" t="n">
        <x:v>7</x:v>
      </x:c>
      <x:c r="T2174" t="str">
        <x:v>Entregue</x:v>
      </x:c>
      <x:c r="U2174" t="n">
        <x:v>5</x:v>
      </x:c>
      <x:c r="V2174" t="str"/>
    </x:row>
    <x:row r="2175">
      <x:c r="A2175" s="52" t="n">
        <x:v>46093</x:v>
      </x:c>
      <x:c r="B2175" t="str">
        <x:v>PED-102174</x:v>
      </x:c>
      <x:c r="C2175" t="str">
        <x:v>Cliente 075</x:v>
      </x:c>
      <x:c r="D2175" t="str">
        <x:v>GO</x:v>
      </x:c>
      <x:c r="E2175" t="str">
        <x:v>Centro-Oeste</x:v>
      </x:c>
      <x:c r="F2175" t="str">
        <x:v>Loja</x:v>
      </x:c>
      <x:c r="G2175" t="str">
        <x:v>Escritório</x:v>
      </x:c>
      <x:c r="H2175" t="str">
        <x:v>Mesa Ajustável</x:v>
      </x:c>
      <x:c r="I2175" t="str">
        <x:v>Bruno</x:v>
      </x:c>
      <x:c r="J2175" s="53" t="n">
        <x:v>3</x:v>
      </x:c>
      <x:c r="K2175" s="54" t="n">
        <x:v>2805.65</x:v>
      </x:c>
      <x:c r="L2175" s="54" t="n">
        <x:v>1738.13</x:v>
      </x:c>
      <x:c r="M2175" s="55" t="n">
        <x:v>0</x:v>
      </x:c>
      <x:c r="N2175" s="54" t="n">
        <x:f>ROUND(J2175*K2175,2)</x:f>
        <x:v>8416.95</x:v>
      </x:c>
      <x:c r="O2175" s="54" t="n">
        <x:f>ROUND(N2175*(1-M2175),2)</x:f>
        <x:v>8416.95</x:v>
      </x:c>
      <x:c r="P2175" s="54" t="n">
        <x:f>ROUND(J2175*L2175,2)</x:f>
        <x:v>5214.39</x:v>
      </x:c>
      <x:c r="Q2175" s="54" t="n">
        <x:f>ROUND(O2175-P2175,2)</x:f>
        <x:v>3202.56</x:v>
      </x:c>
      <x:c r="R2175" s="55" t="n">
        <x:f>IF(O2175=0,0,ROUND(Q2175/O2175,4))</x:f>
        <x:v>0.3805</x:v>
      </x:c>
      <x:c r="S2175" s="53" t="n">
        <x:v>12</x:v>
      </x:c>
      <x:c r="T2175" t="str">
        <x:v>Entregue com atraso</x:v>
      </x:c>
      <x:c r="U2175" t="n">
        <x:v>3</x:v>
      </x:c>
      <x:c r="V2175" t="str"/>
    </x:row>
    <x:row r="2176">
      <x:c r="A2176" s="52" t="n">
        <x:v>46174</x:v>
      </x:c>
      <x:c r="B2176" t="str">
        <x:v>PED-102175</x:v>
      </x:c>
      <x:c r="C2176" t="str">
        <x:v>Cliente 041</x:v>
      </x:c>
      <x:c r="D2176" t="str">
        <x:v>ES</x:v>
      </x:c>
      <x:c r="E2176" t="str">
        <x:v>Sudeste</x:v>
      </x:c>
      <x:c r="F2176" t="str">
        <x:v>Televendas</x:v>
      </x:c>
      <x:c r="G2176" t="str">
        <x:v>Tecnologia</x:v>
      </x:c>
      <x:c r="H2176" t="str">
        <x:v>Notebook Pro</x:v>
      </x:c>
      <x:c r="I2176" t="str">
        <x:v>Isabela</x:v>
      </x:c>
      <x:c r="J2176" s="53" t="n">
        <x:v>1</x:v>
      </x:c>
      <x:c r="K2176" s="54" t="n">
        <x:v>5677.41</x:v>
      </x:c>
      <x:c r="L2176" s="54" t="n">
        <x:v>4475.93</x:v>
      </x:c>
      <x:c r="M2176" s="55" t="n">
        <x:v>0.0923</x:v>
      </x:c>
      <x:c r="N2176" s="54" t="n">
        <x:f>ROUND(J2176*K2176,2)</x:f>
        <x:v>5677.41</x:v>
      </x:c>
      <x:c r="O2176" s="54" t="n">
        <x:f>ROUND(N2176*(1-M2176),2)</x:f>
        <x:v>5153.39</x:v>
      </x:c>
      <x:c r="P2176" s="54" t="n">
        <x:f>ROUND(J2176*L2176,2)</x:f>
        <x:v>4475.93</x:v>
      </x:c>
      <x:c r="Q2176" s="54" t="n">
        <x:f>ROUND(O2176-P2176,2)</x:f>
        <x:v>677.46</x:v>
      </x:c>
      <x:c r="R2176" s="55" t="n">
        <x:f>IF(O2176=0,0,ROUND(Q2176/O2176,4))</x:f>
        <x:v>0.1315</x:v>
      </x:c>
      <x:c r="S2176" s="53" t="n">
        <x:v>4</x:v>
      </x:c>
      <x:c r="T2176" t="str">
        <x:v>Entregue</x:v>
      </x:c>
      <x:c r="U2176" t="n">
        <x:v>3</x:v>
      </x:c>
      <x:c r="V2176" t="str"/>
    </x:row>
    <x:row r="2177">
      <x:c r="A2177" s="52" t="n">
        <x:v>46158</x:v>
      </x:c>
      <x:c r="B2177" t="str">
        <x:v>PED-102176</x:v>
      </x:c>
      <x:c r="C2177" t="str">
        <x:v>Cliente 016</x:v>
      </x:c>
      <x:c r="D2177" t="str">
        <x:v>MT</x:v>
      </x:c>
      <x:c r="E2177" t="str">
        <x:v>Centro-Oeste</x:v>
      </x:c>
      <x:c r="F2177" t="str">
        <x:v>Loja</x:v>
      </x:c>
      <x:c r="G2177" t="str">
        <x:v>Escritório</x:v>
      </x:c>
      <x:c r="H2177" t="str">
        <x:v>Luminária LED</x:v>
      </x:c>
      <x:c r="I2177" t="str">
        <x:v>Bruno</x:v>
      </x:c>
      <x:c r="J2177" s="53" t="n">
        <x:v>7</x:v>
      </x:c>
      <x:c r="K2177" s="54" t="n">
        <x:v>262.03</x:v>
      </x:c>
      <x:c r="L2177" s="54" t="n">
        <x:v>117.87</x:v>
      </x:c>
      <x:c r="M2177" s="55" t="n">
        <x:v>0.0999</x:v>
      </x:c>
      <x:c r="N2177" s="54" t="n">
        <x:f>ROUND(J2177*K2177,2)</x:f>
        <x:v>1834.21</x:v>
      </x:c>
      <x:c r="O2177" s="54" t="n">
        <x:f>ROUND(N2177*(1-M2177),2)</x:f>
        <x:v>1650.97</x:v>
      </x:c>
      <x:c r="P2177" s="54" t="n">
        <x:f>ROUND(J2177*L2177,2)</x:f>
        <x:v>825.09</x:v>
      </x:c>
      <x:c r="Q2177" s="54" t="n">
        <x:f>ROUND(O2177-P2177,2)</x:f>
        <x:v>825.88</x:v>
      </x:c>
      <x:c r="R2177" s="55" t="n">
        <x:f>IF(O2177=0,0,ROUND(Q2177/O2177,4))</x:f>
        <x:v>0.5002</x:v>
      </x:c>
      <x:c r="S2177" s="53" t="n">
        <x:v>6</x:v>
      </x:c>
      <x:c r="T2177" t="str">
        <x:v>Entregue</x:v>
      </x:c>
      <x:c r="U2177" t="n">
        <x:v>4</x:v>
      </x:c>
      <x:c r="V2177" t="str"/>
    </x:row>
    <x:row r="2178">
      <x:c r="A2178" s="52" t="n">
        <x:v>46085</x:v>
      </x:c>
      <x:c r="B2178" t="str">
        <x:v>PED-102177</x:v>
      </x:c>
      <x:c r="C2178" t="str">
        <x:v>Cliente 020</x:v>
      </x:c>
      <x:c r="D2178" t="str">
        <x:v>MT</x:v>
      </x:c>
      <x:c r="E2178" t="str">
        <x:v>Centro-Oeste</x:v>
      </x:c>
      <x:c r="F2178" t="str">
        <x:v>E-commerce</x:v>
      </x:c>
      <x:c r="G2178" t="str">
        <x:v>Tecnologia</x:v>
      </x:c>
      <x:c r="H2178" t="str">
        <x:v>Notebook Pro</x:v>
      </x:c>
      <x:c r="I2178" t="str">
        <x:v>Elaine</x:v>
      </x:c>
      <x:c r="J2178" s="53" t="n">
        <x:v>8</x:v>
      </x:c>
      <x:c r="K2178" s="54" t="n">
        <x:v>6094.04</x:v>
      </x:c>
      <x:c r="L2178" s="54" t="n">
        <x:v>4446.44</x:v>
      </x:c>
      <x:c r="M2178" s="55" t="n">
        <x:v>0</x:v>
      </x:c>
      <x:c r="N2178" s="54" t="n">
        <x:f>ROUND(J2178*K2178,2)</x:f>
        <x:v>48752.32</x:v>
      </x:c>
      <x:c r="O2178" s="54" t="n">
        <x:f>ROUND(N2178*(1-M2178),2)</x:f>
        <x:v>48752.32</x:v>
      </x:c>
      <x:c r="P2178" s="54" t="n">
        <x:f>ROUND(J2178*L2178,2)</x:f>
        <x:v>35571.52</x:v>
      </x:c>
      <x:c r="Q2178" s="54" t="n">
        <x:f>ROUND(O2178-P2178,2)</x:f>
        <x:v>13180.8</x:v>
      </x:c>
      <x:c r="R2178" s="55" t="n">
        <x:f>IF(O2178=0,0,ROUND(Q2178/O2178,4))</x:f>
        <x:v>0.2704</x:v>
      </x:c>
      <x:c r="S2178" s="53" t="n">
        <x:v>14</x:v>
      </x:c>
      <x:c r="T2178" t="str">
        <x:v>Entregue com atraso</x:v>
      </x:c>
      <x:c r="U2178" t="n">
        <x:v>2</x:v>
      </x:c>
      <x:c r="V2178" t="str"/>
    </x:row>
    <x:row r="2179">
      <x:c r="A2179" s="52" t="n">
        <x:v>46139</x:v>
      </x:c>
      <x:c r="B2179" t="str">
        <x:v>PED-102178</x:v>
      </x:c>
      <x:c r="C2179" t="str">
        <x:v>Cliente 016</x:v>
      </x:c>
      <x:c r="D2179" t="str">
        <x:v>MT</x:v>
      </x:c>
      <x:c r="E2179" t="str">
        <x:v>Centro-Oeste</x:v>
      </x:c>
      <x:c r="F2179" t="str">
        <x:v>Marketplace</x:v>
      </x:c>
      <x:c r="G2179" t="str">
        <x:v>Escritório</x:v>
      </x:c>
      <x:c r="H2179" t="str">
        <x:v>Cadeira Ergonômica</x:v>
      </x:c>
      <x:c r="I2179" t="str">
        <x:v>Felipe</x:v>
      </x:c>
      <x:c r="J2179" s="53" t="n">
        <x:v>8</x:v>
      </x:c>
      <x:c r="K2179" s="54" t="n">
        <x:v>2254.32</x:v>
      </x:c>
      <x:c r="L2179" s="54" t="n">
        <x:v>1476.31</x:v>
      </x:c>
      <x:c r="M2179" s="55" t="n">
        <x:v>0.1615</x:v>
      </x:c>
      <x:c r="N2179" s="54" t="n">
        <x:f>ROUND(J2179*K2179,2)</x:f>
        <x:v>18034.56</x:v>
      </x:c>
      <x:c r="O2179" s="54" t="n">
        <x:f>ROUND(N2179*(1-M2179),2)</x:f>
        <x:v>15121.98</x:v>
      </x:c>
      <x:c r="P2179" s="54" t="n">
        <x:f>ROUND(J2179*L2179,2)</x:f>
        <x:v>11810.48</x:v>
      </x:c>
      <x:c r="Q2179" s="54" t="n">
        <x:f>ROUND(O2179-P2179,2)</x:f>
        <x:v>3311.5</x:v>
      </x:c>
      <x:c r="R2179" s="55" t="n">
        <x:f>IF(O2179=0,0,ROUND(Q2179/O2179,4))</x:f>
        <x:v>0.219</x:v>
      </x:c>
      <x:c r="S2179" s="53" t="n">
        <x:v>11</x:v>
      </x:c>
      <x:c r="T2179" t="str">
        <x:v>Entregue com atraso</x:v>
      </x:c>
      <x:c r="U2179" t="n">
        <x:v>4</x:v>
      </x:c>
      <x:c r="V2179" t="str"/>
    </x:row>
    <x:row r="2180">
      <x:c r="A2180" s="52" t="n">
        <x:v>46183</x:v>
      </x:c>
      <x:c r="B2180" t="str">
        <x:v>PED-102179</x:v>
      </x:c>
      <x:c r="C2180" t="str">
        <x:v>Cliente 094</x:v>
      </x:c>
      <x:c r="D2180" t="str">
        <x:v>RJ</x:v>
      </x:c>
      <x:c r="E2180" t="str">
        <x:v>Sudeste</x:v>
      </x:c>
      <x:c r="F2180" t="str">
        <x:v>Televendas</x:v>
      </x:c>
      <x:c r="G2180" t="str">
        <x:v>Acessórios</x:v>
      </x:c>
      <x:c r="H2180" t="str">
        <x:v>Mochila Executiva</x:v>
      </x:c>
      <x:c r="I2180" t="str">
        <x:v>Elaine</x:v>
      </x:c>
      <x:c r="J2180" s="53" t="n">
        <x:v>1</x:v>
      </x:c>
      <x:c r="K2180" s="54" t="n">
        <x:v>447.34</x:v>
      </x:c>
      <x:c r="L2180" s="54" t="n">
        <x:v>193.47</x:v>
      </x:c>
      <x:c r="M2180" s="55" t="n">
        <x:v>0.0115</x:v>
      </x:c>
      <x:c r="N2180" s="54" t="n">
        <x:f>ROUND(J2180*K2180,2)</x:f>
        <x:v>447.34</x:v>
      </x:c>
      <x:c r="O2180" s="54" t="n">
        <x:f>ROUND(N2180*(1-M2180),2)</x:f>
        <x:v>442.2</x:v>
      </x:c>
      <x:c r="P2180" s="54" t="n">
        <x:f>ROUND(J2180*L2180,2)</x:f>
        <x:v>193.47</x:v>
      </x:c>
      <x:c r="Q2180" s="54" t="n">
        <x:f>ROUND(O2180-P2180,2)</x:f>
        <x:v>248.73</x:v>
      </x:c>
      <x:c r="R2180" s="55" t="n">
        <x:f>IF(O2180=0,0,ROUND(Q2180/O2180,4))</x:f>
        <x:v>0.5625</x:v>
      </x:c>
      <x:c r="S2180" s="53" t="n">
        <x:v>3</x:v>
      </x:c>
      <x:c r="T2180" t="str">
        <x:v>Entregue</x:v>
      </x:c>
      <x:c r="U2180" t="n">
        <x:v>4</x:v>
      </x:c>
      <x:c r="V2180" t="str"/>
    </x:row>
    <x:row r="2181">
      <x:c r="A2181" s="52" t="n">
        <x:v>46163</x:v>
      </x:c>
      <x:c r="B2181" t="str">
        <x:v>PED-102180</x:v>
      </x:c>
      <x:c r="C2181" t="str">
        <x:v>Cliente 089</x:v>
      </x:c>
      <x:c r="D2181" t="str">
        <x:v>SP</x:v>
      </x:c>
      <x:c r="E2181" t="str">
        <x:v>Sudeste</x:v>
      </x:c>
      <x:c r="F2181" t="str">
        <x:v>E-commerce</x:v>
      </x:c>
      <x:c r="G2181" t="str">
        <x:v>Acessórios</x:v>
      </x:c>
      <x:c r="H2181" t="str">
        <x:v>Webcam HD</x:v>
      </x:c>
      <x:c r="I2181" t="str">
        <x:v>Elaine</x:v>
      </x:c>
      <x:c r="J2181" s="53" t="n">
        <x:v>7</x:v>
      </x:c>
      <x:c r="K2181" s="54" t="n">
        <x:v>508.4</x:v>
      </x:c>
      <x:c r="L2181" s="54" t="n">
        <x:v>243.36</x:v>
      </x:c>
      <x:c r="M2181" s="55" t="n">
        <x:v>0.0565</x:v>
      </x:c>
      <x:c r="N2181" s="54" t="n">
        <x:f>ROUND(J2181*K2181,2)</x:f>
        <x:v>3558.8</x:v>
      </x:c>
      <x:c r="O2181" s="54" t="n">
        <x:f>ROUND(N2181*(1-M2181),2)</x:f>
        <x:v>3357.73</x:v>
      </x:c>
      <x:c r="P2181" s="54" t="n">
        <x:f>ROUND(J2181*L2181,2)</x:f>
        <x:v>1703.52</x:v>
      </x:c>
      <x:c r="Q2181" s="54" t="n">
        <x:f>ROUND(O2181-P2181,2)</x:f>
        <x:v>1654.21</x:v>
      </x:c>
      <x:c r="R2181" s="55" t="n">
        <x:f>IF(O2181=0,0,ROUND(Q2181/O2181,4))</x:f>
        <x:v>0.4927</x:v>
      </x:c>
      <x:c r="S2181" s="53" t="n">
        <x:v>13</x:v>
      </x:c>
      <x:c r="T2181" t="str">
        <x:v>Entregue com atraso</x:v>
      </x:c>
      <x:c r="U2181" t="n">
        <x:v>4</x:v>
      </x:c>
      <x:c r="V2181" t="str"/>
    </x:row>
    <x:row r="2182">
      <x:c r="A2182" s="52" t="n">
        <x:v>46212</x:v>
      </x:c>
      <x:c r="B2182" t="str">
        <x:v>PED-102181</x:v>
      </x:c>
      <x:c r="C2182" t="str">
        <x:v>Cliente 102</x:v>
      </x:c>
      <x:c r="D2182" t="str">
        <x:v>BA</x:v>
      </x:c>
      <x:c r="E2182" t="str">
        <x:v>Nordeste</x:v>
      </x:c>
      <x:c r="F2182" t="str">
        <x:v>Marketplace</x:v>
      </x:c>
      <x:c r="G2182" t="str">
        <x:v>Tecnologia</x:v>
      </x:c>
      <x:c r="H2182" t="str">
        <x:v>Notebook Pro</x:v>
      </x:c>
      <x:c r="I2182" t="str">
        <x:v>Isabela</x:v>
      </x:c>
      <x:c r="J2182" s="53" t="n">
        <x:v>4</x:v>
      </x:c>
      <x:c r="K2182" s="54" t="n">
        <x:v>5769.06</x:v>
      </x:c>
      <x:c r="L2182" s="54" t="n">
        <x:v>4629.12</x:v>
      </x:c>
      <x:c r="M2182" s="55" t="n">
        <x:v>0.0394</x:v>
      </x:c>
      <x:c r="N2182" s="54" t="n">
        <x:f>ROUND(J2182*K2182,2)</x:f>
        <x:v>23076.24</x:v>
      </x:c>
      <x:c r="O2182" s="54" t="n">
        <x:f>ROUND(N2182*(1-M2182),2)</x:f>
        <x:v>22167.04</x:v>
      </x:c>
      <x:c r="P2182" s="54" t="n">
        <x:f>ROUND(J2182*L2182,2)</x:f>
        <x:v>18516.48</x:v>
      </x:c>
      <x:c r="Q2182" s="54" t="n">
        <x:f>ROUND(O2182-P2182,2)</x:f>
        <x:v>3650.56</x:v>
      </x:c>
      <x:c r="R2182" s="55" t="n">
        <x:f>IF(O2182=0,0,ROUND(Q2182/O2182,4))</x:f>
        <x:v>0.1647</x:v>
      </x:c>
      <x:c r="S2182" s="53" t="n">
        <x:v>14</x:v>
      </x:c>
      <x:c r="T2182" t="str">
        <x:v>Entregue com atraso</x:v>
      </x:c>
      <x:c r="U2182" t="n">
        <x:v>3</x:v>
      </x:c>
      <x:c r="V2182" t="str"/>
    </x:row>
    <x:row r="2183">
      <x:c r="A2183" s="52" t="n">
        <x:v>46215</x:v>
      </x:c>
      <x:c r="B2183" t="str">
        <x:v>PED-102182</x:v>
      </x:c>
      <x:c r="C2183" t="str">
        <x:v>Cliente 072</x:v>
      </x:c>
      <x:c r="D2183" t="str">
        <x:v>AM</x:v>
      </x:c>
      <x:c r="E2183" t="str">
        <x:v>Norte</x:v>
      </x:c>
      <x:c r="F2183" t="str">
        <x:v>Televendas</x:v>
      </x:c>
      <x:c r="G2183" t="str">
        <x:v>Casa</x:v>
      </x:c>
      <x:c r="H2183" t="str">
        <x:v>Aspirador Robô</x:v>
      </x:c>
      <x:c r="I2183" t="str">
        <x:v>Henrique</x:v>
      </x:c>
      <x:c r="J2183" s="53" t="n">
        <x:v>3</x:v>
      </x:c>
      <x:c r="K2183" s="54" t="n">
        <x:v>1960.44</x:v>
      </x:c>
      <x:c r="L2183" s="54" t="n">
        <x:v>1268.75</x:v>
      </x:c>
      <x:c r="M2183" s="55" t="n">
        <x:v>0</x:v>
      </x:c>
      <x:c r="N2183" s="54" t="n">
        <x:f>ROUND(J2183*K2183,2)</x:f>
        <x:v>5881.32</x:v>
      </x:c>
      <x:c r="O2183" s="54" t="n">
        <x:f>ROUND(N2183*(1-M2183),2)</x:f>
        <x:v>5881.32</x:v>
      </x:c>
      <x:c r="P2183" s="54" t="n">
        <x:f>ROUND(J2183*L2183,2)</x:f>
        <x:v>3806.25</x:v>
      </x:c>
      <x:c r="Q2183" s="54" t="n">
        <x:f>ROUND(O2183-P2183,2)</x:f>
        <x:v>2075.07</x:v>
      </x:c>
      <x:c r="R2183" s="55" t="n">
        <x:f>IF(O2183=0,0,ROUND(Q2183/O2183,4))</x:f>
        <x:v>0.3528</x:v>
      </x:c>
      <x:c r="S2183" s="53" t="n">
        <x:v>11</x:v>
      </x:c>
      <x:c r="T2183" t="str">
        <x:v>Entregue com atraso</x:v>
      </x:c>
      <x:c r="U2183" t="n">
        <x:v>2</x:v>
      </x:c>
      <x:c r="V2183" t="str"/>
    </x:row>
    <x:row r="2184">
      <x:c r="A2184" s="52" t="n">
        <x:v>46035</x:v>
      </x:c>
      <x:c r="B2184" t="str">
        <x:v>PED-102183</x:v>
      </x:c>
      <x:c r="C2184" t="str">
        <x:v>Cliente 067</x:v>
      </x:c>
      <x:c r="D2184" t="str">
        <x:v>AM</x:v>
      </x:c>
      <x:c r="E2184" t="str">
        <x:v>Norte</x:v>
      </x:c>
      <x:c r="F2184" t="str">
        <x:v>Televendas</x:v>
      </x:c>
      <x:c r="G2184" t="str">
        <x:v>Casa</x:v>
      </x:c>
      <x:c r="H2184" t="str">
        <x:v>Purificador</x:v>
      </x:c>
      <x:c r="I2184" t="str">
        <x:v>João</x:v>
      </x:c>
      <x:c r="J2184" s="53" t="n">
        <x:v>4</x:v>
      </x:c>
      <x:c r="K2184" s="54" t="n">
        <x:v>1232.12</x:v>
      </x:c>
      <x:c r="L2184" s="54" t="n">
        <x:v>817.9</x:v>
      </x:c>
      <x:c r="M2184" s="55" t="n">
        <x:v>0.0389</x:v>
      </x:c>
      <x:c r="N2184" s="54" t="n">
        <x:f>ROUND(J2184*K2184,2)</x:f>
        <x:v>4928.48</x:v>
      </x:c>
      <x:c r="O2184" s="54" t="n">
        <x:f>ROUND(N2184*(1-M2184),2)</x:f>
        <x:v>4736.76</x:v>
      </x:c>
      <x:c r="P2184" s="54" t="n">
        <x:f>ROUND(J2184*L2184,2)</x:f>
        <x:v>3271.6</x:v>
      </x:c>
      <x:c r="Q2184" s="54" t="n">
        <x:f>ROUND(O2184-P2184,2)</x:f>
        <x:v>1465.16</x:v>
      </x:c>
      <x:c r="R2184" s="55" t="n">
        <x:f>IF(O2184=0,0,ROUND(Q2184/O2184,4))</x:f>
        <x:v>0.3093</x:v>
      </x:c>
      <x:c r="S2184" s="53" t="n">
        <x:v>9</x:v>
      </x:c>
      <x:c r="T2184" t="str">
        <x:v>Entregue</x:v>
      </x:c>
      <x:c r="U2184" t="n">
        <x:v>2</x:v>
      </x:c>
      <x:c r="V2184" t="str"/>
    </x:row>
    <x:row r="2185">
      <x:c r="A2185" s="52" t="n">
        <x:v>46195</x:v>
      </x:c>
      <x:c r="B2185" t="str">
        <x:v>PED-102184</x:v>
      </x:c>
      <x:c r="C2185" t="str">
        <x:v>Cliente 088</x:v>
      </x:c>
      <x:c r="D2185" t="str">
        <x:v>PA</x:v>
      </x:c>
      <x:c r="E2185" t="str">
        <x:v>Norte</x:v>
      </x:c>
      <x:c r="F2185" t="str">
        <x:v>Loja</x:v>
      </x:c>
      <x:c r="G2185" t="str">
        <x:v>Tecnologia</x:v>
      </x:c>
      <x:c r="H2185" t="str">
        <x:v>Headset Office</x:v>
      </x:c>
      <x:c r="I2185" t="str">
        <x:v>Bruno</x:v>
      </x:c>
      <x:c r="J2185" s="53" t="n">
        <x:v>2</x:v>
      </x:c>
      <x:c r="K2185" s="54" t="n">
        <x:v>381.25</x:v>
      </x:c>
      <x:c r="L2185" s="54" t="n">
        <x:v>209.84</x:v>
      </x:c>
      <x:c r="M2185" s="55" t="n">
        <x:v>0.0094</x:v>
      </x:c>
      <x:c r="N2185" s="54" t="n">
        <x:f>ROUND(J2185*K2185,2)</x:f>
        <x:v>762.5</x:v>
      </x:c>
      <x:c r="O2185" s="54" t="n">
        <x:f>ROUND(N2185*(1-M2185),2)</x:f>
        <x:v>755.33</x:v>
      </x:c>
      <x:c r="P2185" s="54" t="n">
        <x:f>ROUND(J2185*L2185,2)</x:f>
        <x:v>419.68</x:v>
      </x:c>
      <x:c r="Q2185" s="54" t="n">
        <x:f>ROUND(O2185-P2185,2)</x:f>
        <x:v>335.65</x:v>
      </x:c>
      <x:c r="R2185" s="55" t="n">
        <x:f>IF(O2185=0,0,ROUND(Q2185/O2185,4))</x:f>
        <x:v>0.4444</x:v>
      </x:c>
      <x:c r="S2185" s="53" t="n">
        <x:v>6</x:v>
      </x:c>
      <x:c r="T2185" t="str">
        <x:v>Entregue</x:v>
      </x:c>
      <x:c r="U2185" t="n">
        <x:v>3</x:v>
      </x:c>
      <x:c r="V2185" t="str"/>
    </x:row>
    <x:row r="2186">
      <x:c r="A2186" s="52" t="n">
        <x:v>46062</x:v>
      </x:c>
      <x:c r="B2186" t="str">
        <x:v>PED-102185</x:v>
      </x:c>
      <x:c r="C2186" t="str">
        <x:v>Cliente 116</x:v>
      </x:c>
      <x:c r="D2186" t="str">
        <x:v>PA</x:v>
      </x:c>
      <x:c r="E2186" t="str">
        <x:v>Norte</x:v>
      </x:c>
      <x:c r="F2186" t="str">
        <x:v>Televendas</x:v>
      </x:c>
      <x:c r="G2186" t="str">
        <x:v>Casa</x:v>
      </x:c>
      <x:c r="H2186" t="str">
        <x:v>Purificador</x:v>
      </x:c>
      <x:c r="I2186" t="str">
        <x:v>Gabriela</x:v>
      </x:c>
      <x:c r="J2186" s="53" t="n">
        <x:v>7</x:v>
      </x:c>
      <x:c r="K2186" s="54" t="n">
        <x:v>1363.82</x:v>
      </x:c>
      <x:c r="L2186" s="54" t="n">
        <x:v>788.29</x:v>
      </x:c>
      <x:c r="M2186" s="55" t="n">
        <x:v>0</x:v>
      </x:c>
      <x:c r="N2186" s="54" t="n">
        <x:f>ROUND(J2186*K2186,2)</x:f>
        <x:v>9546.74</x:v>
      </x:c>
      <x:c r="O2186" s="54" t="n">
        <x:f>ROUND(N2186*(1-M2186),2)</x:f>
        <x:v>9546.74</x:v>
      </x:c>
      <x:c r="P2186" s="54" t="n">
        <x:f>ROUND(J2186*L2186,2)</x:f>
        <x:v>5518.03</x:v>
      </x:c>
      <x:c r="Q2186" s="54" t="n">
        <x:f>ROUND(O2186-P2186,2)</x:f>
        <x:v>4028.71</x:v>
      </x:c>
      <x:c r="R2186" s="55" t="n">
        <x:f>IF(O2186=0,0,ROUND(Q2186/O2186,4))</x:f>
        <x:v>0.422</x:v>
      </x:c>
      <x:c r="S2186" s="53" t="n">
        <x:v>13</x:v>
      </x:c>
      <x:c r="T2186" t="str">
        <x:v>Entregue com atraso</x:v>
      </x:c>
      <x:c r="U2186" t="n">
        <x:v>4</x:v>
      </x:c>
      <x:c r="V2186" t="str"/>
    </x:row>
    <x:row r="2187">
      <x:c r="A2187" s="52" t="n">
        <x:v>46168</x:v>
      </x:c>
      <x:c r="B2187" t="str">
        <x:v>PED-102186</x:v>
      </x:c>
      <x:c r="C2187" t="str">
        <x:v>Cliente 017</x:v>
      </x:c>
      <x:c r="D2187" t="str">
        <x:v>PA</x:v>
      </x:c>
      <x:c r="E2187" t="str">
        <x:v>Norte</x:v>
      </x:c>
      <x:c r="F2187" t="str">
        <x:v>Televendas</x:v>
      </x:c>
      <x:c r="G2187" t="str">
        <x:v>Tecnologia</x:v>
      </x:c>
      <x:c r="H2187" t="str">
        <x:v>Notebook Pro</x:v>
      </x:c>
      <x:c r="I2187" t="str">
        <x:v>Isabela</x:v>
      </x:c>
      <x:c r="J2187" s="53" t="n">
        <x:v>1</x:v>
      </x:c>
      <x:c r="K2187" s="54" t="n">
        <x:v>5575.93</x:v>
      </x:c>
      <x:c r="L2187" s="54" t="n">
        <x:v>4392.76</x:v>
      </x:c>
      <x:c r="M2187" s="55" t="n">
        <x:v>0.0178</x:v>
      </x:c>
      <x:c r="N2187" s="54" t="n">
        <x:f>ROUND(J2187*K2187,2)</x:f>
        <x:v>5575.93</x:v>
      </x:c>
      <x:c r="O2187" s="54" t="n">
        <x:f>ROUND(N2187*(1-M2187),2)</x:f>
        <x:v>5476.68</x:v>
      </x:c>
      <x:c r="P2187" s="54" t="n">
        <x:f>ROUND(J2187*L2187,2)</x:f>
        <x:v>4392.76</x:v>
      </x:c>
      <x:c r="Q2187" s="54" t="n">
        <x:f>ROUND(O2187-P2187,2)</x:f>
        <x:v>1083.92</x:v>
      </x:c>
      <x:c r="R2187" s="55" t="n">
        <x:f>IF(O2187=0,0,ROUND(Q2187/O2187,4))</x:f>
        <x:v>0.1979</x:v>
      </x:c>
      <x:c r="S2187" s="53" t="n">
        <x:v>13</x:v>
      </x:c>
      <x:c r="T2187" t="str">
        <x:v>Cancelado</x:v>
      </x:c>
      <x:c r="U2187"/>
      <x:c r="V2187" t="str"/>
    </x:row>
    <x:row r="2188">
      <x:c r="A2188" s="52" t="n">
        <x:v>46075</x:v>
      </x:c>
      <x:c r="B2188" t="str">
        <x:v>PED-102187</x:v>
      </x:c>
      <x:c r="C2188" t="str">
        <x:v>Cliente 047</x:v>
      </x:c>
      <x:c r="D2188" t="str">
        <x:v>ES</x:v>
      </x:c>
      <x:c r="E2188" t="str">
        <x:v>Sudeste</x:v>
      </x:c>
      <x:c r="F2188" t="str">
        <x:v>E-commerce</x:v>
      </x:c>
      <x:c r="G2188" t="str">
        <x:v>Casa</x:v>
      </x:c>
      <x:c r="H2188" t="str">
        <x:v>Aspirador Robô</x:v>
      </x:c>
      <x:c r="I2188" t="str">
        <x:v>Felipe</x:v>
      </x:c>
      <x:c r="J2188" s="53" t="n">
        <x:v>3</x:v>
      </x:c>
      <x:c r="K2188" s="54" t="n">
        <x:v>1810.99</x:v>
      </x:c>
      <x:c r="L2188" s="54" t="n">
        <x:v>1200.21</x:v>
      </x:c>
      <x:c r="M2188" s="55" t="n">
        <x:v>0</x:v>
      </x:c>
      <x:c r="N2188" s="54" t="n">
        <x:f>ROUND(J2188*K2188,2)</x:f>
        <x:v>5432.97</x:v>
      </x:c>
      <x:c r="O2188" s="54" t="n">
        <x:f>ROUND(N2188*(1-M2188),2)</x:f>
        <x:v>5432.97</x:v>
      </x:c>
      <x:c r="P2188" s="54" t="n">
        <x:f>ROUND(J2188*L2188,2)</x:f>
        <x:v>3600.63</x:v>
      </x:c>
      <x:c r="Q2188" s="54" t="n">
        <x:f>ROUND(O2188-P2188,2)</x:f>
        <x:v>1832.34</x:v>
      </x:c>
      <x:c r="R2188" s="55" t="n">
        <x:f>IF(O2188=0,0,ROUND(Q2188/O2188,4))</x:f>
        <x:v>0.3373</x:v>
      </x:c>
      <x:c r="S2188" s="53" t="n">
        <x:v>8</x:v>
      </x:c>
      <x:c r="T2188" t="str">
        <x:v>Entregue</x:v>
      </x:c>
      <x:c r="U2188" t="n">
        <x:v>4</x:v>
      </x:c>
      <x:c r="V2188" t="str"/>
    </x:row>
    <x:row r="2189">
      <x:c r="A2189" s="52" t="n">
        <x:v>46056</x:v>
      </x:c>
      <x:c r="B2189" t="str">
        <x:v>PED-102188</x:v>
      </x:c>
      <x:c r="C2189" t="str">
        <x:v>Cliente 075</x:v>
      </x:c>
      <x:c r="D2189" t="str">
        <x:v>RS</x:v>
      </x:c>
      <x:c r="E2189" t="str">
        <x:v>Sul</x:v>
      </x:c>
      <x:c r="F2189" t="str">
        <x:v>Loja</x:v>
      </x:c>
      <x:c r="G2189" t="str">
        <x:v>Tecnologia</x:v>
      </x:c>
      <x:c r="H2189" t="str">
        <x:v>Headset Office</x:v>
      </x:c>
      <x:c r="I2189" t="str">
        <x:v>Gabriela</x:v>
      </x:c>
      <x:c r="J2189" s="53" t="n">
        <x:v>1</x:v>
      </x:c>
      <x:c r="K2189" s="54" t="n">
        <x:v>373.44</x:v>
      </x:c>
      <x:c r="L2189" s="54" t="n">
        <x:v>201.72</x:v>
      </x:c>
      <x:c r="M2189" s="55" t="n">
        <x:v>0.0706</x:v>
      </x:c>
      <x:c r="N2189" s="54" t="n">
        <x:f>ROUND(J2189*K2189,2)</x:f>
        <x:v>373.44</x:v>
      </x:c>
      <x:c r="O2189" s="54" t="n">
        <x:f>ROUND(N2189*(1-M2189),2)</x:f>
        <x:v>347.08</x:v>
      </x:c>
      <x:c r="P2189" s="54" t="n">
        <x:f>ROUND(J2189*L2189,2)</x:f>
        <x:v>201.72</x:v>
      </x:c>
      <x:c r="Q2189" s="54" t="n">
        <x:f>ROUND(O2189-P2189,2)</x:f>
        <x:v>145.36</x:v>
      </x:c>
      <x:c r="R2189" s="55" t="n">
        <x:f>IF(O2189=0,0,ROUND(Q2189/O2189,4))</x:f>
        <x:v>0.4188</x:v>
      </x:c>
      <x:c r="S2189" s="53" t="n">
        <x:v>12</x:v>
      </x:c>
      <x:c r="T2189" t="str">
        <x:v>Entregue com atraso</x:v>
      </x:c>
      <x:c r="U2189" t="n">
        <x:v>2</x:v>
      </x:c>
      <x:c r="V2189" t="str"/>
    </x:row>
    <x:row r="2190">
      <x:c r="A2190" s="52" t="n">
        <x:v>46150</x:v>
      </x:c>
      <x:c r="B2190" t="str">
        <x:v>PED-102189</x:v>
      </x:c>
      <x:c r="C2190" t="str">
        <x:v>Cliente 057</x:v>
      </x:c>
      <x:c r="D2190" t="str">
        <x:v>MG</x:v>
      </x:c>
      <x:c r="E2190" t="str">
        <x:v>Sudeste</x:v>
      </x:c>
      <x:c r="F2190" t="str">
        <x:v>E-commerce</x:v>
      </x:c>
      <x:c r="G2190" t="str">
        <x:v>Acessórios</x:v>
      </x:c>
      <x:c r="H2190" t="str">
        <x:v>Hub USB-C</x:v>
      </x:c>
      <x:c r="I2190" t="str">
        <x:v>Ana</x:v>
      </x:c>
      <x:c r="J2190" s="53" t="n">
        <x:v>6</x:v>
      </x:c>
      <x:c r="K2190" s="54" t="n">
        <x:v>321.3</x:v>
      </x:c>
      <x:c r="L2190" s="54" t="n">
        <x:v>138.59</x:v>
      </x:c>
      <x:c r="M2190" s="55" t="n">
        <x:v>0</x:v>
      </x:c>
      <x:c r="N2190" s="54" t="n">
        <x:f>ROUND(J2190*K2190,2)</x:f>
        <x:v>1927.8</x:v>
      </x:c>
      <x:c r="O2190" s="54" t="n">
        <x:f>ROUND(N2190*(1-M2190),2)</x:f>
        <x:v>1927.8</x:v>
      </x:c>
      <x:c r="P2190" s="54" t="n">
        <x:f>ROUND(J2190*L2190,2)</x:f>
        <x:v>831.54</x:v>
      </x:c>
      <x:c r="Q2190" s="54" t="n">
        <x:f>ROUND(O2190-P2190,2)</x:f>
        <x:v>1096.26</x:v>
      </x:c>
      <x:c r="R2190" s="55" t="n">
        <x:f>IF(O2190=0,0,ROUND(Q2190/O2190,4))</x:f>
        <x:v>0.5687</x:v>
      </x:c>
      <x:c r="S2190" s="53" t="n">
        <x:v>7</x:v>
      </x:c>
      <x:c r="T2190" t="str">
        <x:v>Entregue</x:v>
      </x:c>
      <x:c r="U2190" t="n">
        <x:v>4</x:v>
      </x:c>
      <x:c r="V2190" t="str"/>
    </x:row>
    <x:row r="2191">
      <x:c r="A2191" s="52" t="n">
        <x:v>46081</x:v>
      </x:c>
      <x:c r="B2191" t="str">
        <x:v>PED-102190</x:v>
      </x:c>
      <x:c r="C2191" t="str">
        <x:v>Cliente 043</x:v>
      </x:c>
      <x:c r="D2191" t="str">
        <x:v>DF</x:v>
      </x:c>
      <x:c r="E2191" t="str">
        <x:v>Centro-Oeste</x:v>
      </x:c>
      <x:c r="F2191" t="str">
        <x:v>Loja</x:v>
      </x:c>
      <x:c r="G2191" t="str">
        <x:v>Tecnologia</x:v>
      </x:c>
      <x:c r="H2191" t="str">
        <x:v>Notebook Pro</x:v>
      </x:c>
      <x:c r="I2191" t="str">
        <x:v>Gabriela</x:v>
      </x:c>
      <x:c r="J2191" s="53" t="n">
        <x:v>1</x:v>
      </x:c>
      <x:c r="K2191" s="54" t="n">
        <x:v>6031.95</x:v>
      </x:c>
      <x:c r="L2191" s="54" t="n">
        <x:v>4283.25</x:v>
      </x:c>
      <x:c r="M2191" s="55" t="n">
        <x:v>0.0664</x:v>
      </x:c>
      <x:c r="N2191" s="54" t="n">
        <x:f>ROUND(J2191*K2191,2)</x:f>
        <x:v>6031.95</x:v>
      </x:c>
      <x:c r="O2191" s="54" t="n">
        <x:f>ROUND(N2191*(1-M2191),2)</x:f>
        <x:v>5631.43</x:v>
      </x:c>
      <x:c r="P2191" s="54" t="n">
        <x:f>ROUND(J2191*L2191,2)</x:f>
        <x:v>4283.25</x:v>
      </x:c>
      <x:c r="Q2191" s="54" t="n">
        <x:f>ROUND(O2191-P2191,2)</x:f>
        <x:v>1348.18</x:v>
      </x:c>
      <x:c r="R2191" s="55" t="n">
        <x:f>IF(O2191=0,0,ROUND(Q2191/O2191,4))</x:f>
        <x:v>0.2394</x:v>
      </x:c>
      <x:c r="S2191" s="53" t="n">
        <x:v>4</x:v>
      </x:c>
      <x:c r="T2191" t="str">
        <x:v>Entregue</x:v>
      </x:c>
      <x:c r="U2191" t="n">
        <x:v>5</x:v>
      </x:c>
      <x:c r="V2191" t="str"/>
    </x:row>
    <x:row r="2192">
      <x:c r="A2192" s="52" t="n">
        <x:v>46095</x:v>
      </x:c>
      <x:c r="B2192" t="str">
        <x:v>PED-102191</x:v>
      </x:c>
      <x:c r="C2192" t="str">
        <x:v>Cliente 076</x:v>
      </x:c>
      <x:c r="D2192" t="str">
        <x:v>DF</x:v>
      </x:c>
      <x:c r="E2192" t="str">
        <x:v>Centro-Oeste</x:v>
      </x:c>
      <x:c r="F2192" t="str">
        <x:v>Marketplace</x:v>
      </x:c>
      <x:c r="G2192" t="str">
        <x:v>Casa</x:v>
      </x:c>
      <x:c r="H2192" t="str">
        <x:v>Cafeteira Smart</x:v>
      </x:c>
      <x:c r="I2192" t="str">
        <x:v>Elaine</x:v>
      </x:c>
      <x:c r="J2192" s="53" t="n">
        <x:v>5</x:v>
      </x:c>
      <x:c r="K2192" s="54" t="n">
        <x:v>806.2</x:v>
      </x:c>
      <x:c r="L2192" s="54" t="n">
        <x:v>476.5</x:v>
      </x:c>
      <x:c r="M2192" s="55" t="n">
        <x:v>0.1135</x:v>
      </x:c>
      <x:c r="N2192" s="54" t="n">
        <x:f>ROUND(J2192*K2192,2)</x:f>
        <x:v>4031</x:v>
      </x:c>
      <x:c r="O2192" s="54" t="n">
        <x:f>ROUND(N2192*(1-M2192),2)</x:f>
        <x:v>3573.48</x:v>
      </x:c>
      <x:c r="P2192" s="54" t="n">
        <x:f>ROUND(J2192*L2192,2)</x:f>
        <x:v>2382.5</x:v>
      </x:c>
      <x:c r="Q2192" s="54" t="n">
        <x:f>ROUND(O2192-P2192,2)</x:f>
        <x:v>1190.98</x:v>
      </x:c>
      <x:c r="R2192" s="55" t="n">
        <x:f>IF(O2192=0,0,ROUND(Q2192/O2192,4))</x:f>
        <x:v>0.3333</x:v>
      </x:c>
      <x:c r="S2192" s="53" t="n">
        <x:v>31</x:v>
      </x:c>
      <x:c r="T2192" t="str">
        <x:v>Entregue com atraso</x:v>
      </x:c>
      <x:c r="U2192" t="n">
        <x:v>2</x:v>
      </x:c>
      <x:c r="V2192" t="str">
        <x:v>Ocorrência logística</x:v>
      </x:c>
    </x:row>
    <x:row r="2193">
      <x:c r="A2193" s="52" t="n">
        <x:v>46174</x:v>
      </x:c>
      <x:c r="B2193" t="str">
        <x:v>PED-102192</x:v>
      </x:c>
      <x:c r="C2193" t="str">
        <x:v>Cliente 026</x:v>
      </x:c>
      <x:c r="D2193" t="str">
        <x:v>CE</x:v>
      </x:c>
      <x:c r="E2193" t="str">
        <x:v>Nordeste</x:v>
      </x:c>
      <x:c r="F2193" t="str">
        <x:v>Loja</x:v>
      </x:c>
      <x:c r="G2193" t="str">
        <x:v>Casa</x:v>
      </x:c>
      <x:c r="H2193" t="str">
        <x:v>Cafeteira Smart</x:v>
      </x:c>
      <x:c r="I2193" t="str">
        <x:v>Elaine</x:v>
      </x:c>
      <x:c r="J2193" s="53" t="n">
        <x:v>8</x:v>
      </x:c>
      <x:c r="K2193" s="54" t="n">
        <x:v>799.62</x:v>
      </x:c>
      <x:c r="L2193" s="54" t="n">
        <x:v>489.82</x:v>
      </x:c>
      <x:c r="M2193" s="55" t="n">
        <x:v>0</x:v>
      </x:c>
      <x:c r="N2193" s="54" t="n">
        <x:f>ROUND(J2193*K2193,2)</x:f>
        <x:v>6396.96</x:v>
      </x:c>
      <x:c r="O2193" s="54" t="n">
        <x:f>ROUND(N2193*(1-M2193),2)</x:f>
        <x:v>6396.96</x:v>
      </x:c>
      <x:c r="P2193" s="54" t="n">
        <x:f>ROUND(J2193*L2193,2)</x:f>
        <x:v>3918.56</x:v>
      </x:c>
      <x:c r="Q2193" s="54" t="n">
        <x:f>ROUND(O2193-P2193,2)</x:f>
        <x:v>2478.4</x:v>
      </x:c>
      <x:c r="R2193" s="55" t="n">
        <x:f>IF(O2193=0,0,ROUND(Q2193/O2193,4))</x:f>
        <x:v>0.3874</x:v>
      </x:c>
      <x:c r="S2193" s="53" t="n">
        <x:v>12</x:v>
      </x:c>
      <x:c r="T2193" t="str">
        <x:v>Entregue com atraso</x:v>
      </x:c>
      <x:c r="U2193" t="n">
        <x:v>2</x:v>
      </x:c>
      <x:c r="V2193" t="str"/>
    </x:row>
    <x:row r="2194">
      <x:c r="A2194" s="52" t="n">
        <x:v>46187</x:v>
      </x:c>
      <x:c r="B2194" t="str">
        <x:v>PED-102193</x:v>
      </x:c>
      <x:c r="C2194" t="str">
        <x:v>Cliente 012</x:v>
      </x:c>
      <x:c r="D2194" t="str">
        <x:v>AM</x:v>
      </x:c>
      <x:c r="E2194" t="str">
        <x:v>Norte</x:v>
      </x:c>
      <x:c r="F2194" t="str">
        <x:v>Televendas</x:v>
      </x:c>
      <x:c r="G2194" t="str">
        <x:v>Escritório</x:v>
      </x:c>
      <x:c r="H2194" t="str">
        <x:v>Cadeira Ergonômica</x:v>
      </x:c>
      <x:c r="I2194" t="str">
        <x:v>Felipe</x:v>
      </x:c>
      <x:c r="J2194" s="53" t="n">
        <x:v>5</x:v>
      </x:c>
      <x:c r="K2194" s="54" t="n">
        <x:v>2201.13</x:v>
      </x:c>
      <x:c r="L2194" s="54" t="n">
        <x:v>1424.58</x:v>
      </x:c>
      <x:c r="M2194" s="55" t="n">
        <x:v>0.0298</x:v>
      </x:c>
      <x:c r="N2194" s="54" t="n">
        <x:f>ROUND(J2194*K2194,2)</x:f>
        <x:v>11005.65</x:v>
      </x:c>
      <x:c r="O2194" s="54" t="n">
        <x:f>ROUND(N2194*(1-M2194),2)</x:f>
        <x:v>10677.68</x:v>
      </x:c>
      <x:c r="P2194" s="54" t="n">
        <x:f>ROUND(J2194*L2194,2)</x:f>
        <x:v>7122.9</x:v>
      </x:c>
      <x:c r="Q2194" s="54" t="n">
        <x:f>ROUND(O2194-P2194,2)</x:f>
        <x:v>3554.78</x:v>
      </x:c>
      <x:c r="R2194" s="55" t="n">
        <x:f>IF(O2194=0,0,ROUND(Q2194/O2194,4))</x:f>
        <x:v>0.3329</x:v>
      </x:c>
      <x:c r="S2194" s="53" t="n">
        <x:v>7</x:v>
      </x:c>
      <x:c r="T2194" t="str">
        <x:v>Entregue</x:v>
      </x:c>
      <x:c r="U2194" t="n">
        <x:v>5</x:v>
      </x:c>
      <x:c r="V2194" t="str"/>
    </x:row>
    <x:row r="2195">
      <x:c r="A2195" s="52" t="n">
        <x:v>46172</x:v>
      </x:c>
      <x:c r="B2195" t="str">
        <x:v>PED-102194</x:v>
      </x:c>
      <x:c r="C2195" t="str">
        <x:v>Cliente 049</x:v>
      </x:c>
      <x:c r="D2195" t="str">
        <x:v>RS</x:v>
      </x:c>
      <x:c r="E2195" t="str">
        <x:v>Sul</x:v>
      </x:c>
      <x:c r="F2195" t="str">
        <x:v>Televendas</x:v>
      </x:c>
      <x:c r="G2195" t="str">
        <x:v>Casa</x:v>
      </x:c>
      <x:c r="H2195" t="str">
        <x:v>Cafeteira Smart</x:v>
      </x:c>
      <x:c r="I2195" t="str">
        <x:v>Ana</x:v>
      </x:c>
      <x:c r="J2195" s="53" t="n">
        <x:v>7</x:v>
      </x:c>
      <x:c r="K2195" s="54" t="n">
        <x:v>826.69</x:v>
      </x:c>
      <x:c r="L2195" s="54" t="n">
        <x:v>457.78</x:v>
      </x:c>
      <x:c r="M2195" s="55" t="n">
        <x:v>0.0581</x:v>
      </x:c>
      <x:c r="N2195" s="54" t="n">
        <x:f>ROUND(J2195*K2195,2)</x:f>
        <x:v>5786.83</x:v>
      </x:c>
      <x:c r="O2195" s="54" t="n">
        <x:f>ROUND(N2195*(1-M2195),2)</x:f>
        <x:v>5450.62</x:v>
      </x:c>
      <x:c r="P2195" s="54" t="n">
        <x:f>ROUND(J2195*L2195,2)</x:f>
        <x:v>3204.46</x:v>
      </x:c>
      <x:c r="Q2195" s="54" t="n">
        <x:f>ROUND(O2195-P2195,2)</x:f>
        <x:v>2246.16</x:v>
      </x:c>
      <x:c r="R2195" s="55" t="n">
        <x:f>IF(O2195=0,0,ROUND(Q2195/O2195,4))</x:f>
        <x:v>0.4121</x:v>
      </x:c>
      <x:c r="S2195" s="53" t="n">
        <x:v>3</x:v>
      </x:c>
      <x:c r="T2195" t="str">
        <x:v>Entregue</x:v>
      </x:c>
      <x:c r="U2195" t="n">
        <x:v>2</x:v>
      </x:c>
      <x:c r="V2195" t="str"/>
    </x:row>
    <x:row r="2196">
      <x:c r="A2196" s="52" t="n">
        <x:v>46186</x:v>
      </x:c>
      <x:c r="B2196" t="str">
        <x:v>PED-102195</x:v>
      </x:c>
      <x:c r="C2196" t="str">
        <x:v>Cliente 015</x:v>
      </x:c>
      <x:c r="D2196" t="str">
        <x:v>ES</x:v>
      </x:c>
      <x:c r="E2196" t="str">
        <x:v>Sudeste</x:v>
      </x:c>
      <x:c r="F2196" t="str">
        <x:v>Marketplace</x:v>
      </x:c>
      <x:c r="G2196" t="str">
        <x:v>Acessórios</x:v>
      </x:c>
      <x:c r="H2196" t="str">
        <x:v>Webcam HD</x:v>
      </x:c>
      <x:c r="I2196" t="str">
        <x:v>Henrique</x:v>
      </x:c>
      <x:c r="J2196" s="53" t="n">
        <x:v>3</x:v>
      </x:c>
      <x:c r="K2196" s="54" t="n">
        <x:v>493.66</x:v>
      </x:c>
      <x:c r="L2196" s="54" t="n">
        <x:v>236.75</x:v>
      </x:c>
      <x:c r="M2196" s="55" t="n">
        <x:v>0.1049</x:v>
      </x:c>
      <x:c r="N2196" s="54" t="n">
        <x:f>ROUND(J2196*K2196,2)</x:f>
        <x:v>1480.98</x:v>
      </x:c>
      <x:c r="O2196" s="54" t="n">
        <x:f>ROUND(N2196*(1-M2196),2)</x:f>
        <x:v>1325.63</x:v>
      </x:c>
      <x:c r="P2196" s="54" t="n">
        <x:f>ROUND(J2196*L2196,2)</x:f>
        <x:v>710.25</x:v>
      </x:c>
      <x:c r="Q2196" s="54" t="n">
        <x:f>ROUND(O2196-P2196,2)</x:f>
        <x:v>615.38</x:v>
      </x:c>
      <x:c r="R2196" s="55" t="n">
        <x:f>IF(O2196=0,0,ROUND(Q2196/O2196,4))</x:f>
        <x:v>0.4642</x:v>
      </x:c>
      <x:c r="S2196" s="53" t="n">
        <x:v>13</x:v>
      </x:c>
      <x:c r="T2196" t="str">
        <x:v>Entregue com atraso</x:v>
      </x:c>
      <x:c r="U2196" t="n">
        <x:v>5</x:v>
      </x:c>
      <x:c r="V2196" t="str"/>
    </x:row>
    <x:row r="2197">
      <x:c r="A2197" s="52" t="n">
        <x:v>46041</x:v>
      </x:c>
      <x:c r="B2197" t="str">
        <x:v>PED-102196</x:v>
      </x:c>
      <x:c r="C2197" t="str">
        <x:v>Cliente 108</x:v>
      </x:c>
      <x:c r="D2197" t="str">
        <x:v>AM</x:v>
      </x:c>
      <x:c r="E2197" t="str">
        <x:v>Norte</x:v>
      </x:c>
      <x:c r="F2197" t="str">
        <x:v>Loja</x:v>
      </x:c>
      <x:c r="G2197" t="str">
        <x:v>Tecnologia</x:v>
      </x:c>
      <x:c r="H2197" t="str">
        <x:v>Notebook Pro</x:v>
      </x:c>
      <x:c r="I2197" t="str">
        <x:v>Diego</x:v>
      </x:c>
      <x:c r="J2197" s="53" t="n">
        <x:v>2</x:v>
      </x:c>
      <x:c r="K2197" s="54" t="n">
        <x:v>5666.82</x:v>
      </x:c>
      <x:c r="L2197" s="54" t="n">
        <x:v>4305.12</x:v>
      </x:c>
      <x:c r="M2197" s="55" t="n">
        <x:v>0</x:v>
      </x:c>
      <x:c r="N2197" s="54" t="n">
        <x:f>ROUND(J2197*K2197,2)</x:f>
        <x:v>11333.64</x:v>
      </x:c>
      <x:c r="O2197" s="54" t="n">
        <x:f>ROUND(N2197*(1-M2197),2)</x:f>
        <x:v>11333.64</x:v>
      </x:c>
      <x:c r="P2197" s="54" t="n">
        <x:f>ROUND(J2197*L2197,2)</x:f>
        <x:v>8610.24</x:v>
      </x:c>
      <x:c r="Q2197" s="54" t="n">
        <x:f>ROUND(O2197-P2197,2)</x:f>
        <x:v>2723.4</x:v>
      </x:c>
      <x:c r="R2197" s="55" t="n">
        <x:f>IF(O2197=0,0,ROUND(Q2197/O2197,4))</x:f>
        <x:v>0.2403</x:v>
      </x:c>
      <x:c r="S2197" s="53" t="n">
        <x:v>13</x:v>
      </x:c>
      <x:c r="T2197" t="str">
        <x:v>Entregue com atraso</x:v>
      </x:c>
      <x:c r="U2197" t="n">
        <x:v>5</x:v>
      </x:c>
      <x:c r="V2197" t="str"/>
    </x:row>
    <x:row r="2198">
      <x:c r="A2198" s="52" t="n">
        <x:v>46077</x:v>
      </x:c>
      <x:c r="B2198" t="str">
        <x:v>PED-102197</x:v>
      </x:c>
      <x:c r="C2198" t="str">
        <x:v>Cliente 055</x:v>
      </x:c>
      <x:c r="D2198" t="str">
        <x:v>ES</x:v>
      </x:c>
      <x:c r="E2198" t="str">
        <x:v>Sudeste</x:v>
      </x:c>
      <x:c r="F2198" t="str">
        <x:v>Marketplace</x:v>
      </x:c>
      <x:c r="G2198" t="str">
        <x:v>Casa</x:v>
      </x:c>
      <x:c r="H2198" t="str">
        <x:v>Cafeteira Smart</x:v>
      </x:c>
      <x:c r="I2198" t="str">
        <x:v>Felipe</x:v>
      </x:c>
      <x:c r="J2198" s="53" t="n">
        <x:v>4</x:v>
      </x:c>
      <x:c r="K2198" s="54" t="n">
        <x:v>822.65</x:v>
      </x:c>
      <x:c r="L2198" s="54" t="n">
        <x:v>448.08</x:v>
      </x:c>
      <x:c r="M2198" s="55" t="n">
        <x:v>0.1554</x:v>
      </x:c>
      <x:c r="N2198" s="54" t="n">
        <x:f>ROUND(J2198*K2198,2)</x:f>
        <x:v>3290.6</x:v>
      </x:c>
      <x:c r="O2198" s="54" t="n">
        <x:f>ROUND(N2198*(1-M2198),2)</x:f>
        <x:v>2779.24</x:v>
      </x:c>
      <x:c r="P2198" s="54" t="n">
        <x:f>ROUND(J2198*L2198,2)</x:f>
        <x:v>1792.32</x:v>
      </x:c>
      <x:c r="Q2198" s="54" t="n">
        <x:f>ROUND(O2198-P2198,2)</x:f>
        <x:v>986.92</x:v>
      </x:c>
      <x:c r="R2198" s="55" t="n">
        <x:f>IF(O2198=0,0,ROUND(Q2198/O2198,4))</x:f>
        <x:v>0.3551</x:v>
      </x:c>
      <x:c r="S2198" s="53" t="n">
        <x:v>3</x:v>
      </x:c>
      <x:c r="T2198" t="str">
        <x:v>Entregue</x:v>
      </x:c>
      <x:c r="U2198" t="n">
        <x:v>4</x:v>
      </x:c>
      <x:c r="V2198" t="str"/>
    </x:row>
    <x:row r="2199">
      <x:c r="A2199" s="52" t="n">
        <x:v>46129</x:v>
      </x:c>
      <x:c r="B2199" t="str">
        <x:v>PED-102198</x:v>
      </x:c>
      <x:c r="C2199" t="str">
        <x:v>Cliente 055</x:v>
      </x:c>
      <x:c r="D2199" t="str">
        <x:v>PA</x:v>
      </x:c>
      <x:c r="E2199" t="str">
        <x:v>Norte</x:v>
      </x:c>
      <x:c r="F2199" t="str">
        <x:v>Marketplace</x:v>
      </x:c>
      <x:c r="G2199" t="str">
        <x:v>Acessórios</x:v>
      </x:c>
      <x:c r="H2199" t="str">
        <x:v>Mochila Executiva</x:v>
      </x:c>
      <x:c r="I2199" t="str">
        <x:v>Diego</x:v>
      </x:c>
      <x:c r="J2199" s="53" t="n">
        <x:v>7</x:v>
      </x:c>
      <x:c r="K2199" s="54" t="n">
        <x:v>436.96</x:v>
      </x:c>
      <x:c r="L2199" s="54" t="n">
        <x:v>193.33</x:v>
      </x:c>
      <x:c r="M2199" s="55" t="n">
        <x:v>0.035</x:v>
      </x:c>
      <x:c r="N2199" s="54" t="n">
        <x:f>ROUND(J2199*K2199,2)</x:f>
        <x:v>3058.72</x:v>
      </x:c>
      <x:c r="O2199" s="54" t="n">
        <x:f>ROUND(N2199*(1-M2199),2)</x:f>
        <x:v>2951.66</x:v>
      </x:c>
      <x:c r="P2199" s="54" t="n">
        <x:f>ROUND(J2199*L2199,2)</x:f>
        <x:v>1353.31</x:v>
      </x:c>
      <x:c r="Q2199" s="54" t="n">
        <x:f>ROUND(O2199-P2199,2)</x:f>
        <x:v>1598.35</x:v>
      </x:c>
      <x:c r="R2199" s="55" t="n">
        <x:f>IF(O2199=0,0,ROUND(Q2199/O2199,4))</x:f>
        <x:v>0.5415</x:v>
      </x:c>
      <x:c r="S2199" s="53" t="n">
        <x:v>3</x:v>
      </x:c>
      <x:c r="T2199" t="str">
        <x:v>Entregue</x:v>
      </x:c>
      <x:c r="U2199" t="n">
        <x:v>3</x:v>
      </x:c>
      <x:c r="V2199" t="str"/>
    </x:row>
    <x:row r="2200">
      <x:c r="A2200" s="52" t="n">
        <x:v>46118</x:v>
      </x:c>
      <x:c r="B2200" t="str">
        <x:v>PED-102199</x:v>
      </x:c>
      <x:c r="C2200" t="str">
        <x:v>Cliente 060</x:v>
      </x:c>
      <x:c r="D2200" t="str">
        <x:v>PA</x:v>
      </x:c>
      <x:c r="E2200" t="str">
        <x:v>Norte</x:v>
      </x:c>
      <x:c r="F2200" t="str">
        <x:v>E-commerce</x:v>
      </x:c>
      <x:c r="G2200" t="str">
        <x:v>Escritório</x:v>
      </x:c>
      <x:c r="H2200" t="str">
        <x:v>Cadeira Ergonômica</x:v>
      </x:c>
      <x:c r="I2200" t="str">
        <x:v>Carla</x:v>
      </x:c>
      <x:c r="J2200" s="53" t="n">
        <x:v>8</x:v>
      </x:c>
      <x:c r="K2200" s="54" t="n">
        <x:v>2300.12</x:v>
      </x:c>
      <x:c r="L2200" s="54" t="n">
        <x:v>1495.25</x:v>
      </x:c>
      <x:c r="M2200" s="55" t="n">
        <x:v>0</x:v>
      </x:c>
      <x:c r="N2200" s="54" t="n">
        <x:f>ROUND(J2200*K2200,2)</x:f>
        <x:v>18400.96</x:v>
      </x:c>
      <x:c r="O2200" s="54" t="n">
        <x:f>ROUND(N2200*(1-M2200),2)</x:f>
        <x:v>18400.96</x:v>
      </x:c>
      <x:c r="P2200" s="54" t="n">
        <x:f>ROUND(J2200*L2200,2)</x:f>
        <x:v>11962</x:v>
      </x:c>
      <x:c r="Q2200" s="54" t="n">
        <x:f>ROUND(O2200-P2200,2)</x:f>
        <x:v>6438.96</x:v>
      </x:c>
      <x:c r="R2200" s="55" t="n">
        <x:f>IF(O2200=0,0,ROUND(Q2200/O2200,4))</x:f>
        <x:v>0.3499</x:v>
      </x:c>
      <x:c r="S2200" s="53" t="n">
        <x:v>11</x:v>
      </x:c>
      <x:c r="T2200" t="str">
        <x:v>Entregue com atraso</x:v>
      </x:c>
      <x:c r="U2200" t="n">
        <x:v>2</x:v>
      </x:c>
      <x:c r="V2200" t="str"/>
    </x:row>
    <x:row r="2201">
      <x:c r="A2201" s="52" t="n">
        <x:v>46144</x:v>
      </x:c>
      <x:c r="B2201" t="str">
        <x:v>PED-102200</x:v>
      </x:c>
      <x:c r="C2201" t="str">
        <x:v>Cliente 097</x:v>
      </x:c>
      <x:c r="D2201" t="str">
        <x:v>MT</x:v>
      </x:c>
      <x:c r="E2201" t="str">
        <x:v>Centro-Oeste</x:v>
      </x:c>
      <x:c r="F2201" t="str">
        <x:v>Loja</x:v>
      </x:c>
      <x:c r="G2201" t="str">
        <x:v>Tecnologia</x:v>
      </x:c>
      <x:c r="H2201" t="str">
        <x:v>Notebook Pro</x:v>
      </x:c>
      <x:c r="I2201" t="str">
        <x:v>Carla</x:v>
      </x:c>
      <x:c r="J2201" s="53" t="n">
        <x:v>7</x:v>
      </x:c>
      <x:c r="K2201" s="54" t="n">
        <x:v>6224.09</x:v>
      </x:c>
      <x:c r="L2201" s="54" t="n">
        <x:v>4238.6</x:v>
      </x:c>
      <x:c r="M2201" s="55" t="n">
        <x:v>0</x:v>
      </x:c>
      <x:c r="N2201" s="54" t="n">
        <x:f>ROUND(J2201*K2201,2)</x:f>
        <x:v>43568.63</x:v>
      </x:c>
      <x:c r="O2201" s="54" t="n">
        <x:f>ROUND(N2201*(1-M2201),2)</x:f>
        <x:v>43568.63</x:v>
      </x:c>
      <x:c r="P2201" s="54" t="n">
        <x:f>ROUND(J2201*L2201,2)</x:f>
        <x:v>29670.2</x:v>
      </x:c>
      <x:c r="Q2201" s="54" t="n">
        <x:f>ROUND(O2201-P2201,2)</x:f>
        <x:v>13898.43</x:v>
      </x:c>
      <x:c r="R2201" s="55" t="n">
        <x:f>IF(O2201=0,0,ROUND(Q2201/O2201,4))</x:f>
        <x:v>0.319</x:v>
      </x:c>
      <x:c r="S2201" s="53" t="n">
        <x:v>9</x:v>
      </x:c>
      <x:c r="T2201" t="str">
        <x:v>Entregue</x:v>
      </x:c>
      <x:c r="U2201" t="n">
        <x:v>3</x:v>
      </x:c>
      <x:c r="V2201" t="str"/>
    </x:row>
    <x:row r="2202">
      <x:c r="A2202" s="52" t="n">
        <x:v>46201</x:v>
      </x:c>
      <x:c r="B2202" t="str">
        <x:v>PED-102201</x:v>
      </x:c>
      <x:c r="C2202" t="str">
        <x:v>Cliente 102</x:v>
      </x:c>
      <x:c r="D2202" t="str">
        <x:v>DF</x:v>
      </x:c>
      <x:c r="E2202" t="str">
        <x:v>Centro-Oeste</x:v>
      </x:c>
      <x:c r="F2202" t="str">
        <x:v>Marketplace</x:v>
      </x:c>
      <x:c r="G2202" t="str">
        <x:v>Tecnologia</x:v>
      </x:c>
      <x:c r="H2202" t="str">
        <x:v>Monitor 27</x:v>
      </x:c>
      <x:c r="I2202" t="str">
        <x:v>Gabriela</x:v>
      </x:c>
      <x:c r="J2202" s="53" t="n">
        <x:v>4</x:v>
      </x:c>
      <x:c r="K2202" s="54" t="n">
        <x:v>1601.79</x:v>
      </x:c>
      <x:c r="L2202" s="54" t="n">
        <x:v>1104.76</x:v>
      </x:c>
      <x:c r="M2202" s="55" t="n">
        <x:v>0.035</x:v>
      </x:c>
      <x:c r="N2202" s="54" t="n">
        <x:f>ROUND(J2202*K2202,2)</x:f>
        <x:v>6407.16</x:v>
      </x:c>
      <x:c r="O2202" s="54" t="n">
        <x:f>ROUND(N2202*(1-M2202),2)</x:f>
        <x:v>6182.91</x:v>
      </x:c>
      <x:c r="P2202" s="54" t="n">
        <x:f>ROUND(J2202*L2202,2)</x:f>
        <x:v>4419.04</x:v>
      </x:c>
      <x:c r="Q2202" s="54" t="n">
        <x:f>ROUND(O2202-P2202,2)</x:f>
        <x:v>1763.87</x:v>
      </x:c>
      <x:c r="R2202" s="55" t="n">
        <x:f>IF(O2202=0,0,ROUND(Q2202/O2202,4))</x:f>
        <x:v>0.2853</x:v>
      </x:c>
      <x:c r="S2202" s="53" t="n">
        <x:v>3</x:v>
      </x:c>
      <x:c r="T2202" t="str">
        <x:v>Entregue</x:v>
      </x:c>
      <x:c r="U2202" t="n">
        <x:v>4</x:v>
      </x:c>
      <x:c r="V2202" t="str"/>
    </x:row>
    <x:row r="2203">
      <x:c r="A2203" s="52" t="n">
        <x:v>46036</x:v>
      </x:c>
      <x:c r="B2203" t="str">
        <x:v>PED-102202</x:v>
      </x:c>
      <x:c r="C2203" t="str">
        <x:v>Cliente 048</x:v>
      </x:c>
      <x:c r="D2203" t="str">
        <x:v>RJ</x:v>
      </x:c>
      <x:c r="E2203" t="str">
        <x:v>Sudeste</x:v>
      </x:c>
      <x:c r="F2203" t="str">
        <x:v>E-commerce</x:v>
      </x:c>
      <x:c r="G2203" t="str">
        <x:v>Acessórios</x:v>
      </x:c>
      <x:c r="H2203" t="str">
        <x:v>Webcam HD</x:v>
      </x:c>
      <x:c r="I2203" t="str">
        <x:v>Isabela</x:v>
      </x:c>
      <x:c r="J2203" s="53" t="n">
        <x:v>3</x:v>
      </x:c>
      <x:c r="K2203" s="54" t="n">
        <x:v>481.67</x:v>
      </x:c>
      <x:c r="L2203" s="54" t="n">
        <x:v>236.12</x:v>
      </x:c>
      <x:c r="M2203" s="55" t="n">
        <x:v>0</x:v>
      </x:c>
      <x:c r="N2203" s="54" t="n">
        <x:f>ROUND(J2203*K2203,2)</x:f>
        <x:v>1445.01</x:v>
      </x:c>
      <x:c r="O2203" s="54" t="n">
        <x:f>ROUND(N2203*(1-M2203),2)</x:f>
        <x:v>1445.01</x:v>
      </x:c>
      <x:c r="P2203" s="54" t="n">
        <x:f>ROUND(J2203*L2203,2)</x:f>
        <x:v>708.36</x:v>
      </x:c>
      <x:c r="Q2203" s="54" t="n">
        <x:f>ROUND(O2203-P2203,2)</x:f>
        <x:v>736.65</x:v>
      </x:c>
      <x:c r="R2203" s="55" t="n">
        <x:f>IF(O2203=0,0,ROUND(Q2203/O2203,4))</x:f>
        <x:v>0.5098</x:v>
      </x:c>
      <x:c r="S2203" s="53" t="n">
        <x:v>8</x:v>
      </x:c>
      <x:c r="T2203" t="str">
        <x:v>Entregue</x:v>
      </x:c>
      <x:c r="U2203" t="n">
        <x:v>2</x:v>
      </x:c>
      <x:c r="V2203" t="str"/>
    </x:row>
    <x:row r="2204">
      <x:c r="A2204" s="52" t="n">
        <x:v>46233</x:v>
      </x:c>
      <x:c r="B2204" t="str">
        <x:v>PED-102203</x:v>
      </x:c>
      <x:c r="C2204" t="str">
        <x:v>Cliente 109</x:v>
      </x:c>
      <x:c r="D2204" t="str">
        <x:v>ES</x:v>
      </x:c>
      <x:c r="E2204" t="str">
        <x:v>Sudeste</x:v>
      </x:c>
      <x:c r="F2204" t="str">
        <x:v>Marketplace</x:v>
      </x:c>
      <x:c r="G2204" t="str">
        <x:v>Escritório</x:v>
      </x:c>
      <x:c r="H2204" t="str">
        <x:v>Cadeira Ergonômica</x:v>
      </x:c>
      <x:c r="I2204" t="str">
        <x:v>Ana</x:v>
      </x:c>
      <x:c r="J2204" s="53" t="n">
        <x:v>3</x:v>
      </x:c>
      <x:c r="K2204" s="54" t="n">
        <x:v>2105.89</x:v>
      </x:c>
      <x:c r="L2204" s="54" t="n">
        <x:v>1453.6</x:v>
      </x:c>
      <x:c r="M2204" s="55" t="n">
        <x:v>0.0614</x:v>
      </x:c>
      <x:c r="N2204" s="54" t="n">
        <x:f>ROUND(J2204*K2204,2)</x:f>
        <x:v>6317.67</x:v>
      </x:c>
      <x:c r="O2204" s="54" t="n">
        <x:f>ROUND(N2204*(1-M2204),2)</x:f>
        <x:v>5929.77</x:v>
      </x:c>
      <x:c r="P2204" s="54" t="n">
        <x:f>ROUND(J2204*L2204,2)</x:f>
        <x:v>4360.8</x:v>
      </x:c>
      <x:c r="Q2204" s="54" t="n">
        <x:f>ROUND(O2204-P2204,2)</x:f>
        <x:v>1568.97</x:v>
      </x:c>
      <x:c r="R2204" s="55" t="n">
        <x:f>IF(O2204=0,0,ROUND(Q2204/O2204,4))</x:f>
        <x:v>0.2646</x:v>
      </x:c>
      <x:c r="S2204" s="53" t="n">
        <x:v>11</x:v>
      </x:c>
      <x:c r="T2204" t="str">
        <x:v>Entregue com atraso</x:v>
      </x:c>
      <x:c r="U2204" t="n">
        <x:v>5</x:v>
      </x:c>
      <x:c r="V2204" t="str"/>
    </x:row>
    <x:row r="2205">
      <x:c r="A2205" s="52" t="n">
        <x:v>46211</x:v>
      </x:c>
      <x:c r="B2205" t="str">
        <x:v>PED-102204</x:v>
      </x:c>
      <x:c r="C2205" t="str">
        <x:v>Cliente 073</x:v>
      </x:c>
      <x:c r="D2205" t="str">
        <x:v>PA</x:v>
      </x:c>
      <x:c r="E2205" t="str">
        <x:v>Norte</x:v>
      </x:c>
      <x:c r="F2205" t="str">
        <x:v>Marketplace</x:v>
      </x:c>
      <x:c r="G2205" t="str">
        <x:v>Tecnologia</x:v>
      </x:c>
      <x:c r="H2205" t="str">
        <x:v>Notebook Pro</x:v>
      </x:c>
      <x:c r="I2205" t="str">
        <x:v>Bruno</x:v>
      </x:c>
      <x:c r="J2205" s="53" t="n">
        <x:v>8</x:v>
      </x:c>
      <x:c r="K2205" s="54" t="n">
        <x:v>5860.31</x:v>
      </x:c>
      <x:c r="L2205" s="54" t="n">
        <x:v>4354.21</x:v>
      </x:c>
      <x:c r="M2205" s="55" t="n">
        <x:v>0.035</x:v>
      </x:c>
      <x:c r="N2205" s="54" t="n">
        <x:f>ROUND(J2205*K2205,2)</x:f>
        <x:v>46882.48</x:v>
      </x:c>
      <x:c r="O2205" s="54" t="n">
        <x:f>ROUND(N2205*(1-M2205),2)</x:f>
        <x:v>45241.59</x:v>
      </x:c>
      <x:c r="P2205" s="54" t="n">
        <x:f>ROUND(J2205*L2205,2)</x:f>
        <x:v>34833.68</x:v>
      </x:c>
      <x:c r="Q2205" s="54" t="n">
        <x:f>ROUND(O2205-P2205,2)</x:f>
        <x:v>10407.91</x:v>
      </x:c>
      <x:c r="R2205" s="55" t="n">
        <x:f>IF(O2205=0,0,ROUND(Q2205/O2205,4))</x:f>
        <x:v>0.2301</x:v>
      </x:c>
      <x:c r="S2205" s="53" t="n">
        <x:v>7</x:v>
      </x:c>
      <x:c r="T2205" t="str">
        <x:v>Entregue</x:v>
      </x:c>
      <x:c r="U2205" t="n">
        <x:v>3</x:v>
      </x:c>
      <x:c r="V2205" t="str"/>
    </x:row>
    <x:row r="2206">
      <x:c r="A2206" s="52" t="n">
        <x:v>46115</x:v>
      </x:c>
      <x:c r="B2206" t="str">
        <x:v>PED-102205</x:v>
      </x:c>
      <x:c r="C2206" t="str">
        <x:v>Cliente 020</x:v>
      </x:c>
      <x:c r="D2206" t="str">
        <x:v>CE</x:v>
      </x:c>
      <x:c r="E2206" t="str">
        <x:v>Nordeste</x:v>
      </x:c>
      <x:c r="F2206" t="str">
        <x:v>Marketplace</x:v>
      </x:c>
      <x:c r="G2206" t="str">
        <x:v>Casa</x:v>
      </x:c>
      <x:c r="H2206" t="str">
        <x:v>Aspirador Robô</x:v>
      </x:c>
      <x:c r="I2206" t="str">
        <x:v>João</x:v>
      </x:c>
      <x:c r="J2206" s="53" t="n">
        <x:v>2</x:v>
      </x:c>
      <x:c r="K2206" s="54" t="n">
        <x:v>1890.64</x:v>
      </x:c>
      <x:c r="L2206" s="54" t="n">
        <x:v>1208.76</x:v>
      </x:c>
      <x:c r="M2206" s="55" t="n">
        <x:v>0.1591</x:v>
      </x:c>
      <x:c r="N2206" s="54" t="n">
        <x:f>ROUND(J2206*K2206,2)</x:f>
        <x:v>3781.28</x:v>
      </x:c>
      <x:c r="O2206" s="54" t="n">
        <x:f>ROUND(N2206*(1-M2206),2)</x:f>
        <x:v>3179.68</x:v>
      </x:c>
      <x:c r="P2206" s="54" t="n">
        <x:f>ROUND(J2206*L2206,2)</x:f>
        <x:v>2417.52</x:v>
      </x:c>
      <x:c r="Q2206" s="54" t="n">
        <x:f>ROUND(O2206-P2206,2)</x:f>
        <x:v>762.16</x:v>
      </x:c>
      <x:c r="R2206" s="55" t="n">
        <x:f>IF(O2206=0,0,ROUND(Q2206/O2206,4))</x:f>
        <x:v>0.2397</x:v>
      </x:c>
      <x:c r="S2206" s="53" t="n">
        <x:v>4</x:v>
      </x:c>
      <x:c r="T2206" t="str">
        <x:v>Entregue</x:v>
      </x:c>
      <x:c r="U2206" t="n">
        <x:v>4</x:v>
      </x:c>
      <x:c r="V2206" t="str"/>
    </x:row>
    <x:row r="2207">
      <x:c r="A2207" s="52" t="n">
        <x:v>46029</x:v>
      </x:c>
      <x:c r="B2207" t="str">
        <x:v>PED-102206</x:v>
      </x:c>
      <x:c r="C2207" t="str">
        <x:v>Cliente 030</x:v>
      </x:c>
      <x:c r="D2207" t="str">
        <x:v>MA</x:v>
      </x:c>
      <x:c r="E2207" t="str">
        <x:v>Nordeste</x:v>
      </x:c>
      <x:c r="F2207" t="str">
        <x:v>Loja</x:v>
      </x:c>
      <x:c r="G2207" t="str">
        <x:v>Acessórios</x:v>
      </x:c>
      <x:c r="H2207" t="str">
        <x:v>Mochila Executiva</x:v>
      </x:c>
      <x:c r="I2207" t="str">
        <x:v>Isabela</x:v>
      </x:c>
      <x:c r="J2207" s="53" t="n">
        <x:v>3</x:v>
      </x:c>
      <x:c r="K2207" s="54" t="n">
        <x:v>415.76</x:v>
      </x:c>
      <x:c r="L2207" s="54" t="n">
        <x:v>198.09</x:v>
      </x:c>
      <x:c r="M2207" s="55" t="n">
        <x:v>0</x:v>
      </x:c>
      <x:c r="N2207" s="54" t="n">
        <x:f>ROUND(J2207*K2207,2)</x:f>
        <x:v>1247.28</x:v>
      </x:c>
      <x:c r="O2207" s="54" t="n">
        <x:f>ROUND(N2207*(1-M2207),2)</x:f>
        <x:v>1247.28</x:v>
      </x:c>
      <x:c r="P2207" s="54" t="n">
        <x:f>ROUND(J2207*L2207,2)</x:f>
        <x:v>594.27</x:v>
      </x:c>
      <x:c r="Q2207" s="54" t="n">
        <x:f>ROUND(O2207-P2207,2)</x:f>
        <x:v>653.01</x:v>
      </x:c>
      <x:c r="R2207" s="55" t="n">
        <x:f>IF(O2207=0,0,ROUND(Q2207/O2207,4))</x:f>
        <x:v>0.5235</x:v>
      </x:c>
      <x:c r="S2207" s="53" t="n">
        <x:v>10</x:v>
      </x:c>
      <x:c r="T2207" t="str">
        <x:v>Entregue</x:v>
      </x:c>
      <x:c r="U2207" t="n">
        <x:v>3</x:v>
      </x:c>
      <x:c r="V2207" t="str"/>
    </x:row>
    <x:row r="2208">
      <x:c r="A2208" s="52" t="n">
        <x:v>46221</x:v>
      </x:c>
      <x:c r="B2208" t="str">
        <x:v>PED-102207</x:v>
      </x:c>
      <x:c r="C2208" t="str">
        <x:v>Cliente 114</x:v>
      </x:c>
      <x:c r="D2208" t="str">
        <x:v>GO</x:v>
      </x:c>
      <x:c r="E2208" t="str">
        <x:v>Centro-Oeste</x:v>
      </x:c>
      <x:c r="F2208" t="str">
        <x:v>E-commerce</x:v>
      </x:c>
      <x:c r="G2208" t="str">
        <x:v>Tecnologia</x:v>
      </x:c>
      <x:c r="H2208" t="str">
        <x:v>Monitor 27</x:v>
      </x:c>
      <x:c r="I2208" t="str">
        <x:v>Diego</x:v>
      </x:c>
      <x:c r="J2208" s="53" t="n">
        <x:v>8</x:v>
      </x:c>
      <x:c r="K2208" s="54" t="n">
        <x:v>1687.36</x:v>
      </x:c>
      <x:c r="L2208" s="54" t="n">
        <x:v>1093.21</x:v>
      </x:c>
      <x:c r="M2208" s="55" t="n">
        <x:v>0</x:v>
      </x:c>
      <x:c r="N2208" s="54" t="n">
        <x:f>ROUND(J2208*K2208,2)</x:f>
        <x:v>13498.88</x:v>
      </x:c>
      <x:c r="O2208" s="54" t="n">
        <x:f>ROUND(N2208*(1-M2208),2)</x:f>
        <x:v>13498.88</x:v>
      </x:c>
      <x:c r="P2208" s="54" t="n">
        <x:f>ROUND(J2208*L2208,2)</x:f>
        <x:v>8745.68</x:v>
      </x:c>
      <x:c r="Q2208" s="54" t="n">
        <x:f>ROUND(O2208-P2208,2)</x:f>
        <x:v>4753.2</x:v>
      </x:c>
      <x:c r="R2208" s="55" t="n">
        <x:f>IF(O2208=0,0,ROUND(Q2208/O2208,4))</x:f>
        <x:v>0.3521</x:v>
      </x:c>
      <x:c r="S2208" s="53" t="n">
        <x:v>10</x:v>
      </x:c>
      <x:c r="T2208" t="str">
        <x:v>Entregue</x:v>
      </x:c>
      <x:c r="U2208" t="n">
        <x:v>3</x:v>
      </x:c>
      <x:c r="V2208" t="str"/>
    </x:row>
    <x:row r="2209">
      <x:c r="A2209" s="52" t="n">
        <x:v>46225</x:v>
      </x:c>
      <x:c r="B2209" t="str">
        <x:v>PED-102208</x:v>
      </x:c>
      <x:c r="C2209" t="str">
        <x:v>Cliente 053</x:v>
      </x:c>
      <x:c r="D2209" t="str">
        <x:v>SC</x:v>
      </x:c>
      <x:c r="E2209" t="str">
        <x:v>Sul</x:v>
      </x:c>
      <x:c r="F2209" t="str">
        <x:v>Loja</x:v>
      </x:c>
      <x:c r="G2209" t="str">
        <x:v>Tecnologia</x:v>
      </x:c>
      <x:c r="H2209" t="str">
        <x:v>Notebook Pro</x:v>
      </x:c>
      <x:c r="I2209" t="str">
        <x:v>Carla</x:v>
      </x:c>
      <x:c r="J2209" s="53" t="n">
        <x:v>3</x:v>
      </x:c>
      <x:c r="K2209" s="54" t="n">
        <x:v>5790.76</x:v>
      </x:c>
      <x:c r="L2209" s="54" t="n">
        <x:v>4169.57</x:v>
      </x:c>
      <x:c r="M2209" s="55" t="n">
        <x:v>0</x:v>
      </x:c>
      <x:c r="N2209" s="54" t="n">
        <x:f>ROUND(J2209*K2209,2)</x:f>
        <x:v>17372.28</x:v>
      </x:c>
      <x:c r="O2209" s="54" t="n">
        <x:f>ROUND(N2209*(1-M2209),2)</x:f>
        <x:v>17372.28</x:v>
      </x:c>
      <x:c r="P2209" s="54" t="n">
        <x:f>ROUND(J2209*L2209,2)</x:f>
        <x:v>12508.71</x:v>
      </x:c>
      <x:c r="Q2209" s="54" t="n">
        <x:f>ROUND(O2209-P2209,2)</x:f>
        <x:v>4863.57</x:v>
      </x:c>
      <x:c r="R2209" s="55" t="n">
        <x:f>IF(O2209=0,0,ROUND(Q2209/O2209,4))</x:f>
        <x:v>0.28</x:v>
      </x:c>
      <x:c r="S2209" s="53" t="n">
        <x:v>2</x:v>
      </x:c>
      <x:c r="T2209" t="str">
        <x:v>Entregue</x:v>
      </x:c>
      <x:c r="U2209" t="n">
        <x:v>2</x:v>
      </x:c>
      <x:c r="V2209" t="str"/>
    </x:row>
    <x:row r="2210">
      <x:c r="A2210" s="52" t="n">
        <x:v>46088</x:v>
      </x:c>
      <x:c r="B2210" t="str">
        <x:v>PED-102209</x:v>
      </x:c>
      <x:c r="C2210" t="str">
        <x:v>Cliente 086</x:v>
      </x:c>
      <x:c r="D2210" t="str">
        <x:v>MA</x:v>
      </x:c>
      <x:c r="E2210" t="str">
        <x:v>Nordeste</x:v>
      </x:c>
      <x:c r="F2210" t="str">
        <x:v>Marketplace</x:v>
      </x:c>
      <x:c r="G2210" t="str">
        <x:v>Escritório</x:v>
      </x:c>
      <x:c r="H2210" t="str">
        <x:v>Cadeira Ergonômica</x:v>
      </x:c>
      <x:c r="I2210" t="str">
        <x:v>Elaine</x:v>
      </x:c>
      <x:c r="J2210" s="53" t="n">
        <x:v>6</x:v>
      </x:c>
      <x:c r="K2210" s="54" t="n">
        <x:v>2268.01</x:v>
      </x:c>
      <x:c r="L2210" s="54" t="n">
        <x:v>1497.6</x:v>
      </x:c>
      <x:c r="M2210" s="55" t="n">
        <x:v>0.0998</x:v>
      </x:c>
      <x:c r="N2210" s="54" t="n">
        <x:f>ROUND(J2210*K2210,2)</x:f>
        <x:v>13608.06</x:v>
      </x:c>
      <x:c r="O2210" s="54" t="n">
        <x:f>ROUND(N2210*(1-M2210),2)</x:f>
        <x:v>12249.98</x:v>
      </x:c>
      <x:c r="P2210" s="54" t="n">
        <x:f>ROUND(J2210*L2210,2)</x:f>
        <x:v>8985.6</x:v>
      </x:c>
      <x:c r="Q2210" s="54" t="n">
        <x:f>ROUND(O2210-P2210,2)</x:f>
        <x:v>3264.38</x:v>
      </x:c>
      <x:c r="R2210" s="55" t="n">
        <x:f>IF(O2210=0,0,ROUND(Q2210/O2210,4))</x:f>
        <x:v>0.2665</x:v>
      </x:c>
      <x:c r="S2210" s="53" t="n">
        <x:v>13</x:v>
      </x:c>
      <x:c r="T2210" t="str">
        <x:v>Entregue com atraso</x:v>
      </x:c>
      <x:c r="U2210" t="n">
        <x:v>2</x:v>
      </x:c>
      <x:c r="V2210" t="str"/>
    </x:row>
    <x:row r="2211">
      <x:c r="A2211" s="52" t="n">
        <x:v>46169</x:v>
      </x:c>
      <x:c r="B2211" t="str">
        <x:v>PED-102210</x:v>
      </x:c>
      <x:c r="C2211" t="str">
        <x:v>Cliente 028</x:v>
      </x:c>
      <x:c r="D2211" t="str">
        <x:v>PE</x:v>
      </x:c>
      <x:c r="E2211" t="str">
        <x:v>Nordeste</x:v>
      </x:c>
      <x:c r="F2211" t="str">
        <x:v>Marketplace</x:v>
      </x:c>
      <x:c r="G2211" t="str">
        <x:v>Casa</x:v>
      </x:c>
      <x:c r="H2211" t="str">
        <x:v>Purificador</x:v>
      </x:c>
      <x:c r="I2211" t="str">
        <x:v>Henrique</x:v>
      </x:c>
      <x:c r="J2211" s="53" t="n">
        <x:v>5</x:v>
      </x:c>
      <x:c r="K2211" s="54" t="n">
        <x:v>1326.1</x:v>
      </x:c>
      <x:c r="L2211" s="54" t="n">
        <x:v>790.15</x:v>
      </x:c>
      <x:c r="M2211" s="55" t="n">
        <x:v>0.1603</x:v>
      </x:c>
      <x:c r="N2211" s="54" t="n">
        <x:f>ROUND(J2211*K2211,2)</x:f>
        <x:v>6630.5</x:v>
      </x:c>
      <x:c r="O2211" s="54" t="n">
        <x:f>ROUND(N2211*(1-M2211),2)</x:f>
        <x:v>5567.63</x:v>
      </x:c>
      <x:c r="P2211" s="54" t="n">
        <x:f>ROUND(J2211*L2211,2)</x:f>
        <x:v>3950.75</x:v>
      </x:c>
      <x:c r="Q2211" s="54" t="n">
        <x:f>ROUND(O2211-P2211,2)</x:f>
        <x:v>1616.88</x:v>
      </x:c>
      <x:c r="R2211" s="55" t="n">
        <x:f>IF(O2211=0,0,ROUND(Q2211/O2211,4))</x:f>
        <x:v>0.2904</x:v>
      </x:c>
      <x:c r="S2211" s="53" t="n">
        <x:v>10</x:v>
      </x:c>
      <x:c r="T2211" t="str">
        <x:v>Entregue</x:v>
      </x:c>
      <x:c r="U2211" t="n">
        <x:v>5</x:v>
      </x:c>
      <x:c r="V2211" t="str"/>
    </x:row>
    <x:row r="2212">
      <x:c r="A2212" s="52" t="n">
        <x:v>46171</x:v>
      </x:c>
      <x:c r="B2212" t="str">
        <x:v>PED-102211</x:v>
      </x:c>
      <x:c r="C2212" t="str">
        <x:v>Cliente 118</x:v>
      </x:c>
      <x:c r="D2212" t="str">
        <x:v>PR</x:v>
      </x:c>
      <x:c r="E2212" t="str">
        <x:v>Sul</x:v>
      </x:c>
      <x:c r="F2212" t="str">
        <x:v>Televendas</x:v>
      </x:c>
      <x:c r="G2212" t="str">
        <x:v>Acessórios</x:v>
      </x:c>
      <x:c r="H2212" t="str">
        <x:v>Mochila Executiva</x:v>
      </x:c>
      <x:c r="I2212" t="str">
        <x:v>Isabela</x:v>
      </x:c>
      <x:c r="J2212" s="53" t="n">
        <x:v>4</x:v>
      </x:c>
      <x:c r="K2212" s="54" t="n">
        <x:v>404.33</x:v>
      </x:c>
      <x:c r="L2212" s="54" t="n">
        <x:v>183.27</x:v>
      </x:c>
      <x:c r="M2212" s="55" t="n">
        <x:v>0.0866</x:v>
      </x:c>
      <x:c r="N2212" s="54" t="n">
        <x:f>ROUND(J2212*K2212,2)</x:f>
        <x:v>1617.32</x:v>
      </x:c>
      <x:c r="O2212" s="54" t="n">
        <x:f>ROUND(N2212*(1-M2212),2)</x:f>
        <x:v>1477.26</x:v>
      </x:c>
      <x:c r="P2212" s="54" t="n">
        <x:f>ROUND(J2212*L2212,2)</x:f>
        <x:v>733.08</x:v>
      </x:c>
      <x:c r="Q2212" s="54" t="n">
        <x:f>ROUND(O2212-P2212,2)</x:f>
        <x:v>744.18</x:v>
      </x:c>
      <x:c r="R2212" s="55" t="n">
        <x:f>IF(O2212=0,0,ROUND(Q2212/O2212,4))</x:f>
        <x:v>0.5038</x:v>
      </x:c>
      <x:c r="S2212" s="53" t="n">
        <x:v>7</x:v>
      </x:c>
      <x:c r="T2212" t="str">
        <x:v>Entregue</x:v>
      </x:c>
      <x:c r="U2212" t="n">
        <x:v>5</x:v>
      </x:c>
      <x:c r="V2212" t="str"/>
    </x:row>
    <x:row r="2213">
      <x:c r="A2213" s="52" t="n">
        <x:v>46230</x:v>
      </x:c>
      <x:c r="B2213" t="str">
        <x:v>PED-102212</x:v>
      </x:c>
      <x:c r="C2213" t="str">
        <x:v>Cliente 082</x:v>
      </x:c>
      <x:c r="D2213" t="str">
        <x:v>ES</x:v>
      </x:c>
      <x:c r="E2213" t="str">
        <x:v>Sudeste</x:v>
      </x:c>
      <x:c r="F2213" t="str">
        <x:v>Loja</x:v>
      </x:c>
      <x:c r="G2213" t="str">
        <x:v>Escritório</x:v>
      </x:c>
      <x:c r="H2213" t="str">
        <x:v>Luminária LED</x:v>
      </x:c>
      <x:c r="I2213" t="str">
        <x:v>Gabriela</x:v>
      </x:c>
      <x:c r="J2213" s="53" t="n">
        <x:v>2</x:v>
      </x:c>
      <x:c r="K2213" s="54" t="n">
        <x:v>260.85</x:v>
      </x:c>
      <x:c r="L2213" s="54" t="n">
        <x:v>114.64</x:v>
      </x:c>
      <x:c r="M2213" s="55" t="n">
        <x:v>0.0911</x:v>
      </x:c>
      <x:c r="N2213" s="54" t="n">
        <x:f>ROUND(J2213*K2213,2)</x:f>
        <x:v>521.7</x:v>
      </x:c>
      <x:c r="O2213" s="54" t="n">
        <x:f>ROUND(N2213*(1-M2213),2)</x:f>
        <x:v>474.17</x:v>
      </x:c>
      <x:c r="P2213" s="54" t="n">
        <x:f>ROUND(J2213*L2213,2)</x:f>
        <x:v>229.28</x:v>
      </x:c>
      <x:c r="Q2213" s="54" t="n">
        <x:f>ROUND(O2213-P2213,2)</x:f>
        <x:v>244.89</x:v>
      </x:c>
      <x:c r="R2213" s="55" t="n">
        <x:f>IF(O2213=0,0,ROUND(Q2213/O2213,4))</x:f>
        <x:v>0.5165</x:v>
      </x:c>
      <x:c r="S2213" s="53" t="n">
        <x:v>9</x:v>
      </x:c>
      <x:c r="T2213" t="str">
        <x:v>Entregue</x:v>
      </x:c>
      <x:c r="U2213" t="n">
        <x:v>4</x:v>
      </x:c>
      <x:c r="V2213" t="str"/>
    </x:row>
    <x:row r="2214">
      <x:c r="A2214" s="52" t="n">
        <x:v>46071</x:v>
      </x:c>
      <x:c r="B2214" t="str">
        <x:v>PED-102213</x:v>
      </x:c>
      <x:c r="C2214" t="str">
        <x:v>Cliente 020</x:v>
      </x:c>
      <x:c r="D2214" t="str">
        <x:v>PR</x:v>
      </x:c>
      <x:c r="E2214" t="str">
        <x:v>Sul</x:v>
      </x:c>
      <x:c r="F2214" t="str">
        <x:v>Televendas</x:v>
      </x:c>
      <x:c r="G2214" t="str">
        <x:v>Acessórios</x:v>
      </x:c>
      <x:c r="H2214" t="str">
        <x:v>Hub USB-C</x:v>
      </x:c>
      <x:c r="I2214" t="str">
        <x:v>Diego</x:v>
      </x:c>
      <x:c r="J2214" s="53" t="n">
        <x:v>7</x:v>
      </x:c>
      <x:c r="K2214" s="54" t="n">
        <x:v>327.86</x:v>
      </x:c>
      <x:c r="L2214" s="54" t="n">
        <x:v>131.99</x:v>
      </x:c>
      <x:c r="M2214" s="55" t="n">
        <x:v>0</x:v>
      </x:c>
      <x:c r="N2214" s="54" t="n">
        <x:f>ROUND(J2214*K2214,2)</x:f>
        <x:v>2295.02</x:v>
      </x:c>
      <x:c r="O2214" s="54" t="n">
        <x:f>ROUND(N2214*(1-M2214),2)</x:f>
        <x:v>2295.02</x:v>
      </x:c>
      <x:c r="P2214" s="54" t="n">
        <x:f>ROUND(J2214*L2214,2)</x:f>
        <x:v>923.93</x:v>
      </x:c>
      <x:c r="Q2214" s="54" t="n">
        <x:f>ROUND(O2214-P2214,2)</x:f>
        <x:v>1371.09</x:v>
      </x:c>
      <x:c r="R2214" s="55" t="n">
        <x:f>IF(O2214=0,0,ROUND(Q2214/O2214,4))</x:f>
        <x:v>0.5974</x:v>
      </x:c>
      <x:c r="S2214" s="53" t="n">
        <x:v>6</x:v>
      </x:c>
      <x:c r="T2214" t="str">
        <x:v>Entregue</x:v>
      </x:c>
      <x:c r="U2214" t="n">
        <x:v>3</x:v>
      </x:c>
      <x:c r="V2214" t="str"/>
    </x:row>
    <x:row r="2215">
      <x:c r="A2215" s="52" t="n">
        <x:v>46039</x:v>
      </x:c>
      <x:c r="B2215" t="str">
        <x:v>PED-102214</x:v>
      </x:c>
      <x:c r="C2215" t="str">
        <x:v>Cliente 028</x:v>
      </x:c>
      <x:c r="D2215" t="str">
        <x:v>MG</x:v>
      </x:c>
      <x:c r="E2215" t="str">
        <x:v>Sudeste</x:v>
      </x:c>
      <x:c r="F2215" t="str">
        <x:v>Televendas</x:v>
      </x:c>
      <x:c r="G2215" t="str">
        <x:v>Escritório</x:v>
      </x:c>
      <x:c r="H2215" t="str">
        <x:v>Cadeira Ergonômica</x:v>
      </x:c>
      <x:c r="I2215" t="str">
        <x:v>Carla</x:v>
      </x:c>
      <x:c r="J2215" s="53" t="n">
        <x:v>7</x:v>
      </x:c>
      <x:c r="K2215" s="54" t="n">
        <x:v>2122.59</x:v>
      </x:c>
      <x:c r="L2215" s="54" t="n">
        <x:v>1393.4</x:v>
      </x:c>
      <x:c r="M2215" s="55" t="n">
        <x:v>0</x:v>
      </x:c>
      <x:c r="N2215" s="54" t="n">
        <x:f>ROUND(J2215*K2215,2)</x:f>
        <x:v>14858.13</x:v>
      </x:c>
      <x:c r="O2215" s="54" t="n">
        <x:f>ROUND(N2215*(1-M2215),2)</x:f>
        <x:v>14858.13</x:v>
      </x:c>
      <x:c r="P2215" s="54" t="n">
        <x:f>ROUND(J2215*L2215,2)</x:f>
        <x:v>9753.8</x:v>
      </x:c>
      <x:c r="Q2215" s="54" t="n">
        <x:f>ROUND(O2215-P2215,2)</x:f>
        <x:v>5104.33</x:v>
      </x:c>
      <x:c r="R2215" s="55" t="n">
        <x:f>IF(O2215=0,0,ROUND(Q2215/O2215,4))</x:f>
        <x:v>0.3435</x:v>
      </x:c>
      <x:c r="S2215" s="53" t="n">
        <x:v>8</x:v>
      </x:c>
      <x:c r="T2215" t="str">
        <x:v>Entregue</x:v>
      </x:c>
      <x:c r="U2215" t="n">
        <x:v>4</x:v>
      </x:c>
      <x:c r="V2215" t="str"/>
    </x:row>
    <x:row r="2216">
      <x:c r="A2216" s="52" t="n">
        <x:v>46192</x:v>
      </x:c>
      <x:c r="B2216" t="str">
        <x:v>PED-102215</x:v>
      </x:c>
      <x:c r="C2216" t="str">
        <x:v>Cliente 056</x:v>
      </x:c>
      <x:c r="D2216" t="str">
        <x:v>MA</x:v>
      </x:c>
      <x:c r="E2216" t="str">
        <x:v>Nordeste</x:v>
      </x:c>
      <x:c r="F2216" t="str">
        <x:v>Loja</x:v>
      </x:c>
      <x:c r="G2216" t="str">
        <x:v>Casa</x:v>
      </x:c>
      <x:c r="H2216" t="str">
        <x:v>Cafeteira Smart</x:v>
      </x:c>
      <x:c r="I2216" t="str">
        <x:v>João</x:v>
      </x:c>
      <x:c r="J2216" s="53" t="n">
        <x:v>7</x:v>
      </x:c>
      <x:c r="K2216" s="54" t="n">
        <x:v>751.55</x:v>
      </x:c>
      <x:c r="L2216" s="54" t="n">
        <x:v>486.24</x:v>
      </x:c>
      <x:c r="M2216" s="55" t="n">
        <x:v>0</x:v>
      </x:c>
      <x:c r="N2216" s="54" t="n">
        <x:f>ROUND(J2216*K2216,2)</x:f>
        <x:v>5260.85</x:v>
      </x:c>
      <x:c r="O2216" s="54" t="n">
        <x:f>ROUND(N2216*(1-M2216),2)</x:f>
        <x:v>5260.85</x:v>
      </x:c>
      <x:c r="P2216" s="54" t="n">
        <x:f>ROUND(J2216*L2216,2)</x:f>
        <x:v>3403.68</x:v>
      </x:c>
      <x:c r="Q2216" s="54" t="n">
        <x:f>ROUND(O2216-P2216,2)</x:f>
        <x:v>1857.17</x:v>
      </x:c>
      <x:c r="R2216" s="55" t="n">
        <x:f>IF(O2216=0,0,ROUND(Q2216/O2216,4))</x:f>
        <x:v>0.353</x:v>
      </x:c>
      <x:c r="S2216" s="53" t="n">
        <x:v>8</x:v>
      </x:c>
      <x:c r="T2216" t="str">
        <x:v>Entregue</x:v>
      </x:c>
      <x:c r="U2216" t="n">
        <x:v>2</x:v>
      </x:c>
      <x:c r="V2216" t="str"/>
    </x:row>
    <x:row r="2217">
      <x:c r="A2217" s="52" t="n">
        <x:v>46153</x:v>
      </x:c>
      <x:c r="B2217" t="str">
        <x:v>PED-102216</x:v>
      </x:c>
      <x:c r="C2217" t="str">
        <x:v>Cliente 065</x:v>
      </x:c>
      <x:c r="D2217" t="str">
        <x:v>PE</x:v>
      </x:c>
      <x:c r="E2217" t="str">
        <x:v>Nordeste</x:v>
      </x:c>
      <x:c r="F2217" t="str">
        <x:v>E-commerce</x:v>
      </x:c>
      <x:c r="G2217" t="str">
        <x:v>Tecnologia</x:v>
      </x:c>
      <x:c r="H2217" t="str">
        <x:v>Headset Office</x:v>
      </x:c>
      <x:c r="I2217" t="str">
        <x:v>João</x:v>
      </x:c>
      <x:c r="J2217" s="53" t="n">
        <x:v>4</x:v>
      </x:c>
      <x:c r="K2217" s="54" t="n">
        <x:v>410.59</x:v>
      </x:c>
      <x:c r="L2217" s="54" t="n">
        <x:v>223.49</x:v>
      </x:c>
      <x:c r="M2217" s="55" t="n">
        <x:v>0</x:v>
      </x:c>
      <x:c r="N2217" s="54" t="n">
        <x:f>ROUND(J2217*K2217,2)</x:f>
        <x:v>1642.36</x:v>
      </x:c>
      <x:c r="O2217" s="54" t="n">
        <x:f>ROUND(N2217*(1-M2217),2)</x:f>
        <x:v>1642.36</x:v>
      </x:c>
      <x:c r="P2217" s="54" t="n">
        <x:f>ROUND(J2217*L2217,2)</x:f>
        <x:v>893.96</x:v>
      </x:c>
      <x:c r="Q2217" s="54" t="n">
        <x:f>ROUND(O2217-P2217,2)</x:f>
        <x:v>748.4</x:v>
      </x:c>
      <x:c r="R2217" s="55" t="n">
        <x:f>IF(O2217=0,0,ROUND(Q2217/O2217,4))</x:f>
        <x:v>0.4557</x:v>
      </x:c>
      <x:c r="S2217" s="53" t="n">
        <x:v>12</x:v>
      </x:c>
      <x:c r="T2217" t="str">
        <x:v>Entregue com atraso</x:v>
      </x:c>
      <x:c r="U2217" t="n">
        <x:v>2</x:v>
      </x:c>
      <x:c r="V2217" t="str"/>
    </x:row>
    <x:row r="2218">
      <x:c r="A2218" s="52" t="n">
        <x:v>46037</x:v>
      </x:c>
      <x:c r="B2218" t="str">
        <x:v>PED-102217</x:v>
      </x:c>
      <x:c r="C2218" t="str">
        <x:v>Cliente 062</x:v>
      </x:c>
      <x:c r="D2218" t="str">
        <x:v>PE</x:v>
      </x:c>
      <x:c r="E2218" t="str">
        <x:v>Nordeste</x:v>
      </x:c>
      <x:c r="F2218" t="str">
        <x:v>Loja</x:v>
      </x:c>
      <x:c r="G2218" t="str">
        <x:v>Casa</x:v>
      </x:c>
      <x:c r="H2218" t="str">
        <x:v>Aspirador Robô</x:v>
      </x:c>
      <x:c r="I2218" t="str">
        <x:v>Elaine</x:v>
      </x:c>
      <x:c r="J2218" s="53" t="n">
        <x:v>4</x:v>
      </x:c>
      <x:c r="K2218" s="54" t="n">
        <x:v>1950.88</x:v>
      </x:c>
      <x:c r="L2218" s="54" t="n">
        <x:v>1250.28</x:v>
      </x:c>
      <x:c r="M2218" s="55" t="n">
        <x:v>0</x:v>
      </x:c>
      <x:c r="N2218" s="54" t="n">
        <x:f>ROUND(J2218*K2218,2)</x:f>
        <x:v>7803.52</x:v>
      </x:c>
      <x:c r="O2218" s="54" t="n">
        <x:f>ROUND(N2218*(1-M2218),2)</x:f>
        <x:v>7803.52</x:v>
      </x:c>
      <x:c r="P2218" s="54" t="n">
        <x:f>ROUND(J2218*L2218,2)</x:f>
        <x:v>5001.12</x:v>
      </x:c>
      <x:c r="Q2218" s="54" t="n">
        <x:f>ROUND(O2218-P2218,2)</x:f>
        <x:v>2802.4</x:v>
      </x:c>
      <x:c r="R2218" s="55" t="n">
        <x:f>IF(O2218=0,0,ROUND(Q2218/O2218,4))</x:f>
        <x:v>0.3591</x:v>
      </x:c>
      <x:c r="S2218" s="53" t="n">
        <x:v>13</x:v>
      </x:c>
      <x:c r="T2218" t="str">
        <x:v>Entregue com atraso</x:v>
      </x:c>
      <x:c r="U2218" t="n">
        <x:v>3</x:v>
      </x:c>
      <x:c r="V2218" t="str"/>
    </x:row>
    <x:row r="2219">
      <x:c r="A2219" s="52" t="n">
        <x:v>46203</x:v>
      </x:c>
      <x:c r="B2219" t="str">
        <x:v>PED-102218</x:v>
      </x:c>
      <x:c r="C2219" t="str">
        <x:v>Cliente 083</x:v>
      </x:c>
      <x:c r="D2219" t="str">
        <x:v>MA</x:v>
      </x:c>
      <x:c r="E2219" t="str">
        <x:v>Nordeste</x:v>
      </x:c>
      <x:c r="F2219" t="str">
        <x:v>Televendas</x:v>
      </x:c>
      <x:c r="G2219" t="str">
        <x:v>Escritório</x:v>
      </x:c>
      <x:c r="H2219" t="str">
        <x:v>Cadeira Ergonômica</x:v>
      </x:c>
      <x:c r="I2219" t="str">
        <x:v>Diego</x:v>
      </x:c>
      <x:c r="J2219" s="53" t="n">
        <x:v>7</x:v>
      </x:c>
      <x:c r="K2219" s="54" t="n">
        <x:v>2067.25</x:v>
      </x:c>
      <x:c r="L2219" s="54" t="n">
        <x:v>1487.34</x:v>
      </x:c>
      <x:c r="M2219" s="55" t="n">
        <x:v>0</x:v>
      </x:c>
      <x:c r="N2219" s="54" t="n">
        <x:f>ROUND(J2219*K2219,2)</x:f>
        <x:v>14470.75</x:v>
      </x:c>
      <x:c r="O2219" s="54" t="n">
        <x:f>ROUND(N2219*(1-M2219),2)</x:f>
        <x:v>14470.75</x:v>
      </x:c>
      <x:c r="P2219" s="54" t="n">
        <x:f>ROUND(J2219*L2219,2)</x:f>
        <x:v>10411.38</x:v>
      </x:c>
      <x:c r="Q2219" s="54" t="n">
        <x:f>ROUND(O2219-P2219,2)</x:f>
        <x:v>4059.37</x:v>
      </x:c>
      <x:c r="R2219" s="55" t="n">
        <x:f>IF(O2219=0,0,ROUND(Q2219/O2219,4))</x:f>
        <x:v>0.2805</x:v>
      </x:c>
      <x:c r="S2219" s="53" t="n">
        <x:v>10</x:v>
      </x:c>
      <x:c r="T2219" t="str">
        <x:v>Entregue</x:v>
      </x:c>
      <x:c r="U2219" t="n">
        <x:v>5</x:v>
      </x:c>
      <x:c r="V2219" t="str"/>
    </x:row>
    <x:row r="2220">
      <x:c r="A2220" s="52" t="n">
        <x:v>46069</x:v>
      </x:c>
      <x:c r="B2220" t="str">
        <x:v>PED-102219</x:v>
      </x:c>
      <x:c r="C2220" t="str">
        <x:v>Cliente 003</x:v>
      </x:c>
      <x:c r="D2220" t="str">
        <x:v>DF</x:v>
      </x:c>
      <x:c r="E2220" t="str">
        <x:v>Centro-Oeste</x:v>
      </x:c>
      <x:c r="F2220" t="str">
        <x:v>Marketplace</x:v>
      </x:c>
      <x:c r="G2220" t="str">
        <x:v>Casa</x:v>
      </x:c>
      <x:c r="H2220" t="str">
        <x:v>Aspirador Robô</x:v>
      </x:c>
      <x:c r="I2220" t="str">
        <x:v>Bruno</x:v>
      </x:c>
      <x:c r="J2220" s="53" t="n">
        <x:v>5</x:v>
      </x:c>
      <x:c r="K2220" s="54" t="n">
        <x:v>1853.19</x:v>
      </x:c>
      <x:c r="L2220" s="54" t="n">
        <x:v>1159.26</x:v>
      </x:c>
      <x:c r="M2220" s="55" t="n">
        <x:v>0.0372</x:v>
      </x:c>
      <x:c r="N2220" s="54" t="n">
        <x:f>ROUND(J2220*K2220,2)</x:f>
        <x:v>9265.95</x:v>
      </x:c>
      <x:c r="O2220" s="54" t="n">
        <x:f>ROUND(N2220*(1-M2220),2)</x:f>
        <x:v>8921.26</x:v>
      </x:c>
      <x:c r="P2220" s="54" t="n">
        <x:f>ROUND(J2220*L2220,2)</x:f>
        <x:v>5796.3</x:v>
      </x:c>
      <x:c r="Q2220" s="54" t="n">
        <x:f>ROUND(O2220-P2220,2)</x:f>
        <x:v>3124.96</x:v>
      </x:c>
      <x:c r="R2220" s="55" t="n">
        <x:f>IF(O2220=0,0,ROUND(Q2220/O2220,4))</x:f>
        <x:v>0.3503</x:v>
      </x:c>
      <x:c r="S2220" s="53" t="n">
        <x:v>10</x:v>
      </x:c>
      <x:c r="T2220" t="str">
        <x:v>Entregue</x:v>
      </x:c>
      <x:c r="U2220" t="n">
        <x:v>2</x:v>
      </x:c>
      <x:c r="V2220" t="str"/>
    </x:row>
    <x:row r="2221">
      <x:c r="A2221" s="52" t="n">
        <x:v>46030</x:v>
      </x:c>
      <x:c r="B2221" t="str">
        <x:v>PED-102220</x:v>
      </x:c>
      <x:c r="C2221" t="str">
        <x:v>Cliente 039</x:v>
      </x:c>
      <x:c r="D2221" t="str">
        <x:v>PA</x:v>
      </x:c>
      <x:c r="E2221" t="str">
        <x:v>Norte</x:v>
      </x:c>
      <x:c r="F2221" t="str">
        <x:v>Loja</x:v>
      </x:c>
      <x:c r="G2221" t="str">
        <x:v>Tecnologia</x:v>
      </x:c>
      <x:c r="H2221" t="str">
        <x:v>Notebook Pro</x:v>
      </x:c>
      <x:c r="I2221" t="str">
        <x:v>Bruno</x:v>
      </x:c>
      <x:c r="J2221" s="53" t="n">
        <x:v>3</x:v>
      </x:c>
      <x:c r="K2221" s="54" t="n">
        <x:v>5612.14</x:v>
      </x:c>
      <x:c r="L2221" s="54" t="n">
        <x:v>4578.21</x:v>
      </x:c>
      <x:c r="M2221" s="55" t="n">
        <x:v>0</x:v>
      </x:c>
      <x:c r="N2221" s="54" t="n">
        <x:f>ROUND(J2221*K2221,2)</x:f>
        <x:v>16836.42</x:v>
      </x:c>
      <x:c r="O2221" s="54" t="n">
        <x:f>ROUND(N2221*(1-M2221),2)</x:f>
        <x:v>16836.42</x:v>
      </x:c>
      <x:c r="P2221" s="54" t="n">
        <x:f>ROUND(J2221*L2221,2)</x:f>
        <x:v>13734.63</x:v>
      </x:c>
      <x:c r="Q2221" s="54" t="n">
        <x:f>ROUND(O2221-P2221,2)</x:f>
        <x:v>3101.79</x:v>
      </x:c>
      <x:c r="R2221" s="55" t="n">
        <x:f>IF(O2221=0,0,ROUND(Q2221/O2221,4))</x:f>
        <x:v>0.1842</x:v>
      </x:c>
      <x:c r="S2221" s="53" t="n">
        <x:v>12</x:v>
      </x:c>
      <x:c r="T2221" t="str">
        <x:v>Entregue com atraso</x:v>
      </x:c>
      <x:c r="U2221" t="n">
        <x:v>2</x:v>
      </x:c>
      <x:c r="V2221" t="str"/>
    </x:row>
    <x:row r="2222">
      <x:c r="A2222" s="52" t="n">
        <x:v>46149</x:v>
      </x:c>
      <x:c r="B2222" t="str">
        <x:v>PED-102221</x:v>
      </x:c>
      <x:c r="C2222" t="str">
        <x:v>Cliente 040</x:v>
      </x:c>
      <x:c r="D2222" t="str">
        <x:v>CE</x:v>
      </x:c>
      <x:c r="E2222" t="str">
        <x:v>Nordeste</x:v>
      </x:c>
      <x:c r="F2222" t="str">
        <x:v>Loja</x:v>
      </x:c>
      <x:c r="G2222" t="str">
        <x:v>Escritório</x:v>
      </x:c>
      <x:c r="H2222" t="str">
        <x:v>Mesa Ajustável</x:v>
      </x:c>
      <x:c r="I2222" t="str">
        <x:v>Diego</x:v>
      </x:c>
      <x:c r="J2222" s="53" t="n">
        <x:v>6</x:v>
      </x:c>
      <x:c r="K2222" s="54" t="n">
        <x:v>2871.25</x:v>
      </x:c>
      <x:c r="L2222" s="54" t="n">
        <x:v>1868.72</x:v>
      </x:c>
      <x:c r="M2222" s="55" t="n">
        <x:v>0</x:v>
      </x:c>
      <x:c r="N2222" s="54" t="n">
        <x:f>ROUND(J2222*K2222,2)</x:f>
        <x:v>17227.5</x:v>
      </x:c>
      <x:c r="O2222" s="54" t="n">
        <x:f>ROUND(N2222*(1-M2222),2)</x:f>
        <x:v>17227.5</x:v>
      </x:c>
      <x:c r="P2222" s="54" t="n">
        <x:f>ROUND(J2222*L2222,2)</x:f>
        <x:v>11212.32</x:v>
      </x:c>
      <x:c r="Q2222" s="54" t="n">
        <x:f>ROUND(O2222-P2222,2)</x:f>
        <x:v>6015.18</x:v>
      </x:c>
      <x:c r="R2222" s="55" t="n">
        <x:f>IF(O2222=0,0,ROUND(Q2222/O2222,4))</x:f>
        <x:v>0.3492</x:v>
      </x:c>
      <x:c r="S2222" s="53" t="n">
        <x:v>7</x:v>
      </x:c>
      <x:c r="T2222" t="str">
        <x:v>Entregue</x:v>
      </x:c>
      <x:c r="U2222" t="n">
        <x:v>3</x:v>
      </x:c>
      <x:c r="V2222" t="str"/>
    </x:row>
    <x:row r="2223">
      <x:c r="A2223" s="52" t="n">
        <x:v>46130</x:v>
      </x:c>
      <x:c r="B2223" t="str">
        <x:v>PED-102222</x:v>
      </x:c>
      <x:c r="C2223" t="str">
        <x:v>Cliente 002</x:v>
      </x:c>
      <x:c r="D2223" t="str">
        <x:v>RS</x:v>
      </x:c>
      <x:c r="E2223" t="str">
        <x:v>Sul</x:v>
      </x:c>
      <x:c r="F2223" t="str">
        <x:v>Loja</x:v>
      </x:c>
      <x:c r="G2223" t="str">
        <x:v>Escritório</x:v>
      </x:c>
      <x:c r="H2223" t="str">
        <x:v>Cadeira Ergonômica</x:v>
      </x:c>
      <x:c r="I2223" t="str">
        <x:v>Gabriela</x:v>
      </x:c>
      <x:c r="J2223" s="53" t="n">
        <x:v>7</x:v>
      </x:c>
      <x:c r="K2223" s="54" t="n">
        <x:v>2156.52</x:v>
      </x:c>
      <x:c r="L2223" s="54" t="n">
        <x:v>1434.66</x:v>
      </x:c>
      <x:c r="M2223" s="55" t="n">
        <x:v>0.0331</x:v>
      </x:c>
      <x:c r="N2223" s="54" t="n">
        <x:f>ROUND(J2223*K2223,2)</x:f>
        <x:v>15095.64</x:v>
      </x:c>
      <x:c r="O2223" s="54" t="n">
        <x:f>ROUND(N2223*(1-M2223),2)</x:f>
        <x:v>14595.97</x:v>
      </x:c>
      <x:c r="P2223" s="54" t="n">
        <x:f>ROUND(J2223*L2223,2)</x:f>
        <x:v>10042.62</x:v>
      </x:c>
      <x:c r="Q2223" s="54" t="n">
        <x:f>ROUND(O2223-P2223,2)</x:f>
        <x:v>4553.35</x:v>
      </x:c>
      <x:c r="R2223" s="55" t="n">
        <x:f>IF(O2223=0,0,ROUND(Q2223/O2223,4))</x:f>
        <x:v>0.312</x:v>
      </x:c>
      <x:c r="S2223" s="53" t="n">
        <x:v>8</x:v>
      </x:c>
      <x:c r="T2223" t="str">
        <x:v>Entregue</x:v>
      </x:c>
      <x:c r="U2223" t="n">
        <x:v>4</x:v>
      </x:c>
      <x:c r="V2223" t="str"/>
    </x:row>
    <x:row r="2224">
      <x:c r="A2224" s="52" t="n">
        <x:v>46056</x:v>
      </x:c>
      <x:c r="B2224" t="str">
        <x:v>PED-102223</x:v>
      </x:c>
      <x:c r="C2224" t="str">
        <x:v>Cliente 101</x:v>
      </x:c>
      <x:c r="D2224" t="str">
        <x:v>PE</x:v>
      </x:c>
      <x:c r="E2224" t="str">
        <x:v>Nordeste</x:v>
      </x:c>
      <x:c r="F2224" t="str">
        <x:v>Marketplace</x:v>
      </x:c>
      <x:c r="G2224" t="str">
        <x:v>Tecnologia</x:v>
      </x:c>
      <x:c r="H2224" t="str">
        <x:v>Notebook Pro</x:v>
      </x:c>
      <x:c r="I2224" t="str">
        <x:v>Carla</x:v>
      </x:c>
      <x:c r="J2224" s="53" t="n">
        <x:v>4</x:v>
      </x:c>
      <x:c r="K2224" s="54" t="n">
        <x:v>6103.4</x:v>
      </x:c>
      <x:c r="L2224" s="54" t="n">
        <x:v>4299.09</x:v>
      </x:c>
      <x:c r="M2224" s="55" t="n">
        <x:v>0.0738</x:v>
      </x:c>
      <x:c r="N2224" s="54" t="n">
        <x:f>ROUND(J2224*K2224,2)</x:f>
        <x:v>24413.6</x:v>
      </x:c>
      <x:c r="O2224" s="54" t="n">
        <x:f>ROUND(N2224*(1-M2224),2)</x:f>
        <x:v>22611.88</x:v>
      </x:c>
      <x:c r="P2224" s="54" t="n">
        <x:f>ROUND(J2224*L2224,2)</x:f>
        <x:v>17196.36</x:v>
      </x:c>
      <x:c r="Q2224" s="54" t="n">
        <x:f>ROUND(O2224-P2224,2)</x:f>
        <x:v>5415.52</x:v>
      </x:c>
      <x:c r="R2224" s="55" t="n">
        <x:f>IF(O2224=0,0,ROUND(Q2224/O2224,4))</x:f>
        <x:v>0.2395</x:v>
      </x:c>
      <x:c r="S2224" s="53" t="n">
        <x:v>2</x:v>
      </x:c>
      <x:c r="T2224" t="str">
        <x:v>Entregue</x:v>
      </x:c>
      <x:c r="U2224" t="n">
        <x:v>2</x:v>
      </x:c>
      <x:c r="V2224" t="str"/>
    </x:row>
    <x:row r="2225">
      <x:c r="A2225" s="52" t="n">
        <x:v>46178</x:v>
      </x:c>
      <x:c r="B2225" t="str">
        <x:v>PED-102224</x:v>
      </x:c>
      <x:c r="C2225" t="str">
        <x:v>Cliente 045</x:v>
      </x:c>
      <x:c r="D2225" t="str">
        <x:v>DF</x:v>
      </x:c>
      <x:c r="E2225" t="str">
        <x:v>Centro-Oeste</x:v>
      </x:c>
      <x:c r="F2225" t="str">
        <x:v>Loja</x:v>
      </x:c>
      <x:c r="G2225" t="str">
        <x:v>Casa</x:v>
      </x:c>
      <x:c r="H2225" t="str">
        <x:v>Cafeteira Smart</x:v>
      </x:c>
      <x:c r="I2225" t="str">
        <x:v>João</x:v>
      </x:c>
      <x:c r="J2225" s="53" t="n">
        <x:v>3</x:v>
      </x:c>
      <x:c r="K2225" s="54" t="n">
        <x:v>765.61</x:v>
      </x:c>
      <x:c r="L2225" s="54" t="n">
        <x:v>438.17</x:v>
      </x:c>
      <x:c r="M2225" s="55" t="n">
        <x:v>0</x:v>
      </x:c>
      <x:c r="N2225" s="54" t="n">
        <x:f>ROUND(J2225*K2225,2)</x:f>
        <x:v>2296.83</x:v>
      </x:c>
      <x:c r="O2225" s="54" t="n">
        <x:f>ROUND(N2225*(1-M2225),2)</x:f>
        <x:v>2296.83</x:v>
      </x:c>
      <x:c r="P2225" s="54" t="n">
        <x:f>ROUND(J2225*L2225,2)</x:f>
        <x:v>1314.51</x:v>
      </x:c>
      <x:c r="Q2225" s="54" t="n">
        <x:f>ROUND(O2225-P2225,2)</x:f>
        <x:v>982.32</x:v>
      </x:c>
      <x:c r="R2225" s="55" t="n">
        <x:f>IF(O2225=0,0,ROUND(Q2225/O2225,4))</x:f>
        <x:v>0.4277</x:v>
      </x:c>
      <x:c r="S2225" s="53" t="n">
        <x:v>7</x:v>
      </x:c>
      <x:c r="T2225" t="str">
        <x:v>Entregue</x:v>
      </x:c>
      <x:c r="U2225" t="n">
        <x:v>4</x:v>
      </x:c>
      <x:c r="V2225" t="str"/>
    </x:row>
    <x:row r="2226">
      <x:c r="A2226" s="52" t="n">
        <x:v>46187</x:v>
      </x:c>
      <x:c r="B2226" t="str">
        <x:v>PED-102225</x:v>
      </x:c>
      <x:c r="C2226" t="str">
        <x:v>Cliente 079</x:v>
      </x:c>
      <x:c r="D2226" t="str">
        <x:v>BA</x:v>
      </x:c>
      <x:c r="E2226" t="str">
        <x:v>Nordeste</x:v>
      </x:c>
      <x:c r="F2226" t="str">
        <x:v>Marketplace</x:v>
      </x:c>
      <x:c r="G2226" t="str">
        <x:v>Acessórios</x:v>
      </x:c>
      <x:c r="H2226" t="str">
        <x:v>Webcam HD</x:v>
      </x:c>
      <x:c r="I2226" t="str">
        <x:v>Ana</x:v>
      </x:c>
      <x:c r="J2226" s="53" t="n">
        <x:v>5</x:v>
      </x:c>
      <x:c r="K2226" s="54" t="n">
        <x:v>494.66</x:v>
      </x:c>
      <x:c r="L2226" s="54" t="n">
        <x:v>242.7</x:v>
      </x:c>
      <x:c r="M2226" s="55" t="n">
        <x:v>0.0662</x:v>
      </x:c>
      <x:c r="N2226" s="54" t="n">
        <x:f>ROUND(J2226*K2226,2)</x:f>
        <x:v>2473.3</x:v>
      </x:c>
      <x:c r="O2226" s="54" t="n">
        <x:f>ROUND(N2226*(1-M2226),2)</x:f>
        <x:v>2309.57</x:v>
      </x:c>
      <x:c r="P2226" s="54" t="n">
        <x:f>ROUND(J2226*L2226,2)</x:f>
        <x:v>1213.5</x:v>
      </x:c>
      <x:c r="Q2226" s="54" t="n">
        <x:f>ROUND(O2226-P2226,2)</x:f>
        <x:v>1096.07</x:v>
      </x:c>
      <x:c r="R2226" s="55" t="n">
        <x:f>IF(O2226=0,0,ROUND(Q2226/O2226,4))</x:f>
        <x:v>0.4746</x:v>
      </x:c>
      <x:c r="S2226" s="53" t="n">
        <x:v>12</x:v>
      </x:c>
      <x:c r="T2226" t="str">
        <x:v>Entregue com atraso</x:v>
      </x:c>
      <x:c r="U2226" t="n">
        <x:v>3</x:v>
      </x:c>
      <x:c r="V2226" t="str"/>
    </x:row>
    <x:row r="2227">
      <x:c r="A2227" s="52" t="n">
        <x:v>46037</x:v>
      </x:c>
      <x:c r="B2227" t="str">
        <x:v>PED-102226</x:v>
      </x:c>
      <x:c r="C2227" t="str">
        <x:v>Cliente 052</x:v>
      </x:c>
      <x:c r="D2227" t="str">
        <x:v>AM</x:v>
      </x:c>
      <x:c r="E2227" t="str">
        <x:v>Norte</x:v>
      </x:c>
      <x:c r="F2227" t="str">
        <x:v>Televendas</x:v>
      </x:c>
      <x:c r="G2227" t="str">
        <x:v>Tecnologia</x:v>
      </x:c>
      <x:c r="H2227" t="str">
        <x:v>Notebook Pro</x:v>
      </x:c>
      <x:c r="I2227" t="str">
        <x:v>João</x:v>
      </x:c>
      <x:c r="J2227" s="53" t="n">
        <x:v>7</x:v>
      </x:c>
      <x:c r="K2227" s="54" t="n">
        <x:v>5908.89</x:v>
      </x:c>
      <x:c r="L2227" s="54" t="n">
        <x:v>4549.01</x:v>
      </x:c>
      <x:c r="M2227" s="55" t="n">
        <x:v>0.0203</x:v>
      </x:c>
      <x:c r="N2227" s="54" t="n">
        <x:f>ROUND(J2227*K2227,2)</x:f>
        <x:v>41362.23</x:v>
      </x:c>
      <x:c r="O2227" s="54" t="n">
        <x:f>ROUND(N2227*(1-M2227),2)</x:f>
        <x:v>40522.58</x:v>
      </x:c>
      <x:c r="P2227" s="54" t="n">
        <x:f>ROUND(J2227*L2227,2)</x:f>
        <x:v>31843.07</x:v>
      </x:c>
      <x:c r="Q2227" s="54" t="n">
        <x:f>ROUND(O2227-P2227,2)</x:f>
        <x:v>8679.51</x:v>
      </x:c>
      <x:c r="R2227" s="55" t="n">
        <x:f>IF(O2227=0,0,ROUND(Q2227/O2227,4))</x:f>
        <x:v>0.2142</x:v>
      </x:c>
      <x:c r="S2227" s="53" t="n">
        <x:v>14</x:v>
      </x:c>
      <x:c r="T2227" t="str">
        <x:v>Entregue com atraso</x:v>
      </x:c>
      <x:c r="U2227" t="n">
        <x:v>4</x:v>
      </x:c>
      <x:c r="V2227" t="str"/>
    </x:row>
    <x:row r="2228">
      <x:c r="A2228" s="52" t="n">
        <x:v>46182</x:v>
      </x:c>
      <x:c r="B2228" t="str">
        <x:v>PED-102227</x:v>
      </x:c>
      <x:c r="C2228" t="str">
        <x:v>Cliente 081</x:v>
      </x:c>
      <x:c r="D2228" t="str">
        <x:v>PA</x:v>
      </x:c>
      <x:c r="E2228" t="str">
        <x:v>Norte</x:v>
      </x:c>
      <x:c r="F2228" t="str">
        <x:v>E-commerce</x:v>
      </x:c>
      <x:c r="G2228" t="str">
        <x:v>Escritório</x:v>
      </x:c>
      <x:c r="H2228" t="str">
        <x:v>Cadeira Ergonômica</x:v>
      </x:c>
      <x:c r="I2228" t="str">
        <x:v>Isabela</x:v>
      </x:c>
      <x:c r="J2228" s="53" t="n">
        <x:v>2</x:v>
      </x:c>
      <x:c r="K2228" s="54" t="n">
        <x:v>2259.68</x:v>
      </x:c>
      <x:c r="L2228" s="54" t="n">
        <x:v>1464.18</x:v>
      </x:c>
      <x:c r="M2228" s="55" t="n">
        <x:v>0</x:v>
      </x:c>
      <x:c r="N2228" s="54" t="n">
        <x:f>ROUND(J2228*K2228,2)</x:f>
        <x:v>4519.36</x:v>
      </x:c>
      <x:c r="O2228" s="54" t="n">
        <x:f>ROUND(N2228*(1-M2228),2)</x:f>
        <x:v>4519.36</x:v>
      </x:c>
      <x:c r="P2228" s="54" t="n">
        <x:f>ROUND(J2228*L2228,2)</x:f>
        <x:v>2928.36</x:v>
      </x:c>
      <x:c r="Q2228" s="54" t="n">
        <x:f>ROUND(O2228-P2228,2)</x:f>
        <x:v>1591</x:v>
      </x:c>
      <x:c r="R2228" s="55" t="n">
        <x:f>IF(O2228=0,0,ROUND(Q2228/O2228,4))</x:f>
        <x:v>0.352</x:v>
      </x:c>
      <x:c r="S2228" s="53" t="n">
        <x:v>11</x:v>
      </x:c>
      <x:c r="T2228" t="str">
        <x:v>Entregue com atraso</x:v>
      </x:c>
      <x:c r="U2228" t="n">
        <x:v>2</x:v>
      </x:c>
      <x:c r="V2228" t="str"/>
    </x:row>
    <x:row r="2229">
      <x:c r="A2229" s="52" t="n">
        <x:v>46193</x:v>
      </x:c>
      <x:c r="B2229" t="str">
        <x:v>PED-102228</x:v>
      </x:c>
      <x:c r="C2229" t="str">
        <x:v>Cliente 027</x:v>
      </x:c>
      <x:c r="D2229" t="str">
        <x:v>PR</x:v>
      </x:c>
      <x:c r="E2229" t="str">
        <x:v>Sul</x:v>
      </x:c>
      <x:c r="F2229" t="str">
        <x:v>Marketplace</x:v>
      </x:c>
      <x:c r="G2229" t="str">
        <x:v>Tecnologia</x:v>
      </x:c>
      <x:c r="H2229" t="str">
        <x:v>Monitor 27</x:v>
      </x:c>
      <x:c r="I2229" t="str">
        <x:v>Isabela</x:v>
      </x:c>
      <x:c r="J2229" s="53" t="n">
        <x:v>4</x:v>
      </x:c>
      <x:c r="K2229" s="54" t="n">
        <x:v>1691.33</x:v>
      </x:c>
      <x:c r="L2229" s="54" t="n">
        <x:v>1101.62</x:v>
      </x:c>
      <x:c r="M2229" s="55" t="n">
        <x:v>0.035</x:v>
      </x:c>
      <x:c r="N2229" s="54" t="n">
        <x:f>ROUND(J2229*K2229,2)</x:f>
        <x:v>6765.32</x:v>
      </x:c>
      <x:c r="O2229" s="54" t="n">
        <x:f>ROUND(N2229*(1-M2229),2)</x:f>
        <x:v>6528.53</x:v>
      </x:c>
      <x:c r="P2229" s="54" t="n">
        <x:f>ROUND(J2229*L2229,2)</x:f>
        <x:v>4406.48</x:v>
      </x:c>
      <x:c r="Q2229" s="54" t="n">
        <x:f>ROUND(O2229-P2229,2)</x:f>
        <x:v>2122.05</x:v>
      </x:c>
      <x:c r="R2229" s="55" t="n">
        <x:f>IF(O2229=0,0,ROUND(Q2229/O2229,4))</x:f>
        <x:v>0.325</x:v>
      </x:c>
      <x:c r="S2229" s="53" t="n">
        <x:v>2</x:v>
      </x:c>
      <x:c r="T2229" t="str">
        <x:v>Entregue</x:v>
      </x:c>
      <x:c r="U2229" t="n">
        <x:v>4</x:v>
      </x:c>
      <x:c r="V2229" t="str"/>
    </x:row>
    <x:row r="2230">
      <x:c r="A2230" s="52" t="n">
        <x:v>46200</x:v>
      </x:c>
      <x:c r="B2230" t="str">
        <x:v>PED-102229</x:v>
      </x:c>
      <x:c r="C2230" t="str">
        <x:v>Cliente 119</x:v>
      </x:c>
      <x:c r="D2230" t="str">
        <x:v>SP</x:v>
      </x:c>
      <x:c r="E2230" t="str">
        <x:v>Sudeste</x:v>
      </x:c>
      <x:c r="F2230" t="str">
        <x:v>Loja</x:v>
      </x:c>
      <x:c r="G2230" t="str">
        <x:v>Escritório</x:v>
      </x:c>
      <x:c r="H2230" t="str">
        <x:v>Luminária LED</x:v>
      </x:c>
      <x:c r="I2230" t="str">
        <x:v>Elaine</x:v>
      </x:c>
      <x:c r="J2230" s="53" t="n">
        <x:v>2</x:v>
      </x:c>
      <x:c r="K2230" s="54" t="n">
        <x:v>264.65</x:v>
      </x:c>
      <x:c r="L2230" s="54" t="n">
        <x:v>115.7</x:v>
      </x:c>
      <x:c r="M2230" s="55" t="n">
        <x:v>0.048</x:v>
      </x:c>
      <x:c r="N2230" s="54" t="n">
        <x:f>ROUND(J2230*K2230,2)</x:f>
        <x:v>529.3</x:v>
      </x:c>
      <x:c r="O2230" s="54" t="n">
        <x:f>ROUND(N2230*(1-M2230),2)</x:f>
        <x:v>503.89</x:v>
      </x:c>
      <x:c r="P2230" s="54" t="n">
        <x:f>ROUND(J2230*L2230,2)</x:f>
        <x:v>231.4</x:v>
      </x:c>
      <x:c r="Q2230" s="54" t="n">
        <x:f>ROUND(O2230-P2230,2)</x:f>
        <x:v>272.49</x:v>
      </x:c>
      <x:c r="R2230" s="55" t="n">
        <x:f>IF(O2230=0,0,ROUND(Q2230/O2230,4))</x:f>
        <x:v>0.5408</x:v>
      </x:c>
      <x:c r="S2230" s="53" t="n">
        <x:v>5</x:v>
      </x:c>
      <x:c r="T2230" t="str">
        <x:v>Entregue</x:v>
      </x:c>
      <x:c r="U2230" t="n">
        <x:v>3</x:v>
      </x:c>
      <x:c r="V2230" t="str"/>
    </x:row>
    <x:row r="2231">
      <x:c r="A2231" s="52" t="n">
        <x:v>46150</x:v>
      </x:c>
      <x:c r="B2231" t="str">
        <x:v>PED-102230</x:v>
      </x:c>
      <x:c r="C2231" t="str">
        <x:v>Cliente 028</x:v>
      </x:c>
      <x:c r="D2231" t="str">
        <x:v>RS</x:v>
      </x:c>
      <x:c r="E2231" t="str">
        <x:v>Sul</x:v>
      </x:c>
      <x:c r="F2231" t="str">
        <x:v>Televendas</x:v>
      </x:c>
      <x:c r="G2231" t="str">
        <x:v>Tecnologia</x:v>
      </x:c>
      <x:c r="H2231" t="str">
        <x:v>Headset Office</x:v>
      </x:c>
      <x:c r="I2231" t="str">
        <x:v>Isabela</x:v>
      </x:c>
      <x:c r="J2231" s="53" t="n">
        <x:v>4</x:v>
      </x:c>
      <x:c r="K2231" s="54" t="n">
        <x:v>380.02</x:v>
      </x:c>
      <x:c r="L2231" s="54" t="n">
        <x:v>203.38</x:v>
      </x:c>
      <x:c r="M2231" s="55" t="n">
        <x:v>0.0599</x:v>
      </x:c>
      <x:c r="N2231" s="54" t="n">
        <x:f>ROUND(J2231*K2231,2)</x:f>
        <x:v>1520.08</x:v>
      </x:c>
      <x:c r="O2231" s="54" t="n">
        <x:f>ROUND(N2231*(1-M2231),2)</x:f>
        <x:v>1429.03</x:v>
      </x:c>
      <x:c r="P2231" s="54" t="n">
        <x:f>ROUND(J2231*L2231,2)</x:f>
        <x:v>813.52</x:v>
      </x:c>
      <x:c r="Q2231" s="54" t="n">
        <x:f>ROUND(O2231-P2231,2)</x:f>
        <x:v>615.51</x:v>
      </x:c>
      <x:c r="R2231" s="55" t="n">
        <x:f>IF(O2231=0,0,ROUND(Q2231/O2231,4))</x:f>
        <x:v>0.4307</x:v>
      </x:c>
      <x:c r="S2231" s="53" t="n">
        <x:v>10</x:v>
      </x:c>
      <x:c r="T2231" t="str">
        <x:v>Entregue</x:v>
      </x:c>
      <x:c r="U2231" t="n">
        <x:v>3</x:v>
      </x:c>
      <x:c r="V2231" t="str"/>
    </x:row>
    <x:row r="2232">
      <x:c r="A2232" s="52" t="n">
        <x:v>46131</x:v>
      </x:c>
      <x:c r="B2232" t="str">
        <x:v>PED-102231</x:v>
      </x:c>
      <x:c r="C2232" t="str">
        <x:v>Cliente 084</x:v>
      </x:c>
      <x:c r="D2232" t="str">
        <x:v>AM</x:v>
      </x:c>
      <x:c r="E2232" t="str">
        <x:v>Norte</x:v>
      </x:c>
      <x:c r="F2232" t="str">
        <x:v>E-commerce</x:v>
      </x:c>
      <x:c r="G2232" t="str">
        <x:v>Casa</x:v>
      </x:c>
      <x:c r="H2232" t="str">
        <x:v>Purificador</x:v>
      </x:c>
      <x:c r="I2232" t="str">
        <x:v>Bruno</x:v>
      </x:c>
      <x:c r="J2232" s="53" t="n">
        <x:v>2</x:v>
      </x:c>
      <x:c r="K2232" s="54" t="n">
        <x:v>1343.57</x:v>
      </x:c>
      <x:c r="L2232" s="54" t="n">
        <x:v>774.71</x:v>
      </x:c>
      <x:c r="M2232" s="55" t="n">
        <x:v>0.112</x:v>
      </x:c>
      <x:c r="N2232" s="54" t="n">
        <x:f>ROUND(J2232*K2232,2)</x:f>
        <x:v>2687.14</x:v>
      </x:c>
      <x:c r="O2232" s="54" t="n">
        <x:f>ROUND(N2232*(1-M2232),2)</x:f>
        <x:v>2386.18</x:v>
      </x:c>
      <x:c r="P2232" s="54" t="n">
        <x:f>ROUND(J2232*L2232,2)</x:f>
        <x:v>1549.42</x:v>
      </x:c>
      <x:c r="Q2232" s="54" t="n">
        <x:f>ROUND(O2232-P2232,2)</x:f>
        <x:v>836.76</x:v>
      </x:c>
      <x:c r="R2232" s="55" t="n">
        <x:f>IF(O2232=0,0,ROUND(Q2232/O2232,4))</x:f>
        <x:v>0.3507</x:v>
      </x:c>
      <x:c r="S2232" s="53" t="n">
        <x:v>12</x:v>
      </x:c>
      <x:c r="T2232" t="str">
        <x:v>Entregue com atraso</x:v>
      </x:c>
      <x:c r="U2232" t="n">
        <x:v>2</x:v>
      </x:c>
      <x:c r="V2232" t="str"/>
    </x:row>
    <x:row r="2233">
      <x:c r="A2233" s="52" t="n">
        <x:v>46215</x:v>
      </x:c>
      <x:c r="B2233" t="str">
        <x:v>PED-102232</x:v>
      </x:c>
      <x:c r="C2233" t="str">
        <x:v>Cliente 057</x:v>
      </x:c>
      <x:c r="D2233" t="str">
        <x:v>CE</x:v>
      </x:c>
      <x:c r="E2233" t="str">
        <x:v>Nordeste</x:v>
      </x:c>
      <x:c r="F2233" t="str">
        <x:v>Marketplace</x:v>
      </x:c>
      <x:c r="G2233" t="str">
        <x:v>Escritório</x:v>
      </x:c>
      <x:c r="H2233" t="str">
        <x:v>Mesa Ajustável</x:v>
      </x:c>
      <x:c r="I2233" t="str">
        <x:v>Henrique</x:v>
      </x:c>
      <x:c r="J2233" s="53" t="n">
        <x:v>1</x:v>
      </x:c>
      <x:c r="K2233" s="54" t="n">
        <x:v>2735.11</x:v>
      </x:c>
      <x:c r="L2233" s="54" t="n">
        <x:v>1890.03</x:v>
      </x:c>
      <x:c r="M2233" s="55" t="n">
        <x:v>0.1001</x:v>
      </x:c>
      <x:c r="N2233" s="54" t="n">
        <x:f>ROUND(J2233*K2233,2)</x:f>
        <x:v>2735.11</x:v>
      </x:c>
      <x:c r="O2233" s="54" t="n">
        <x:f>ROUND(N2233*(1-M2233),2)</x:f>
        <x:v>2461.33</x:v>
      </x:c>
      <x:c r="P2233" s="54" t="n">
        <x:f>ROUND(J2233*L2233,2)</x:f>
        <x:v>1890.03</x:v>
      </x:c>
      <x:c r="Q2233" s="54" t="n">
        <x:f>ROUND(O2233-P2233,2)</x:f>
        <x:v>571.3</x:v>
      </x:c>
      <x:c r="R2233" s="55" t="n">
        <x:f>IF(O2233=0,0,ROUND(Q2233/O2233,4))</x:f>
        <x:v>0.2321</x:v>
      </x:c>
      <x:c r="S2233" s="53" t="n">
        <x:v>7</x:v>
      </x:c>
      <x:c r="T2233" t="str">
        <x:v>Entregue</x:v>
      </x:c>
      <x:c r="U2233" t="n">
        <x:v>5</x:v>
      </x:c>
      <x:c r="V2233" t="str"/>
    </x:row>
    <x:row r="2234">
      <x:c r="A2234" s="52" t="n">
        <x:v>46183</x:v>
      </x:c>
      <x:c r="B2234" t="str">
        <x:v>PED-102233</x:v>
      </x:c>
      <x:c r="C2234" t="str">
        <x:v>Cliente 052</x:v>
      </x:c>
      <x:c r="D2234" t="str">
        <x:v>CE</x:v>
      </x:c>
      <x:c r="E2234" t="str">
        <x:v>Nordeste</x:v>
      </x:c>
      <x:c r="F2234" t="str">
        <x:v>Loja</x:v>
      </x:c>
      <x:c r="G2234" t="str">
        <x:v>Acessórios</x:v>
      </x:c>
      <x:c r="H2234" t="str">
        <x:v>Hub USB-C</x:v>
      </x:c>
      <x:c r="I2234" t="str">
        <x:v>Diego</x:v>
      </x:c>
      <x:c r="J2234" s="53" t="n">
        <x:v>7</x:v>
      </x:c>
      <x:c r="K2234" s="54" t="n">
        <x:v>306.55</x:v>
      </x:c>
      <x:c r="L2234" s="54" t="n">
        <x:v>144.94</x:v>
      </x:c>
      <x:c r="M2234" s="55" t="n">
        <x:v>0.0566</x:v>
      </x:c>
      <x:c r="N2234" s="54" t="n">
        <x:f>ROUND(J2234*K2234,2)</x:f>
        <x:v>2145.85</x:v>
      </x:c>
      <x:c r="O2234" s="54" t="n">
        <x:f>ROUND(N2234*(1-M2234),2)</x:f>
        <x:v>2024.39</x:v>
      </x:c>
      <x:c r="P2234" s="54" t="n">
        <x:f>ROUND(J2234*L2234,2)</x:f>
        <x:v>1014.58</x:v>
      </x:c>
      <x:c r="Q2234" s="54" t="n">
        <x:f>ROUND(O2234-P2234,2)</x:f>
        <x:v>1009.81</x:v>
      </x:c>
      <x:c r="R2234" s="55" t="n">
        <x:f>IF(O2234=0,0,ROUND(Q2234/O2234,4))</x:f>
        <x:v>0.4988</x:v>
      </x:c>
      <x:c r="S2234" s="53" t="n">
        <x:v>7</x:v>
      </x:c>
      <x:c r="T2234" t="str">
        <x:v>Entregue</x:v>
      </x:c>
      <x:c r="U2234" t="n">
        <x:v>3</x:v>
      </x:c>
      <x:c r="V2234" t="str"/>
    </x:row>
    <x:row r="2235">
      <x:c r="A2235" s="52" t="n">
        <x:v>46025</x:v>
      </x:c>
      <x:c r="B2235" t="str">
        <x:v>PED-102234</x:v>
      </x:c>
      <x:c r="C2235" t="str">
        <x:v>Cliente 067</x:v>
      </x:c>
      <x:c r="D2235" t="str">
        <x:v>MT</x:v>
      </x:c>
      <x:c r="E2235" t="str">
        <x:v>Centro-Oeste</x:v>
      </x:c>
      <x:c r="F2235" t="str">
        <x:v>Loja</x:v>
      </x:c>
      <x:c r="G2235" t="str">
        <x:v>Tecnologia</x:v>
      </x:c>
      <x:c r="H2235" t="str">
        <x:v>Headset Office</x:v>
      </x:c>
      <x:c r="I2235" t="str">
        <x:v>Isabela</x:v>
      </x:c>
      <x:c r="J2235" s="53" t="n">
        <x:v>6</x:v>
      </x:c>
      <x:c r="K2235" s="54" t="n">
        <x:v>396.27</x:v>
      </x:c>
      <x:c r="L2235" s="54" t="n">
        <x:v>203.41</x:v>
      </x:c>
      <x:c r="M2235" s="55" t="n">
        <x:v>0</x:v>
      </x:c>
      <x:c r="N2235" s="54" t="n">
        <x:f>ROUND(J2235*K2235,2)</x:f>
        <x:v>2377.62</x:v>
      </x:c>
      <x:c r="O2235" s="54" t="n">
        <x:f>ROUND(N2235*(1-M2235),2)</x:f>
        <x:v>2377.62</x:v>
      </x:c>
      <x:c r="P2235" s="54" t="n">
        <x:f>ROUND(J2235*L2235,2)</x:f>
        <x:v>1220.46</x:v>
      </x:c>
      <x:c r="Q2235" s="54" t="n">
        <x:f>ROUND(O2235-P2235,2)</x:f>
        <x:v>1157.16</x:v>
      </x:c>
      <x:c r="R2235" s="55" t="n">
        <x:f>IF(O2235=0,0,ROUND(Q2235/O2235,4))</x:f>
        <x:v>0.4867</x:v>
      </x:c>
      <x:c r="S2235" s="53" t="n">
        <x:v>14</x:v>
      </x:c>
      <x:c r="T2235" t="str">
        <x:v>Entregue com atraso</x:v>
      </x:c>
      <x:c r="U2235" t="n">
        <x:v>3</x:v>
      </x:c>
      <x:c r="V2235" t="str"/>
    </x:row>
    <x:row r="2236">
      <x:c r="A2236" s="52" t="n">
        <x:v>46029</x:v>
      </x:c>
      <x:c r="B2236" t="str">
        <x:v>PED-102235</x:v>
      </x:c>
      <x:c r="C2236" t="str">
        <x:v>Cliente 083</x:v>
      </x:c>
      <x:c r="D2236" t="str">
        <x:v>DF</x:v>
      </x:c>
      <x:c r="E2236" t="str">
        <x:v>Centro-Oeste</x:v>
      </x:c>
      <x:c r="F2236" t="str">
        <x:v>Loja</x:v>
      </x:c>
      <x:c r="G2236" t="str">
        <x:v>Acessórios</x:v>
      </x:c>
      <x:c r="H2236" t="str">
        <x:v>Mochila Executiva</x:v>
      </x:c>
      <x:c r="I2236" t="str">
        <x:v>Isabela</x:v>
      </x:c>
      <x:c r="J2236" s="53" t="n">
        <x:v>5</x:v>
      </x:c>
      <x:c r="K2236" s="54" t="n">
        <x:v>407.54</x:v>
      </x:c>
      <x:c r="L2236" s="54" t="n">
        <x:v>186.99</x:v>
      </x:c>
      <x:c r="M2236" s="55" t="n">
        <x:v>0</x:v>
      </x:c>
      <x:c r="N2236" s="54" t="n">
        <x:f>ROUND(J2236*K2236,2)</x:f>
        <x:v>2037.7</x:v>
      </x:c>
      <x:c r="O2236" s="54" t="n">
        <x:f>ROUND(N2236*(1-M2236),2)</x:f>
        <x:v>2037.7</x:v>
      </x:c>
      <x:c r="P2236" s="54" t="n">
        <x:f>ROUND(J2236*L2236,2)</x:f>
        <x:v>934.95</x:v>
      </x:c>
      <x:c r="Q2236" s="54" t="n">
        <x:f>ROUND(O2236-P2236,2)</x:f>
        <x:v>1102.75</x:v>
      </x:c>
      <x:c r="R2236" s="55" t="n">
        <x:f>IF(O2236=0,0,ROUND(Q2236/O2236,4))</x:f>
        <x:v>0.5412</x:v>
      </x:c>
      <x:c r="S2236" s="53" t="n">
        <x:v>12</x:v>
      </x:c>
      <x:c r="T2236" t="str">
        <x:v>Entregue com atraso</x:v>
      </x:c>
      <x:c r="U2236" t="n">
        <x:v>2</x:v>
      </x:c>
      <x:c r="V2236" t="str"/>
    </x:row>
    <x:row r="2237">
      <x:c r="A2237" s="52" t="n">
        <x:v>46180</x:v>
      </x:c>
      <x:c r="B2237" t="str">
        <x:v>PED-102236</x:v>
      </x:c>
      <x:c r="C2237" t="str">
        <x:v>Cliente 010</x:v>
      </x:c>
      <x:c r="D2237" t="str">
        <x:v>MA</x:v>
      </x:c>
      <x:c r="E2237" t="str">
        <x:v>Nordeste</x:v>
      </x:c>
      <x:c r="F2237" t="str">
        <x:v>Marketplace</x:v>
      </x:c>
      <x:c r="G2237" t="str">
        <x:v>Acessórios</x:v>
      </x:c>
      <x:c r="H2237" t="str">
        <x:v>Mochila Executiva</x:v>
      </x:c>
      <x:c r="I2237" t="str">
        <x:v>Carla</x:v>
      </x:c>
      <x:c r="J2237" s="53" t="n">
        <x:v>6</x:v>
      </x:c>
      <x:c r="K2237" s="54" t="n">
        <x:v>423.14</x:v>
      </x:c>
      <x:c r="L2237" s="54" t="n">
        <x:v>196.04</x:v>
      </x:c>
      <x:c r="M2237" s="55" t="n">
        <x:v>0.035</x:v>
      </x:c>
      <x:c r="N2237" s="54" t="n">
        <x:f>ROUND(J2237*K2237,2)</x:f>
        <x:v>2538.84</x:v>
      </x:c>
      <x:c r="O2237" s="54" t="n">
        <x:f>ROUND(N2237*(1-M2237),2)</x:f>
        <x:v>2449.98</x:v>
      </x:c>
      <x:c r="P2237" s="54" t="n">
        <x:f>ROUND(J2237*L2237,2)</x:f>
        <x:v>1176.24</x:v>
      </x:c>
      <x:c r="Q2237" s="54" t="n">
        <x:f>ROUND(O2237-P2237,2)</x:f>
        <x:v>1273.74</x:v>
      </x:c>
      <x:c r="R2237" s="55" t="n">
        <x:f>IF(O2237=0,0,ROUND(Q2237/O2237,4))</x:f>
        <x:v>0.5199</x:v>
      </x:c>
      <x:c r="S2237" s="53" t="n">
        <x:v>5</x:v>
      </x:c>
      <x:c r="T2237" t="str">
        <x:v>Entregue</x:v>
      </x:c>
      <x:c r="U2237" t="n">
        <x:v>2</x:v>
      </x:c>
      <x:c r="V2237" t="str"/>
    </x:row>
    <x:row r="2238">
      <x:c r="A2238" s="52" t="n">
        <x:v>46197</x:v>
      </x:c>
      <x:c r="B2238" t="str">
        <x:v>PED-102237</x:v>
      </x:c>
      <x:c r="C2238" t="str">
        <x:v>Cliente 101</x:v>
      </x:c>
      <x:c r="D2238" t="str">
        <x:v>ES</x:v>
      </x:c>
      <x:c r="E2238" t="str">
        <x:v>Sudeste</x:v>
      </x:c>
      <x:c r="F2238" t="str">
        <x:v>Televendas</x:v>
      </x:c>
      <x:c r="G2238" t="str">
        <x:v>Acessórios</x:v>
      </x:c>
      <x:c r="H2238" t="str">
        <x:v>Webcam HD</x:v>
      </x:c>
      <x:c r="I2238" t="str">
        <x:v>Carla</x:v>
      </x:c>
      <x:c r="J2238" s="53" t="n">
        <x:v>7</x:v>
      </x:c>
      <x:c r="K2238" s="54" t="n">
        <x:v>493.01</x:v>
      </x:c>
      <x:c r="L2238" s="54" t="n">
        <x:v>236.55</x:v>
      </x:c>
      <x:c r="M2238" s="55" t="n">
        <x:v>0.0268</x:v>
      </x:c>
      <x:c r="N2238" s="54" t="n">
        <x:f>ROUND(J2238*K2238,2)</x:f>
        <x:v>3451.07</x:v>
      </x:c>
      <x:c r="O2238" s="54" t="n">
        <x:f>ROUND(N2238*(1-M2238),2)</x:f>
        <x:v>3358.58</x:v>
      </x:c>
      <x:c r="P2238" s="54" t="n">
        <x:f>ROUND(J2238*L2238,2)</x:f>
        <x:v>1655.85</x:v>
      </x:c>
      <x:c r="Q2238" s="54" t="n">
        <x:f>ROUND(O2238-P2238,2)</x:f>
        <x:v>1702.73</x:v>
      </x:c>
      <x:c r="R2238" s="55" t="n">
        <x:f>IF(O2238=0,0,ROUND(Q2238/O2238,4))</x:f>
        <x:v>0.507</x:v>
      </x:c>
      <x:c r="S2238" s="53" t="n">
        <x:v>3</x:v>
      </x:c>
      <x:c r="T2238" t="str">
        <x:v>Entregue</x:v>
      </x:c>
      <x:c r="U2238" t="n">
        <x:v>3</x:v>
      </x:c>
      <x:c r="V2238" t="str"/>
    </x:row>
    <x:row r="2239">
      <x:c r="A2239" s="52" t="n">
        <x:v>46133</x:v>
      </x:c>
      <x:c r="B2239" t="str">
        <x:v>PED-102238</x:v>
      </x:c>
      <x:c r="C2239" t="str">
        <x:v>Cliente 036</x:v>
      </x:c>
      <x:c r="D2239" t="str">
        <x:v>RS</x:v>
      </x:c>
      <x:c r="E2239" t="str">
        <x:v>Sul</x:v>
      </x:c>
      <x:c r="F2239" t="str">
        <x:v>Televendas</x:v>
      </x:c>
      <x:c r="G2239" t="str">
        <x:v>Tecnologia</x:v>
      </x:c>
      <x:c r="H2239" t="str">
        <x:v>Notebook Pro</x:v>
      </x:c>
      <x:c r="I2239" t="str">
        <x:v>Diego</x:v>
      </x:c>
      <x:c r="J2239" s="53" t="n">
        <x:v>7</x:v>
      </x:c>
      <x:c r="K2239" s="54" t="n">
        <x:v>5601.06</x:v>
      </x:c>
      <x:c r="L2239" s="54" t="n">
        <x:v>4476.63</x:v>
      </x:c>
      <x:c r="M2239" s="55" t="n">
        <x:v>0.0326</x:v>
      </x:c>
      <x:c r="N2239" s="54" t="n">
        <x:f>ROUND(J2239*K2239,2)</x:f>
        <x:v>39207.42</x:v>
      </x:c>
      <x:c r="O2239" s="54" t="n">
        <x:f>ROUND(N2239*(1-M2239),2)</x:f>
        <x:v>37929.26</x:v>
      </x:c>
      <x:c r="P2239" s="54" t="n">
        <x:f>ROUND(J2239*L2239,2)</x:f>
        <x:v>31336.41</x:v>
      </x:c>
      <x:c r="Q2239" s="54" t="n">
        <x:f>ROUND(O2239-P2239,2)</x:f>
        <x:v>6592.85</x:v>
      </x:c>
      <x:c r="R2239" s="55" t="n">
        <x:f>IF(O2239=0,0,ROUND(Q2239/O2239,4))</x:f>
        <x:v>0.1738</x:v>
      </x:c>
      <x:c r="S2239" s="53" t="n">
        <x:v>11</x:v>
      </x:c>
      <x:c r="T2239" t="str">
        <x:v>Entregue com atraso</x:v>
      </x:c>
      <x:c r="U2239" t="n">
        <x:v>5</x:v>
      </x:c>
      <x:c r="V2239" t="str"/>
    </x:row>
    <x:row r="2240">
      <x:c r="A2240" s="52" t="n">
        <x:v>46222</x:v>
      </x:c>
      <x:c r="B2240" t="str">
        <x:v>PED-102239</x:v>
      </x:c>
      <x:c r="C2240" t="str">
        <x:v>Cliente 010</x:v>
      </x:c>
      <x:c r="D2240" t="str">
        <x:v>MT</x:v>
      </x:c>
      <x:c r="E2240" t="str">
        <x:v>Centro-Oeste</x:v>
      </x:c>
      <x:c r="F2240" t="str">
        <x:v>Marketplace</x:v>
      </x:c>
      <x:c r="G2240" t="str">
        <x:v>Acessórios</x:v>
      </x:c>
      <x:c r="H2240" t="str">
        <x:v>Mochila Executiva</x:v>
      </x:c>
      <x:c r="I2240" t="str">
        <x:v>Ana</x:v>
      </x:c>
      <x:c r="J2240" s="53" t="n">
        <x:v>1</x:v>
      </x:c>
      <x:c r="K2240" s="54" t="n">
        <x:v>414.36</x:v>
      </x:c>
      <x:c r="L2240" s="54" t="n">
        <x:v>184.12</x:v>
      </x:c>
      <x:c r="M2240" s="55" t="n">
        <x:v>0.159</x:v>
      </x:c>
      <x:c r="N2240" s="54" t="n">
        <x:f>ROUND(J2240*K2240,2)</x:f>
        <x:v>414.36</x:v>
      </x:c>
      <x:c r="O2240" s="54" t="n">
        <x:f>ROUND(N2240*(1-M2240),2)</x:f>
        <x:v>348.48</x:v>
      </x:c>
      <x:c r="P2240" s="54" t="n">
        <x:f>ROUND(J2240*L2240,2)</x:f>
        <x:v>184.12</x:v>
      </x:c>
      <x:c r="Q2240" s="54" t="n">
        <x:f>ROUND(O2240-P2240,2)</x:f>
        <x:v>164.36</x:v>
      </x:c>
      <x:c r="R2240" s="55" t="n">
        <x:f>IF(O2240=0,0,ROUND(Q2240/O2240,4))</x:f>
        <x:v>0.4716</x:v>
      </x:c>
      <x:c r="S2240" s="53" t="n">
        <x:v>11</x:v>
      </x:c>
      <x:c r="T2240" t="str">
        <x:v>Entregue com atraso</x:v>
      </x:c>
      <x:c r="U2240" t="n">
        <x:v>4</x:v>
      </x:c>
      <x:c r="V2240" t="str"/>
    </x:row>
    <x:row r="2241">
      <x:c r="A2241" s="52" t="n">
        <x:v>46078</x:v>
      </x:c>
      <x:c r="B2241" t="str">
        <x:v>PED-102240</x:v>
      </x:c>
      <x:c r="C2241" t="str">
        <x:v>Cliente 113</x:v>
      </x:c>
      <x:c r="D2241" t="str">
        <x:v>DF</x:v>
      </x:c>
      <x:c r="E2241" t="str">
        <x:v>Centro-Oeste</x:v>
      </x:c>
      <x:c r="F2241" t="str">
        <x:v>Televendas</x:v>
      </x:c>
      <x:c r="G2241" t="str">
        <x:v>Acessórios</x:v>
      </x:c>
      <x:c r="H2241" t="str">
        <x:v>Hub USB-C</x:v>
      </x:c>
      <x:c r="I2241" t="str">
        <x:v>Felipe</x:v>
      </x:c>
      <x:c r="J2241" s="53" t="n">
        <x:v>4</x:v>
      </x:c>
      <x:c r="K2241" s="54" t="n">
        <x:v>303.53</x:v>
      </x:c>
      <x:c r="L2241" s="54" t="n">
        <x:v>141.53</x:v>
      </x:c>
      <x:c r="M2241" s="55" t="n">
        <x:v>0.0644</x:v>
      </x:c>
      <x:c r="N2241" s="54" t="n">
        <x:f>ROUND(J2241*K2241,2)</x:f>
        <x:v>1214.12</x:v>
      </x:c>
      <x:c r="O2241" s="54" t="n">
        <x:f>ROUND(N2241*(1-M2241),2)</x:f>
        <x:v>1135.93</x:v>
      </x:c>
      <x:c r="P2241" s="54" t="n">
        <x:f>ROUND(J2241*L2241,2)</x:f>
        <x:v>566.12</x:v>
      </x:c>
      <x:c r="Q2241" s="54" t="n">
        <x:f>ROUND(O2241-P2241,2)</x:f>
        <x:v>569.81</x:v>
      </x:c>
      <x:c r="R2241" s="55" t="n">
        <x:f>IF(O2241=0,0,ROUND(Q2241/O2241,4))</x:f>
        <x:v>0.5016</x:v>
      </x:c>
      <x:c r="S2241" s="53" t="n">
        <x:v>2</x:v>
      </x:c>
      <x:c r="T2241" t="str">
        <x:v>Entregue</x:v>
      </x:c>
      <x:c r="U2241" t="n">
        <x:v>2</x:v>
      </x:c>
      <x:c r="V2241" t="str"/>
    </x:row>
    <x:row r="2242">
      <x:c r="A2242" s="52" t="n">
        <x:v>46169</x:v>
      </x:c>
      <x:c r="B2242" t="str">
        <x:v>PED-102241</x:v>
      </x:c>
      <x:c r="C2242" t="str">
        <x:v>Cliente 081</x:v>
      </x:c>
      <x:c r="D2242" t="str">
        <x:v>SP</x:v>
      </x:c>
      <x:c r="E2242" t="str">
        <x:v>Sudeste</x:v>
      </x:c>
      <x:c r="F2242" t="str">
        <x:v>Televendas</x:v>
      </x:c>
      <x:c r="G2242" t="str">
        <x:v>Acessórios</x:v>
      </x:c>
      <x:c r="H2242" t="str">
        <x:v>Hub USB-C</x:v>
      </x:c>
      <x:c r="I2242" t="str">
        <x:v>Ana</x:v>
      </x:c>
      <x:c r="J2242" s="53" t="n">
        <x:v>1</x:v>
      </x:c>
      <x:c r="K2242" s="54" t="n">
        <x:v>306.85</x:v>
      </x:c>
      <x:c r="L2242" s="54" t="n">
        <x:v>133.27</x:v>
      </x:c>
      <x:c r="M2242" s="55" t="n">
        <x:v>0.0766</x:v>
      </x:c>
      <x:c r="N2242" s="54" t="n">
        <x:f>ROUND(J2242*K2242,2)</x:f>
        <x:v>306.85</x:v>
      </x:c>
      <x:c r="O2242" s="54" t="n">
        <x:f>ROUND(N2242*(1-M2242),2)</x:f>
        <x:v>283.35</x:v>
      </x:c>
      <x:c r="P2242" s="54" t="n">
        <x:f>ROUND(J2242*L2242,2)</x:f>
        <x:v>133.27</x:v>
      </x:c>
      <x:c r="Q2242" s="54" t="n">
        <x:f>ROUND(O2242-P2242,2)</x:f>
        <x:v>150.08</x:v>
      </x:c>
      <x:c r="R2242" s="55" t="n">
        <x:f>IF(O2242=0,0,ROUND(Q2242/O2242,4))</x:f>
        <x:v>0.5297</x:v>
      </x:c>
      <x:c r="S2242" s="53" t="n">
        <x:v>14</x:v>
      </x:c>
      <x:c r="T2242" t="str">
        <x:v>Entregue com atraso</x:v>
      </x:c>
      <x:c r="U2242" t="n">
        <x:v>3</x:v>
      </x:c>
      <x:c r="V2242" t="str"/>
    </x:row>
    <x:row r="2243">
      <x:c r="A2243" s="52" t="n">
        <x:v>46143</x:v>
      </x:c>
      <x:c r="B2243" t="str">
        <x:v>PED-102242</x:v>
      </x:c>
      <x:c r="C2243" t="str">
        <x:v>Cliente 046</x:v>
      </x:c>
      <x:c r="D2243" t="str">
        <x:v>GO</x:v>
      </x:c>
      <x:c r="E2243" t="str">
        <x:v>Centro-Oeste</x:v>
      </x:c>
      <x:c r="F2243" t="str">
        <x:v>Loja</x:v>
      </x:c>
      <x:c r="G2243" t="str">
        <x:v>Acessórios</x:v>
      </x:c>
      <x:c r="H2243" t="str">
        <x:v>Hub USB-C</x:v>
      </x:c>
      <x:c r="I2243" t="str">
        <x:v>Ana</x:v>
      </x:c>
      <x:c r="J2243" s="53" t="n">
        <x:v>2</x:v>
      </x:c>
      <x:c r="K2243" s="54" t="n">
        <x:v>322.17</x:v>
      </x:c>
      <x:c r="L2243" s="54" t="n">
        <x:v>132.75</x:v>
      </x:c>
      <x:c r="M2243" s="55" t="n">
        <x:v>0.0894</x:v>
      </x:c>
      <x:c r="N2243" s="54" t="n">
        <x:f>ROUND(J2243*K2243,2)</x:f>
        <x:v>644.34</x:v>
      </x:c>
      <x:c r="O2243" s="54" t="n">
        <x:f>ROUND(N2243*(1-M2243),2)</x:f>
        <x:v>586.74</x:v>
      </x:c>
      <x:c r="P2243" s="54" t="n">
        <x:f>ROUND(J2243*L2243,2)</x:f>
        <x:v>265.5</x:v>
      </x:c>
      <x:c r="Q2243" s="54" t="n">
        <x:f>ROUND(O2243-P2243,2)</x:f>
        <x:v>321.24</x:v>
      </x:c>
      <x:c r="R2243" s="55" t="n">
        <x:f>IF(O2243=0,0,ROUND(Q2243/O2243,4))</x:f>
        <x:v>0.5475</x:v>
      </x:c>
      <x:c r="S2243" s="53" t="n">
        <x:v>11</x:v>
      </x:c>
      <x:c r="T2243" t="str">
        <x:v>Entregue com atraso</x:v>
      </x:c>
      <x:c r="U2243" t="n">
        <x:v>3</x:v>
      </x:c>
      <x:c r="V2243" t="str"/>
    </x:row>
    <x:row r="2244">
      <x:c r="A2244" s="52" t="n">
        <x:v>46031</x:v>
      </x:c>
      <x:c r="B2244" t="str">
        <x:v>PED-102243</x:v>
      </x:c>
      <x:c r="C2244" t="str">
        <x:v>Cliente 106</x:v>
      </x:c>
      <x:c r="D2244" t="str">
        <x:v>MT</x:v>
      </x:c>
      <x:c r="E2244" t="str">
        <x:v>Centro-Oeste</x:v>
      </x:c>
      <x:c r="F2244" t="str">
        <x:v>Marketplace</x:v>
      </x:c>
      <x:c r="G2244" t="str">
        <x:v>Acessórios</x:v>
      </x:c>
      <x:c r="H2244" t="str">
        <x:v>Hub USB-C</x:v>
      </x:c>
      <x:c r="I2244" t="str">
        <x:v>Ana</x:v>
      </x:c>
      <x:c r="J2244" s="53" t="n">
        <x:v>7</x:v>
      </x:c>
      <x:c r="K2244" s="54" t="n">
        <x:v>310.03</x:v>
      </x:c>
      <x:c r="L2244" s="54" t="n">
        <x:v>140.54</x:v>
      </x:c>
      <x:c r="M2244" s="55" t="n">
        <x:v>0.0624</x:v>
      </x:c>
      <x:c r="N2244" s="54" t="n">
        <x:f>ROUND(J2244*K2244,2)</x:f>
        <x:v>2170.21</x:v>
      </x:c>
      <x:c r="O2244" s="54" t="n">
        <x:f>ROUND(N2244*(1-M2244),2)</x:f>
        <x:v>2034.79</x:v>
      </x:c>
      <x:c r="P2244" s="54" t="n">
        <x:f>ROUND(J2244*L2244,2)</x:f>
        <x:v>983.78</x:v>
      </x:c>
      <x:c r="Q2244" s="54" t="n">
        <x:f>ROUND(O2244-P2244,2)</x:f>
        <x:v>1051.01</x:v>
      </x:c>
      <x:c r="R2244" s="55" t="n">
        <x:f>IF(O2244=0,0,ROUND(Q2244/O2244,4))</x:f>
        <x:v>0.5165</x:v>
      </x:c>
      <x:c r="S2244" s="53" t="n">
        <x:v>8</x:v>
      </x:c>
      <x:c r="T2244" t="str">
        <x:v>Entregue</x:v>
      </x:c>
      <x:c r="U2244" t="n">
        <x:v>3</x:v>
      </x:c>
      <x:c r="V2244" t="str"/>
    </x:row>
    <x:row r="2245">
      <x:c r="A2245" s="52" t="n">
        <x:v>46086</x:v>
      </x:c>
      <x:c r="B2245" t="str">
        <x:v>PED-102244</x:v>
      </x:c>
      <x:c r="C2245" t="str">
        <x:v>Cliente 117</x:v>
      </x:c>
      <x:c r="D2245" t="str">
        <x:v>PE</x:v>
      </x:c>
      <x:c r="E2245" t="str">
        <x:v>Nordeste</x:v>
      </x:c>
      <x:c r="F2245" t="str">
        <x:v>Loja</x:v>
      </x:c>
      <x:c r="G2245" t="str">
        <x:v>Tecnologia</x:v>
      </x:c>
      <x:c r="H2245" t="str">
        <x:v>Headset Office</x:v>
      </x:c>
      <x:c r="I2245" t="str">
        <x:v>Carla</x:v>
      </x:c>
      <x:c r="J2245" s="53" t="n">
        <x:v>6</x:v>
      </x:c>
      <x:c r="K2245" s="54" t="n">
        <x:v>409.14</x:v>
      </x:c>
      <x:c r="L2245" s="54" t="n">
        <x:v>209.26</x:v>
      </x:c>
      <x:c r="M2245" s="55" t="n">
        <x:v>0</x:v>
      </x:c>
      <x:c r="N2245" s="54" t="n">
        <x:f>ROUND(J2245*K2245,2)</x:f>
        <x:v>2454.84</x:v>
      </x:c>
      <x:c r="O2245" s="54" t="n">
        <x:f>ROUND(N2245*(1-M2245),2)</x:f>
        <x:v>2454.84</x:v>
      </x:c>
      <x:c r="P2245" s="54" t="n">
        <x:f>ROUND(J2245*L2245,2)</x:f>
        <x:v>1255.56</x:v>
      </x:c>
      <x:c r="Q2245" s="54" t="n">
        <x:f>ROUND(O2245-P2245,2)</x:f>
        <x:v>1199.28</x:v>
      </x:c>
      <x:c r="R2245" s="55" t="n">
        <x:f>IF(O2245=0,0,ROUND(Q2245/O2245,4))</x:f>
        <x:v>0.4885</x:v>
      </x:c>
      <x:c r="S2245" s="53" t="n">
        <x:v>5</x:v>
      </x:c>
      <x:c r="T2245" t="str">
        <x:v>Entregue</x:v>
      </x:c>
      <x:c r="U2245" t="n">
        <x:v>5</x:v>
      </x:c>
      <x:c r="V2245" t="str"/>
    </x:row>
    <x:row r="2246">
      <x:c r="A2246" s="52" t="n">
        <x:v>46098</x:v>
      </x:c>
      <x:c r="B2246" t="str">
        <x:v>PED-102245</x:v>
      </x:c>
      <x:c r="C2246" t="str">
        <x:v>Cliente 023</x:v>
      </x:c>
      <x:c r="D2246" t="str">
        <x:v>MG</x:v>
      </x:c>
      <x:c r="E2246" t="str">
        <x:v>Sudeste</x:v>
      </x:c>
      <x:c r="F2246" t="str">
        <x:v>E-commerce</x:v>
      </x:c>
      <x:c r="G2246" t="str">
        <x:v>Casa</x:v>
      </x:c>
      <x:c r="H2246" t="str">
        <x:v>Cafeteira Smart</x:v>
      </x:c>
      <x:c r="I2246" t="str">
        <x:v>Isabela</x:v>
      </x:c>
      <x:c r="J2246" s="53" t="n">
        <x:v>3</x:v>
      </x:c>
      <x:c r="K2246" s="54" t="n">
        <x:v>787.38</x:v>
      </x:c>
      <x:c r="L2246" s="54" t="n">
        <x:v>437.09</x:v>
      </x:c>
      <x:c r="M2246" s="55" t="n">
        <x:v>0.0384</x:v>
      </x:c>
      <x:c r="N2246" s="54" t="n">
        <x:f>ROUND(J2246*K2246,2)</x:f>
        <x:v>2362.14</x:v>
      </x:c>
      <x:c r="O2246" s="54" t="n">
        <x:f>ROUND(N2246*(1-M2246),2)</x:f>
        <x:v>2271.43</x:v>
      </x:c>
      <x:c r="P2246" s="54" t="n">
        <x:f>ROUND(J2246*L2246,2)</x:f>
        <x:v>1311.27</x:v>
      </x:c>
      <x:c r="Q2246" s="54" t="n">
        <x:f>ROUND(O2246-P2246,2)</x:f>
        <x:v>960.16</x:v>
      </x:c>
      <x:c r="R2246" s="55" t="n">
        <x:f>IF(O2246=0,0,ROUND(Q2246/O2246,4))</x:f>
        <x:v>0.4227</x:v>
      </x:c>
      <x:c r="S2246" s="53" t="n">
        <x:v>6</x:v>
      </x:c>
      <x:c r="T2246" t="str">
        <x:v>Entregue</x:v>
      </x:c>
      <x:c r="U2246" t="n">
        <x:v>2</x:v>
      </x:c>
      <x:c r="V2246" t="str"/>
    </x:row>
    <x:row r="2247">
      <x:c r="A2247" s="52" t="n">
        <x:v>46037</x:v>
      </x:c>
      <x:c r="B2247" t="str">
        <x:v>PED-102246</x:v>
      </x:c>
      <x:c r="C2247" t="str">
        <x:v>Cliente 065</x:v>
      </x:c>
      <x:c r="D2247" t="str">
        <x:v>PE</x:v>
      </x:c>
      <x:c r="E2247" t="str">
        <x:v>Nordeste</x:v>
      </x:c>
      <x:c r="F2247" t="str">
        <x:v>Televendas</x:v>
      </x:c>
      <x:c r="G2247" t="str">
        <x:v>Acessórios</x:v>
      </x:c>
      <x:c r="H2247" t="str">
        <x:v>Hub USB-C</x:v>
      </x:c>
      <x:c r="I2247" t="str">
        <x:v>Carla</x:v>
      </x:c>
      <x:c r="J2247" s="53" t="n">
        <x:v>3</x:v>
      </x:c>
      <x:c r="K2247" s="54" t="n">
        <x:v>313.8</x:v>
      </x:c>
      <x:c r="L2247" s="54" t="n">
        <x:v>145.54</x:v>
      </x:c>
      <x:c r="M2247" s="55" t="n">
        <x:v>0.1101</x:v>
      </x:c>
      <x:c r="N2247" s="54" t="n">
        <x:f>ROUND(J2247*K2247,2)</x:f>
        <x:v>941.4</x:v>
      </x:c>
      <x:c r="O2247" s="54" t="n">
        <x:f>ROUND(N2247*(1-M2247),2)</x:f>
        <x:v>837.75</x:v>
      </x:c>
      <x:c r="P2247" s="54" t="n">
        <x:f>ROUND(J2247*L2247,2)</x:f>
        <x:v>436.62</x:v>
      </x:c>
      <x:c r="Q2247" s="54" t="n">
        <x:f>ROUND(O2247-P2247,2)</x:f>
        <x:v>401.13</x:v>
      </x:c>
      <x:c r="R2247" s="55" t="n">
        <x:f>IF(O2247=0,0,ROUND(Q2247/O2247,4))</x:f>
        <x:v>0.4788</x:v>
      </x:c>
      <x:c r="S2247" s="53" t="n">
        <x:v>12</x:v>
      </x:c>
      <x:c r="T2247" t="str">
        <x:v>Entregue com atraso</x:v>
      </x:c>
      <x:c r="U2247" t="n">
        <x:v>2</x:v>
      </x:c>
      <x:c r="V2247" t="str"/>
    </x:row>
    <x:row r="2248">
      <x:c r="A2248" s="52" t="n">
        <x:v>46110</x:v>
      </x:c>
      <x:c r="B2248" t="str">
        <x:v>PED-102247</x:v>
      </x:c>
      <x:c r="C2248" t="str">
        <x:v>Cliente 020</x:v>
      </x:c>
      <x:c r="D2248" t="str">
        <x:v>MA</x:v>
      </x:c>
      <x:c r="E2248" t="str">
        <x:v>Nordeste</x:v>
      </x:c>
      <x:c r="F2248" t="str">
        <x:v>Marketplace</x:v>
      </x:c>
      <x:c r="G2248" t="str">
        <x:v>Escritório</x:v>
      </x:c>
      <x:c r="H2248" t="str">
        <x:v>Luminária LED</x:v>
      </x:c>
      <x:c r="I2248" t="str">
        <x:v>João</x:v>
      </x:c>
      <x:c r="J2248" s="53" t="n">
        <x:v>3</x:v>
      </x:c>
      <x:c r="K2248" s="54" t="n">
        <x:v>274.7</x:v>
      </x:c>
      <x:c r="L2248" s="54" t="n">
        <x:v>126</x:v>
      </x:c>
      <x:c r="M2248" s="55" t="n">
        <x:v>0.0942</x:v>
      </x:c>
      <x:c r="N2248" s="54" t="n">
        <x:f>ROUND(J2248*K2248,2)</x:f>
        <x:v>824.1</x:v>
      </x:c>
      <x:c r="O2248" s="54" t="n">
        <x:f>ROUND(N2248*(1-M2248),2)</x:f>
        <x:v>746.47</x:v>
      </x:c>
      <x:c r="P2248" s="54" t="n">
        <x:f>ROUND(J2248*L2248,2)</x:f>
        <x:v>378</x:v>
      </x:c>
      <x:c r="Q2248" s="54" t="n">
        <x:f>ROUND(O2248-P2248,2)</x:f>
        <x:v>368.47</x:v>
      </x:c>
      <x:c r="R2248" s="55" t="n">
        <x:f>IF(O2248=0,0,ROUND(Q2248/O2248,4))</x:f>
        <x:v>0.4936</x:v>
      </x:c>
      <x:c r="S2248" s="53" t="n">
        <x:v>9</x:v>
      </x:c>
      <x:c r="T2248" t="str">
        <x:v>Entregue</x:v>
      </x:c>
      <x:c r="U2248" t="n">
        <x:v>2</x:v>
      </x:c>
      <x:c r="V2248" t="str"/>
    </x:row>
    <x:row r="2249">
      <x:c r="A2249" s="52" t="n">
        <x:v>46173</x:v>
      </x:c>
      <x:c r="B2249" t="str">
        <x:v>PED-102248</x:v>
      </x:c>
      <x:c r="C2249" t="str">
        <x:v>Cliente 016</x:v>
      </x:c>
      <x:c r="D2249" t="str">
        <x:v>SP</x:v>
      </x:c>
      <x:c r="E2249" t="str">
        <x:v>Sudeste</x:v>
      </x:c>
      <x:c r="F2249" t="str">
        <x:v>Marketplace</x:v>
      </x:c>
      <x:c r="G2249" t="str">
        <x:v>Casa</x:v>
      </x:c>
      <x:c r="H2249" t="str">
        <x:v>Cafeteira Smart</x:v>
      </x:c>
      <x:c r="I2249" t="str">
        <x:v>Gabriela</x:v>
      </x:c>
      <x:c r="J2249" s="53" t="n">
        <x:v>1</x:v>
      </x:c>
      <x:c r="K2249" s="54" t="n">
        <x:v>772.62</x:v>
      </x:c>
      <x:c r="L2249" s="54" t="n">
        <x:v>467.29</x:v>
      </x:c>
      <x:c r="M2249" s="55" t="n">
        <x:v>0.035</x:v>
      </x:c>
      <x:c r="N2249" s="54" t="n">
        <x:f>ROUND(J2249*K2249,2)</x:f>
        <x:v>772.62</x:v>
      </x:c>
      <x:c r="O2249" s="54" t="n">
        <x:f>ROUND(N2249*(1-M2249),2)</x:f>
        <x:v>745.58</x:v>
      </x:c>
      <x:c r="P2249" s="54" t="n">
        <x:f>ROUND(J2249*L2249,2)</x:f>
        <x:v>467.29</x:v>
      </x:c>
      <x:c r="Q2249" s="54" t="n">
        <x:f>ROUND(O2249-P2249,2)</x:f>
        <x:v>278.29</x:v>
      </x:c>
      <x:c r="R2249" s="55" t="n">
        <x:f>IF(O2249=0,0,ROUND(Q2249/O2249,4))</x:f>
        <x:v>0.3733</x:v>
      </x:c>
      <x:c r="S2249" s="53" t="n">
        <x:v>10</x:v>
      </x:c>
      <x:c r="T2249" t="str">
        <x:v>Entregue</x:v>
      </x:c>
      <x:c r="U2249" t="n">
        <x:v>2</x:v>
      </x:c>
      <x:c r="V2249" t="str"/>
    </x:row>
    <x:row r="2250">
      <x:c r="A2250" s="52" t="n">
        <x:v>46155</x:v>
      </x:c>
      <x:c r="B2250" t="str">
        <x:v>PED-102249</x:v>
      </x:c>
      <x:c r="C2250" t="str">
        <x:v>Cliente 024</x:v>
      </x:c>
      <x:c r="D2250" t="str">
        <x:v>SP</x:v>
      </x:c>
      <x:c r="E2250" t="str">
        <x:v>Sudeste</x:v>
      </x:c>
      <x:c r="F2250" t="str">
        <x:v>Loja</x:v>
      </x:c>
      <x:c r="G2250" t="str">
        <x:v>Acessórios</x:v>
      </x:c>
      <x:c r="H2250" t="str">
        <x:v>Hub USB-C</x:v>
      </x:c>
      <x:c r="I2250" t="str">
        <x:v>Gabriela</x:v>
      </x:c>
      <x:c r="J2250" s="53" t="n">
        <x:v>5</x:v>
      </x:c>
      <x:c r="K2250" s="54" t="n">
        <x:v>335.77</x:v>
      </x:c>
      <x:c r="L2250" s="54" t="n">
        <x:v>130.83</x:v>
      </x:c>
      <x:c r="M2250" s="55" t="n">
        <x:v>0.0619</x:v>
      </x:c>
      <x:c r="N2250" s="54" t="n">
        <x:f>ROUND(J2250*K2250,2)</x:f>
        <x:v>1678.85</x:v>
      </x:c>
      <x:c r="O2250" s="54" t="n">
        <x:f>ROUND(N2250*(1-M2250),2)</x:f>
        <x:v>1574.93</x:v>
      </x:c>
      <x:c r="P2250" s="54" t="n">
        <x:f>ROUND(J2250*L2250,2)</x:f>
        <x:v>654.15</x:v>
      </x:c>
      <x:c r="Q2250" s="54" t="n">
        <x:f>ROUND(O2250-P2250,2)</x:f>
        <x:v>920.78</x:v>
      </x:c>
      <x:c r="R2250" s="55" t="n">
        <x:f>IF(O2250=0,0,ROUND(Q2250/O2250,4))</x:f>
        <x:v>0.5846</x:v>
      </x:c>
      <x:c r="S2250" s="53" t="n">
        <x:v>2</x:v>
      </x:c>
      <x:c r="T2250" t="str">
        <x:v>Entregue</x:v>
      </x:c>
      <x:c r="U2250" t="n">
        <x:v>3</x:v>
      </x:c>
      <x:c r="V2250" t="str"/>
    </x:row>
    <x:row r="2251">
      <x:c r="A2251" s="52" t="n">
        <x:v>46043</x:v>
      </x:c>
      <x:c r="B2251" t="str">
        <x:v>PED-102250</x:v>
      </x:c>
      <x:c r="C2251" t="str">
        <x:v>Cliente 046</x:v>
      </x:c>
      <x:c r="D2251" t="str">
        <x:v>GO</x:v>
      </x:c>
      <x:c r="E2251" t="str">
        <x:v>Centro-Oeste</x:v>
      </x:c>
      <x:c r="F2251" t="str">
        <x:v>Loja</x:v>
      </x:c>
      <x:c r="G2251" t="str">
        <x:v>Escritório</x:v>
      </x:c>
      <x:c r="H2251" t="str">
        <x:v>Cadeira Ergonômica</x:v>
      </x:c>
      <x:c r="I2251" t="str">
        <x:v>Henrique</x:v>
      </x:c>
      <x:c r="J2251" s="53" t="n">
        <x:v>6</x:v>
      </x:c>
      <x:c r="K2251" s="54" t="n">
        <x:v>2109.16</x:v>
      </x:c>
      <x:c r="L2251" s="54" t="n">
        <x:v>1415.86</x:v>
      </x:c>
      <x:c r="M2251" s="55" t="n">
        <x:v>0.1273</x:v>
      </x:c>
      <x:c r="N2251" s="54" t="n">
        <x:f>ROUND(J2251*K2251,2)</x:f>
        <x:v>12654.96</x:v>
      </x:c>
      <x:c r="O2251" s="54" t="n">
        <x:f>ROUND(N2251*(1-M2251),2)</x:f>
        <x:v>11043.98</x:v>
      </x:c>
      <x:c r="P2251" s="54" t="n">
        <x:f>ROUND(J2251*L2251,2)</x:f>
        <x:v>8495.16</x:v>
      </x:c>
      <x:c r="Q2251" s="54" t="n">
        <x:f>ROUND(O2251-P2251,2)</x:f>
        <x:v>2548.82</x:v>
      </x:c>
      <x:c r="R2251" s="55" t="n">
        <x:f>IF(O2251=0,0,ROUND(Q2251/O2251,4))</x:f>
        <x:v>0.2308</x:v>
      </x:c>
      <x:c r="S2251" s="53" t="n">
        <x:v>11</x:v>
      </x:c>
      <x:c r="T2251" t="str">
        <x:v>Entregue com atraso</x:v>
      </x:c>
      <x:c r="U2251" t="n">
        <x:v>4</x:v>
      </x:c>
      <x:c r="V2251" t="str"/>
    </x:row>
    <x:row r="2252">
      <x:c r="A2252" s="52" t="n">
        <x:v>46159</x:v>
      </x:c>
      <x:c r="B2252" t="str">
        <x:v>PED-102251</x:v>
      </x:c>
      <x:c r="C2252" t="str">
        <x:v>Cliente 105</x:v>
      </x:c>
      <x:c r="D2252" t="str">
        <x:v>CE</x:v>
      </x:c>
      <x:c r="E2252" t="str">
        <x:v>Nordeste</x:v>
      </x:c>
      <x:c r="F2252" t="str">
        <x:v>E-commerce</x:v>
      </x:c>
      <x:c r="G2252" t="str">
        <x:v>Escritório</x:v>
      </x:c>
      <x:c r="H2252" t="str">
        <x:v>Mesa Ajustável</x:v>
      </x:c>
      <x:c r="I2252" t="str">
        <x:v>Diego</x:v>
      </x:c>
      <x:c r="J2252" s="53" t="n">
        <x:v>5</x:v>
      </x:c>
      <x:c r="K2252" s="54" t="n">
        <x:v>2846.31</x:v>
      </x:c>
      <x:c r="L2252" s="54" t="n">
        <x:v>1945.04</x:v>
      </x:c>
      <x:c r="M2252" s="55" t="n">
        <x:v>0</x:v>
      </x:c>
      <x:c r="N2252" s="54" t="n">
        <x:f>ROUND(J2252*K2252,2)</x:f>
        <x:v>14231.55</x:v>
      </x:c>
      <x:c r="O2252" s="54" t="n">
        <x:f>ROUND(N2252*(1-M2252),2)</x:f>
        <x:v>14231.55</x:v>
      </x:c>
      <x:c r="P2252" s="54" t="n">
        <x:f>ROUND(J2252*L2252,2)</x:f>
        <x:v>9725.2</x:v>
      </x:c>
      <x:c r="Q2252" s="54" t="n">
        <x:f>ROUND(O2252-P2252,2)</x:f>
        <x:v>4506.35</x:v>
      </x:c>
      <x:c r="R2252" s="55" t="n">
        <x:f>IF(O2252=0,0,ROUND(Q2252/O2252,4))</x:f>
        <x:v>0.3166</x:v>
      </x:c>
      <x:c r="S2252" s="53" t="n">
        <x:v>9</x:v>
      </x:c>
      <x:c r="T2252" t="str">
        <x:v>Entregue</x:v>
      </x:c>
      <x:c r="U2252" t="n">
        <x:v>5</x:v>
      </x:c>
      <x:c r="V2252" t="str"/>
    </x:row>
    <x:row r="2253">
      <x:c r="A2253" s="52" t="n">
        <x:v>46083</x:v>
      </x:c>
      <x:c r="B2253" t="str">
        <x:v>PED-102252</x:v>
      </x:c>
      <x:c r="C2253" t="str">
        <x:v>Cliente 093</x:v>
      </x:c>
      <x:c r="D2253" t="str">
        <x:v>AM</x:v>
      </x:c>
      <x:c r="E2253" t="str">
        <x:v>Norte</x:v>
      </x:c>
      <x:c r="F2253" t="str">
        <x:v>E-commerce</x:v>
      </x:c>
      <x:c r="G2253" t="str">
        <x:v>Acessórios</x:v>
      </x:c>
      <x:c r="H2253" t="str">
        <x:v>Mochila Executiva</x:v>
      </x:c>
      <x:c r="I2253" t="str">
        <x:v>Felipe</x:v>
      </x:c>
      <x:c r="J2253" s="53" t="n">
        <x:v>2</x:v>
      </x:c>
      <x:c r="K2253" s="54" t="n">
        <x:v>441.34</x:v>
      </x:c>
      <x:c r="L2253" s="54" t="n">
        <x:v>190.69</x:v>
      </x:c>
      <x:c r="M2253" s="55" t="n">
        <x:v>0.1298</x:v>
      </x:c>
      <x:c r="N2253" s="54" t="n">
        <x:f>ROUND(J2253*K2253,2)</x:f>
        <x:v>882.68</x:v>
      </x:c>
      <x:c r="O2253" s="54" t="n">
        <x:f>ROUND(N2253*(1-M2253),2)</x:f>
        <x:v>768.11</x:v>
      </x:c>
      <x:c r="P2253" s="54" t="n">
        <x:f>ROUND(J2253*L2253,2)</x:f>
        <x:v>381.38</x:v>
      </x:c>
      <x:c r="Q2253" s="54" t="n">
        <x:f>ROUND(O2253-P2253,2)</x:f>
        <x:v>386.73</x:v>
      </x:c>
      <x:c r="R2253" s="55" t="n">
        <x:f>IF(O2253=0,0,ROUND(Q2253/O2253,4))</x:f>
        <x:v>0.5035</x:v>
      </x:c>
      <x:c r="S2253" s="53" t="n">
        <x:v>9</x:v>
      </x:c>
      <x:c r="T2253" t="str">
        <x:v>Entregue</x:v>
      </x:c>
      <x:c r="U2253" t="n">
        <x:v>4</x:v>
      </x:c>
      <x:c r="V2253" t="str"/>
    </x:row>
    <x:row r="2254">
      <x:c r="A2254" s="52" t="n">
        <x:v>46095</x:v>
      </x:c>
      <x:c r="B2254" t="str">
        <x:v>PED-102253</x:v>
      </x:c>
      <x:c r="C2254" t="str">
        <x:v>Cliente 063</x:v>
      </x:c>
      <x:c r="D2254" t="str">
        <x:v>PR</x:v>
      </x:c>
      <x:c r="E2254" t="str">
        <x:v>Sul</x:v>
      </x:c>
      <x:c r="F2254" t="str">
        <x:v>Televendas</x:v>
      </x:c>
      <x:c r="G2254" t="str">
        <x:v>Tecnologia</x:v>
      </x:c>
      <x:c r="H2254" t="str">
        <x:v>Headset Office</x:v>
      </x:c>
      <x:c r="I2254" t="str">
        <x:v>Ana</x:v>
      </x:c>
      <x:c r="J2254" s="53" t="n">
        <x:v>1</x:v>
      </x:c>
      <x:c r="K2254" s="54" t="n">
        <x:v>370.23</x:v>
      </x:c>
      <x:c r="L2254" s="54" t="n">
        <x:v>209.12</x:v>
      </x:c>
      <x:c r="M2254" s="55" t="n">
        <x:v>0.0021</x:v>
      </x:c>
      <x:c r="N2254" s="54" t="n">
        <x:f>ROUND(J2254*K2254,2)</x:f>
        <x:v>370.23</x:v>
      </x:c>
      <x:c r="O2254" s="54" t="n">
        <x:f>ROUND(N2254*(1-M2254),2)</x:f>
        <x:v>369.45</x:v>
      </x:c>
      <x:c r="P2254" s="54" t="n">
        <x:f>ROUND(J2254*L2254,2)</x:f>
        <x:v>209.12</x:v>
      </x:c>
      <x:c r="Q2254" s="54" t="n">
        <x:f>ROUND(O2254-P2254,2)</x:f>
        <x:v>160.33</x:v>
      </x:c>
      <x:c r="R2254" s="55" t="n">
        <x:f>IF(O2254=0,0,ROUND(Q2254/O2254,4))</x:f>
        <x:v>0.434</x:v>
      </x:c>
      <x:c r="S2254" s="53" t="n">
        <x:v>10</x:v>
      </x:c>
      <x:c r="T2254" t="str">
        <x:v>Entregue</x:v>
      </x:c>
      <x:c r="U2254" t="n">
        <x:v>3</x:v>
      </x:c>
      <x:c r="V2254" t="str"/>
    </x:row>
    <x:row r="2255">
      <x:c r="A2255" s="52" t="n">
        <x:v>46087</x:v>
      </x:c>
      <x:c r="B2255" t="str">
        <x:v>PED-102254</x:v>
      </x:c>
      <x:c r="C2255" t="str">
        <x:v>Cliente 023</x:v>
      </x:c>
      <x:c r="D2255" t="str">
        <x:v>DF</x:v>
      </x:c>
      <x:c r="E2255" t="str">
        <x:v>Centro-Oeste</x:v>
      </x:c>
      <x:c r="F2255" t="str">
        <x:v>E-commerce</x:v>
      </x:c>
      <x:c r="G2255" t="str">
        <x:v>Acessórios</x:v>
      </x:c>
      <x:c r="H2255" t="str">
        <x:v>Webcam HD</x:v>
      </x:c>
      <x:c r="I2255" t="str">
        <x:v>Isabela</x:v>
      </x:c>
      <x:c r="J2255" s="53" t="n">
        <x:v>3</x:v>
      </x:c>
      <x:c r="K2255" s="54" t="n">
        <x:v>480.77</x:v>
      </x:c>
      <x:c r="L2255" s="54" t="n">
        <x:v>239.37</x:v>
      </x:c>
      <x:c r="M2255" s="55" t="n">
        <x:v>0.0445</x:v>
      </x:c>
      <x:c r="N2255" s="54" t="n">
        <x:f>ROUND(J2255*K2255,2)</x:f>
        <x:v>1442.31</x:v>
      </x:c>
      <x:c r="O2255" s="54" t="n">
        <x:f>ROUND(N2255*(1-M2255),2)</x:f>
        <x:v>1378.13</x:v>
      </x:c>
      <x:c r="P2255" s="54" t="n">
        <x:f>ROUND(J2255*L2255,2)</x:f>
        <x:v>718.11</x:v>
      </x:c>
      <x:c r="Q2255" s="54" t="n">
        <x:f>ROUND(O2255-P2255,2)</x:f>
        <x:v>660.02</x:v>
      </x:c>
      <x:c r="R2255" s="55" t="n">
        <x:f>IF(O2255=0,0,ROUND(Q2255/O2255,4))</x:f>
        <x:v>0.4789</x:v>
      </x:c>
      <x:c r="S2255" s="53" t="n">
        <x:v>10</x:v>
      </x:c>
      <x:c r="T2255" t="str">
        <x:v>Entregue</x:v>
      </x:c>
      <x:c r="U2255" t="n">
        <x:v>5</x:v>
      </x:c>
      <x:c r="V2255" t="str"/>
    </x:row>
    <x:row r="2256">
      <x:c r="A2256" s="52" t="n">
        <x:v>46053</x:v>
      </x:c>
      <x:c r="B2256" t="str">
        <x:v>PED-102255</x:v>
      </x:c>
      <x:c r="C2256" t="str">
        <x:v>Cliente 090</x:v>
      </x:c>
      <x:c r="D2256" t="str">
        <x:v>SC</x:v>
      </x:c>
      <x:c r="E2256" t="str">
        <x:v>Sul</x:v>
      </x:c>
      <x:c r="F2256" t="str">
        <x:v>Marketplace</x:v>
      </x:c>
      <x:c r="G2256" t="str">
        <x:v>Escritório</x:v>
      </x:c>
      <x:c r="H2256" t="str">
        <x:v>Mesa Ajustável</x:v>
      </x:c>
      <x:c r="I2256" t="str">
        <x:v>Bruno</x:v>
      </x:c>
      <x:c r="J2256" s="53" t="n">
        <x:v>3</x:v>
      </x:c>
      <x:c r="K2256" s="54" t="n">
        <x:v>2711.71</x:v>
      </x:c>
      <x:c r="L2256" s="54" t="n">
        <x:v>1859.25</x:v>
      </x:c>
      <x:c r="M2256" s="55" t="n">
        <x:v>0.035</x:v>
      </x:c>
      <x:c r="N2256" s="54" t="n">
        <x:f>ROUND(J2256*K2256,2)</x:f>
        <x:v>8135.13</x:v>
      </x:c>
      <x:c r="O2256" s="54" t="n">
        <x:f>ROUND(N2256*(1-M2256),2)</x:f>
        <x:v>7850.4</x:v>
      </x:c>
      <x:c r="P2256" s="54" t="n">
        <x:f>ROUND(J2256*L2256,2)</x:f>
        <x:v>5577.75</x:v>
      </x:c>
      <x:c r="Q2256" s="54" t="n">
        <x:f>ROUND(O2256-P2256,2)</x:f>
        <x:v>2272.65</x:v>
      </x:c>
      <x:c r="R2256" s="55" t="n">
        <x:f>IF(O2256=0,0,ROUND(Q2256/O2256,4))</x:f>
        <x:v>0.2895</x:v>
      </x:c>
      <x:c r="S2256" s="53" t="n">
        <x:v>7</x:v>
      </x:c>
      <x:c r="T2256" t="str">
        <x:v>Entregue</x:v>
      </x:c>
      <x:c r="U2256" t="n">
        <x:v>5</x:v>
      </x:c>
      <x:c r="V2256" t="str"/>
    </x:row>
    <x:row r="2257">
      <x:c r="A2257" s="52" t="n">
        <x:v>46211</x:v>
      </x:c>
      <x:c r="B2257" t="str">
        <x:v>PED-102256</x:v>
      </x:c>
      <x:c r="C2257" t="str">
        <x:v>Cliente 102</x:v>
      </x:c>
      <x:c r="D2257" t="str">
        <x:v>GO</x:v>
      </x:c>
      <x:c r="E2257" t="str">
        <x:v>Centro-Oeste</x:v>
      </x:c>
      <x:c r="F2257" t="str">
        <x:v>Loja</x:v>
      </x:c>
      <x:c r="G2257" t="str">
        <x:v>Acessórios</x:v>
      </x:c>
      <x:c r="H2257" t="str">
        <x:v>Mochila Executiva</x:v>
      </x:c>
      <x:c r="I2257" t="str">
        <x:v>Isabela</x:v>
      </x:c>
      <x:c r="J2257" s="53" t="n">
        <x:v>3</x:v>
      </x:c>
      <x:c r="K2257" s="54" t="n">
        <x:v>452.95</x:v>
      </x:c>
      <x:c r="L2257" s="54" t="n">
        <x:v>194.87</x:v>
      </x:c>
      <x:c r="M2257" s="55" t="n">
        <x:v>0.0271</x:v>
      </x:c>
      <x:c r="N2257" s="54" t="n">
        <x:f>ROUND(J2257*K2257,2)</x:f>
        <x:v>1358.85</x:v>
      </x:c>
      <x:c r="O2257" s="54" t="n">
        <x:f>ROUND(N2257*(1-M2257),2)</x:f>
        <x:v>1322.03</x:v>
      </x:c>
      <x:c r="P2257" s="54" t="n">
        <x:f>ROUND(J2257*L2257,2)</x:f>
        <x:v>584.61</x:v>
      </x:c>
      <x:c r="Q2257" s="54" t="n">
        <x:f>ROUND(O2257-P2257,2)</x:f>
        <x:v>737.42</x:v>
      </x:c>
      <x:c r="R2257" s="55" t="n">
        <x:f>IF(O2257=0,0,ROUND(Q2257/O2257,4))</x:f>
        <x:v>0.5578</x:v>
      </x:c>
      <x:c r="S2257" s="53" t="n">
        <x:v>3</x:v>
      </x:c>
      <x:c r="T2257" t="str">
        <x:v>Entregue</x:v>
      </x:c>
      <x:c r="U2257" t="n">
        <x:v>5</x:v>
      </x:c>
      <x:c r="V2257" t="str"/>
    </x:row>
    <x:row r="2258">
      <x:c r="A2258" s="52" t="n">
        <x:v>46124</x:v>
      </x:c>
      <x:c r="B2258" t="str">
        <x:v>PED-102257</x:v>
      </x:c>
      <x:c r="C2258" t="str">
        <x:v>Cliente 039</x:v>
      </x:c>
      <x:c r="D2258" t="str">
        <x:v>DF</x:v>
      </x:c>
      <x:c r="E2258" t="str">
        <x:v>Centro-Oeste</x:v>
      </x:c>
      <x:c r="F2258" t="str">
        <x:v>E-commerce</x:v>
      </x:c>
      <x:c r="G2258" t="str">
        <x:v>Escritório</x:v>
      </x:c>
      <x:c r="H2258" t="str">
        <x:v>Mesa Ajustável</x:v>
      </x:c>
      <x:c r="I2258" t="str">
        <x:v>Henrique</x:v>
      </x:c>
      <x:c r="J2258" s="53" t="n">
        <x:v>3</x:v>
      </x:c>
      <x:c r="K2258" s="54" t="n">
        <x:v>2837.53</x:v>
      </x:c>
      <x:c r="L2258" s="54" t="n">
        <x:v>1769</x:v>
      </x:c>
      <x:c r="M2258" s="55" t="n">
        <x:v>0</x:v>
      </x:c>
      <x:c r="N2258" s="54" t="n">
        <x:f>ROUND(J2258*K2258,2)</x:f>
        <x:v>8512.59</x:v>
      </x:c>
      <x:c r="O2258" s="54" t="n">
        <x:f>ROUND(N2258*(1-M2258),2)</x:f>
        <x:v>8512.59</x:v>
      </x:c>
      <x:c r="P2258" s="54" t="n">
        <x:f>ROUND(J2258*L2258,2)</x:f>
        <x:v>5307</x:v>
      </x:c>
      <x:c r="Q2258" s="54" t="n">
        <x:f>ROUND(O2258-P2258,2)</x:f>
        <x:v>3205.59</x:v>
      </x:c>
      <x:c r="R2258" s="55" t="n">
        <x:f>IF(O2258=0,0,ROUND(Q2258/O2258,4))</x:f>
        <x:v>0.3766</x:v>
      </x:c>
      <x:c r="S2258" s="53" t="n">
        <x:v>14</x:v>
      </x:c>
      <x:c r="T2258" t="str">
        <x:v>Entregue com atraso</x:v>
      </x:c>
      <x:c r="U2258" t="n">
        <x:v>3</x:v>
      </x:c>
      <x:c r="V2258" t="str"/>
    </x:row>
    <x:row r="2259">
      <x:c r="A2259" s="52" t="n">
        <x:v>46055</x:v>
      </x:c>
      <x:c r="B2259" t="str">
        <x:v>PED-102258</x:v>
      </x:c>
      <x:c r="C2259" t="str">
        <x:v>Cliente 089</x:v>
      </x:c>
      <x:c r="D2259" t="str">
        <x:v>MG</x:v>
      </x:c>
      <x:c r="E2259" t="str">
        <x:v>Sudeste</x:v>
      </x:c>
      <x:c r="F2259" t="str">
        <x:v>Marketplace</x:v>
      </x:c>
      <x:c r="G2259" t="str">
        <x:v>Casa</x:v>
      </x:c>
      <x:c r="H2259" t="str">
        <x:v>Cafeteira Smart</x:v>
      </x:c>
      <x:c r="I2259" t="str">
        <x:v>Gabriela</x:v>
      </x:c>
      <x:c r="J2259" s="53" t="n">
        <x:v>5</x:v>
      </x:c>
      <x:c r="K2259" s="54" t="n">
        <x:v>815.1</x:v>
      </x:c>
      <x:c r="L2259" s="54" t="n">
        <x:v>467.24</x:v>
      </x:c>
      <x:c r="M2259" s="55" t="n">
        <x:v>0.0892</x:v>
      </x:c>
      <x:c r="N2259" s="54" t="n">
        <x:f>ROUND(J2259*K2259,2)</x:f>
        <x:v>4075.5</x:v>
      </x:c>
      <x:c r="O2259" s="54" t="n">
        <x:f>ROUND(N2259*(1-M2259),2)</x:f>
        <x:v>3711.97</x:v>
      </x:c>
      <x:c r="P2259" s="54" t="n">
        <x:f>ROUND(J2259*L2259,2)</x:f>
        <x:v>2336.2</x:v>
      </x:c>
      <x:c r="Q2259" s="54" t="n">
        <x:f>ROUND(O2259-P2259,2)</x:f>
        <x:v>1375.77</x:v>
      </x:c>
      <x:c r="R2259" s="55" t="n">
        <x:f>IF(O2259=0,0,ROUND(Q2259/O2259,4))</x:f>
        <x:v>0.3706</x:v>
      </x:c>
      <x:c r="S2259" s="53" t="n">
        <x:v>12</x:v>
      </x:c>
      <x:c r="T2259" t="str">
        <x:v>Entregue com atraso</x:v>
      </x:c>
      <x:c r="U2259" t="n">
        <x:v>3</x:v>
      </x:c>
      <x:c r="V2259" t="str"/>
    </x:row>
    <x:row r="2260">
      <x:c r="A2260" s="52" t="n">
        <x:v>46149</x:v>
      </x:c>
      <x:c r="B2260" t="str">
        <x:v>PED-102259</x:v>
      </x:c>
      <x:c r="C2260" t="str">
        <x:v>Cliente 069</x:v>
      </x:c>
      <x:c r="D2260" t="str">
        <x:v>RS</x:v>
      </x:c>
      <x:c r="E2260" t="str">
        <x:v>Sul</x:v>
      </x:c>
      <x:c r="F2260" t="str">
        <x:v>Loja</x:v>
      </x:c>
      <x:c r="G2260" t="str">
        <x:v>Acessórios</x:v>
      </x:c>
      <x:c r="H2260" t="str">
        <x:v>Webcam HD</x:v>
      </x:c>
      <x:c r="I2260" t="str">
        <x:v>Ana</x:v>
      </x:c>
      <x:c r="J2260" s="53" t="n">
        <x:v>7</x:v>
      </x:c>
      <x:c r="K2260" s="54" t="n">
        <x:v>503.88</x:v>
      </x:c>
      <x:c r="L2260" s="54" t="n">
        <x:v>232.09</x:v>
      </x:c>
      <x:c r="M2260" s="55" t="n">
        <x:v>0.0637</x:v>
      </x:c>
      <x:c r="N2260" s="54" t="n">
        <x:f>ROUND(J2260*K2260,2)</x:f>
        <x:v>3527.16</x:v>
      </x:c>
      <x:c r="O2260" s="54" t="n">
        <x:f>ROUND(N2260*(1-M2260),2)</x:f>
        <x:v>3302.48</x:v>
      </x:c>
      <x:c r="P2260" s="54" t="n">
        <x:f>ROUND(J2260*L2260,2)</x:f>
        <x:v>1624.63</x:v>
      </x:c>
      <x:c r="Q2260" s="54" t="n">
        <x:f>ROUND(O2260-P2260,2)</x:f>
        <x:v>1677.85</x:v>
      </x:c>
      <x:c r="R2260" s="55" t="n">
        <x:f>IF(O2260=0,0,ROUND(Q2260/O2260,4))</x:f>
        <x:v>0.5081</x:v>
      </x:c>
      <x:c r="S2260" s="53" t="n">
        <x:v>10</x:v>
      </x:c>
      <x:c r="T2260" t="str">
        <x:v>Entregue</x:v>
      </x:c>
      <x:c r="U2260" t="n">
        <x:v>5</x:v>
      </x:c>
      <x:c r="V2260" t="str"/>
    </x:row>
    <x:row r="2261">
      <x:c r="A2261" s="52" t="n">
        <x:v>46112</x:v>
      </x:c>
      <x:c r="B2261" t="str">
        <x:v>PED-102260</x:v>
      </x:c>
      <x:c r="C2261" t="str">
        <x:v>Cliente 111</x:v>
      </x:c>
      <x:c r="D2261" t="str">
        <x:v>SC</x:v>
      </x:c>
      <x:c r="E2261" t="str">
        <x:v>Sul</x:v>
      </x:c>
      <x:c r="F2261" t="str">
        <x:v>Marketplace</x:v>
      </x:c>
      <x:c r="G2261" t="str">
        <x:v>Acessórios</x:v>
      </x:c>
      <x:c r="H2261" t="str">
        <x:v>Hub USB-C</x:v>
      </x:c>
      <x:c r="I2261" t="str">
        <x:v>Henrique</x:v>
      </x:c>
      <x:c r="J2261" s="53" t="n">
        <x:v>5</x:v>
      </x:c>
      <x:c r="K2261" s="54" t="n">
        <x:v>325.61</x:v>
      </x:c>
      <x:c r="L2261" s="54" t="n">
        <x:v>133.87</x:v>
      </x:c>
      <x:c r="M2261" s="55" t="n">
        <x:v>0.035</x:v>
      </x:c>
      <x:c r="N2261" s="54" t="n">
        <x:f>ROUND(J2261*K2261,2)</x:f>
        <x:v>1628.05</x:v>
      </x:c>
      <x:c r="O2261" s="54" t="n">
        <x:f>ROUND(N2261*(1-M2261),2)</x:f>
        <x:v>1571.07</x:v>
      </x:c>
      <x:c r="P2261" s="54" t="n">
        <x:f>ROUND(J2261*L2261,2)</x:f>
        <x:v>669.35</x:v>
      </x:c>
      <x:c r="Q2261" s="54" t="n">
        <x:f>ROUND(O2261-P2261,2)</x:f>
        <x:v>901.72</x:v>
      </x:c>
      <x:c r="R2261" s="55" t="n">
        <x:f>IF(O2261=0,0,ROUND(Q2261/O2261,4))</x:f>
        <x:v>0.574</x:v>
      </x:c>
      <x:c r="S2261" s="53" t="n">
        <x:v>3</x:v>
      </x:c>
      <x:c r="T2261" t="str">
        <x:v>Entregue</x:v>
      </x:c>
      <x:c r="U2261" t="n">
        <x:v>5</x:v>
      </x:c>
      <x:c r="V2261" t="str"/>
    </x:row>
    <x:row r="2262">
      <x:c r="A2262" s="52" t="n">
        <x:v>46095</x:v>
      </x:c>
      <x:c r="B2262" t="str">
        <x:v>PED-102261</x:v>
      </x:c>
      <x:c r="C2262" t="str">
        <x:v>Cliente 031</x:v>
      </x:c>
      <x:c r="D2262" t="str">
        <x:v>SP</x:v>
      </x:c>
      <x:c r="E2262" t="str">
        <x:v>Sudeste</x:v>
      </x:c>
      <x:c r="F2262" t="str">
        <x:v>Loja</x:v>
      </x:c>
      <x:c r="G2262" t="str">
        <x:v>Tecnologia</x:v>
      </x:c>
      <x:c r="H2262" t="str">
        <x:v>Headset Office</x:v>
      </x:c>
      <x:c r="I2262" t="str">
        <x:v>João</x:v>
      </x:c>
      <x:c r="J2262" s="53" t="n">
        <x:v>2</x:v>
      </x:c>
      <x:c r="K2262" s="54" t="n">
        <x:v>398.78</x:v>
      </x:c>
      <x:c r="L2262" s="54" t="n">
        <x:v>219.72</x:v>
      </x:c>
      <x:c r="M2262" s="55" t="n">
        <x:v>0.1245</x:v>
      </x:c>
      <x:c r="N2262" s="54" t="n">
        <x:f>ROUND(J2262*K2262,2)</x:f>
        <x:v>797.56</x:v>
      </x:c>
      <x:c r="O2262" s="54" t="n">
        <x:f>ROUND(N2262*(1-M2262),2)</x:f>
        <x:v>698.26</x:v>
      </x:c>
      <x:c r="P2262" s="54" t="n">
        <x:f>ROUND(J2262*L2262,2)</x:f>
        <x:v>439.44</x:v>
      </x:c>
      <x:c r="Q2262" s="54" t="n">
        <x:f>ROUND(O2262-P2262,2)</x:f>
        <x:v>258.82</x:v>
      </x:c>
      <x:c r="R2262" s="55" t="n">
        <x:f>IF(O2262=0,0,ROUND(Q2262/O2262,4))</x:f>
        <x:v>0.3707</x:v>
      </x:c>
      <x:c r="S2262" s="53" t="n">
        <x:v>12</x:v>
      </x:c>
      <x:c r="T2262" t="str">
        <x:v>Entregue com atraso</x:v>
      </x:c>
      <x:c r="U2262" t="n">
        <x:v>2</x:v>
      </x:c>
      <x:c r="V2262" t="str"/>
    </x:row>
    <x:row r="2263">
      <x:c r="A2263" s="52" t="n">
        <x:v>46024</x:v>
      </x:c>
      <x:c r="B2263" t="str">
        <x:v>PED-102262</x:v>
      </x:c>
      <x:c r="C2263" t="str">
        <x:v>Cliente 011</x:v>
      </x:c>
      <x:c r="D2263" t="str">
        <x:v>AM</x:v>
      </x:c>
      <x:c r="E2263" t="str">
        <x:v>Norte</x:v>
      </x:c>
      <x:c r="F2263" t="str">
        <x:v>Televendas</x:v>
      </x:c>
      <x:c r="G2263" t="str">
        <x:v>Tecnologia</x:v>
      </x:c>
      <x:c r="H2263" t="str">
        <x:v>Notebook Pro</x:v>
      </x:c>
      <x:c r="I2263" t="str">
        <x:v>João</x:v>
      </x:c>
      <x:c r="J2263" s="53" t="n">
        <x:v>4</x:v>
      </x:c>
      <x:c r="K2263" s="54" t="n">
        <x:v>5828.72</x:v>
      </x:c>
      <x:c r="L2263" s="54" t="n">
        <x:v>4370.72</x:v>
      </x:c>
      <x:c r="M2263" s="55" t="n">
        <x:v>0.0577</x:v>
      </x:c>
      <x:c r="N2263" s="54" t="n">
        <x:f>ROUND(J2263*K2263,2)</x:f>
        <x:v>23314.88</x:v>
      </x:c>
      <x:c r="O2263" s="54" t="n">
        <x:f>ROUND(N2263*(1-M2263),2)</x:f>
        <x:v>21969.61</x:v>
      </x:c>
      <x:c r="P2263" s="54" t="n">
        <x:f>ROUND(J2263*L2263,2)</x:f>
        <x:v>17482.88</x:v>
      </x:c>
      <x:c r="Q2263" s="54" t="n">
        <x:f>ROUND(O2263-P2263,2)</x:f>
        <x:v>4486.73</x:v>
      </x:c>
      <x:c r="R2263" s="55" t="n">
        <x:f>IF(O2263=0,0,ROUND(Q2263/O2263,4))</x:f>
        <x:v>0.2042</x:v>
      </x:c>
      <x:c r="S2263" s="53" t="n">
        <x:v>7</x:v>
      </x:c>
      <x:c r="T2263" t="str">
        <x:v>Entregue</x:v>
      </x:c>
      <x:c r="U2263" t="n">
        <x:v>4</x:v>
      </x:c>
      <x:c r="V2263" t="str"/>
    </x:row>
    <x:row r="2264">
      <x:c r="A2264" s="52" t="n">
        <x:v>46085</x:v>
      </x:c>
      <x:c r="B2264" t="str">
        <x:v>PED-102263</x:v>
      </x:c>
      <x:c r="C2264" t="str">
        <x:v>Cliente 067</x:v>
      </x:c>
      <x:c r="D2264" t="str">
        <x:v>DF</x:v>
      </x:c>
      <x:c r="E2264" t="str">
        <x:v>Centro-Oeste</x:v>
      </x:c>
      <x:c r="F2264" t="str">
        <x:v>Marketplace</x:v>
      </x:c>
      <x:c r="G2264" t="str">
        <x:v>Escritório</x:v>
      </x:c>
      <x:c r="H2264" t="str">
        <x:v>Luminária LED</x:v>
      </x:c>
      <x:c r="I2264" t="str">
        <x:v>Gabriela</x:v>
      </x:c>
      <x:c r="J2264" s="53" t="n">
        <x:v>8</x:v>
      </x:c>
      <x:c r="K2264" s="54" t="n">
        <x:v>261.45</x:v>
      </x:c>
      <x:c r="L2264" s="54" t="n">
        <x:v>116.13</x:v>
      </x:c>
      <x:c r="M2264" s="55" t="n">
        <x:v>0.1594</x:v>
      </x:c>
      <x:c r="N2264" s="54" t="n">
        <x:f>ROUND(J2264*K2264,2)</x:f>
        <x:v>2091.6</x:v>
      </x:c>
      <x:c r="O2264" s="54" t="n">
        <x:f>ROUND(N2264*(1-M2264),2)</x:f>
        <x:v>1758.2</x:v>
      </x:c>
      <x:c r="P2264" s="54" t="n">
        <x:f>ROUND(J2264*L2264,2)</x:f>
        <x:v>929.04</x:v>
      </x:c>
      <x:c r="Q2264" s="54" t="n">
        <x:f>ROUND(O2264-P2264,2)</x:f>
        <x:v>829.16</x:v>
      </x:c>
      <x:c r="R2264" s="55" t="n">
        <x:f>IF(O2264=0,0,ROUND(Q2264/O2264,4))</x:f>
        <x:v>0.4716</x:v>
      </x:c>
      <x:c r="S2264" s="53" t="n">
        <x:v>3</x:v>
      </x:c>
      <x:c r="T2264" t="str">
        <x:v>Entregue</x:v>
      </x:c>
      <x:c r="U2264" t="n">
        <x:v>2</x:v>
      </x:c>
      <x:c r="V2264" t="str"/>
    </x:row>
    <x:row r="2265">
      <x:c r="A2265" s="52" t="n">
        <x:v>46193</x:v>
      </x:c>
      <x:c r="B2265" t="str">
        <x:v>PED-102264</x:v>
      </x:c>
      <x:c r="C2265" t="str">
        <x:v>Cliente 044</x:v>
      </x:c>
      <x:c r="D2265" t="str">
        <x:v>CE</x:v>
      </x:c>
      <x:c r="E2265" t="str">
        <x:v>Nordeste</x:v>
      </x:c>
      <x:c r="F2265" t="str">
        <x:v>Marketplace</x:v>
      </x:c>
      <x:c r="G2265" t="str">
        <x:v>Casa</x:v>
      </x:c>
      <x:c r="H2265" t="str">
        <x:v>Aspirador Robô</x:v>
      </x:c>
      <x:c r="I2265" t="str">
        <x:v>Elaine</x:v>
      </x:c>
      <x:c r="J2265" s="53" t="n">
        <x:v>1</x:v>
      </x:c>
      <x:c r="K2265" s="54" t="n">
        <x:v>1974.23</x:v>
      </x:c>
      <x:c r="L2265" s="54" t="n">
        <x:v>1271.64</x:v>
      </x:c>
      <x:c r="M2265" s="55" t="n">
        <x:v>0.1513</x:v>
      </x:c>
      <x:c r="N2265" s="54" t="n">
        <x:f>ROUND(J2265*K2265,2)</x:f>
        <x:v>1974.23</x:v>
      </x:c>
      <x:c r="O2265" s="54" t="n">
        <x:f>ROUND(N2265*(1-M2265),2)</x:f>
        <x:v>1675.53</x:v>
      </x:c>
      <x:c r="P2265" s="54" t="n">
        <x:f>ROUND(J2265*L2265,2)</x:f>
        <x:v>1271.64</x:v>
      </x:c>
      <x:c r="Q2265" s="54" t="n">
        <x:f>ROUND(O2265-P2265,2)</x:f>
        <x:v>403.89</x:v>
      </x:c>
      <x:c r="R2265" s="55" t="n">
        <x:f>IF(O2265=0,0,ROUND(Q2265/O2265,4))</x:f>
        <x:v>0.2411</x:v>
      </x:c>
      <x:c r="S2265" s="53" t="n">
        <x:v>33</x:v>
      </x:c>
      <x:c r="T2265" t="str">
        <x:v>Entregue com atraso</x:v>
      </x:c>
      <x:c r="U2265" t="n">
        <x:v>1</x:v>
      </x:c>
      <x:c r="V2265" t="str">
        <x:v>Ocorrência logística</x:v>
      </x:c>
    </x:row>
    <x:row r="2266">
      <x:c r="A2266" s="52" t="n">
        <x:v>46037</x:v>
      </x:c>
      <x:c r="B2266" t="str">
        <x:v>PED-102265</x:v>
      </x:c>
      <x:c r="C2266" t="str">
        <x:v>Cliente 067</x:v>
      </x:c>
      <x:c r="D2266" t="str">
        <x:v>SC</x:v>
      </x:c>
      <x:c r="E2266" t="str">
        <x:v>Sul</x:v>
      </x:c>
      <x:c r="F2266" t="str">
        <x:v>Televendas</x:v>
      </x:c>
      <x:c r="G2266" t="str">
        <x:v>Acessórios</x:v>
      </x:c>
      <x:c r="H2266" t="str">
        <x:v>Hub USB-C</x:v>
      </x:c>
      <x:c r="I2266" t="str">
        <x:v>Elaine</x:v>
      </x:c>
      <x:c r="J2266" s="53" t="n">
        <x:v>3</x:v>
      </x:c>
      <x:c r="K2266" s="54" t="n">
        <x:v>314.44</x:v>
      </x:c>
      <x:c r="L2266" s="54" t="n">
        <x:v>135.51</x:v>
      </x:c>
      <x:c r="M2266" s="55" t="n">
        <x:v>0</x:v>
      </x:c>
      <x:c r="N2266" s="54" t="n">
        <x:f>ROUND(J2266*K2266,2)</x:f>
        <x:v>943.32</x:v>
      </x:c>
      <x:c r="O2266" s="54" t="n">
        <x:f>ROUND(N2266*(1-M2266),2)</x:f>
        <x:v>943.32</x:v>
      </x:c>
      <x:c r="P2266" s="54" t="n">
        <x:f>ROUND(J2266*L2266,2)</x:f>
        <x:v>406.53</x:v>
      </x:c>
      <x:c r="Q2266" s="54" t="n">
        <x:f>ROUND(O2266-P2266,2)</x:f>
        <x:v>536.79</x:v>
      </x:c>
      <x:c r="R2266" s="55" t="n">
        <x:f>IF(O2266=0,0,ROUND(Q2266/O2266,4))</x:f>
        <x:v>0.569</x:v>
      </x:c>
      <x:c r="S2266" s="53" t="n">
        <x:v>10</x:v>
      </x:c>
      <x:c r="T2266" t="str">
        <x:v>Entregue</x:v>
      </x:c>
      <x:c r="U2266" t="n">
        <x:v>3</x:v>
      </x:c>
      <x:c r="V2266" t="str"/>
    </x:row>
    <x:row r="2267">
      <x:c r="A2267" s="52" t="n">
        <x:v>46056</x:v>
      </x:c>
      <x:c r="B2267" t="str">
        <x:v>PED-102266</x:v>
      </x:c>
      <x:c r="C2267" t="str">
        <x:v>Cliente 081</x:v>
      </x:c>
      <x:c r="D2267" t="str">
        <x:v>BA</x:v>
      </x:c>
      <x:c r="E2267" t="str">
        <x:v>Nordeste</x:v>
      </x:c>
      <x:c r="F2267" t="str">
        <x:v>Marketplace</x:v>
      </x:c>
      <x:c r="G2267" t="str">
        <x:v>Tecnologia</x:v>
      </x:c>
      <x:c r="H2267" t="str">
        <x:v>Headset Office</x:v>
      </x:c>
      <x:c r="I2267" t="str">
        <x:v>Isabela</x:v>
      </x:c>
      <x:c r="J2267" s="53" t="n">
        <x:v>5</x:v>
      </x:c>
      <x:c r="K2267" s="54" t="n">
        <x:v>393.43</x:v>
      </x:c>
      <x:c r="L2267" s="54" t="n">
        <x:v>227.34</x:v>
      </x:c>
      <x:c r="M2267" s="55" t="n">
        <x:v>0.035</x:v>
      </x:c>
      <x:c r="N2267" s="54" t="n">
        <x:f>ROUND(J2267*K2267,2)</x:f>
        <x:v>1967.15</x:v>
      </x:c>
      <x:c r="O2267" s="54" t="n">
        <x:f>ROUND(N2267*(1-M2267),2)</x:f>
        <x:v>1898.3</x:v>
      </x:c>
      <x:c r="P2267" s="54" t="n">
        <x:f>ROUND(J2267*L2267,2)</x:f>
        <x:v>1136.7</x:v>
      </x:c>
      <x:c r="Q2267" s="54" t="n">
        <x:f>ROUND(O2267-P2267,2)</x:f>
        <x:v>761.6</x:v>
      </x:c>
      <x:c r="R2267" s="55" t="n">
        <x:f>IF(O2267=0,0,ROUND(Q2267/O2267,4))</x:f>
        <x:v>0.4012</x:v>
      </x:c>
      <x:c r="S2267" s="53" t="n">
        <x:v>2</x:v>
      </x:c>
      <x:c r="T2267" t="str">
        <x:v>Entregue</x:v>
      </x:c>
      <x:c r="U2267" t="n">
        <x:v>3</x:v>
      </x:c>
      <x:c r="V2267" t="str"/>
    </x:row>
    <x:row r="2268">
      <x:c r="A2268" s="52" t="n">
        <x:v>46049</x:v>
      </x:c>
      <x:c r="B2268" t="str">
        <x:v>PED-102267</x:v>
      </x:c>
      <x:c r="C2268" t="str">
        <x:v>Cliente 046</x:v>
      </x:c>
      <x:c r="D2268" t="str">
        <x:v>AM</x:v>
      </x:c>
      <x:c r="E2268" t="str">
        <x:v>Norte</x:v>
      </x:c>
      <x:c r="F2268" t="str">
        <x:v>Televendas</x:v>
      </x:c>
      <x:c r="G2268" t="str">
        <x:v>Tecnologia</x:v>
      </x:c>
      <x:c r="H2268" t="str">
        <x:v>Monitor 27</x:v>
      </x:c>
      <x:c r="I2268" t="str">
        <x:v>Elaine</x:v>
      </x:c>
      <x:c r="J2268" s="53" t="n">
        <x:v>7</x:v>
      </x:c>
      <x:c r="K2268" s="54" t="n">
        <x:v>1634.31</x:v>
      </x:c>
      <x:c r="L2268" s="54" t="n">
        <x:v>1150.24</x:v>
      </x:c>
      <x:c r="M2268" s="55" t="n">
        <x:v>0.1173</x:v>
      </x:c>
      <x:c r="N2268" s="54" t="n">
        <x:f>ROUND(J2268*K2268,2)</x:f>
        <x:v>11440.17</x:v>
      </x:c>
      <x:c r="O2268" s="54" t="n">
        <x:f>ROUND(N2268*(1-M2268),2)</x:f>
        <x:v>10098.24</x:v>
      </x:c>
      <x:c r="P2268" s="54" t="n">
        <x:f>ROUND(J2268*L2268,2)</x:f>
        <x:v>8051.68</x:v>
      </x:c>
      <x:c r="Q2268" s="54" t="n">
        <x:f>ROUND(O2268-P2268,2)</x:f>
        <x:v>2046.56</x:v>
      </x:c>
      <x:c r="R2268" s="55" t="n">
        <x:f>IF(O2268=0,0,ROUND(Q2268/O2268,4))</x:f>
        <x:v>0.2027</x:v>
      </x:c>
      <x:c r="S2268" s="53" t="n">
        <x:v>11</x:v>
      </x:c>
      <x:c r="T2268" t="str">
        <x:v>Entregue com atraso</x:v>
      </x:c>
      <x:c r="U2268" t="n">
        <x:v>2</x:v>
      </x:c>
      <x:c r="V2268" t="str"/>
    </x:row>
    <x:row r="2269">
      <x:c r="A2269" s="52" t="n">
        <x:v>46112</x:v>
      </x:c>
      <x:c r="B2269" t="str">
        <x:v>PED-102268</x:v>
      </x:c>
      <x:c r="C2269" t="str">
        <x:v>Cliente 007</x:v>
      </x:c>
      <x:c r="D2269" t="str">
        <x:v>SC</x:v>
      </x:c>
      <x:c r="E2269" t="str">
        <x:v>Sul</x:v>
      </x:c>
      <x:c r="F2269" t="str">
        <x:v>Loja</x:v>
      </x:c>
      <x:c r="G2269" t="str">
        <x:v>Escritório</x:v>
      </x:c>
      <x:c r="H2269" t="str">
        <x:v>Luminária LED</x:v>
      </x:c>
      <x:c r="I2269" t="str">
        <x:v>Ana</x:v>
      </x:c>
      <x:c r="J2269" s="53" t="n">
        <x:v>4</x:v>
      </x:c>
      <x:c r="K2269" s="54" t="n">
        <x:v>259.4</x:v>
      </x:c>
      <x:c r="L2269" s="54" t="n">
        <x:v>121.27</x:v>
      </x:c>
      <x:c r="M2269" s="55" t="n">
        <x:v>0</x:v>
      </x:c>
      <x:c r="N2269" s="54" t="n">
        <x:f>ROUND(J2269*K2269,2)</x:f>
        <x:v>1037.6</x:v>
      </x:c>
      <x:c r="O2269" s="54" t="n">
        <x:f>ROUND(N2269*(1-M2269),2)</x:f>
        <x:v>1037.6</x:v>
      </x:c>
      <x:c r="P2269" s="54" t="n">
        <x:f>ROUND(J2269*L2269,2)</x:f>
        <x:v>485.08</x:v>
      </x:c>
      <x:c r="Q2269" s="54" t="n">
        <x:f>ROUND(O2269-P2269,2)</x:f>
        <x:v>552.52</x:v>
      </x:c>
      <x:c r="R2269" s="55" t="n">
        <x:f>IF(O2269=0,0,ROUND(Q2269/O2269,4))</x:f>
        <x:v>0.5325</x:v>
      </x:c>
      <x:c r="S2269" s="53" t="n">
        <x:v>14</x:v>
      </x:c>
      <x:c r="T2269" t="str">
        <x:v>Entregue com atraso</x:v>
      </x:c>
      <x:c r="U2269" t="n">
        <x:v>3</x:v>
      </x:c>
      <x:c r="V2269" t="str"/>
    </x:row>
    <x:row r="2270">
      <x:c r="A2270" s="52" t="n">
        <x:v>46220</x:v>
      </x:c>
      <x:c r="B2270" t="str">
        <x:v>PED-102269</x:v>
      </x:c>
      <x:c r="C2270" t="str">
        <x:v>Cliente 113</x:v>
      </x:c>
      <x:c r="D2270" t="str">
        <x:v>SP</x:v>
      </x:c>
      <x:c r="E2270" t="str">
        <x:v>Sudeste</x:v>
      </x:c>
      <x:c r="F2270" t="str">
        <x:v>E-commerce</x:v>
      </x:c>
      <x:c r="G2270" t="str">
        <x:v>Acessórios</x:v>
      </x:c>
      <x:c r="H2270" t="str">
        <x:v>Hub USB-C</x:v>
      </x:c>
      <x:c r="I2270" t="str">
        <x:v>Henrique</x:v>
      </x:c>
      <x:c r="J2270" s="53" t="n">
        <x:v>6</x:v>
      </x:c>
      <x:c r="K2270" s="54" t="n">
        <x:v>316.32</x:v>
      </x:c>
      <x:c r="L2270" s="54" t="n">
        <x:v>129.63</x:v>
      </x:c>
      <x:c r="M2270" s="55" t="n">
        <x:v>0.1215</x:v>
      </x:c>
      <x:c r="N2270" s="54" t="n">
        <x:f>ROUND(J2270*K2270,2)</x:f>
        <x:v>1897.92</x:v>
      </x:c>
      <x:c r="O2270" s="54" t="n">
        <x:f>ROUND(N2270*(1-M2270),2)</x:f>
        <x:v>1667.32</x:v>
      </x:c>
      <x:c r="P2270" s="54" t="n">
        <x:f>ROUND(J2270*L2270,2)</x:f>
        <x:v>777.78</x:v>
      </x:c>
      <x:c r="Q2270" s="54" t="n">
        <x:f>ROUND(O2270-P2270,2)</x:f>
        <x:v>889.54</x:v>
      </x:c>
      <x:c r="R2270" s="55" t="n">
        <x:f>IF(O2270=0,0,ROUND(Q2270/O2270,4))</x:f>
        <x:v>0.5335</x:v>
      </x:c>
      <x:c r="S2270" s="53" t="n">
        <x:v>12</x:v>
      </x:c>
      <x:c r="T2270" t="str">
        <x:v>Entregue com atraso</x:v>
      </x:c>
      <x:c r="U2270" t="n">
        <x:v>2</x:v>
      </x:c>
      <x:c r="V2270" t="str"/>
    </x:row>
    <x:row r="2271">
      <x:c r="A2271" s="52" t="n">
        <x:v>46105</x:v>
      </x:c>
      <x:c r="B2271" t="str">
        <x:v>PED-102270</x:v>
      </x:c>
      <x:c r="C2271" t="str">
        <x:v>Cliente 078</x:v>
      </x:c>
      <x:c r="D2271" t="str">
        <x:v>MT</x:v>
      </x:c>
      <x:c r="E2271" t="str">
        <x:v>Centro-Oeste</x:v>
      </x:c>
      <x:c r="F2271" t="str">
        <x:v>Marketplace</x:v>
      </x:c>
      <x:c r="G2271" t="str">
        <x:v>Acessórios</x:v>
      </x:c>
      <x:c r="H2271" t="str">
        <x:v>Hub USB-C</x:v>
      </x:c>
      <x:c r="I2271" t="str">
        <x:v>Diego</x:v>
      </x:c>
      <x:c r="J2271" s="53" t="n">
        <x:v>7</x:v>
      </x:c>
      <x:c r="K2271" s="54" t="n">
        <x:v>305.95</x:v>
      </x:c>
      <x:c r="L2271" s="54" t="n">
        <x:v>138.05</x:v>
      </x:c>
      <x:c r="M2271" s="55" t="n">
        <x:v>0.035</x:v>
      </x:c>
      <x:c r="N2271" s="54" t="n">
        <x:f>ROUND(J2271*K2271,2)</x:f>
        <x:v>2141.65</x:v>
      </x:c>
      <x:c r="O2271" s="54" t="n">
        <x:f>ROUND(N2271*(1-M2271),2)</x:f>
        <x:v>2066.69</x:v>
      </x:c>
      <x:c r="P2271" s="54" t="n">
        <x:f>ROUND(J2271*L2271,2)</x:f>
        <x:v>966.35</x:v>
      </x:c>
      <x:c r="Q2271" s="54" t="n">
        <x:f>ROUND(O2271-P2271,2)</x:f>
        <x:v>1100.34</x:v>
      </x:c>
      <x:c r="R2271" s="55" t="n">
        <x:f>IF(O2271=0,0,ROUND(Q2271/O2271,4))</x:f>
        <x:v>0.5324</x:v>
      </x:c>
      <x:c r="S2271" s="53" t="n">
        <x:v>6</x:v>
      </x:c>
      <x:c r="T2271" t="str">
        <x:v>Entregue</x:v>
      </x:c>
      <x:c r="U2271" t="n">
        <x:v>2</x:v>
      </x:c>
      <x:c r="V2271" t="str"/>
    </x:row>
    <x:row r="2272">
      <x:c r="A2272" s="52" t="n">
        <x:v>46039</x:v>
      </x:c>
      <x:c r="B2272" t="str">
        <x:v>PED-102271</x:v>
      </x:c>
      <x:c r="C2272" t="str">
        <x:v>Cliente 090</x:v>
      </x:c>
      <x:c r="D2272" t="str">
        <x:v>MA</x:v>
      </x:c>
      <x:c r="E2272" t="str">
        <x:v>Nordeste</x:v>
      </x:c>
      <x:c r="F2272" t="str">
        <x:v>Televendas</x:v>
      </x:c>
      <x:c r="G2272" t="str">
        <x:v>Acessórios</x:v>
      </x:c>
      <x:c r="H2272" t="str">
        <x:v>Hub USB-C</x:v>
      </x:c>
      <x:c r="I2272" t="str">
        <x:v>Isabela</x:v>
      </x:c>
      <x:c r="J2272" s="53" t="n">
        <x:v>6</x:v>
      </x:c>
      <x:c r="K2272" s="54" t="n">
        <x:v>322.93</x:v>
      </x:c>
      <x:c r="L2272" s="54" t="n">
        <x:v>138.35</x:v>
      </x:c>
      <x:c r="M2272" s="55" t="n">
        <x:v>0</x:v>
      </x:c>
      <x:c r="N2272" s="54" t="n">
        <x:f>ROUND(J2272*K2272,2)</x:f>
        <x:v>1937.58</x:v>
      </x:c>
      <x:c r="O2272" s="54" t="n">
        <x:f>ROUND(N2272*(1-M2272),2)</x:f>
        <x:v>1937.58</x:v>
      </x:c>
      <x:c r="P2272" s="54" t="n">
        <x:f>ROUND(J2272*L2272,2)</x:f>
        <x:v>830.1</x:v>
      </x:c>
      <x:c r="Q2272" s="54" t="n">
        <x:f>ROUND(O2272-P2272,2)</x:f>
        <x:v>1107.48</x:v>
      </x:c>
      <x:c r="R2272" s="55" t="n">
        <x:f>IF(O2272=0,0,ROUND(Q2272/O2272,4))</x:f>
        <x:v>0.5716</x:v>
      </x:c>
      <x:c r="S2272" s="53" t="n">
        <x:v>4</x:v>
      </x:c>
      <x:c r="T2272" t="str">
        <x:v>Entregue</x:v>
      </x:c>
      <x:c r="U2272" t="n">
        <x:v>5</x:v>
      </x:c>
      <x:c r="V2272" t="str"/>
    </x:row>
    <x:row r="2273">
      <x:c r="A2273" s="52" t="n">
        <x:v>46225</x:v>
      </x:c>
      <x:c r="B2273" t="str">
        <x:v>PED-102272</x:v>
      </x:c>
      <x:c r="C2273" t="str">
        <x:v>Cliente 077</x:v>
      </x:c>
      <x:c r="D2273" t="str">
        <x:v>RJ</x:v>
      </x:c>
      <x:c r="E2273" t="str">
        <x:v>Sudeste</x:v>
      </x:c>
      <x:c r="F2273" t="str">
        <x:v>E-commerce</x:v>
      </x:c>
      <x:c r="G2273" t="str">
        <x:v>Acessórios</x:v>
      </x:c>
      <x:c r="H2273" t="str">
        <x:v>Hub USB-C</x:v>
      </x:c>
      <x:c r="I2273" t="str">
        <x:v>Isabela</x:v>
      </x:c>
      <x:c r="J2273" s="53" t="n">
        <x:v>6</x:v>
      </x:c>
      <x:c r="K2273" s="54" t="n">
        <x:v>335.98</x:v>
      </x:c>
      <x:c r="L2273" s="54" t="n">
        <x:v>132.43</x:v>
      </x:c>
      <x:c r="M2273" s="55" t="n">
        <x:v>0</x:v>
      </x:c>
      <x:c r="N2273" s="54" t="n">
        <x:f>ROUND(J2273*K2273,2)</x:f>
        <x:v>2015.88</x:v>
      </x:c>
      <x:c r="O2273" s="54" t="n">
        <x:f>ROUND(N2273*(1-M2273),2)</x:f>
        <x:v>2015.88</x:v>
      </x:c>
      <x:c r="P2273" s="54" t="n">
        <x:f>ROUND(J2273*L2273,2)</x:f>
        <x:v>794.58</x:v>
      </x:c>
      <x:c r="Q2273" s="54" t="n">
        <x:f>ROUND(O2273-P2273,2)</x:f>
        <x:v>1221.3</x:v>
      </x:c>
      <x:c r="R2273" s="55" t="n">
        <x:f>IF(O2273=0,0,ROUND(Q2273/O2273,4))</x:f>
        <x:v>0.6058</x:v>
      </x:c>
      <x:c r="S2273" s="53" t="n">
        <x:v>6</x:v>
      </x:c>
      <x:c r="T2273" t="str">
        <x:v>Entregue</x:v>
      </x:c>
      <x:c r="U2273" t="n">
        <x:v>5</x:v>
      </x:c>
      <x:c r="V2273" t="str"/>
    </x:row>
    <x:row r="2274">
      <x:c r="A2274" s="52" t="n">
        <x:v>46060</x:v>
      </x:c>
      <x:c r="B2274" t="str">
        <x:v>PED-102273</x:v>
      </x:c>
      <x:c r="C2274" t="str">
        <x:v>Cliente 002</x:v>
      </x:c>
      <x:c r="D2274" t="str">
        <x:v>SC</x:v>
      </x:c>
      <x:c r="E2274" t="str">
        <x:v>Sul</x:v>
      </x:c>
      <x:c r="F2274" t="str">
        <x:v>Marketplace</x:v>
      </x:c>
      <x:c r="G2274" t="str">
        <x:v>Tecnologia</x:v>
      </x:c>
      <x:c r="H2274" t="str">
        <x:v>Notebook Pro</x:v>
      </x:c>
      <x:c r="I2274" t="str">
        <x:v>João</x:v>
      </x:c>
      <x:c r="J2274" s="53" t="n">
        <x:v>6</x:v>
      </x:c>
      <x:c r="K2274" s="54" t="n">
        <x:v>6062.35</x:v>
      </x:c>
      <x:c r="L2274" s="54" t="n">
        <x:v>4181.61</x:v>
      </x:c>
      <x:c r="M2274" s="55" t="n">
        <x:v>0.0552</x:v>
      </x:c>
      <x:c r="N2274" s="54" t="n">
        <x:f>ROUND(J2274*K2274,2)</x:f>
        <x:v>36374.1</x:v>
      </x:c>
      <x:c r="O2274" s="54" t="n">
        <x:f>ROUND(N2274*(1-M2274),2)</x:f>
        <x:v>34366.25</x:v>
      </x:c>
      <x:c r="P2274" s="54" t="n">
        <x:f>ROUND(J2274*L2274,2)</x:f>
        <x:v>25089.66</x:v>
      </x:c>
      <x:c r="Q2274" s="54" t="n">
        <x:f>ROUND(O2274-P2274,2)</x:f>
        <x:v>9276.59</x:v>
      </x:c>
      <x:c r="R2274" s="55" t="n">
        <x:f>IF(O2274=0,0,ROUND(Q2274/O2274,4))</x:f>
        <x:v>0.2699</x:v>
      </x:c>
      <x:c r="S2274" s="53" t="n">
        <x:v>4</x:v>
      </x:c>
      <x:c r="T2274" t="str">
        <x:v>Entregue</x:v>
      </x:c>
      <x:c r="U2274" t="n">
        <x:v>3</x:v>
      </x:c>
      <x:c r="V2274" t="str"/>
    </x:row>
    <x:row r="2275">
      <x:c r="A2275" s="52" t="n">
        <x:v>46171</x:v>
      </x:c>
      <x:c r="B2275" t="str">
        <x:v>PED-102274</x:v>
      </x:c>
      <x:c r="C2275" t="str">
        <x:v>Cliente 069</x:v>
      </x:c>
      <x:c r="D2275" t="str">
        <x:v>SP</x:v>
      </x:c>
      <x:c r="E2275" t="str">
        <x:v>Sudeste</x:v>
      </x:c>
      <x:c r="F2275" t="str">
        <x:v>Marketplace</x:v>
      </x:c>
      <x:c r="G2275" t="str">
        <x:v>Escritório</x:v>
      </x:c>
      <x:c r="H2275" t="str">
        <x:v>Cadeira Ergonômica</x:v>
      </x:c>
      <x:c r="I2275" t="str">
        <x:v>Henrique</x:v>
      </x:c>
      <x:c r="J2275" s="53" t="n">
        <x:v>7</x:v>
      </x:c>
      <x:c r="K2275" s="54" t="n">
        <x:v>2082.64</x:v>
      </x:c>
      <x:c r="L2275" s="54" t="n">
        <x:v>1418.81</x:v>
      </x:c>
      <x:c r="M2275" s="55" t="n">
        <x:v>0.035</x:v>
      </x:c>
      <x:c r="N2275" s="54" t="n">
        <x:f>ROUND(J2275*K2275,2)</x:f>
        <x:v>14578.48</x:v>
      </x:c>
      <x:c r="O2275" s="54" t="n">
        <x:f>ROUND(N2275*(1-M2275),2)</x:f>
        <x:v>14068.23</x:v>
      </x:c>
      <x:c r="P2275" s="54" t="n">
        <x:f>ROUND(J2275*L2275,2)</x:f>
        <x:v>9931.67</x:v>
      </x:c>
      <x:c r="Q2275" s="54" t="n">
        <x:f>ROUND(O2275-P2275,2)</x:f>
        <x:v>4136.56</x:v>
      </x:c>
      <x:c r="R2275" s="55" t="n">
        <x:f>IF(O2275=0,0,ROUND(Q2275/O2275,4))</x:f>
        <x:v>0.294</x:v>
      </x:c>
      <x:c r="S2275" s="53" t="n">
        <x:v>11</x:v>
      </x:c>
      <x:c r="T2275" t="str">
        <x:v>Entregue com atraso</x:v>
      </x:c>
      <x:c r="U2275" t="n">
        <x:v>2</x:v>
      </x:c>
      <x:c r="V2275" t="str"/>
    </x:row>
    <x:row r="2276">
      <x:c r="A2276" s="52" t="n">
        <x:v>46150</x:v>
      </x:c>
      <x:c r="B2276" t="str">
        <x:v>PED-102275</x:v>
      </x:c>
      <x:c r="C2276" t="str">
        <x:v>Cliente 021</x:v>
      </x:c>
      <x:c r="D2276" t="str">
        <x:v>ES</x:v>
      </x:c>
      <x:c r="E2276" t="str">
        <x:v>Sudeste</x:v>
      </x:c>
      <x:c r="F2276" t="str">
        <x:v>E-commerce</x:v>
      </x:c>
      <x:c r="G2276" t="str">
        <x:v>Escritório</x:v>
      </x:c>
      <x:c r="H2276" t="str">
        <x:v>Luminária LED</x:v>
      </x:c>
      <x:c r="I2276" t="str">
        <x:v>Henrique</x:v>
      </x:c>
      <x:c r="J2276" s="53" t="n">
        <x:v>6</x:v>
      </x:c>
      <x:c r="K2276" s="54" t="n">
        <x:v>267.77</x:v>
      </x:c>
      <x:c r="L2276" s="54" t="n">
        <x:v>114.32</x:v>
      </x:c>
      <x:c r="M2276" s="55" t="n">
        <x:v>0.0474</x:v>
      </x:c>
      <x:c r="N2276" s="54" t="n">
        <x:f>ROUND(J2276*K2276,2)</x:f>
        <x:v>1606.62</x:v>
      </x:c>
      <x:c r="O2276" s="54" t="n">
        <x:f>ROUND(N2276*(1-M2276),2)</x:f>
        <x:v>1530.47</x:v>
      </x:c>
      <x:c r="P2276" s="54" t="n">
        <x:f>ROUND(J2276*L2276,2)</x:f>
        <x:v>685.92</x:v>
      </x:c>
      <x:c r="Q2276" s="54" t="n">
        <x:f>ROUND(O2276-P2276,2)</x:f>
        <x:v>844.55</x:v>
      </x:c>
      <x:c r="R2276" s="55" t="n">
        <x:f>IF(O2276=0,0,ROUND(Q2276/O2276,4))</x:f>
        <x:v>0.5518</x:v>
      </x:c>
      <x:c r="S2276" s="53" t="n">
        <x:v>9</x:v>
      </x:c>
      <x:c r="T2276" t="str">
        <x:v>Cancelado</x:v>
      </x:c>
      <x:c r="U2276"/>
      <x:c r="V2276" t="str"/>
    </x:row>
    <x:row r="2277">
      <x:c r="A2277" s="52" t="n">
        <x:v>46199</x:v>
      </x:c>
      <x:c r="B2277" t="str">
        <x:v>PED-102276</x:v>
      </x:c>
      <x:c r="C2277" t="str">
        <x:v>Cliente 014</x:v>
      </x:c>
      <x:c r="D2277" t="str">
        <x:v>RS</x:v>
      </x:c>
      <x:c r="E2277" t="str">
        <x:v>Sul</x:v>
      </x:c>
      <x:c r="F2277" t="str">
        <x:v>E-commerce</x:v>
      </x:c>
      <x:c r="G2277" t="str">
        <x:v>Tecnologia</x:v>
      </x:c>
      <x:c r="H2277" t="str">
        <x:v>Headset Office</x:v>
      </x:c>
      <x:c r="I2277" t="str">
        <x:v>Elaine</x:v>
      </x:c>
      <x:c r="J2277" s="53" t="n">
        <x:v>2</x:v>
      </x:c>
      <x:c r="K2277" s="54" t="n">
        <x:v>393.17</x:v>
      </x:c>
      <x:c r="L2277" s="54" t="n">
        <x:v>202.03</x:v>
      </x:c>
      <x:c r="M2277" s="55" t="n">
        <x:v>0.0715</x:v>
      </x:c>
      <x:c r="N2277" s="54" t="n">
        <x:f>ROUND(J2277*K2277,2)</x:f>
        <x:v>786.34</x:v>
      </x:c>
      <x:c r="O2277" s="54" t="n">
        <x:f>ROUND(N2277*(1-M2277),2)</x:f>
        <x:v>730.12</x:v>
      </x:c>
      <x:c r="P2277" s="54" t="n">
        <x:f>ROUND(J2277*L2277,2)</x:f>
        <x:v>404.06</x:v>
      </x:c>
      <x:c r="Q2277" s="54" t="n">
        <x:f>ROUND(O2277-P2277,2)</x:f>
        <x:v>326.06</x:v>
      </x:c>
      <x:c r="R2277" s="55" t="n">
        <x:f>IF(O2277=0,0,ROUND(Q2277/O2277,4))</x:f>
        <x:v>0.4466</x:v>
      </x:c>
      <x:c r="S2277" s="53" t="n">
        <x:v>12</x:v>
      </x:c>
      <x:c r="T2277" t="str">
        <x:v>Entregue com atraso</x:v>
      </x:c>
      <x:c r="U2277" t="n">
        <x:v>2</x:v>
      </x:c>
      <x:c r="V2277" t="str"/>
    </x:row>
    <x:row r="2278">
      <x:c r="A2278" s="52" t="n">
        <x:v>46103</x:v>
      </x:c>
      <x:c r="B2278" t="str">
        <x:v>PED-102277</x:v>
      </x:c>
      <x:c r="C2278" t="str">
        <x:v>Cliente 114</x:v>
      </x:c>
      <x:c r="D2278" t="str">
        <x:v>DF</x:v>
      </x:c>
      <x:c r="E2278" t="str">
        <x:v>Centro-Oeste</x:v>
      </x:c>
      <x:c r="F2278" t="str">
        <x:v>E-commerce</x:v>
      </x:c>
      <x:c r="G2278" t="str">
        <x:v>Escritório</x:v>
      </x:c>
      <x:c r="H2278" t="str">
        <x:v>Luminária LED</x:v>
      </x:c>
      <x:c r="I2278" t="str">
        <x:v>Elaine</x:v>
      </x:c>
      <x:c r="J2278" s="53" t="n">
        <x:v>7</x:v>
      </x:c>
      <x:c r="K2278" s="54" t="n">
        <x:v>246.17</x:v>
      </x:c>
      <x:c r="L2278" s="54" t="n">
        <x:v>116.89</x:v>
      </x:c>
      <x:c r="M2278" s="55" t="n">
        <x:v>0.0359</x:v>
      </x:c>
      <x:c r="N2278" s="54" t="n">
        <x:f>ROUND(J2278*K2278,2)</x:f>
        <x:v>1723.19</x:v>
      </x:c>
      <x:c r="O2278" s="54" t="n">
        <x:f>ROUND(N2278*(1-M2278),2)</x:f>
        <x:v>1661.33</x:v>
      </x:c>
      <x:c r="P2278" s="54" t="n">
        <x:f>ROUND(J2278*L2278,2)</x:f>
        <x:v>818.23</x:v>
      </x:c>
      <x:c r="Q2278" s="54" t="n">
        <x:f>ROUND(O2278-P2278,2)</x:f>
        <x:v>843.1</x:v>
      </x:c>
      <x:c r="R2278" s="55" t="n">
        <x:f>IF(O2278=0,0,ROUND(Q2278/O2278,4))</x:f>
        <x:v>0.5075</x:v>
      </x:c>
      <x:c r="S2278" s="53" t="n">
        <x:v>8</x:v>
      </x:c>
      <x:c r="T2278" t="str">
        <x:v>Entregue</x:v>
      </x:c>
      <x:c r="U2278" t="n">
        <x:v>2</x:v>
      </x:c>
      <x:c r="V2278" t="str"/>
    </x:row>
    <x:row r="2279">
      <x:c r="A2279" s="52" t="n">
        <x:v>46093</x:v>
      </x:c>
      <x:c r="B2279" t="str">
        <x:v>PED-102278</x:v>
      </x:c>
      <x:c r="C2279" t="str">
        <x:v>Cliente 093</x:v>
      </x:c>
      <x:c r="D2279" t="str">
        <x:v>CE</x:v>
      </x:c>
      <x:c r="E2279" t="str">
        <x:v>Nordeste</x:v>
      </x:c>
      <x:c r="F2279" t="str">
        <x:v>Marketplace</x:v>
      </x:c>
      <x:c r="G2279" t="str">
        <x:v>Tecnologia</x:v>
      </x:c>
      <x:c r="H2279" t="str">
        <x:v>Monitor 27</x:v>
      </x:c>
      <x:c r="I2279" t="str">
        <x:v>Elaine</x:v>
      </x:c>
      <x:c r="J2279" s="53" t="n">
        <x:v>1</x:v>
      </x:c>
      <x:c r="K2279" s="54" t="n">
        <x:v>1722.77</x:v>
      </x:c>
      <x:c r="L2279" s="54" t="n">
        <x:v>1092.93</x:v>
      </x:c>
      <x:c r="M2279" s="55" t="n">
        <x:v>0.035</x:v>
      </x:c>
      <x:c r="N2279" s="54" t="n">
        <x:f>ROUND(J2279*K2279,2)</x:f>
        <x:v>1722.77</x:v>
      </x:c>
      <x:c r="O2279" s="54" t="n">
        <x:f>ROUND(N2279*(1-M2279),2)</x:f>
        <x:v>1662.47</x:v>
      </x:c>
      <x:c r="P2279" s="54" t="n">
        <x:f>ROUND(J2279*L2279,2)</x:f>
        <x:v>1092.93</x:v>
      </x:c>
      <x:c r="Q2279" s="54" t="n">
        <x:f>ROUND(O2279-P2279,2)</x:f>
        <x:v>569.54</x:v>
      </x:c>
      <x:c r="R2279" s="55" t="n">
        <x:f>IF(O2279=0,0,ROUND(Q2279/O2279,4))</x:f>
        <x:v>0.3426</x:v>
      </x:c>
      <x:c r="S2279" s="53" t="n">
        <x:v>11</x:v>
      </x:c>
      <x:c r="T2279" t="str">
        <x:v>Entregue com atraso</x:v>
      </x:c>
      <x:c r="U2279" t="n">
        <x:v>2</x:v>
      </x:c>
      <x:c r="V2279" t="str"/>
    </x:row>
    <x:row r="2280">
      <x:c r="A2280" s="52" t="n">
        <x:v>46205</x:v>
      </x:c>
      <x:c r="B2280" t="str">
        <x:v>PED-102279</x:v>
      </x:c>
      <x:c r="C2280" t="str">
        <x:v>Cliente 020</x:v>
      </x:c>
      <x:c r="D2280" t="str">
        <x:v>CE</x:v>
      </x:c>
      <x:c r="E2280" t="str">
        <x:v>Nordeste</x:v>
      </x:c>
      <x:c r="F2280" t="str">
        <x:v>Marketplace</x:v>
      </x:c>
      <x:c r="G2280" t="str">
        <x:v>Tecnologia</x:v>
      </x:c>
      <x:c r="H2280" t="str">
        <x:v>Notebook Pro</x:v>
      </x:c>
      <x:c r="I2280" t="str">
        <x:v>Isabela</x:v>
      </x:c>
      <x:c r="J2280" s="53" t="n">
        <x:v>3</x:v>
      </x:c>
      <x:c r="K2280" s="54" t="n">
        <x:v>5587.98</x:v>
      </x:c>
      <x:c r="L2280" s="54" t="n">
        <x:v>4459.78</x:v>
      </x:c>
      <x:c r="M2280" s="55" t="n">
        <x:v>0.035</x:v>
      </x:c>
      <x:c r="N2280" s="54" t="n">
        <x:f>ROUND(J2280*K2280,2)</x:f>
        <x:v>16763.94</x:v>
      </x:c>
      <x:c r="O2280" s="54" t="n">
        <x:f>ROUND(N2280*(1-M2280),2)</x:f>
        <x:v>16177.2</x:v>
      </x:c>
      <x:c r="P2280" s="54" t="n">
        <x:f>ROUND(J2280*L2280,2)</x:f>
        <x:v>13379.34</x:v>
      </x:c>
      <x:c r="Q2280" s="54" t="n">
        <x:f>ROUND(O2280-P2280,2)</x:f>
        <x:v>2797.86</x:v>
      </x:c>
      <x:c r="R2280" s="55" t="n">
        <x:f>IF(O2280=0,0,ROUND(Q2280/O2280,4))</x:f>
        <x:v>0.173</x:v>
      </x:c>
      <x:c r="S2280" s="53" t="n">
        <x:v>14</x:v>
      </x:c>
      <x:c r="T2280" t="str">
        <x:v>Entregue com atraso</x:v>
      </x:c>
      <x:c r="U2280" t="n">
        <x:v>4</x:v>
      </x:c>
      <x:c r="V2280" t="str"/>
    </x:row>
    <x:row r="2281">
      <x:c r="A2281" s="52" t="n">
        <x:v>46069</x:v>
      </x:c>
      <x:c r="B2281" t="str">
        <x:v>PED-102280</x:v>
      </x:c>
      <x:c r="C2281" t="str">
        <x:v>Cliente 049</x:v>
      </x:c>
      <x:c r="D2281" t="str">
        <x:v>AM</x:v>
      </x:c>
      <x:c r="E2281" t="str">
        <x:v>Norte</x:v>
      </x:c>
      <x:c r="F2281" t="str">
        <x:v>Loja</x:v>
      </x:c>
      <x:c r="G2281" t="str">
        <x:v>Casa</x:v>
      </x:c>
      <x:c r="H2281" t="str">
        <x:v>Aspirador Robô</x:v>
      </x:c>
      <x:c r="I2281" t="str">
        <x:v>Elaine</x:v>
      </x:c>
      <x:c r="J2281" s="53" t="n">
        <x:v>8</x:v>
      </x:c>
      <x:c r="K2281" s="54" t="n">
        <x:v>1990.55</x:v>
      </x:c>
      <x:c r="L2281" s="54" t="n">
        <x:v>1184.2</x:v>
      </x:c>
      <x:c r="M2281" s="55" t="n">
        <x:v>0.1113</x:v>
      </x:c>
      <x:c r="N2281" s="54" t="n">
        <x:f>ROUND(J2281*K2281,2)</x:f>
        <x:v>15924.4</x:v>
      </x:c>
      <x:c r="O2281" s="54" t="n">
        <x:f>ROUND(N2281*(1-M2281),2)</x:f>
        <x:v>14152.01</x:v>
      </x:c>
      <x:c r="P2281" s="54" t="n">
        <x:f>ROUND(J2281*L2281,2)</x:f>
        <x:v>9473.6</x:v>
      </x:c>
      <x:c r="Q2281" s="54" t="n">
        <x:f>ROUND(O2281-P2281,2)</x:f>
        <x:v>4678.41</x:v>
      </x:c>
      <x:c r="R2281" s="55" t="n">
        <x:f>IF(O2281=0,0,ROUND(Q2281/O2281,4))</x:f>
        <x:v>0.3306</x:v>
      </x:c>
      <x:c r="S2281" s="53" t="n">
        <x:v>6</x:v>
      </x:c>
      <x:c r="T2281" t="str">
        <x:v>Entregue</x:v>
      </x:c>
      <x:c r="U2281" t="n">
        <x:v>4</x:v>
      </x:c>
      <x:c r="V2281" t="str"/>
    </x:row>
    <x:row r="2282">
      <x:c r="A2282" s="52" t="n">
        <x:v>46091</x:v>
      </x:c>
      <x:c r="B2282" t="str">
        <x:v>PED-102281</x:v>
      </x:c>
      <x:c r="C2282" t="str">
        <x:v>Cliente 069</x:v>
      </x:c>
      <x:c r="D2282" t="str">
        <x:v>PR</x:v>
      </x:c>
      <x:c r="E2282" t="str">
        <x:v>Sul</x:v>
      </x:c>
      <x:c r="F2282" t="str">
        <x:v>Televendas</x:v>
      </x:c>
      <x:c r="G2282" t="str">
        <x:v>Escritório</x:v>
      </x:c>
      <x:c r="H2282" t="str">
        <x:v>Luminária LED</x:v>
      </x:c>
      <x:c r="I2282" t="str">
        <x:v>Gabriela</x:v>
      </x:c>
      <x:c r="J2282" s="53" t="n">
        <x:v>1</x:v>
      </x:c>
      <x:c r="K2282" s="54" t="n">
        <x:v>266.68</x:v>
      </x:c>
      <x:c r="L2282" s="54" t="n">
        <x:v>121.24</x:v>
      </x:c>
      <x:c r="M2282" s="55" t="n">
        <x:v>0.0512</x:v>
      </x:c>
      <x:c r="N2282" s="54" t="n">
        <x:f>ROUND(J2282*K2282,2)</x:f>
        <x:v>266.68</x:v>
      </x:c>
      <x:c r="O2282" s="54" t="n">
        <x:f>ROUND(N2282*(1-M2282),2)</x:f>
        <x:v>253.03</x:v>
      </x:c>
      <x:c r="P2282" s="54" t="n">
        <x:f>ROUND(J2282*L2282,2)</x:f>
        <x:v>121.24</x:v>
      </x:c>
      <x:c r="Q2282" s="54" t="n">
        <x:f>ROUND(O2282-P2282,2)</x:f>
        <x:v>131.79</x:v>
      </x:c>
      <x:c r="R2282" s="55" t="n">
        <x:f>IF(O2282=0,0,ROUND(Q2282/O2282,4))</x:f>
        <x:v>0.5208</x:v>
      </x:c>
      <x:c r="S2282" s="53" t="n">
        <x:v>4</x:v>
      </x:c>
      <x:c r="T2282" t="str">
        <x:v>Entregue</x:v>
      </x:c>
      <x:c r="U2282" t="n">
        <x:v>5</x:v>
      </x:c>
      <x:c r="V2282" t="str"/>
    </x:row>
    <x:row r="2283">
      <x:c r="A2283" s="52" t="n">
        <x:v>46071</x:v>
      </x:c>
      <x:c r="B2283" t="str">
        <x:v>PED-102282</x:v>
      </x:c>
      <x:c r="C2283" t="str">
        <x:v>Cliente 073</x:v>
      </x:c>
      <x:c r="D2283" t="str">
        <x:v>SP</x:v>
      </x:c>
      <x:c r="E2283" t="str">
        <x:v>Sudeste</x:v>
      </x:c>
      <x:c r="F2283" t="str">
        <x:v>Loja</x:v>
      </x:c>
      <x:c r="G2283" t="str">
        <x:v>Acessórios</x:v>
      </x:c>
      <x:c r="H2283" t="str">
        <x:v>Hub USB-C</x:v>
      </x:c>
      <x:c r="I2283" t="str">
        <x:v>Carla</x:v>
      </x:c>
      <x:c r="J2283" s="53" t="n">
        <x:v>4</x:v>
      </x:c>
      <x:c r="K2283" s="54" t="n">
        <x:v>305.99</x:v>
      </x:c>
      <x:c r="L2283" s="54" t="n">
        <x:v>131.54</x:v>
      </x:c>
      <x:c r="M2283" s="55" t="n">
        <x:v>0.0932</x:v>
      </x:c>
      <x:c r="N2283" s="54" t="n">
        <x:f>ROUND(J2283*K2283,2)</x:f>
        <x:v>1223.96</x:v>
      </x:c>
      <x:c r="O2283" s="54" t="n">
        <x:f>ROUND(N2283*(1-M2283),2)</x:f>
        <x:v>1109.89</x:v>
      </x:c>
      <x:c r="P2283" s="54" t="n">
        <x:f>ROUND(J2283*L2283,2)</x:f>
        <x:v>526.16</x:v>
      </x:c>
      <x:c r="Q2283" s="54" t="n">
        <x:f>ROUND(O2283-P2283,2)</x:f>
        <x:v>583.73</x:v>
      </x:c>
      <x:c r="R2283" s="55" t="n">
        <x:f>IF(O2283=0,0,ROUND(Q2283/O2283,4))</x:f>
        <x:v>0.5259</x:v>
      </x:c>
      <x:c r="S2283" s="53" t="n">
        <x:v>10</x:v>
      </x:c>
      <x:c r="T2283" t="str">
        <x:v>Entregue</x:v>
      </x:c>
      <x:c r="U2283" t="n">
        <x:v>4</x:v>
      </x:c>
      <x:c r="V2283" t="str"/>
    </x:row>
    <x:row r="2284">
      <x:c r="A2284" s="52" t="n">
        <x:v>46137</x:v>
      </x:c>
      <x:c r="B2284" t="str">
        <x:v>PED-102283</x:v>
      </x:c>
      <x:c r="C2284" t="str">
        <x:v>Cliente 007</x:v>
      </x:c>
      <x:c r="D2284" t="str">
        <x:v>MT</x:v>
      </x:c>
      <x:c r="E2284" t="str">
        <x:v>Centro-Oeste</x:v>
      </x:c>
      <x:c r="F2284" t="str">
        <x:v>E-commerce</x:v>
      </x:c>
      <x:c r="G2284" t="str">
        <x:v>Escritório</x:v>
      </x:c>
      <x:c r="H2284" t="str">
        <x:v>Mesa Ajustável</x:v>
      </x:c>
      <x:c r="I2284" t="str">
        <x:v>Diego</x:v>
      </x:c>
      <x:c r="J2284" s="53" t="n">
        <x:v>1</x:v>
      </x:c>
      <x:c r="K2284" s="54" t="n">
        <x:v>2674.58</x:v>
      </x:c>
      <x:c r="L2284" s="54" t="n">
        <x:v>1839.69</x:v>
      </x:c>
      <x:c r="M2284" s="55" t="n">
        <x:v>0.0469</x:v>
      </x:c>
      <x:c r="N2284" s="54" t="n">
        <x:f>ROUND(J2284*K2284,2)</x:f>
        <x:v>2674.58</x:v>
      </x:c>
      <x:c r="O2284" s="54" t="n">
        <x:f>ROUND(N2284*(1-M2284),2)</x:f>
        <x:v>2549.14</x:v>
      </x:c>
      <x:c r="P2284" s="54" t="n">
        <x:f>ROUND(J2284*L2284,2)</x:f>
        <x:v>1839.69</x:v>
      </x:c>
      <x:c r="Q2284" s="54" t="n">
        <x:f>ROUND(O2284-P2284,2)</x:f>
        <x:v>709.45</x:v>
      </x:c>
      <x:c r="R2284" s="55" t="n">
        <x:f>IF(O2284=0,0,ROUND(Q2284/O2284,4))</x:f>
        <x:v>0.2783</x:v>
      </x:c>
      <x:c r="S2284" s="53" t="n">
        <x:v>2</x:v>
      </x:c>
      <x:c r="T2284" t="str">
        <x:v>Entregue</x:v>
      </x:c>
      <x:c r="U2284" t="n">
        <x:v>2</x:v>
      </x:c>
      <x:c r="V2284" t="str"/>
    </x:row>
    <x:row r="2285">
      <x:c r="A2285" s="52" t="n">
        <x:v>46063</x:v>
      </x:c>
      <x:c r="B2285" t="str">
        <x:v>PED-102284</x:v>
      </x:c>
      <x:c r="C2285" t="str">
        <x:v>Cliente 061</x:v>
      </x:c>
      <x:c r="D2285" t="str">
        <x:v>MA</x:v>
      </x:c>
      <x:c r="E2285" t="str">
        <x:v>Nordeste</x:v>
      </x:c>
      <x:c r="F2285" t="str">
        <x:v>Televendas</x:v>
      </x:c>
      <x:c r="G2285" t="str">
        <x:v>Escritório</x:v>
      </x:c>
      <x:c r="H2285" t="str">
        <x:v>Cadeira Ergonômica</x:v>
      </x:c>
      <x:c r="I2285" t="str">
        <x:v>Diego</x:v>
      </x:c>
      <x:c r="J2285" s="53" t="n">
        <x:v>8</x:v>
      </x:c>
      <x:c r="K2285" s="54" t="n">
        <x:v>2158.84</x:v>
      </x:c>
      <x:c r="L2285" s="54" t="n">
        <x:v>1430.6</x:v>
      </x:c>
      <x:c r="M2285" s="55" t="n">
        <x:v>0.0376</x:v>
      </x:c>
      <x:c r="N2285" s="54" t="n">
        <x:f>ROUND(J2285*K2285,2)</x:f>
        <x:v>17270.72</x:v>
      </x:c>
      <x:c r="O2285" s="54" t="n">
        <x:f>ROUND(N2285*(1-M2285),2)</x:f>
        <x:v>16621.34</x:v>
      </x:c>
      <x:c r="P2285" s="54" t="n">
        <x:f>ROUND(J2285*L2285,2)</x:f>
        <x:v>11444.8</x:v>
      </x:c>
      <x:c r="Q2285" s="54" t="n">
        <x:f>ROUND(O2285-P2285,2)</x:f>
        <x:v>5176.54</x:v>
      </x:c>
      <x:c r="R2285" s="55" t="n">
        <x:f>IF(O2285=0,0,ROUND(Q2285/O2285,4))</x:f>
        <x:v>0.3114</x:v>
      </x:c>
      <x:c r="S2285" s="53" t="n">
        <x:v>13</x:v>
      </x:c>
      <x:c r="T2285" t="str">
        <x:v>Entregue com atraso</x:v>
      </x:c>
      <x:c r="U2285" t="n">
        <x:v>5</x:v>
      </x:c>
      <x:c r="V2285" t="str"/>
    </x:row>
    <x:row r="2286">
      <x:c r="A2286" s="52" t="n">
        <x:v>46102</x:v>
      </x:c>
      <x:c r="B2286" t="str">
        <x:v>PED-102285</x:v>
      </x:c>
      <x:c r="C2286" t="str">
        <x:v>Cliente 004</x:v>
      </x:c>
      <x:c r="D2286" t="str">
        <x:v>RS</x:v>
      </x:c>
      <x:c r="E2286" t="str">
        <x:v>Sul</x:v>
      </x:c>
      <x:c r="F2286" t="str">
        <x:v>Televendas</x:v>
      </x:c>
      <x:c r="G2286" t="str">
        <x:v>Escritório</x:v>
      </x:c>
      <x:c r="H2286" t="str">
        <x:v>Luminária LED</x:v>
      </x:c>
      <x:c r="I2286" t="str">
        <x:v>Bruno</x:v>
      </x:c>
      <x:c r="J2286" s="53" t="n">
        <x:v>2</x:v>
      </x:c>
      <x:c r="K2286" s="54" t="n">
        <x:v>246.75</x:v>
      </x:c>
      <x:c r="L2286" s="54" t="n">
        <x:v>113.67</x:v>
      </x:c>
      <x:c r="M2286" s="55" t="n">
        <x:v>0.0251</x:v>
      </x:c>
      <x:c r="N2286" s="54" t="n">
        <x:f>ROUND(J2286*K2286,2)</x:f>
        <x:v>493.5</x:v>
      </x:c>
      <x:c r="O2286" s="54" t="n">
        <x:f>ROUND(N2286*(1-M2286),2)</x:f>
        <x:v>481.11</x:v>
      </x:c>
      <x:c r="P2286" s="54" t="n">
        <x:f>ROUND(J2286*L2286,2)</x:f>
        <x:v>227.34</x:v>
      </x:c>
      <x:c r="Q2286" s="54" t="n">
        <x:f>ROUND(O2286-P2286,2)</x:f>
        <x:v>253.77</x:v>
      </x:c>
      <x:c r="R2286" s="55" t="n">
        <x:f>IF(O2286=0,0,ROUND(Q2286/O2286,4))</x:f>
        <x:v>0.5275</x:v>
      </x:c>
      <x:c r="S2286" s="53" t="n">
        <x:v>12</x:v>
      </x:c>
      <x:c r="T2286" t="str">
        <x:v>Cancelado</x:v>
      </x:c>
      <x:c r="U2286"/>
      <x:c r="V2286" t="str"/>
    </x:row>
    <x:row r="2287">
      <x:c r="A2287" s="52" t="n">
        <x:v>46060</x:v>
      </x:c>
      <x:c r="B2287" t="str">
        <x:v>PED-102286</x:v>
      </x:c>
      <x:c r="C2287" t="str">
        <x:v>Cliente 047</x:v>
      </x:c>
      <x:c r="D2287" t="str">
        <x:v>MT</x:v>
      </x:c>
      <x:c r="E2287" t="str">
        <x:v>Centro-Oeste</x:v>
      </x:c>
      <x:c r="F2287" t="str">
        <x:v>E-commerce</x:v>
      </x:c>
      <x:c r="G2287" t="str">
        <x:v>Casa</x:v>
      </x:c>
      <x:c r="H2287" t="str">
        <x:v>Purificador</x:v>
      </x:c>
      <x:c r="I2287" t="str">
        <x:v>Bruno</x:v>
      </x:c>
      <x:c r="J2287" s="53" t="n">
        <x:v>3</x:v>
      </x:c>
      <x:c r="K2287" s="54" t="n">
        <x:v>1243.88</x:v>
      </x:c>
      <x:c r="L2287" s="54" t="n">
        <x:v>786.32</x:v>
      </x:c>
      <x:c r="M2287" s="55" t="n">
        <x:v>0.0541</x:v>
      </x:c>
      <x:c r="N2287" s="54" t="n">
        <x:f>ROUND(J2287*K2287,2)</x:f>
        <x:v>3731.64</x:v>
      </x:c>
      <x:c r="O2287" s="54" t="n">
        <x:f>ROUND(N2287*(1-M2287),2)</x:f>
        <x:v>3529.76</x:v>
      </x:c>
      <x:c r="P2287" s="54" t="n">
        <x:f>ROUND(J2287*L2287,2)</x:f>
        <x:v>2358.96</x:v>
      </x:c>
      <x:c r="Q2287" s="54" t="n">
        <x:f>ROUND(O2287-P2287,2)</x:f>
        <x:v>1170.8</x:v>
      </x:c>
      <x:c r="R2287" s="55" t="n">
        <x:f>IF(O2287=0,0,ROUND(Q2287/O2287,4))</x:f>
        <x:v>0.3317</x:v>
      </x:c>
      <x:c r="S2287" s="53" t="n">
        <x:v>13</x:v>
      </x:c>
      <x:c r="T2287" t="str">
        <x:v>Entregue com atraso</x:v>
      </x:c>
      <x:c r="U2287" t="n">
        <x:v>4</x:v>
      </x:c>
      <x:c r="V2287" t="str"/>
    </x:row>
    <x:row r="2288">
      <x:c r="A2288" s="52" t="n">
        <x:v>46141</x:v>
      </x:c>
      <x:c r="B2288" t="str">
        <x:v>PED-102287</x:v>
      </x:c>
      <x:c r="C2288" t="str">
        <x:v>Cliente 082</x:v>
      </x:c>
      <x:c r="D2288" t="str">
        <x:v>RJ</x:v>
      </x:c>
      <x:c r="E2288" t="str">
        <x:v>Sudeste</x:v>
      </x:c>
      <x:c r="F2288" t="str">
        <x:v>Televendas</x:v>
      </x:c>
      <x:c r="G2288" t="str">
        <x:v>Acessórios</x:v>
      </x:c>
      <x:c r="H2288" t="str">
        <x:v>Hub USB-C</x:v>
      </x:c>
      <x:c r="I2288" t="str">
        <x:v>Diego</x:v>
      </x:c>
      <x:c r="J2288" s="53" t="n">
        <x:v>5</x:v>
      </x:c>
      <x:c r="K2288" s="54" t="n">
        <x:v>312.84</x:v>
      </x:c>
      <x:c r="L2288" s="54" t="n">
        <x:v>138.52</x:v>
      </x:c>
      <x:c r="M2288" s="55" t="n">
        <x:v>0.017</x:v>
      </x:c>
      <x:c r="N2288" s="54" t="n">
        <x:f>ROUND(J2288*K2288,2)</x:f>
        <x:v>1564.2</x:v>
      </x:c>
      <x:c r="O2288" s="54" t="n">
        <x:f>ROUND(N2288*(1-M2288),2)</x:f>
        <x:v>1537.61</x:v>
      </x:c>
      <x:c r="P2288" s="54" t="n">
        <x:f>ROUND(J2288*L2288,2)</x:f>
        <x:v>692.6</x:v>
      </x:c>
      <x:c r="Q2288" s="54" t="n">
        <x:f>ROUND(O2288-P2288,2)</x:f>
        <x:v>845.01</x:v>
      </x:c>
      <x:c r="R2288" s="55" t="n">
        <x:f>IF(O2288=0,0,ROUND(Q2288/O2288,4))</x:f>
        <x:v>0.5496</x:v>
      </x:c>
      <x:c r="S2288" s="53" t="n">
        <x:v>5</x:v>
      </x:c>
      <x:c r="T2288" t="str">
        <x:v>Entregue</x:v>
      </x:c>
      <x:c r="U2288" t="n">
        <x:v>4</x:v>
      </x:c>
      <x:c r="V2288" t="str"/>
    </x:row>
    <x:row r="2289">
      <x:c r="A2289" s="52" t="n">
        <x:v>46190</x:v>
      </x:c>
      <x:c r="B2289" t="str">
        <x:v>PED-102288</x:v>
      </x:c>
      <x:c r="C2289" t="str">
        <x:v>Cliente 097</x:v>
      </x:c>
      <x:c r="D2289" t="str">
        <x:v>PE</x:v>
      </x:c>
      <x:c r="E2289" t="str">
        <x:v>Nordeste</x:v>
      </x:c>
      <x:c r="F2289" t="str">
        <x:v>Loja</x:v>
      </x:c>
      <x:c r="G2289" t="str">
        <x:v>Casa</x:v>
      </x:c>
      <x:c r="H2289" t="str">
        <x:v>Cafeteira Smart</x:v>
      </x:c>
      <x:c r="I2289" t="str">
        <x:v>Felipe</x:v>
      </x:c>
      <x:c r="J2289" s="53" t="n">
        <x:v>5</x:v>
      </x:c>
      <x:c r="K2289" s="54" t="n">
        <x:v>768.56</x:v>
      </x:c>
      <x:c r="L2289" s="54" t="n">
        <x:v>463.67</x:v>
      </x:c>
      <x:c r="M2289" s="55" t="n">
        <x:v>0</x:v>
      </x:c>
      <x:c r="N2289" s="54" t="n">
        <x:f>ROUND(J2289*K2289,2)</x:f>
        <x:v>3842.8</x:v>
      </x:c>
      <x:c r="O2289" s="54" t="n">
        <x:f>ROUND(N2289*(1-M2289),2)</x:f>
        <x:v>3842.8</x:v>
      </x:c>
      <x:c r="P2289" s="54" t="n">
        <x:f>ROUND(J2289*L2289,2)</x:f>
        <x:v>2318.35</x:v>
      </x:c>
      <x:c r="Q2289" s="54" t="n">
        <x:f>ROUND(O2289-P2289,2)</x:f>
        <x:v>1524.45</x:v>
      </x:c>
      <x:c r="R2289" s="55" t="n">
        <x:f>IF(O2289=0,0,ROUND(Q2289/O2289,4))</x:f>
        <x:v>0.3967</x:v>
      </x:c>
      <x:c r="S2289" s="53" t="n">
        <x:v>12</x:v>
      </x:c>
      <x:c r="T2289" t="str">
        <x:v>Entregue com atraso</x:v>
      </x:c>
      <x:c r="U2289" t="n">
        <x:v>3</x:v>
      </x:c>
      <x:c r="V2289" t="str"/>
    </x:row>
    <x:row r="2290">
      <x:c r="A2290" s="52" t="n">
        <x:v>46121</x:v>
      </x:c>
      <x:c r="B2290" t="str">
        <x:v>PED-102289</x:v>
      </x:c>
      <x:c r="C2290" t="str">
        <x:v>Cliente 007</x:v>
      </x:c>
      <x:c r="D2290" t="str">
        <x:v>BA</x:v>
      </x:c>
      <x:c r="E2290" t="str">
        <x:v>Nordeste</x:v>
      </x:c>
      <x:c r="F2290" t="str">
        <x:v>E-commerce</x:v>
      </x:c>
      <x:c r="G2290" t="str">
        <x:v>Escritório</x:v>
      </x:c>
      <x:c r="H2290" t="str">
        <x:v>Mesa Ajustável</x:v>
      </x:c>
      <x:c r="I2290" t="str">
        <x:v>Isabela</x:v>
      </x:c>
      <x:c r="J2290" s="53" t="n">
        <x:v>8</x:v>
      </x:c>
      <x:c r="K2290" s="54" t="n">
        <x:v>2930.93</x:v>
      </x:c>
      <x:c r="L2290" s="54" t="n">
        <x:v>1905.19</x:v>
      </x:c>
      <x:c r="M2290" s="55" t="n">
        <x:v>0</x:v>
      </x:c>
      <x:c r="N2290" s="54" t="n">
        <x:f>ROUND(J2290*K2290,2)</x:f>
        <x:v>23447.44</x:v>
      </x:c>
      <x:c r="O2290" s="54" t="n">
        <x:f>ROUND(N2290*(1-M2290),2)</x:f>
        <x:v>23447.44</x:v>
      </x:c>
      <x:c r="P2290" s="54" t="n">
        <x:f>ROUND(J2290*L2290,2)</x:f>
        <x:v>15241.52</x:v>
      </x:c>
      <x:c r="Q2290" s="54" t="n">
        <x:f>ROUND(O2290-P2290,2)</x:f>
        <x:v>8205.92</x:v>
      </x:c>
      <x:c r="R2290" s="55" t="n">
        <x:f>IF(O2290=0,0,ROUND(Q2290/O2290,4))</x:f>
        <x:v>0.35</x:v>
      </x:c>
      <x:c r="S2290" s="53" t="n">
        <x:v>2</x:v>
      </x:c>
      <x:c r="T2290" t="str">
        <x:v>Entregue</x:v>
      </x:c>
      <x:c r="U2290" t="n">
        <x:v>2</x:v>
      </x:c>
      <x:c r="V2290" t="str"/>
    </x:row>
    <x:row r="2291">
      <x:c r="A2291" s="52" t="n">
        <x:v>46215</x:v>
      </x:c>
      <x:c r="B2291" t="str">
        <x:v>PED-102290</x:v>
      </x:c>
      <x:c r="C2291" t="str">
        <x:v>Cliente 101</x:v>
      </x:c>
      <x:c r="D2291" t="str">
        <x:v>GO</x:v>
      </x:c>
      <x:c r="E2291" t="str">
        <x:v>Centro-Oeste</x:v>
      </x:c>
      <x:c r="F2291" t="str">
        <x:v>Loja</x:v>
      </x:c>
      <x:c r="G2291" t="str">
        <x:v>Escritório</x:v>
      </x:c>
      <x:c r="H2291" t="str">
        <x:v>Luminária LED</x:v>
      </x:c>
      <x:c r="I2291" t="str">
        <x:v>Henrique</x:v>
      </x:c>
      <x:c r="J2291" s="53" t="n">
        <x:v>5</x:v>
      </x:c>
      <x:c r="K2291" s="54" t="n">
        <x:v>251.3</x:v>
      </x:c>
      <x:c r="L2291" s="54" t="n">
        <x:v>119.83</x:v>
      </x:c>
      <x:c r="M2291" s="55" t="n">
        <x:v>0.009</x:v>
      </x:c>
      <x:c r="N2291" s="54" t="n">
        <x:f>ROUND(J2291*K2291,2)</x:f>
        <x:v>1256.5</x:v>
      </x:c>
      <x:c r="O2291" s="54" t="n">
        <x:f>ROUND(N2291*(1-M2291),2)</x:f>
        <x:v>1245.19</x:v>
      </x:c>
      <x:c r="P2291" s="54" t="n">
        <x:f>ROUND(J2291*L2291,2)</x:f>
        <x:v>599.15</x:v>
      </x:c>
      <x:c r="Q2291" s="54" t="n">
        <x:f>ROUND(O2291-P2291,2)</x:f>
        <x:v>646.04</x:v>
      </x:c>
      <x:c r="R2291" s="55" t="n">
        <x:f>IF(O2291=0,0,ROUND(Q2291/O2291,4))</x:f>
        <x:v>0.5188</x:v>
      </x:c>
      <x:c r="S2291" s="53" t="n">
        <x:v>5</x:v>
      </x:c>
      <x:c r="T2291" t="str">
        <x:v>Entregue</x:v>
      </x:c>
      <x:c r="U2291" t="n">
        <x:v>3</x:v>
      </x:c>
      <x:c r="V2291" t="str"/>
    </x:row>
    <x:row r="2292">
      <x:c r="A2292" s="52" t="n">
        <x:v>46074</x:v>
      </x:c>
      <x:c r="B2292" t="str">
        <x:v>PED-101513</x:v>
      </x:c>
      <x:c r="C2292" t="str">
        <x:v>Cliente 077</x:v>
      </x:c>
      <x:c r="D2292" t="str">
        <x:v>MG</x:v>
      </x:c>
      <x:c r="E2292" t="str">
        <x:v>Sudeste</x:v>
      </x:c>
      <x:c r="F2292" t="str">
        <x:v>E-commerce</x:v>
      </x:c>
      <x:c r="G2292" t="str">
        <x:v>Escritório</x:v>
      </x:c>
      <x:c r="H2292" t="str">
        <x:v>Mesa Ajustável</x:v>
      </x:c>
      <x:c r="I2292" t="str">
        <x:v>Elaine</x:v>
      </x:c>
      <x:c r="J2292" s="53" t="n">
        <x:v>6</x:v>
      </x:c>
      <x:c r="K2292" s="54" t="n">
        <x:v>2898.93</x:v>
      </x:c>
      <x:c r="L2292" s="54" t="n">
        <x:v>1793.66</x:v>
      </x:c>
      <x:c r="M2292" s="55" t="n">
        <x:v>0.0912</x:v>
      </x:c>
      <x:c r="N2292" s="54" t="n">
        <x:f>ROUND(J2292*K2292,2)</x:f>
        <x:v>17393.58</x:v>
      </x:c>
      <x:c r="O2292" s="54" t="n">
        <x:f>ROUND(N2292*(1-M2292),2)</x:f>
        <x:v>15807.29</x:v>
      </x:c>
      <x:c r="P2292" s="54" t="n">
        <x:f>ROUND(J2292*L2292,2)</x:f>
        <x:v>10761.96</x:v>
      </x:c>
      <x:c r="Q2292" s="54" t="n">
        <x:f>ROUND(O2292-P2292,2)</x:f>
        <x:v>5045.33</x:v>
      </x:c>
      <x:c r="R2292" s="55" t="n">
        <x:f>IF(O2292=0,0,ROUND(Q2292/O2292,4))</x:f>
        <x:v>0.3192</x:v>
      </x:c>
      <x:c r="S2292" s="53" t="n">
        <x:v>11</x:v>
      </x:c>
      <x:c r="T2292" t="str">
        <x:v>Entregue com atraso</x:v>
      </x:c>
      <x:c r="U2292" t="n">
        <x:v>5</x:v>
      </x:c>
      <x:c r="V2292" t="str"/>
    </x:row>
    <x:row r="2293">
      <x:c r="A2293" s="52" t="n">
        <x:v>46213</x:v>
      </x:c>
      <x:c r="B2293" t="str">
        <x:v>PED-102292</x:v>
      </x:c>
      <x:c r="C2293" t="str">
        <x:v>Cliente 027</x:v>
      </x:c>
      <x:c r="D2293" t="str">
        <x:v>BA</x:v>
      </x:c>
      <x:c r="E2293" t="str">
        <x:v>Nordeste</x:v>
      </x:c>
      <x:c r="F2293" t="str">
        <x:v>E-commerce</x:v>
      </x:c>
      <x:c r="G2293" t="str">
        <x:v>Casa</x:v>
      </x:c>
      <x:c r="H2293" t="str">
        <x:v>Aspirador Robô</x:v>
      </x:c>
      <x:c r="I2293" t="str">
        <x:v>Diego</x:v>
      </x:c>
      <x:c r="J2293" s="53" t="n">
        <x:v>8</x:v>
      </x:c>
      <x:c r="K2293" s="54" t="n">
        <x:v>1879.52</x:v>
      </x:c>
      <x:c r="L2293" s="54" t="n">
        <x:v>1276.27</x:v>
      </x:c>
      <x:c r="M2293" s="55" t="n">
        <x:v>0.1072</x:v>
      </x:c>
      <x:c r="N2293" s="54" t="n">
        <x:f>ROUND(J2293*K2293,2)</x:f>
        <x:v>15036.16</x:v>
      </x:c>
      <x:c r="O2293" s="54" t="n">
        <x:f>ROUND(N2293*(1-M2293),2)</x:f>
        <x:v>13424.28</x:v>
      </x:c>
      <x:c r="P2293" s="54" t="n">
        <x:f>ROUND(J2293*L2293,2)</x:f>
        <x:v>10210.16</x:v>
      </x:c>
      <x:c r="Q2293" s="54" t="n">
        <x:f>ROUND(O2293-P2293,2)</x:f>
        <x:v>3214.12</x:v>
      </x:c>
      <x:c r="R2293" s="55" t="n">
        <x:f>IF(O2293=0,0,ROUND(Q2293/O2293,4))</x:f>
        <x:v>0.2394</x:v>
      </x:c>
      <x:c r="S2293" s="53" t="n">
        <x:v>2</x:v>
      </x:c>
      <x:c r="T2293" t="str">
        <x:v>Entregue</x:v>
      </x:c>
      <x:c r="U2293" t="n">
        <x:v>2</x:v>
      </x:c>
      <x:c r="V2293" t="str"/>
    </x:row>
    <x:row r="2294">
      <x:c r="A2294" s="52" t="n">
        <x:v>46173</x:v>
      </x:c>
      <x:c r="B2294" t="str">
        <x:v>PED-102293</x:v>
      </x:c>
      <x:c r="C2294" t="str">
        <x:v>Cliente 009</x:v>
      </x:c>
      <x:c r="D2294" t="str">
        <x:v>PA</x:v>
      </x:c>
      <x:c r="E2294" t="str">
        <x:v>Norte</x:v>
      </x:c>
      <x:c r="F2294" t="str">
        <x:v>Loja</x:v>
      </x:c>
      <x:c r="G2294" t="str">
        <x:v>Casa</x:v>
      </x:c>
      <x:c r="H2294" t="str">
        <x:v>Aspirador Robô</x:v>
      </x:c>
      <x:c r="I2294" t="str">
        <x:v>Ana</x:v>
      </x:c>
      <x:c r="J2294" s="53" t="n">
        <x:v>1</x:v>
      </x:c>
      <x:c r="K2294" s="54" t="n">
        <x:v>1988.63</x:v>
      </x:c>
      <x:c r="L2294" s="54" t="n">
        <x:v>1281.06</x:v>
      </x:c>
      <x:c r="M2294" s="55" t="n">
        <x:v>0.0686</x:v>
      </x:c>
      <x:c r="N2294" s="54" t="n">
        <x:f>ROUND(J2294*K2294,2)</x:f>
        <x:v>1988.63</x:v>
      </x:c>
      <x:c r="O2294" s="54" t="n">
        <x:f>ROUND(N2294*(1-M2294),2)</x:f>
        <x:v>1852.21</x:v>
      </x:c>
      <x:c r="P2294" s="54" t="n">
        <x:f>ROUND(J2294*L2294,2)</x:f>
        <x:v>1281.06</x:v>
      </x:c>
      <x:c r="Q2294" s="54" t="n">
        <x:f>ROUND(O2294-P2294,2)</x:f>
        <x:v>571.15</x:v>
      </x:c>
      <x:c r="R2294" s="55" t="n">
        <x:f>IF(O2294=0,0,ROUND(Q2294/O2294,4))</x:f>
        <x:v>0.3084</x:v>
      </x:c>
      <x:c r="S2294" s="53" t="n">
        <x:v>2</x:v>
      </x:c>
      <x:c r="T2294" t="str">
        <x:v>Entregue</x:v>
      </x:c>
      <x:c r="U2294" t="n">
        <x:v>2</x:v>
      </x:c>
      <x:c r="V2294" t="str"/>
    </x:row>
    <x:row r="2295">
      <x:c r="A2295" s="52" t="n">
        <x:v>46226</x:v>
      </x:c>
      <x:c r="B2295" t="str">
        <x:v>PED-102294</x:v>
      </x:c>
      <x:c r="C2295" t="str">
        <x:v>Cliente 084</x:v>
      </x:c>
      <x:c r="D2295" t="str">
        <x:v>ES</x:v>
      </x:c>
      <x:c r="E2295" t="str">
        <x:v>Sudeste</x:v>
      </x:c>
      <x:c r="F2295" t="str">
        <x:v>E-commerce</x:v>
      </x:c>
      <x:c r="G2295" t="str">
        <x:v>Escritório</x:v>
      </x:c>
      <x:c r="H2295" t="str">
        <x:v>Mesa Ajustável</x:v>
      </x:c>
      <x:c r="I2295" t="str">
        <x:v>Isabela</x:v>
      </x:c>
      <x:c r="J2295" s="53" t="n">
        <x:v>5</x:v>
      </x:c>
      <x:c r="K2295" s="54" t="n">
        <x:v>2785.33</x:v>
      </x:c>
      <x:c r="L2295" s="54" t="n">
        <x:v>1768.56</x:v>
      </x:c>
      <x:c r="M2295" s="55" t="n">
        <x:v>0.0637</x:v>
      </x:c>
      <x:c r="N2295" s="54" t="n">
        <x:f>ROUND(J2295*K2295,2)</x:f>
        <x:v>13926.65</x:v>
      </x:c>
      <x:c r="O2295" s="54" t="n">
        <x:f>ROUND(N2295*(1-M2295),2)</x:f>
        <x:v>13039.52</x:v>
      </x:c>
      <x:c r="P2295" s="54" t="n">
        <x:f>ROUND(J2295*L2295,2)</x:f>
        <x:v>8842.8</x:v>
      </x:c>
      <x:c r="Q2295" s="54" t="n">
        <x:f>ROUND(O2295-P2295,2)</x:f>
        <x:v>4196.72</x:v>
      </x:c>
      <x:c r="R2295" s="55" t="n">
        <x:f>IF(O2295=0,0,ROUND(Q2295/O2295,4))</x:f>
        <x:v>0.3218</x:v>
      </x:c>
      <x:c r="S2295" s="53" t="n">
        <x:v>11</x:v>
      </x:c>
      <x:c r="T2295" t="str">
        <x:v>Entregue com atraso</x:v>
      </x:c>
      <x:c r="U2295" t="n">
        <x:v>2</x:v>
      </x:c>
      <x:c r="V2295" t="str"/>
    </x:row>
    <x:row r="2296">
      <x:c r="A2296" s="52" t="n">
        <x:v>46112</x:v>
      </x:c>
      <x:c r="B2296" t="str">
        <x:v>PED-102295</x:v>
      </x:c>
      <x:c r="C2296" t="str">
        <x:v>Cliente 048</x:v>
      </x:c>
      <x:c r="D2296" t="str">
        <x:v>RS</x:v>
      </x:c>
      <x:c r="E2296" t="str">
        <x:v>Sul</x:v>
      </x:c>
      <x:c r="F2296" t="str">
        <x:v>Marketplace</x:v>
      </x:c>
      <x:c r="G2296" t="str">
        <x:v>Tecnologia</x:v>
      </x:c>
      <x:c r="H2296" t="str">
        <x:v>Notebook Pro</x:v>
      </x:c>
      <x:c r="I2296" t="str">
        <x:v>Diego</x:v>
      </x:c>
      <x:c r="J2296" s="53" t="n">
        <x:v>7</x:v>
      </x:c>
      <x:c r="K2296" s="54" t="n">
        <x:v>5688.15</x:v>
      </x:c>
      <x:c r="L2296" s="54" t="n">
        <x:v>4279.76</x:v>
      </x:c>
      <x:c r="M2296" s="55" t="n">
        <x:v>0.035</x:v>
      </x:c>
      <x:c r="N2296" s="54" t="n">
        <x:f>ROUND(J2296*K2296,2)</x:f>
        <x:v>39817.05</x:v>
      </x:c>
      <x:c r="O2296" s="54" t="n">
        <x:f>ROUND(N2296*(1-M2296),2)</x:f>
        <x:v>38423.45</x:v>
      </x:c>
      <x:c r="P2296" s="54" t="n">
        <x:f>ROUND(J2296*L2296,2)</x:f>
        <x:v>29958.32</x:v>
      </x:c>
      <x:c r="Q2296" s="54" t="n">
        <x:f>ROUND(O2296-P2296,2)</x:f>
        <x:v>8465.13</x:v>
      </x:c>
      <x:c r="R2296" s="55" t="n">
        <x:f>IF(O2296=0,0,ROUND(Q2296/O2296,4))</x:f>
        <x:v>0.2203</x:v>
      </x:c>
      <x:c r="S2296" s="53" t="n">
        <x:v>12</x:v>
      </x:c>
      <x:c r="T2296" t="str">
        <x:v>Entregue com atraso</x:v>
      </x:c>
      <x:c r="U2296" t="n">
        <x:v>4</x:v>
      </x:c>
      <x:c r="V2296" t="str"/>
    </x:row>
    <x:row r="2297">
      <x:c r="A2297" s="52" t="n">
        <x:v>46059</x:v>
      </x:c>
      <x:c r="B2297" t="str">
        <x:v>PED-102296</x:v>
      </x:c>
      <x:c r="C2297" t="str">
        <x:v>Cliente 103</x:v>
      </x:c>
      <x:c r="D2297" t="str">
        <x:v>PR</x:v>
      </x:c>
      <x:c r="E2297" t="str">
        <x:v>Sul</x:v>
      </x:c>
      <x:c r="F2297" t="str">
        <x:v>E-commerce</x:v>
      </x:c>
      <x:c r="G2297" t="str">
        <x:v>Acessórios</x:v>
      </x:c>
      <x:c r="H2297" t="str">
        <x:v>Mochila Executiva</x:v>
      </x:c>
      <x:c r="I2297" t="str">
        <x:v>Carla</x:v>
      </x:c>
      <x:c r="J2297" s="53" t="n">
        <x:v>7</x:v>
      </x:c>
      <x:c r="K2297" s="54" t="n">
        <x:v>429.3</x:v>
      </x:c>
      <x:c r="L2297" s="54" t="n">
        <x:v>184.43</x:v>
      </x:c>
      <x:c r="M2297" s="55" t="n">
        <x:v>0.0523</x:v>
      </x:c>
      <x:c r="N2297" s="54" t="n">
        <x:f>ROUND(J2297*K2297,2)</x:f>
        <x:v>3005.1</x:v>
      </x:c>
      <x:c r="O2297" s="54" t="n">
        <x:f>ROUND(N2297*(1-M2297),2)</x:f>
        <x:v>2847.93</x:v>
      </x:c>
      <x:c r="P2297" s="54" t="n">
        <x:f>ROUND(J2297*L2297,2)</x:f>
        <x:v>1291.01</x:v>
      </x:c>
      <x:c r="Q2297" s="54" t="n">
        <x:f>ROUND(O2297-P2297,2)</x:f>
        <x:v>1556.92</x:v>
      </x:c>
      <x:c r="R2297" s="55" t="n">
        <x:f>IF(O2297=0,0,ROUND(Q2297/O2297,4))</x:f>
        <x:v>0.5467</x:v>
      </x:c>
      <x:c r="S2297" s="53" t="n">
        <x:v>10</x:v>
      </x:c>
      <x:c r="T2297" t="str">
        <x:v>Entregue</x:v>
      </x:c>
      <x:c r="U2297" t="n">
        <x:v>4</x:v>
      </x:c>
      <x:c r="V2297" t="str"/>
    </x:row>
    <x:row r="2298">
      <x:c r="A2298" s="52" t="n">
        <x:v>46226</x:v>
      </x:c>
      <x:c r="B2298" t="str">
        <x:v>PED-102297</x:v>
      </x:c>
      <x:c r="C2298" t="str">
        <x:v>Cliente 061</x:v>
      </x:c>
      <x:c r="D2298" t="str">
        <x:v>GO</x:v>
      </x:c>
      <x:c r="E2298" t="str">
        <x:v>Centro-Oeste</x:v>
      </x:c>
      <x:c r="F2298" t="str">
        <x:v>Marketplace</x:v>
      </x:c>
      <x:c r="G2298" t="str">
        <x:v>Tecnologia</x:v>
      </x:c>
      <x:c r="H2298" t="str">
        <x:v>Monitor 27</x:v>
      </x:c>
      <x:c r="I2298" t="str">
        <x:v>Gabriela</x:v>
      </x:c>
      <x:c r="J2298" s="53" t="n">
        <x:v>7</x:v>
      </x:c>
      <x:c r="K2298" s="54" t="n">
        <x:v>1706.5</x:v>
      </x:c>
      <x:c r="L2298" s="54" t="n">
        <x:v>1060.46</x:v>
      </x:c>
      <x:c r="M2298" s="55" t="n">
        <x:v>0.0454</x:v>
      </x:c>
      <x:c r="N2298" s="54" t="n">
        <x:f>ROUND(J2298*K2298,2)</x:f>
        <x:v>11945.5</x:v>
      </x:c>
      <x:c r="O2298" s="54" t="n">
        <x:f>ROUND(N2298*(1-M2298),2)</x:f>
        <x:v>11403.17</x:v>
      </x:c>
      <x:c r="P2298" s="54" t="n">
        <x:f>ROUND(J2298*L2298,2)</x:f>
        <x:v>7423.22</x:v>
      </x:c>
      <x:c r="Q2298" s="54" t="n">
        <x:f>ROUND(O2298-P2298,2)</x:f>
        <x:v>3979.95</x:v>
      </x:c>
      <x:c r="R2298" s="55" t="n">
        <x:f>IF(O2298=0,0,ROUND(Q2298/O2298,4))</x:f>
        <x:v>0.349</x:v>
      </x:c>
      <x:c r="S2298" s="53" t="n">
        <x:v>9</x:v>
      </x:c>
      <x:c r="T2298" t="str">
        <x:v>Entregue</x:v>
      </x:c>
      <x:c r="U2298" t="n">
        <x:v>5</x:v>
      </x:c>
      <x:c r="V2298" t="str"/>
    </x:row>
    <x:row r="2299">
      <x:c r="A2299" s="52" t="n">
        <x:v>46081</x:v>
      </x:c>
      <x:c r="B2299" t="str">
        <x:v>PED-102298</x:v>
      </x:c>
      <x:c r="C2299" t="str">
        <x:v>Cliente 066</x:v>
      </x:c>
      <x:c r="D2299" t="str">
        <x:v>RJ</x:v>
      </x:c>
      <x:c r="E2299" t="str">
        <x:v>Sudeste</x:v>
      </x:c>
      <x:c r="F2299" t="str">
        <x:v>Marketplace</x:v>
      </x:c>
      <x:c r="G2299" t="str">
        <x:v>Tecnologia</x:v>
      </x:c>
      <x:c r="H2299" t="str">
        <x:v>Headset Office</x:v>
      </x:c>
      <x:c r="I2299" t="str">
        <x:v>Diego</x:v>
      </x:c>
      <x:c r="J2299" s="53" t="n">
        <x:v>3</x:v>
      </x:c>
      <x:c r="K2299" s="54" t="n">
        <x:v>384.59</x:v>
      </x:c>
      <x:c r="L2299" s="54" t="n">
        <x:v>205.78</x:v>
      </x:c>
      <x:c r="M2299" s="55" t="n">
        <x:v>0.035</x:v>
      </x:c>
      <x:c r="N2299" s="54" t="n">
        <x:f>ROUND(J2299*K2299,2)</x:f>
        <x:v>1153.77</x:v>
      </x:c>
      <x:c r="O2299" s="54" t="n">
        <x:f>ROUND(N2299*(1-M2299),2)</x:f>
        <x:v>1113.39</x:v>
      </x:c>
      <x:c r="P2299" s="54" t="n">
        <x:f>ROUND(J2299*L2299,2)</x:f>
        <x:v>617.34</x:v>
      </x:c>
      <x:c r="Q2299" s="54" t="n">
        <x:f>ROUND(O2299-P2299,2)</x:f>
        <x:v>496.05</x:v>
      </x:c>
      <x:c r="R2299" s="55" t="n">
        <x:f>IF(O2299=0,0,ROUND(Q2299/O2299,4))</x:f>
        <x:v>0.4455</x:v>
      </x:c>
      <x:c r="S2299" s="53" t="n">
        <x:v>4</x:v>
      </x:c>
      <x:c r="T2299" t="str">
        <x:v>Entregue</x:v>
      </x:c>
      <x:c r="U2299" t="n">
        <x:v>5</x:v>
      </x:c>
      <x:c r="V2299" t="str"/>
    </x:row>
    <x:row r="2300">
      <x:c r="A2300" s="52" t="n">
        <x:v>46123</x:v>
      </x:c>
      <x:c r="B2300" t="str">
        <x:v>PED-102299</x:v>
      </x:c>
      <x:c r="C2300" t="str">
        <x:v>Cliente 054</x:v>
      </x:c>
      <x:c r="D2300" t="str">
        <x:v>SC</x:v>
      </x:c>
      <x:c r="E2300" t="str">
        <x:v>Sul</x:v>
      </x:c>
      <x:c r="F2300" t="str">
        <x:v>E-commerce</x:v>
      </x:c>
      <x:c r="G2300" t="str">
        <x:v>Escritório</x:v>
      </x:c>
      <x:c r="H2300" t="str">
        <x:v>Luminária LED</x:v>
      </x:c>
      <x:c r="I2300" t="str">
        <x:v>Carla</x:v>
      </x:c>
      <x:c r="J2300" s="53" t="n">
        <x:v>6</x:v>
      </x:c>
      <x:c r="K2300" s="54" t="n">
        <x:v>266.8</x:v>
      </x:c>
      <x:c r="L2300" s="54" t="n">
        <x:v>122.95</x:v>
      </x:c>
      <x:c r="M2300" s="55" t="n">
        <x:v>0</x:v>
      </x:c>
      <x:c r="N2300" s="54" t="n">
        <x:f>ROUND(J2300*K2300,2)</x:f>
        <x:v>1600.8</x:v>
      </x:c>
      <x:c r="O2300" s="54" t="n">
        <x:f>ROUND(N2300*(1-M2300),2)</x:f>
        <x:v>1600.8</x:v>
      </x:c>
      <x:c r="P2300" s="54" t="n">
        <x:f>ROUND(J2300*L2300,2)</x:f>
        <x:v>737.7</x:v>
      </x:c>
      <x:c r="Q2300" s="54" t="n">
        <x:f>ROUND(O2300-P2300,2)</x:f>
        <x:v>863.1</x:v>
      </x:c>
      <x:c r="R2300" s="55" t="n">
        <x:f>IF(O2300=0,0,ROUND(Q2300/O2300,4))</x:f>
        <x:v>0.5392</x:v>
      </x:c>
      <x:c r="S2300" s="53" t="n">
        <x:v>11</x:v>
      </x:c>
      <x:c r="T2300" t="str">
        <x:v>Entregue com atraso</x:v>
      </x:c>
      <x:c r="U2300" t="n">
        <x:v>2</x:v>
      </x:c>
      <x:c r="V2300" t="str"/>
    </x:row>
    <x:row r="2301">
      <x:c r="A2301" s="52" t="n">
        <x:v>46156</x:v>
      </x:c>
      <x:c r="B2301" t="str">
        <x:v>PED-102300</x:v>
      </x:c>
      <x:c r="C2301" t="str">
        <x:v>Cliente 031</x:v>
      </x:c>
      <x:c r="D2301" t="str">
        <x:v>AM</x:v>
      </x:c>
      <x:c r="E2301" t="str">
        <x:v>Norte</x:v>
      </x:c>
      <x:c r="F2301" t="str">
        <x:v>E-commerce</x:v>
      </x:c>
      <x:c r="G2301" t="str">
        <x:v>Tecnologia</x:v>
      </x:c>
      <x:c r="H2301" t="str">
        <x:v>Headset Office</x:v>
      </x:c>
      <x:c r="I2301" t="str">
        <x:v>Henrique</x:v>
      </x:c>
      <x:c r="J2301" s="53" t="n">
        <x:v>7</x:v>
      </x:c>
      <x:c r="K2301" s="54" t="n">
        <x:v>372.82</x:v>
      </x:c>
      <x:c r="L2301" s="54" t="n">
        <x:v>221.44</x:v>
      </x:c>
      <x:c r="M2301" s="55" t="n">
        <x:v>0.0243</x:v>
      </x:c>
      <x:c r="N2301" s="54" t="n">
        <x:f>ROUND(J2301*K2301,2)</x:f>
        <x:v>2609.74</x:v>
      </x:c>
      <x:c r="O2301" s="54" t="n">
        <x:f>ROUND(N2301*(1-M2301),2)</x:f>
        <x:v>2546.32</x:v>
      </x:c>
      <x:c r="P2301" s="54" t="n">
        <x:f>ROUND(J2301*L2301,2)</x:f>
        <x:v>1550.08</x:v>
      </x:c>
      <x:c r="Q2301" s="54" t="n">
        <x:f>ROUND(O2301-P2301,2)</x:f>
        <x:v>996.24</x:v>
      </x:c>
      <x:c r="R2301" s="55" t="n">
        <x:f>IF(O2301=0,0,ROUND(Q2301/O2301,4))</x:f>
        <x:v>0.3912</x:v>
      </x:c>
      <x:c r="S2301" s="53" t="n">
        <x:v>3</x:v>
      </x:c>
      <x:c r="T2301" t="str">
        <x:v>Entregue</x:v>
      </x:c>
      <x:c r="U2301" t="n">
        <x:v>5</x:v>
      </x:c>
      <x:c r="V2301" t="str"/>
    </x:row>
    <x:row r="2302">
      <x:c r="A2302" s="52" t="n">
        <x:v>46042</x:v>
      </x:c>
      <x:c r="B2302" t="str">
        <x:v>PED-102301</x:v>
      </x:c>
      <x:c r="C2302" t="str">
        <x:v>Cliente 024</x:v>
      </x:c>
      <x:c r="D2302" t="str">
        <x:v>SC</x:v>
      </x:c>
      <x:c r="E2302" t="str">
        <x:v>Sul</x:v>
      </x:c>
      <x:c r="F2302" t="str">
        <x:v>Marketplace</x:v>
      </x:c>
      <x:c r="G2302" t="str">
        <x:v>Acessórios</x:v>
      </x:c>
      <x:c r="H2302" t="str">
        <x:v>Hub USB-C</x:v>
      </x:c>
      <x:c r="I2302" t="str">
        <x:v>Felipe</x:v>
      </x:c>
      <x:c r="J2302" s="53" t="n">
        <x:v>5</x:v>
      </x:c>
      <x:c r="K2302" s="54" t="n">
        <x:v>338.98</x:v>
      </x:c>
      <x:c r="L2302" s="54" t="n">
        <x:v>135.44</x:v>
      </x:c>
      <x:c r="M2302" s="55" t="n">
        <x:v>0.035</x:v>
      </x:c>
      <x:c r="N2302" s="54" t="n">
        <x:f>ROUND(J2302*K2302,2)</x:f>
        <x:v>1694.9</x:v>
      </x:c>
      <x:c r="O2302" s="54" t="n">
        <x:f>ROUND(N2302*(1-M2302),2)</x:f>
        <x:v>1635.58</x:v>
      </x:c>
      <x:c r="P2302" s="54" t="n">
        <x:f>ROUND(J2302*L2302,2)</x:f>
        <x:v>677.2</x:v>
      </x:c>
      <x:c r="Q2302" s="54" t="n">
        <x:f>ROUND(O2302-P2302,2)</x:f>
        <x:v>958.38</x:v>
      </x:c>
      <x:c r="R2302" s="55" t="n">
        <x:f>IF(O2302=0,0,ROUND(Q2302/O2302,4))</x:f>
        <x:v>0.586</x:v>
      </x:c>
      <x:c r="S2302" s="53" t="n">
        <x:v>4</x:v>
      </x:c>
      <x:c r="T2302" t="str">
        <x:v>Entregue</x:v>
      </x:c>
      <x:c r="U2302" t="n">
        <x:v>5</x:v>
      </x:c>
      <x:c r="V2302" t="str"/>
    </x:row>
    <x:row r="2303">
      <x:c r="A2303" s="52" t="n">
        <x:v>46206</x:v>
      </x:c>
      <x:c r="B2303" t="str">
        <x:v>PED-102302</x:v>
      </x:c>
      <x:c r="C2303" t="str">
        <x:v>Cliente 074</x:v>
      </x:c>
      <x:c r="D2303" t="str">
        <x:v>MG</x:v>
      </x:c>
      <x:c r="E2303" t="str">
        <x:v>Sudeste</x:v>
      </x:c>
      <x:c r="F2303" t="str">
        <x:v>Marketplace</x:v>
      </x:c>
      <x:c r="G2303" t="str">
        <x:v>Tecnologia</x:v>
      </x:c>
      <x:c r="H2303" t="str">
        <x:v>Notebook Pro</x:v>
      </x:c>
      <x:c r="I2303" t="str">
        <x:v>Elaine</x:v>
      </x:c>
      <x:c r="J2303" s="53" t="n">
        <x:v>6</x:v>
      </x:c>
      <x:c r="K2303" s="54" t="n">
        <x:v>5878.16</x:v>
      </x:c>
      <x:c r="L2303" s="54" t="n">
        <x:v>4314</x:v>
      </x:c>
      <x:c r="M2303" s="55" t="n">
        <x:v>0.1416</x:v>
      </x:c>
      <x:c r="N2303" s="54" t="n">
        <x:f>ROUND(J2303*K2303,2)</x:f>
        <x:v>35268.96</x:v>
      </x:c>
      <x:c r="O2303" s="54" t="n">
        <x:f>ROUND(N2303*(1-M2303),2)</x:f>
        <x:v>30274.88</x:v>
      </x:c>
      <x:c r="P2303" s="54" t="n">
        <x:f>ROUND(J2303*L2303,2)</x:f>
        <x:v>25884</x:v>
      </x:c>
      <x:c r="Q2303" s="54" t="n">
        <x:f>ROUND(O2303-P2303,2)</x:f>
        <x:v>4390.88</x:v>
      </x:c>
      <x:c r="R2303" s="55" t="n">
        <x:f>IF(O2303=0,0,ROUND(Q2303/O2303,4))</x:f>
        <x:v>0.145</x:v>
      </x:c>
      <x:c r="S2303" s="53" t="n">
        <x:v>7</x:v>
      </x:c>
      <x:c r="T2303" t="str">
        <x:v>Entregue</x:v>
      </x:c>
      <x:c r="U2303" t="n">
        <x:v>4</x:v>
      </x:c>
      <x:c r="V2303" t="str"/>
    </x:row>
    <x:row r="2304">
      <x:c r="A2304" s="52" t="n">
        <x:v>46123</x:v>
      </x:c>
      <x:c r="B2304" t="str">
        <x:v>PED-102303</x:v>
      </x:c>
      <x:c r="C2304" t="str">
        <x:v>Cliente 076</x:v>
      </x:c>
      <x:c r="D2304" t="str">
        <x:v>RJ</x:v>
      </x:c>
      <x:c r="E2304" t="str">
        <x:v>Sudeste</x:v>
      </x:c>
      <x:c r="F2304" t="str">
        <x:v>E-commerce</x:v>
      </x:c>
      <x:c r="G2304" t="str">
        <x:v>Escritório</x:v>
      </x:c>
      <x:c r="H2304" t="str">
        <x:v>Luminária LED</x:v>
      </x:c>
      <x:c r="I2304" t="str">
        <x:v>Gabriela</x:v>
      </x:c>
      <x:c r="J2304" s="53" t="n">
        <x:v>2</x:v>
      </x:c>
      <x:c r="K2304" s="54" t="n">
        <x:v>252.63</x:v>
      </x:c>
      <x:c r="L2304" s="54" t="n">
        <x:v>115.99</x:v>
      </x:c>
      <x:c r="M2304" s="55" t="n">
        <x:v>0.039</x:v>
      </x:c>
      <x:c r="N2304" s="54" t="n">
        <x:f>ROUND(J2304*K2304,2)</x:f>
        <x:v>505.26</x:v>
      </x:c>
      <x:c r="O2304" s="54" t="n">
        <x:f>ROUND(N2304*(1-M2304),2)</x:f>
        <x:v>485.55</x:v>
      </x:c>
      <x:c r="P2304" s="54" t="n">
        <x:f>ROUND(J2304*L2304,2)</x:f>
        <x:v>231.98</x:v>
      </x:c>
      <x:c r="Q2304" s="54" t="n">
        <x:f>ROUND(O2304-P2304,2)</x:f>
        <x:v>253.57</x:v>
      </x:c>
      <x:c r="R2304" s="55" t="n">
        <x:f>IF(O2304=0,0,ROUND(Q2304/O2304,4))</x:f>
        <x:v>0.5222</x:v>
      </x:c>
      <x:c r="S2304" s="53" t="n">
        <x:v>7</x:v>
      </x:c>
      <x:c r="T2304" t="str">
        <x:v>Entregue</x:v>
      </x:c>
      <x:c r="U2304" t="n">
        <x:v>2</x:v>
      </x:c>
      <x:c r="V2304" t="str"/>
    </x:row>
    <x:row r="2305">
      <x:c r="A2305" s="52" t="n">
        <x:v>46137</x:v>
      </x:c>
      <x:c r="B2305" t="str">
        <x:v>PED-102304</x:v>
      </x:c>
      <x:c r="C2305" t="str">
        <x:v>Cliente 101</x:v>
      </x:c>
      <x:c r="D2305" t="str">
        <x:v>RJ</x:v>
      </x:c>
      <x:c r="E2305" t="str">
        <x:v>Sudeste</x:v>
      </x:c>
      <x:c r="F2305" t="str">
        <x:v>E-commerce</x:v>
      </x:c>
      <x:c r="G2305" t="str">
        <x:v>Acessórios</x:v>
      </x:c>
      <x:c r="H2305" t="str">
        <x:v>Mochila Executiva</x:v>
      </x:c>
      <x:c r="I2305" t="str">
        <x:v>Gabriela</x:v>
      </x:c>
      <x:c r="J2305" s="53" t="n">
        <x:v>1</x:v>
      </x:c>
      <x:c r="K2305" s="54" t="n">
        <x:v>430.99</x:v>
      </x:c>
      <x:c r="L2305" s="54" t="n">
        <x:v>198.23</x:v>
      </x:c>
      <x:c r="M2305" s="55" t="n">
        <x:v>0.0799</x:v>
      </x:c>
      <x:c r="N2305" s="54" t="n">
        <x:f>ROUND(J2305*K2305,2)</x:f>
        <x:v>430.99</x:v>
      </x:c>
      <x:c r="O2305" s="54" t="n">
        <x:f>ROUND(N2305*(1-M2305),2)</x:f>
        <x:v>396.55</x:v>
      </x:c>
      <x:c r="P2305" s="54" t="n">
        <x:f>ROUND(J2305*L2305,2)</x:f>
        <x:v>198.23</x:v>
      </x:c>
      <x:c r="Q2305" s="54" t="n">
        <x:f>ROUND(O2305-P2305,2)</x:f>
        <x:v>198.32</x:v>
      </x:c>
      <x:c r="R2305" s="55" t="n">
        <x:f>IF(O2305=0,0,ROUND(Q2305/O2305,4))</x:f>
        <x:v>0.5001</x:v>
      </x:c>
      <x:c r="S2305" s="53" t="n">
        <x:v>14</x:v>
      </x:c>
      <x:c r="T2305" t="str">
        <x:v>Entregue com atraso</x:v>
      </x:c>
      <x:c r="U2305" t="n">
        <x:v>4</x:v>
      </x:c>
      <x:c r="V2305" t="str"/>
    </x:row>
    <x:row r="2306">
      <x:c r="A2306" s="52" t="n">
        <x:v>46166</x:v>
      </x:c>
      <x:c r="B2306" t="str">
        <x:v>PED-102305</x:v>
      </x:c>
      <x:c r="C2306" t="str">
        <x:v>Cliente 111</x:v>
      </x:c>
      <x:c r="D2306" t="str">
        <x:v>ES</x:v>
      </x:c>
      <x:c r="E2306" t="str">
        <x:v>Sudeste</x:v>
      </x:c>
      <x:c r="F2306" t="str">
        <x:v>Loja</x:v>
      </x:c>
      <x:c r="G2306" t="str">
        <x:v>Escritório</x:v>
      </x:c>
      <x:c r="H2306" t="str">
        <x:v>Mesa Ajustável</x:v>
      </x:c>
      <x:c r="I2306" t="str">
        <x:v>Elaine</x:v>
      </x:c>
      <x:c r="J2306" s="53" t="n">
        <x:v>8</x:v>
      </x:c>
      <x:c r="K2306" s="54" t="n">
        <x:v>2798.83</x:v>
      </x:c>
      <x:c r="L2306" s="54" t="n">
        <x:v>1892.47</x:v>
      </x:c>
      <x:c r="M2306" s="55" t="n">
        <x:v>0</x:v>
      </x:c>
      <x:c r="N2306" s="54" t="n">
        <x:f>ROUND(J2306*K2306,2)</x:f>
        <x:v>22390.64</x:v>
      </x:c>
      <x:c r="O2306" s="54" t="n">
        <x:f>ROUND(N2306*(1-M2306),2)</x:f>
        <x:v>22390.64</x:v>
      </x:c>
      <x:c r="P2306" s="54" t="n">
        <x:f>ROUND(J2306*L2306,2)</x:f>
        <x:v>15139.76</x:v>
      </x:c>
      <x:c r="Q2306" s="54" t="n">
        <x:f>ROUND(O2306-P2306,2)</x:f>
        <x:v>7250.88</x:v>
      </x:c>
      <x:c r="R2306" s="55" t="n">
        <x:f>IF(O2306=0,0,ROUND(Q2306/O2306,4))</x:f>
        <x:v>0.3238</x:v>
      </x:c>
      <x:c r="S2306" s="53" t="n">
        <x:v>4</x:v>
      </x:c>
      <x:c r="T2306" t="str">
        <x:v>Entregue</x:v>
      </x:c>
      <x:c r="U2306" t="n">
        <x:v>2</x:v>
      </x:c>
      <x:c r="V2306" t="str"/>
    </x:row>
    <x:row r="2307">
      <x:c r="A2307" s="52" t="n">
        <x:v>46149</x:v>
      </x:c>
      <x:c r="B2307" t="str">
        <x:v>PED-102306</x:v>
      </x:c>
      <x:c r="C2307" t="str">
        <x:v>Cliente 039</x:v>
      </x:c>
      <x:c r="D2307" t="str">
        <x:v>SC</x:v>
      </x:c>
      <x:c r="E2307" t="str">
        <x:v>Sul</x:v>
      </x:c>
      <x:c r="F2307" t="str">
        <x:v>Marketplace</x:v>
      </x:c>
      <x:c r="G2307" t="str">
        <x:v>Casa</x:v>
      </x:c>
      <x:c r="H2307" t="str">
        <x:v>Cafeteira Smart</x:v>
      </x:c>
      <x:c r="I2307" t="str">
        <x:v>Henrique</x:v>
      </x:c>
      <x:c r="J2307" s="53" t="n">
        <x:v>4</x:v>
      </x:c>
      <x:c r="K2307" s="54" t="n">
        <x:v>765.71</x:v>
      </x:c>
      <x:c r="L2307" s="54" t="n">
        <x:v>444.61</x:v>
      </x:c>
      <x:c r="M2307" s="55" t="n">
        <x:v>0.1511</x:v>
      </x:c>
      <x:c r="N2307" s="54" t="n">
        <x:f>ROUND(J2307*K2307,2)</x:f>
        <x:v>3062.84</x:v>
      </x:c>
      <x:c r="O2307" s="54" t="n">
        <x:f>ROUND(N2307*(1-M2307),2)</x:f>
        <x:v>2600.04</x:v>
      </x:c>
      <x:c r="P2307" s="54" t="n">
        <x:f>ROUND(J2307*L2307,2)</x:f>
        <x:v>1778.44</x:v>
      </x:c>
      <x:c r="Q2307" s="54" t="n">
        <x:f>ROUND(O2307-P2307,2)</x:f>
        <x:v>821.6</x:v>
      </x:c>
      <x:c r="R2307" s="55" t="n">
        <x:f>IF(O2307=0,0,ROUND(Q2307/O2307,4))</x:f>
        <x:v>0.316</x:v>
      </x:c>
      <x:c r="S2307" s="53" t="n">
        <x:v>11</x:v>
      </x:c>
      <x:c r="T2307" t="str">
        <x:v>Entregue com atraso</x:v>
      </x:c>
      <x:c r="U2307" t="n">
        <x:v>3</x:v>
      </x:c>
      <x:c r="V2307" t="str"/>
    </x:row>
    <x:row r="2308">
      <x:c r="A2308" s="52" t="n">
        <x:v>46126</x:v>
      </x:c>
      <x:c r="B2308" t="str">
        <x:v>PED-102307</x:v>
      </x:c>
      <x:c r="C2308" t="str">
        <x:v>Cliente 037</x:v>
      </x:c>
      <x:c r="D2308" t="str">
        <x:v>PE</x:v>
      </x:c>
      <x:c r="E2308" t="str">
        <x:v>Nordeste</x:v>
      </x:c>
      <x:c r="F2308" t="str">
        <x:v>Marketplace</x:v>
      </x:c>
      <x:c r="G2308" t="str">
        <x:v>Tecnologia</x:v>
      </x:c>
      <x:c r="H2308" t="str">
        <x:v>Notebook Pro</x:v>
      </x:c>
      <x:c r="I2308" t="str">
        <x:v>Felipe</x:v>
      </x:c>
      <x:c r="J2308" s="53" t="n">
        <x:v>2</x:v>
      </x:c>
      <x:c r="K2308" s="54" t="n">
        <x:v>5895.71</x:v>
      </x:c>
      <x:c r="L2308" s="54" t="n">
        <x:v>4524.09</x:v>
      </x:c>
      <x:c r="M2308" s="55" t="n">
        <x:v>0.035</x:v>
      </x:c>
      <x:c r="N2308" s="54" t="n">
        <x:f>ROUND(J2308*K2308,2)</x:f>
        <x:v>11791.42</x:v>
      </x:c>
      <x:c r="O2308" s="54" t="n">
        <x:f>ROUND(N2308*(1-M2308),2)</x:f>
        <x:v>11378.72</x:v>
      </x:c>
      <x:c r="P2308" s="54" t="n">
        <x:f>ROUND(J2308*L2308,2)</x:f>
        <x:v>9048.18</x:v>
      </x:c>
      <x:c r="Q2308" s="54" t="n">
        <x:f>ROUND(O2308-P2308,2)</x:f>
        <x:v>2330.54</x:v>
      </x:c>
      <x:c r="R2308" s="55" t="n">
        <x:f>IF(O2308=0,0,ROUND(Q2308/O2308,4))</x:f>
        <x:v>0.2048</x:v>
      </x:c>
      <x:c r="S2308" s="53" t="n">
        <x:v>4</x:v>
      </x:c>
      <x:c r="T2308" t="str">
        <x:v>Entregue</x:v>
      </x:c>
      <x:c r="U2308" t="n">
        <x:v>4</x:v>
      </x:c>
      <x:c r="V2308" t="str"/>
    </x:row>
    <x:row r="2309">
      <x:c r="A2309" s="52" t="n">
        <x:v>46136</x:v>
      </x:c>
      <x:c r="B2309" t="str">
        <x:v>PED-102308</x:v>
      </x:c>
      <x:c r="C2309" t="str">
        <x:v>Cliente 108</x:v>
      </x:c>
      <x:c r="D2309" t="str">
        <x:v>DF</x:v>
      </x:c>
      <x:c r="E2309" t="str">
        <x:v>Centro-Oeste</x:v>
      </x:c>
      <x:c r="F2309" t="str">
        <x:v>Marketplace</x:v>
      </x:c>
      <x:c r="G2309" t="str">
        <x:v>Acessórios</x:v>
      </x:c>
      <x:c r="H2309" t="str">
        <x:v>Mochila Executiva</x:v>
      </x:c>
      <x:c r="I2309" t="str">
        <x:v>Isabela</x:v>
      </x:c>
      <x:c r="J2309" s="53" t="n">
        <x:v>4</x:v>
      </x:c>
      <x:c r="K2309" s="54" t="n">
        <x:v>453.62</x:v>
      </x:c>
      <x:c r="L2309" s="54" t="n">
        <x:v>186.25</x:v>
      </x:c>
      <x:c r="M2309" s="55" t="n">
        <x:v>0.1648</x:v>
      </x:c>
      <x:c r="N2309" s="54" t="n">
        <x:f>ROUND(J2309*K2309,2)</x:f>
        <x:v>1814.48</x:v>
      </x:c>
      <x:c r="O2309" s="54" t="n">
        <x:f>ROUND(N2309*(1-M2309),2)</x:f>
        <x:v>1515.45</x:v>
      </x:c>
      <x:c r="P2309" s="54" t="n">
        <x:f>ROUND(J2309*L2309,2)</x:f>
        <x:v>745</x:v>
      </x:c>
      <x:c r="Q2309" s="54" t="n">
        <x:f>ROUND(O2309-P2309,2)</x:f>
        <x:v>770.45</x:v>
      </x:c>
      <x:c r="R2309" s="55" t="n">
        <x:f>IF(O2309=0,0,ROUND(Q2309/O2309,4))</x:f>
        <x:v>0.5084</x:v>
      </x:c>
      <x:c r="S2309" s="53" t="n">
        <x:v>9</x:v>
      </x:c>
      <x:c r="T2309" t="str">
        <x:v>Entregue</x:v>
      </x:c>
      <x:c r="U2309" t="n">
        <x:v>5</x:v>
      </x:c>
      <x:c r="V2309" t="str"/>
    </x:row>
    <x:row r="2310">
      <x:c r="A2310" s="52" t="n">
        <x:v>46045</x:v>
      </x:c>
      <x:c r="B2310" t="str">
        <x:v>PED-102309</x:v>
      </x:c>
      <x:c r="C2310" t="str">
        <x:v>Cliente 040</x:v>
      </x:c>
      <x:c r="D2310" t="str">
        <x:v>SC</x:v>
      </x:c>
      <x:c r="E2310" t="str">
        <x:v>Sul</x:v>
      </x:c>
      <x:c r="F2310" t="str">
        <x:v>E-commerce</x:v>
      </x:c>
      <x:c r="G2310" t="str">
        <x:v>Acessórios</x:v>
      </x:c>
      <x:c r="H2310" t="str">
        <x:v>Hub USB-C</x:v>
      </x:c>
      <x:c r="I2310" t="str">
        <x:v>Carla</x:v>
      </x:c>
      <x:c r="J2310" s="53" t="n">
        <x:v>8</x:v>
      </x:c>
      <x:c r="K2310" s="54" t="n">
        <x:v>327.24</x:v>
      </x:c>
      <x:c r="L2310" s="54" t="n">
        <x:v>133.27</x:v>
      </x:c>
      <x:c r="M2310" s="55" t="n">
        <x:v>0</x:v>
      </x:c>
      <x:c r="N2310" s="54" t="n">
        <x:f>ROUND(J2310*K2310,2)</x:f>
        <x:v>2617.92</x:v>
      </x:c>
      <x:c r="O2310" s="54" t="n">
        <x:f>ROUND(N2310*(1-M2310),2)</x:f>
        <x:v>2617.92</x:v>
      </x:c>
      <x:c r="P2310" s="54" t="n">
        <x:f>ROUND(J2310*L2310,2)</x:f>
        <x:v>1066.16</x:v>
      </x:c>
      <x:c r="Q2310" s="54" t="n">
        <x:f>ROUND(O2310-P2310,2)</x:f>
        <x:v>1551.76</x:v>
      </x:c>
      <x:c r="R2310" s="55" t="n">
        <x:f>IF(O2310=0,0,ROUND(Q2310/O2310,4))</x:f>
        <x:v>0.5927</x:v>
      </x:c>
      <x:c r="S2310" s="53" t="n">
        <x:v>5</x:v>
      </x:c>
      <x:c r="T2310" t="str">
        <x:v>Entregue</x:v>
      </x:c>
      <x:c r="U2310" t="n">
        <x:v>4</x:v>
      </x:c>
      <x:c r="V2310" t="str"/>
    </x:row>
    <x:row r="2311">
      <x:c r="A2311" s="52" t="n">
        <x:v>46181</x:v>
      </x:c>
      <x:c r="B2311" t="str">
        <x:v>PED-102310</x:v>
      </x:c>
      <x:c r="C2311" t="str">
        <x:v>Cliente 042</x:v>
      </x:c>
      <x:c r="D2311" t="str">
        <x:v>BA</x:v>
      </x:c>
      <x:c r="E2311" t="str">
        <x:v>Nordeste</x:v>
      </x:c>
      <x:c r="F2311" t="str">
        <x:v>Loja</x:v>
      </x:c>
      <x:c r="G2311" t="str">
        <x:v>Escritório</x:v>
      </x:c>
      <x:c r="H2311" t="str">
        <x:v>Mesa Ajustável</x:v>
      </x:c>
      <x:c r="I2311" t="str">
        <x:v>Elaine</x:v>
      </x:c>
      <x:c r="J2311" s="53" t="n">
        <x:v>8</x:v>
      </x:c>
      <x:c r="K2311" s="54" t="n">
        <x:v>2898.41</x:v>
      </x:c>
      <x:c r="L2311" s="54" t="n">
        <x:v>1915.38</x:v>
      </x:c>
      <x:c r="M2311" s="55" t="n">
        <x:v>0</x:v>
      </x:c>
      <x:c r="N2311" s="54" t="n">
        <x:f>ROUND(J2311*K2311,2)</x:f>
        <x:v>23187.28</x:v>
      </x:c>
      <x:c r="O2311" s="54" t="n">
        <x:f>ROUND(N2311*(1-M2311),2)</x:f>
        <x:v>23187.28</x:v>
      </x:c>
      <x:c r="P2311" s="54" t="n">
        <x:f>ROUND(J2311*L2311,2)</x:f>
        <x:v>15323.04</x:v>
      </x:c>
      <x:c r="Q2311" s="54" t="n">
        <x:f>ROUND(O2311-P2311,2)</x:f>
        <x:v>7864.24</x:v>
      </x:c>
      <x:c r="R2311" s="55" t="n">
        <x:f>IF(O2311=0,0,ROUND(Q2311/O2311,4))</x:f>
        <x:v>0.3392</x:v>
      </x:c>
      <x:c r="S2311" s="53" t="n">
        <x:v>8</x:v>
      </x:c>
      <x:c r="T2311" t="str">
        <x:v>Entregue</x:v>
      </x:c>
      <x:c r="U2311" t="n">
        <x:v>5</x:v>
      </x:c>
      <x:c r="V2311" t="str"/>
    </x:row>
    <x:row r="2312">
      <x:c r="A2312" s="52" t="n">
        <x:v>46104</x:v>
      </x:c>
      <x:c r="B2312" t="str">
        <x:v>PED-102311</x:v>
      </x:c>
      <x:c r="C2312" t="str">
        <x:v>Cliente 010</x:v>
      </x:c>
      <x:c r="D2312" t="str">
        <x:v>PR</x:v>
      </x:c>
      <x:c r="E2312" t="str">
        <x:v>Sul</x:v>
      </x:c>
      <x:c r="F2312" t="str">
        <x:v>Marketplace</x:v>
      </x:c>
      <x:c r="G2312" t="str">
        <x:v>Tecnologia</x:v>
      </x:c>
      <x:c r="H2312" t="str">
        <x:v>Monitor 27</x:v>
      </x:c>
      <x:c r="I2312" t="str">
        <x:v>Elaine</x:v>
      </x:c>
      <x:c r="J2312" s="53" t="n">
        <x:v>8</x:v>
      </x:c>
      <x:c r="K2312" s="54" t="n">
        <x:v>1624.07</x:v>
      </x:c>
      <x:c r="L2312" s="54" t="n">
        <x:v>1123.02</x:v>
      </x:c>
      <x:c r="M2312" s="55" t="n">
        <x:v>0.035</x:v>
      </x:c>
      <x:c r="N2312" s="54" t="n">
        <x:f>ROUND(J2312*K2312,2)</x:f>
        <x:v>12992.56</x:v>
      </x:c>
      <x:c r="O2312" s="54" t="n">
        <x:f>ROUND(N2312*(1-M2312),2)</x:f>
        <x:v>12537.82</x:v>
      </x:c>
      <x:c r="P2312" s="54" t="n">
        <x:f>ROUND(J2312*L2312,2)</x:f>
        <x:v>8984.16</x:v>
      </x:c>
      <x:c r="Q2312" s="54" t="n">
        <x:f>ROUND(O2312-P2312,2)</x:f>
        <x:v>3553.66</x:v>
      </x:c>
      <x:c r="R2312" s="55" t="n">
        <x:f>IF(O2312=0,0,ROUND(Q2312/O2312,4))</x:f>
        <x:v>0.2834</x:v>
      </x:c>
      <x:c r="S2312" s="53" t="n">
        <x:v>6</x:v>
      </x:c>
      <x:c r="T2312" t="str">
        <x:v>Entregue</x:v>
      </x:c>
      <x:c r="U2312" t="n">
        <x:v>4</x:v>
      </x:c>
      <x:c r="V2312" t="str"/>
    </x:row>
    <x:row r="2313">
      <x:c r="A2313" s="52" t="n">
        <x:v>46052</x:v>
      </x:c>
      <x:c r="B2313" t="str">
        <x:v>PED-102312</x:v>
      </x:c>
      <x:c r="C2313" t="str">
        <x:v>Cliente 050</x:v>
      </x:c>
      <x:c r="D2313" t="str">
        <x:v>RJ</x:v>
      </x:c>
      <x:c r="E2313" t="str">
        <x:v>Sudeste</x:v>
      </x:c>
      <x:c r="F2313" t="str">
        <x:v>Televendas</x:v>
      </x:c>
      <x:c r="G2313" t="str">
        <x:v>Casa</x:v>
      </x:c>
      <x:c r="H2313" t="str">
        <x:v>Aspirador Robô</x:v>
      </x:c>
      <x:c r="I2313" t="str">
        <x:v>Elaine</x:v>
      </x:c>
      <x:c r="J2313" s="53" t="n">
        <x:v>1</x:v>
      </x:c>
      <x:c r="K2313" s="54" t="n">
        <x:v>1985.07</x:v>
      </x:c>
      <x:c r="L2313" s="54" t="n">
        <x:v>1235.83</x:v>
      </x:c>
      <x:c r="M2313" s="55" t="n">
        <x:v>0.0327</x:v>
      </x:c>
      <x:c r="N2313" s="54" t="n">
        <x:f>ROUND(J2313*K2313,2)</x:f>
        <x:v>1985.07</x:v>
      </x:c>
      <x:c r="O2313" s="54" t="n">
        <x:f>ROUND(N2313*(1-M2313),2)</x:f>
        <x:v>1920.16</x:v>
      </x:c>
      <x:c r="P2313" s="54" t="n">
        <x:f>ROUND(J2313*L2313,2)</x:f>
        <x:v>1235.83</x:v>
      </x:c>
      <x:c r="Q2313" s="54" t="n">
        <x:f>ROUND(O2313-P2313,2)</x:f>
        <x:v>684.33</x:v>
      </x:c>
      <x:c r="R2313" s="55" t="n">
        <x:f>IF(O2313=0,0,ROUND(Q2313/O2313,4))</x:f>
        <x:v>0.3564</x:v>
      </x:c>
      <x:c r="S2313" s="53" t="n">
        <x:v>9</x:v>
      </x:c>
      <x:c r="T2313" t="str">
        <x:v>Entregue</x:v>
      </x:c>
      <x:c r="U2313" t="n">
        <x:v>3</x:v>
      </x:c>
      <x:c r="V2313" t="str"/>
    </x:row>
    <x:row r="2314">
      <x:c r="A2314" s="52" t="n">
        <x:v>46178</x:v>
      </x:c>
      <x:c r="B2314" t="str">
        <x:v>PED-102313</x:v>
      </x:c>
      <x:c r="C2314" t="str">
        <x:v>Cliente 075</x:v>
      </x:c>
      <x:c r="D2314" t="str">
        <x:v>SP</x:v>
      </x:c>
      <x:c r="E2314" t="str">
        <x:v>Sudeste</x:v>
      </x:c>
      <x:c r="F2314" t="str">
        <x:v>Loja</x:v>
      </x:c>
      <x:c r="G2314" t="str">
        <x:v>Escritório</x:v>
      </x:c>
      <x:c r="H2314" t="str">
        <x:v>Mesa Ajustável</x:v>
      </x:c>
      <x:c r="I2314" t="str">
        <x:v>Ana</x:v>
      </x:c>
      <x:c r="J2314" s="53" t="n">
        <x:v>7</x:v>
      </x:c>
      <x:c r="K2314" s="54" t="n">
        <x:v>2693.19</x:v>
      </x:c>
      <x:c r="L2314" s="54" t="n">
        <x:v>1892.28</x:v>
      </x:c>
      <x:c r="M2314" s="55" t="n">
        <x:v>0.0262</x:v>
      </x:c>
      <x:c r="N2314" s="54" t="n">
        <x:f>ROUND(J2314*K2314,2)</x:f>
        <x:v>18852.33</x:v>
      </x:c>
      <x:c r="O2314" s="54" t="n">
        <x:f>ROUND(N2314*(1-M2314),2)</x:f>
        <x:v>18358.4</x:v>
      </x:c>
      <x:c r="P2314" s="54" t="n">
        <x:f>ROUND(J2314*L2314,2)</x:f>
        <x:v>13245.96</x:v>
      </x:c>
      <x:c r="Q2314" s="54" t="n">
        <x:f>ROUND(O2314-P2314,2)</x:f>
        <x:v>5112.44</x:v>
      </x:c>
      <x:c r="R2314" s="55" t="n">
        <x:f>IF(O2314=0,0,ROUND(Q2314/O2314,4))</x:f>
        <x:v>0.2785</x:v>
      </x:c>
      <x:c r="S2314" s="53" t="n">
        <x:v>11</x:v>
      </x:c>
      <x:c r="T2314" t="str">
        <x:v>Entregue com atraso</x:v>
      </x:c>
      <x:c r="U2314" t="n">
        <x:v>4</x:v>
      </x:c>
      <x:c r="V2314" t="str"/>
    </x:row>
    <x:row r="2315">
      <x:c r="A2315" s="52" t="n">
        <x:v>46167</x:v>
      </x:c>
      <x:c r="B2315" t="str">
        <x:v>PED-102314</x:v>
      </x:c>
      <x:c r="C2315" t="str">
        <x:v>Cliente 068</x:v>
      </x:c>
      <x:c r="D2315" t="str">
        <x:v>DF</x:v>
      </x:c>
      <x:c r="E2315" t="str">
        <x:v>Centro-Oeste</x:v>
      </x:c>
      <x:c r="F2315" t="str">
        <x:v>Marketplace</x:v>
      </x:c>
      <x:c r="G2315" t="str">
        <x:v>Casa</x:v>
      </x:c>
      <x:c r="H2315" t="str">
        <x:v>Cafeteira Smart</x:v>
      </x:c>
      <x:c r="I2315" t="str">
        <x:v>Bruno</x:v>
      </x:c>
      <x:c r="J2315" s="53" t="n">
        <x:v>5</x:v>
      </x:c>
      <x:c r="K2315" s="54" t="n">
        <x:v>770.63</x:v>
      </x:c>
      <x:c r="L2315" s="54" t="n">
        <x:v>455.42</x:v>
      </x:c>
      <x:c r="M2315" s="55" t="n">
        <x:v>0.0841</x:v>
      </x:c>
      <x:c r="N2315" s="54" t="n">
        <x:f>ROUND(J2315*K2315,2)</x:f>
        <x:v>3853.15</x:v>
      </x:c>
      <x:c r="O2315" s="54" t="n">
        <x:f>ROUND(N2315*(1-M2315),2)</x:f>
        <x:v>3529.1</x:v>
      </x:c>
      <x:c r="P2315" s="54" t="n">
        <x:f>ROUND(J2315*L2315,2)</x:f>
        <x:v>2277.1</x:v>
      </x:c>
      <x:c r="Q2315" s="54" t="n">
        <x:f>ROUND(O2315-P2315,2)</x:f>
        <x:v>1252</x:v>
      </x:c>
      <x:c r="R2315" s="55" t="n">
        <x:f>IF(O2315=0,0,ROUND(Q2315/O2315,4))</x:f>
        <x:v>0.3548</x:v>
      </x:c>
      <x:c r="S2315" s="53" t="n">
        <x:v>2</x:v>
      </x:c>
      <x:c r="T2315" t="str">
        <x:v>Entregue</x:v>
      </x:c>
      <x:c r="U2315" t="n">
        <x:v>2</x:v>
      </x:c>
      <x:c r="V2315" t="str"/>
    </x:row>
    <x:row r="2316">
      <x:c r="A2316" s="52" t="n">
        <x:v>46060</x:v>
      </x:c>
      <x:c r="B2316" t="str">
        <x:v>PED-102315</x:v>
      </x:c>
      <x:c r="C2316" t="str">
        <x:v>Cliente 052</x:v>
      </x:c>
      <x:c r="D2316" t="str">
        <x:v>SP</x:v>
      </x:c>
      <x:c r="E2316" t="str">
        <x:v>Sudeste</x:v>
      </x:c>
      <x:c r="F2316" t="str">
        <x:v>Televendas</x:v>
      </x:c>
      <x:c r="G2316" t="str">
        <x:v>Acessórios</x:v>
      </x:c>
      <x:c r="H2316" t="str">
        <x:v>Mochila Executiva</x:v>
      </x:c>
      <x:c r="I2316" t="str">
        <x:v>Carla</x:v>
      </x:c>
      <x:c r="J2316" s="53" t="n">
        <x:v>7</x:v>
      </x:c>
      <x:c r="K2316" s="54" t="n">
        <x:v>411.64</x:v>
      </x:c>
      <x:c r="L2316" s="54" t="n">
        <x:v>183.51</x:v>
      </x:c>
      <x:c r="M2316" s="55" t="n">
        <x:v>0</x:v>
      </x:c>
      <x:c r="N2316" s="54" t="n">
        <x:f>ROUND(J2316*K2316,2)</x:f>
        <x:v>2881.48</x:v>
      </x:c>
      <x:c r="O2316" s="54" t="n">
        <x:f>ROUND(N2316*(1-M2316),2)</x:f>
        <x:v>2881.48</x:v>
      </x:c>
      <x:c r="P2316" s="54" t="n">
        <x:f>ROUND(J2316*L2316,2)</x:f>
        <x:v>1284.57</x:v>
      </x:c>
      <x:c r="Q2316" s="54" t="n">
        <x:f>ROUND(O2316-P2316,2)</x:f>
        <x:v>1596.91</x:v>
      </x:c>
      <x:c r="R2316" s="55" t="n">
        <x:f>IF(O2316=0,0,ROUND(Q2316/O2316,4))</x:f>
        <x:v>0.5542</x:v>
      </x:c>
      <x:c r="S2316" s="53" t="n">
        <x:v>10</x:v>
      </x:c>
      <x:c r="T2316" t="str">
        <x:v>Entregue</x:v>
      </x:c>
      <x:c r="U2316" t="n">
        <x:v>3</x:v>
      </x:c>
      <x:c r="V2316" t="str"/>
    </x:row>
    <x:row r="2317">
      <x:c r="A2317" s="52" t="n">
        <x:v>46151</x:v>
      </x:c>
      <x:c r="B2317" t="str">
        <x:v>PED-102316</x:v>
      </x:c>
      <x:c r="C2317" t="str">
        <x:v>Cliente 058</x:v>
      </x:c>
      <x:c r="D2317" t="str">
        <x:v>CE</x:v>
      </x:c>
      <x:c r="E2317" t="str">
        <x:v>Nordeste</x:v>
      </x:c>
      <x:c r="F2317" t="str">
        <x:v>E-commerce</x:v>
      </x:c>
      <x:c r="G2317" t="str">
        <x:v>Casa</x:v>
      </x:c>
      <x:c r="H2317" t="str">
        <x:v>Cafeteira Smart</x:v>
      </x:c>
      <x:c r="I2317" t="str">
        <x:v>Elaine</x:v>
      </x:c>
      <x:c r="J2317" s="53" t="n">
        <x:v>3</x:v>
      </x:c>
      <x:c r="K2317" s="54" t="n">
        <x:v>808.37</x:v>
      </x:c>
      <x:c r="L2317" s="54" t="n">
        <x:v>454.79</x:v>
      </x:c>
      <x:c r="M2317" s="55" t="n">
        <x:v>0</x:v>
      </x:c>
      <x:c r="N2317" s="54" t="n">
        <x:f>ROUND(J2317*K2317,2)</x:f>
        <x:v>2425.11</x:v>
      </x:c>
      <x:c r="O2317" s="54" t="n">
        <x:f>ROUND(N2317*(1-M2317),2)</x:f>
        <x:v>2425.11</x:v>
      </x:c>
      <x:c r="P2317" s="54" t="n">
        <x:f>ROUND(J2317*L2317,2)</x:f>
        <x:v>1364.37</x:v>
      </x:c>
      <x:c r="Q2317" s="54" t="n">
        <x:f>ROUND(O2317-P2317,2)</x:f>
        <x:v>1060.74</x:v>
      </x:c>
      <x:c r="R2317" s="55" t="n">
        <x:f>IF(O2317=0,0,ROUND(Q2317/O2317,4))</x:f>
        <x:v>0.4374</x:v>
      </x:c>
      <x:c r="S2317" s="53" t="n">
        <x:v>7</x:v>
      </x:c>
      <x:c r="T2317" t="str">
        <x:v>Entregue</x:v>
      </x:c>
      <x:c r="U2317" t="n">
        <x:v>3</x:v>
      </x:c>
      <x:c r="V2317" t="str"/>
    </x:row>
    <x:row r="2318">
      <x:c r="A2318" s="52" t="n">
        <x:v>46203</x:v>
      </x:c>
      <x:c r="B2318" t="str">
        <x:v>PED-102317</x:v>
      </x:c>
      <x:c r="C2318" t="str">
        <x:v>Cliente 108</x:v>
      </x:c>
      <x:c r="D2318" t="str">
        <x:v>SP</x:v>
      </x:c>
      <x:c r="E2318" t="str">
        <x:v>Sudeste</x:v>
      </x:c>
      <x:c r="F2318" t="str">
        <x:v>E-commerce</x:v>
      </x:c>
      <x:c r="G2318" t="str">
        <x:v>Acessórios</x:v>
      </x:c>
      <x:c r="H2318" t="str">
        <x:v>Webcam HD</x:v>
      </x:c>
      <x:c r="I2318" t="str">
        <x:v>Felipe</x:v>
      </x:c>
      <x:c r="J2318" s="53" t="n">
        <x:v>2</x:v>
      </x:c>
      <x:c r="K2318" s="54" t="n">
        <x:v>514.75</x:v>
      </x:c>
      <x:c r="L2318" s="54" t="n">
        <x:v>236.49</x:v>
      </x:c>
      <x:c r="M2318" s="55" t="n">
        <x:v>0.0055</x:v>
      </x:c>
      <x:c r="N2318" s="54" t="n">
        <x:f>ROUND(J2318*K2318,2)</x:f>
        <x:v>1029.5</x:v>
      </x:c>
      <x:c r="O2318" s="54" t="n">
        <x:f>ROUND(N2318*(1-M2318),2)</x:f>
        <x:v>1023.84</x:v>
      </x:c>
      <x:c r="P2318" s="54" t="n">
        <x:f>ROUND(J2318*L2318,2)</x:f>
        <x:v>472.98</x:v>
      </x:c>
      <x:c r="Q2318" s="54" t="n">
        <x:f>ROUND(O2318-P2318,2)</x:f>
        <x:v>550.86</x:v>
      </x:c>
      <x:c r="R2318" s="55" t="n">
        <x:f>IF(O2318=0,0,ROUND(Q2318/O2318,4))</x:f>
        <x:v>0.538</x:v>
      </x:c>
      <x:c r="S2318" s="53" t="n">
        <x:v>6</x:v>
      </x:c>
      <x:c r="T2318" t="str">
        <x:v>Entregue</x:v>
      </x:c>
      <x:c r="U2318" t="n">
        <x:v>4</x:v>
      </x:c>
      <x:c r="V2318" t="str"/>
    </x:row>
    <x:row r="2319">
      <x:c r="A2319" s="52" t="n">
        <x:v>46163</x:v>
      </x:c>
      <x:c r="B2319" t="str">
        <x:v>PED-102318</x:v>
      </x:c>
      <x:c r="C2319" t="str">
        <x:v>Cliente 037</x:v>
      </x:c>
      <x:c r="D2319" t="str">
        <x:v>BA</x:v>
      </x:c>
      <x:c r="E2319" t="str">
        <x:v>Nordeste</x:v>
      </x:c>
      <x:c r="F2319" t="str">
        <x:v>E-commerce</x:v>
      </x:c>
      <x:c r="G2319" t="str">
        <x:v>Tecnologia</x:v>
      </x:c>
      <x:c r="H2319" t="str">
        <x:v>Headset Office</x:v>
      </x:c>
      <x:c r="I2319" t="str">
        <x:v>Isabela</x:v>
      </x:c>
      <x:c r="J2319" s="53" t="n">
        <x:v>2</x:v>
      </x:c>
      <x:c r="K2319" s="54" t="n">
        <x:v>398.69</x:v>
      </x:c>
      <x:c r="L2319" s="54" t="n">
        <x:v>220.29</x:v>
      </x:c>
      <x:c r="M2319" s="55" t="n">
        <x:v>0.1006</x:v>
      </x:c>
      <x:c r="N2319" s="54" t="n">
        <x:f>ROUND(J2319*K2319,2)</x:f>
        <x:v>797.38</x:v>
      </x:c>
      <x:c r="O2319" s="54" t="n">
        <x:f>ROUND(N2319*(1-M2319),2)</x:f>
        <x:v>717.16</x:v>
      </x:c>
      <x:c r="P2319" s="54" t="n">
        <x:f>ROUND(J2319*L2319,2)</x:f>
        <x:v>440.58</x:v>
      </x:c>
      <x:c r="Q2319" s="54" t="n">
        <x:f>ROUND(O2319-P2319,2)</x:f>
        <x:v>276.58</x:v>
      </x:c>
      <x:c r="R2319" s="55" t="n">
        <x:f>IF(O2319=0,0,ROUND(Q2319/O2319,4))</x:f>
        <x:v>0.3857</x:v>
      </x:c>
      <x:c r="S2319" s="53" t="n">
        <x:v>7</x:v>
      </x:c>
      <x:c r="T2319" t="str">
        <x:v>Entregue</x:v>
      </x:c>
      <x:c r="U2319" t="n">
        <x:v>3</x:v>
      </x:c>
      <x:c r="V2319" t="str"/>
    </x:row>
    <x:row r="2320">
      <x:c r="A2320" s="52" t="n">
        <x:v>46158</x:v>
      </x:c>
      <x:c r="B2320" t="str">
        <x:v>PED-102319</x:v>
      </x:c>
      <x:c r="C2320" t="str">
        <x:v>Cliente 096</x:v>
      </x:c>
      <x:c r="D2320" t="str">
        <x:v>PE</x:v>
      </x:c>
      <x:c r="E2320" t="str">
        <x:v>Nordeste</x:v>
      </x:c>
      <x:c r="F2320" t="str">
        <x:v>E-commerce</x:v>
      </x:c>
      <x:c r="G2320" t="str">
        <x:v>Tecnologia</x:v>
      </x:c>
      <x:c r="H2320" t="str">
        <x:v>Monitor 27</x:v>
      </x:c>
      <x:c r="I2320" t="str">
        <x:v>Elaine</x:v>
      </x:c>
      <x:c r="J2320" s="53" t="n">
        <x:v>3</x:v>
      </x:c>
      <x:c r="K2320" s="54" t="n">
        <x:v>1681.29</x:v>
      </x:c>
      <x:c r="L2320" s="54" t="n">
        <x:v>1079.88</x:v>
      </x:c>
      <x:c r="M2320" s="55" t="n">
        <x:v>0</x:v>
      </x:c>
      <x:c r="N2320" s="54" t="n">
        <x:f>ROUND(J2320*K2320,2)</x:f>
        <x:v>5043.87</x:v>
      </x:c>
      <x:c r="O2320" s="54" t="n">
        <x:f>ROUND(N2320*(1-M2320),2)</x:f>
        <x:v>5043.87</x:v>
      </x:c>
      <x:c r="P2320" s="54" t="n">
        <x:f>ROUND(J2320*L2320,2)</x:f>
        <x:v>3239.64</x:v>
      </x:c>
      <x:c r="Q2320" s="54" t="n">
        <x:f>ROUND(O2320-P2320,2)</x:f>
        <x:v>1804.23</x:v>
      </x:c>
      <x:c r="R2320" s="55" t="n">
        <x:f>IF(O2320=0,0,ROUND(Q2320/O2320,4))</x:f>
        <x:v>0.3577</x:v>
      </x:c>
      <x:c r="S2320" s="53" t="n">
        <x:v>12</x:v>
      </x:c>
      <x:c r="T2320" t="str">
        <x:v>Entregue com atraso</x:v>
      </x:c>
      <x:c r="U2320" t="n">
        <x:v>3</x:v>
      </x:c>
      <x:c r="V2320" t="str"/>
    </x:row>
    <x:row r="2321">
      <x:c r="A2321" s="52" t="n">
        <x:v>46145</x:v>
      </x:c>
      <x:c r="B2321" t="str">
        <x:v>PED-102320</x:v>
      </x:c>
      <x:c r="C2321" t="str">
        <x:v>Cliente 101</x:v>
      </x:c>
      <x:c r="D2321" t="str">
        <x:v>RJ</x:v>
      </x:c>
      <x:c r="E2321" t="str">
        <x:v>Sudeste</x:v>
      </x:c>
      <x:c r="F2321" t="str">
        <x:v>Loja</x:v>
      </x:c>
      <x:c r="G2321" t="str">
        <x:v>Acessórios</x:v>
      </x:c>
      <x:c r="H2321" t="str">
        <x:v>Webcam HD</x:v>
      </x:c>
      <x:c r="I2321" t="str">
        <x:v>Felipe</x:v>
      </x:c>
      <x:c r="J2321" s="53" t="n">
        <x:v>8</x:v>
      </x:c>
      <x:c r="K2321" s="54" t="n">
        <x:v>484.91</x:v>
      </x:c>
      <x:c r="L2321" s="54" t="n">
        <x:v>237.13</x:v>
      </x:c>
      <x:c r="M2321" s="55" t="n">
        <x:v>0</x:v>
      </x:c>
      <x:c r="N2321" s="54" t="n">
        <x:f>ROUND(J2321*K2321,2)</x:f>
        <x:v>3879.28</x:v>
      </x:c>
      <x:c r="O2321" s="54" t="n">
        <x:f>ROUND(N2321*(1-M2321),2)</x:f>
        <x:v>3879.28</x:v>
      </x:c>
      <x:c r="P2321" s="54" t="n">
        <x:f>ROUND(J2321*L2321,2)</x:f>
        <x:v>1897.04</x:v>
      </x:c>
      <x:c r="Q2321" s="54" t="n">
        <x:f>ROUND(O2321-P2321,2)</x:f>
        <x:v>1982.24</x:v>
      </x:c>
      <x:c r="R2321" s="55" t="n">
        <x:f>IF(O2321=0,0,ROUND(Q2321/O2321,4))</x:f>
        <x:v>0.511</x:v>
      </x:c>
      <x:c r="S2321" s="53" t="n">
        <x:v>6</x:v>
      </x:c>
      <x:c r="T2321" t="str">
        <x:v>Entregue</x:v>
      </x:c>
      <x:c r="U2321" t="n">
        <x:v>2</x:v>
      </x:c>
      <x:c r="V2321" t="str"/>
    </x:row>
    <x:row r="2322">
      <x:c r="A2322" s="52" t="n">
        <x:v>46164</x:v>
      </x:c>
      <x:c r="B2322" t="str">
        <x:v>PED-102321</x:v>
      </x:c>
      <x:c r="C2322" t="str">
        <x:v>Cliente 109</x:v>
      </x:c>
      <x:c r="D2322" t="str">
        <x:v>PE</x:v>
      </x:c>
      <x:c r="E2322" t="str">
        <x:v>Nordeste</x:v>
      </x:c>
      <x:c r="F2322" t="str">
        <x:v>Marketplace</x:v>
      </x:c>
      <x:c r="G2322" t="str">
        <x:v>Casa</x:v>
      </x:c>
      <x:c r="H2322" t="str">
        <x:v>Purificador</x:v>
      </x:c>
      <x:c r="I2322" t="str">
        <x:v>Carla</x:v>
      </x:c>
      <x:c r="J2322" s="53" t="n">
        <x:v>4</x:v>
      </x:c>
      <x:c r="K2322" s="54" t="n">
        <x:v>1352.22</x:v>
      </x:c>
      <x:c r="L2322" s="54" t="n">
        <x:v>790.48</x:v>
      </x:c>
      <x:c r="M2322" s="55" t="n">
        <x:v>0.035</x:v>
      </x:c>
      <x:c r="N2322" s="54" t="n">
        <x:f>ROUND(J2322*K2322,2)</x:f>
        <x:v>5408.88</x:v>
      </x:c>
      <x:c r="O2322" s="54" t="n">
        <x:f>ROUND(N2322*(1-M2322),2)</x:f>
        <x:v>5219.57</x:v>
      </x:c>
      <x:c r="P2322" s="54" t="n">
        <x:f>ROUND(J2322*L2322,2)</x:f>
        <x:v>3161.92</x:v>
      </x:c>
      <x:c r="Q2322" s="54" t="n">
        <x:f>ROUND(O2322-P2322,2)</x:f>
        <x:v>2057.65</x:v>
      </x:c>
      <x:c r="R2322" s="55" t="n">
        <x:f>IF(O2322=0,0,ROUND(Q2322/O2322,4))</x:f>
        <x:v>0.3942</x:v>
      </x:c>
      <x:c r="S2322" s="53" t="n">
        <x:v>10</x:v>
      </x:c>
      <x:c r="T2322" t="str">
        <x:v>Entregue</x:v>
      </x:c>
      <x:c r="U2322" t="n">
        <x:v>5</x:v>
      </x:c>
      <x:c r="V2322" t="str"/>
    </x:row>
    <x:row r="2323">
      <x:c r="A2323" s="52" t="n">
        <x:v>46091</x:v>
      </x:c>
      <x:c r="B2323" t="str">
        <x:v>PED-102322</x:v>
      </x:c>
      <x:c r="C2323" t="str">
        <x:v>Cliente 082</x:v>
      </x:c>
      <x:c r="D2323" t="str">
        <x:v>CE</x:v>
      </x:c>
      <x:c r="E2323" t="str">
        <x:v>Nordeste</x:v>
      </x:c>
      <x:c r="F2323" t="str">
        <x:v>Marketplace</x:v>
      </x:c>
      <x:c r="G2323" t="str">
        <x:v>Tecnologia</x:v>
      </x:c>
      <x:c r="H2323" t="str">
        <x:v>Monitor 27</x:v>
      </x:c>
      <x:c r="I2323" t="str">
        <x:v>Elaine</x:v>
      </x:c>
      <x:c r="J2323" s="53" t="n">
        <x:v>5</x:v>
      </x:c>
      <x:c r="K2323" s="54" t="n">
        <x:v>1641.95</x:v>
      </x:c>
      <x:c r="L2323" s="54" t="n">
        <x:v>1812.1</x:v>
      </x:c>
      <x:c r="M2323" s="55" t="n">
        <x:v>0.1443</x:v>
      </x:c>
      <x:c r="N2323" s="54" t="n">
        <x:f>ROUND(J2323*K2323,2)</x:f>
        <x:v>8209.75</x:v>
      </x:c>
      <x:c r="O2323" s="54" t="n">
        <x:f>ROUND(N2323*(1-M2323),2)</x:f>
        <x:v>7025.08</x:v>
      </x:c>
      <x:c r="P2323" s="54" t="n">
        <x:f>ROUND(J2323*L2323,2)</x:f>
        <x:v>9060.5</x:v>
      </x:c>
      <x:c r="Q2323" s="54" t="n">
        <x:f>ROUND(O2323-P2323,2)</x:f>
        <x:v>-2035.42</x:v>
      </x:c>
      <x:c r="R2323" s="55" t="n">
        <x:f>IF(O2323=0,0,ROUND(Q2323/O2323,4))</x:f>
        <x:v>-0.2897</x:v>
      </x:c>
      <x:c r="S2323" s="53" t="n">
        <x:v>9</x:v>
      </x:c>
      <x:c r="T2323" t="str">
        <x:v>Entregue</x:v>
      </x:c>
      <x:c r="U2323" t="n">
        <x:v>2</x:v>
      </x:c>
      <x:c r="V2323" t="str">
        <x:v>Custo revisado após fechamento</x:v>
      </x:c>
    </x:row>
    <x:row r="2324">
      <x:c r="A2324" s="52" t="n">
        <x:v>46162</x:v>
      </x:c>
      <x:c r="B2324" t="str">
        <x:v>PED-102323</x:v>
      </x:c>
      <x:c r="C2324" t="str">
        <x:v>Cliente 062</x:v>
      </x:c>
      <x:c r="D2324" t="str">
        <x:v>PR</x:v>
      </x:c>
      <x:c r="E2324" t="str">
        <x:v>Sul</x:v>
      </x:c>
      <x:c r="F2324" t="str">
        <x:v>Televendas</x:v>
      </x:c>
      <x:c r="G2324" t="str">
        <x:v>Acessórios</x:v>
      </x:c>
      <x:c r="H2324" t="str">
        <x:v>Hub USB-C</x:v>
      </x:c>
      <x:c r="I2324" t="str">
        <x:v>Carla</x:v>
      </x:c>
      <x:c r="J2324" s="53" t="n">
        <x:v>2</x:v>
      </x:c>
      <x:c r="K2324" s="54" t="n">
        <x:v>329.08</x:v>
      </x:c>
      <x:c r="L2324" s="54" t="n">
        <x:v>138.97</x:v>
      </x:c>
      <x:c r="M2324" s="55" t="n">
        <x:v>0.1044</x:v>
      </x:c>
      <x:c r="N2324" s="54" t="n">
        <x:f>ROUND(J2324*K2324,2)</x:f>
        <x:v>658.16</x:v>
      </x:c>
      <x:c r="O2324" s="54" t="n">
        <x:f>ROUND(N2324*(1-M2324),2)</x:f>
        <x:v>589.45</x:v>
      </x:c>
      <x:c r="P2324" s="54" t="n">
        <x:f>ROUND(J2324*L2324,2)</x:f>
        <x:v>277.94</x:v>
      </x:c>
      <x:c r="Q2324" s="54" t="n">
        <x:f>ROUND(O2324-P2324,2)</x:f>
        <x:v>311.51</x:v>
      </x:c>
      <x:c r="R2324" s="55" t="n">
        <x:f>IF(O2324=0,0,ROUND(Q2324/O2324,4))</x:f>
        <x:v>0.5285</x:v>
      </x:c>
      <x:c r="S2324" s="53" t="n">
        <x:v>12</x:v>
      </x:c>
      <x:c r="T2324" t="str">
        <x:v>Entregue com atraso</x:v>
      </x:c>
      <x:c r="U2324" t="n">
        <x:v>3</x:v>
      </x:c>
      <x:c r="V2324" t="str"/>
    </x:row>
    <x:row r="2325">
      <x:c r="A2325" s="52" t="n">
        <x:v>46208</x:v>
      </x:c>
      <x:c r="B2325" t="str">
        <x:v>PED-102324</x:v>
      </x:c>
      <x:c r="C2325" t="str">
        <x:v>Cliente 096</x:v>
      </x:c>
      <x:c r="D2325" t="str">
        <x:v>BA</x:v>
      </x:c>
      <x:c r="E2325" t="str">
        <x:v>Nordeste</x:v>
      </x:c>
      <x:c r="F2325" t="str">
        <x:v>Loja</x:v>
      </x:c>
      <x:c r="G2325" t="str">
        <x:v>Tecnologia</x:v>
      </x:c>
      <x:c r="H2325" t="str">
        <x:v>Headset Office</x:v>
      </x:c>
      <x:c r="I2325" t="str">
        <x:v>Henrique</x:v>
      </x:c>
      <x:c r="J2325" s="53" t="n">
        <x:v>8</x:v>
      </x:c>
      <x:c r="K2325" s="54" t="n">
        <x:v>387.69</x:v>
      </x:c>
      <x:c r="L2325" s="54" t="n">
        <x:v>212.67</x:v>
      </x:c>
      <x:c r="M2325" s="55" t="n">
        <x:v>0.0755</x:v>
      </x:c>
      <x:c r="N2325" s="54" t="n">
        <x:f>ROUND(J2325*K2325,2)</x:f>
        <x:v>3101.52</x:v>
      </x:c>
      <x:c r="O2325" s="54" t="n">
        <x:f>ROUND(N2325*(1-M2325),2)</x:f>
        <x:v>2867.36</x:v>
      </x:c>
      <x:c r="P2325" s="54" t="n">
        <x:f>ROUND(J2325*L2325,2)</x:f>
        <x:v>1701.36</x:v>
      </x:c>
      <x:c r="Q2325" s="54" t="n">
        <x:f>ROUND(O2325-P2325,2)</x:f>
        <x:v>1166</x:v>
      </x:c>
      <x:c r="R2325" s="55" t="n">
        <x:f>IF(O2325=0,0,ROUND(Q2325/O2325,4))</x:f>
        <x:v>0.4066</x:v>
      </x:c>
      <x:c r="S2325" s="53" t="n">
        <x:v>11</x:v>
      </x:c>
      <x:c r="T2325" t="str">
        <x:v>Cancelado</x:v>
      </x:c>
      <x:c r="U2325"/>
      <x:c r="V2325" t="str"/>
    </x:row>
    <x:row r="2326">
      <x:c r="A2326" s="52" t="n">
        <x:v>46050</x:v>
      </x:c>
      <x:c r="B2326" t="str">
        <x:v>PED-102325</x:v>
      </x:c>
      <x:c r="C2326" t="str">
        <x:v>Cliente 045</x:v>
      </x:c>
      <x:c r="D2326" t="str">
        <x:v>SC</x:v>
      </x:c>
      <x:c r="E2326" t="str">
        <x:v>Sul</x:v>
      </x:c>
      <x:c r="F2326" t="str">
        <x:v>Loja</x:v>
      </x:c>
      <x:c r="G2326" t="str">
        <x:v>Escritório</x:v>
      </x:c>
      <x:c r="H2326" t="str">
        <x:v>Cadeira Ergonômica</x:v>
      </x:c>
      <x:c r="I2326" t="str">
        <x:v>Isabela</x:v>
      </x:c>
      <x:c r="J2326" s="53" t="n">
        <x:v>2</x:v>
      </x:c>
      <x:c r="K2326" s="54" t="n">
        <x:v>2098.88</x:v>
      </x:c>
      <x:c r="L2326" s="54" t="n">
        <x:v>1468.63</x:v>
      </x:c>
      <x:c r="M2326" s="55" t="n">
        <x:v>0.0831</x:v>
      </x:c>
      <x:c r="N2326" s="54" t="n">
        <x:f>ROUND(J2326*K2326,2)</x:f>
        <x:v>4197.76</x:v>
      </x:c>
      <x:c r="O2326" s="54" t="n">
        <x:f>ROUND(N2326*(1-M2326),2)</x:f>
        <x:v>3848.93</x:v>
      </x:c>
      <x:c r="P2326" s="54" t="n">
        <x:f>ROUND(J2326*L2326,2)</x:f>
        <x:v>2937.26</x:v>
      </x:c>
      <x:c r="Q2326" s="54" t="n">
        <x:f>ROUND(O2326-P2326,2)</x:f>
        <x:v>911.67</x:v>
      </x:c>
      <x:c r="R2326" s="55" t="n">
        <x:f>IF(O2326=0,0,ROUND(Q2326/O2326,4))</x:f>
        <x:v>0.2369</x:v>
      </x:c>
      <x:c r="S2326" s="53" t="n">
        <x:v>3</x:v>
      </x:c>
      <x:c r="T2326" t="str">
        <x:v>Entregue</x:v>
      </x:c>
      <x:c r="U2326" t="n">
        <x:v>4</x:v>
      </x:c>
      <x:c r="V2326" t="str"/>
    </x:row>
    <x:row r="2327">
      <x:c r="A2327" s="52" t="n">
        <x:v>46233</x:v>
      </x:c>
      <x:c r="B2327" t="str">
        <x:v>PED-102326</x:v>
      </x:c>
      <x:c r="C2327" t="str">
        <x:v>Cliente 005</x:v>
      </x:c>
      <x:c r="D2327" t="str">
        <x:v>MG</x:v>
      </x:c>
      <x:c r="E2327" t="str">
        <x:v>Sudeste</x:v>
      </x:c>
      <x:c r="F2327" t="str">
        <x:v>Televendas</x:v>
      </x:c>
      <x:c r="G2327" t="str">
        <x:v>Tecnologia</x:v>
      </x:c>
      <x:c r="H2327" t="str">
        <x:v>Notebook Pro</x:v>
      </x:c>
      <x:c r="I2327" t="str">
        <x:v>Elaine</x:v>
      </x:c>
      <x:c r="J2327" s="53" t="n">
        <x:v>4</x:v>
      </x:c>
      <x:c r="K2327" s="54" t="n">
        <x:v>5597.51</x:v>
      </x:c>
      <x:c r="L2327" s="54" t="n">
        <x:v>4351.56</x:v>
      </x:c>
      <x:c r="M2327" s="55" t="n">
        <x:v>0.1279</x:v>
      </x:c>
      <x:c r="N2327" s="54" t="n">
        <x:f>ROUND(J2327*K2327,2)</x:f>
        <x:v>22390.04</x:v>
      </x:c>
      <x:c r="O2327" s="54" t="n">
        <x:f>ROUND(N2327*(1-M2327),2)</x:f>
        <x:v>19526.35</x:v>
      </x:c>
      <x:c r="P2327" s="54" t="n">
        <x:f>ROUND(J2327*L2327,2)</x:f>
        <x:v>17406.24</x:v>
      </x:c>
      <x:c r="Q2327" s="54" t="n">
        <x:f>ROUND(O2327-P2327,2)</x:f>
        <x:v>2120.11</x:v>
      </x:c>
      <x:c r="R2327" s="55" t="n">
        <x:f>IF(O2327=0,0,ROUND(Q2327/O2327,4))</x:f>
        <x:v>0.1086</x:v>
      </x:c>
      <x:c r="S2327" s="53" t="n">
        <x:v>6</x:v>
      </x:c>
      <x:c r="T2327" t="str">
        <x:v>Entregue</x:v>
      </x:c>
      <x:c r="U2327" t="n">
        <x:v>4</x:v>
      </x:c>
      <x:c r="V2327" t="str"/>
    </x:row>
    <x:row r="2328">
      <x:c r="A2328" s="52" t="n">
        <x:v>46168</x:v>
      </x:c>
      <x:c r="B2328" t="str">
        <x:v>PED-102327</x:v>
      </x:c>
      <x:c r="C2328" t="str">
        <x:v>Cliente 048</x:v>
      </x:c>
      <x:c r="D2328" t="str">
        <x:v>DF</x:v>
      </x:c>
      <x:c r="E2328" t="str">
        <x:v>Centro-Oeste</x:v>
      </x:c>
      <x:c r="F2328" t="str">
        <x:v>E-commerce</x:v>
      </x:c>
      <x:c r="G2328" t="str">
        <x:v>Tecnologia</x:v>
      </x:c>
      <x:c r="H2328" t="str">
        <x:v>Headset Office</x:v>
      </x:c>
      <x:c r="I2328" t="str">
        <x:v>Gabriela</x:v>
      </x:c>
      <x:c r="J2328" s="53" t="n">
        <x:v>2</x:v>
      </x:c>
      <x:c r="K2328" s="54" t="n">
        <x:v>370.4</x:v>
      </x:c>
      <x:c r="L2328" s="54" t="n">
        <x:v>213.26</x:v>
      </x:c>
      <x:c r="M2328" s="55" t="n">
        <x:v>0</x:v>
      </x:c>
      <x:c r="N2328" s="54" t="n">
        <x:f>ROUND(J2328*K2328,2)</x:f>
        <x:v>740.8</x:v>
      </x:c>
      <x:c r="O2328" s="54" t="n">
        <x:f>ROUND(N2328*(1-M2328),2)</x:f>
        <x:v>740.8</x:v>
      </x:c>
      <x:c r="P2328" s="54" t="n">
        <x:f>ROUND(J2328*L2328,2)</x:f>
        <x:v>426.52</x:v>
      </x:c>
      <x:c r="Q2328" s="54" t="n">
        <x:f>ROUND(O2328-P2328,2)</x:f>
        <x:v>314.28</x:v>
      </x:c>
      <x:c r="R2328" s="55" t="n">
        <x:f>IF(O2328=0,0,ROUND(Q2328/O2328,4))</x:f>
        <x:v>0.4242</x:v>
      </x:c>
      <x:c r="S2328" s="53" t="n">
        <x:v>7</x:v>
      </x:c>
      <x:c r="T2328" t="str">
        <x:v>Entregue</x:v>
      </x:c>
      <x:c r="U2328" t="n">
        <x:v>3</x:v>
      </x:c>
      <x:c r="V2328" t="str"/>
    </x:row>
    <x:row r="2329">
      <x:c r="A2329" s="52" t="n">
        <x:v>46144</x:v>
      </x:c>
      <x:c r="B2329" t="str">
        <x:v>PED-102328</x:v>
      </x:c>
      <x:c r="C2329" t="str">
        <x:v>Cliente 031</x:v>
      </x:c>
      <x:c r="D2329" t="str">
        <x:v>PE</x:v>
      </x:c>
      <x:c r="E2329" t="str">
        <x:v>Nordeste</x:v>
      </x:c>
      <x:c r="F2329" t="str">
        <x:v>Marketplace</x:v>
      </x:c>
      <x:c r="G2329" t="str">
        <x:v>Casa</x:v>
      </x:c>
      <x:c r="H2329" t="str">
        <x:v>Aspirador Robô</x:v>
      </x:c>
      <x:c r="I2329" t="str">
        <x:v>Diego</x:v>
      </x:c>
      <x:c r="J2329" s="53" t="n">
        <x:v>3</x:v>
      </x:c>
      <x:c r="K2329" s="54" t="n">
        <x:v>1957.88</x:v>
      </x:c>
      <x:c r="L2329" s="54" t="n">
        <x:v>1199.54</x:v>
      </x:c>
      <x:c r="M2329" s="55" t="n">
        <x:v>0.035</x:v>
      </x:c>
      <x:c r="N2329" s="54" t="n">
        <x:f>ROUND(J2329*K2329,2)</x:f>
        <x:v>5873.64</x:v>
      </x:c>
      <x:c r="O2329" s="54" t="n">
        <x:f>ROUND(N2329*(1-M2329),2)</x:f>
        <x:v>5668.06</x:v>
      </x:c>
      <x:c r="P2329" s="54" t="n">
        <x:f>ROUND(J2329*L2329,2)</x:f>
        <x:v>3598.62</x:v>
      </x:c>
      <x:c r="Q2329" s="54" t="n">
        <x:f>ROUND(O2329-P2329,2)</x:f>
        <x:v>2069.44</x:v>
      </x:c>
      <x:c r="R2329" s="55" t="n">
        <x:f>IF(O2329=0,0,ROUND(Q2329/O2329,4))</x:f>
        <x:v>0.3651</x:v>
      </x:c>
      <x:c r="S2329" s="53" t="n">
        <x:v>7</x:v>
      </x:c>
      <x:c r="T2329" t="str">
        <x:v>Cancelado</x:v>
      </x:c>
      <x:c r="U2329"/>
      <x:c r="V2329" t="str"/>
    </x:row>
    <x:row r="2330">
      <x:c r="A2330" s="52" t="n">
        <x:v>46053</x:v>
      </x:c>
      <x:c r="B2330" t="str">
        <x:v>PED-102329</x:v>
      </x:c>
      <x:c r="C2330" t="str">
        <x:v>Cliente 008</x:v>
      </x:c>
      <x:c r="D2330" t="str">
        <x:v>MT</x:v>
      </x:c>
      <x:c r="E2330" t="str">
        <x:v>Centro-Oeste</x:v>
      </x:c>
      <x:c r="F2330" t="str">
        <x:v>Televendas</x:v>
      </x:c>
      <x:c r="G2330" t="str">
        <x:v>Acessórios</x:v>
      </x:c>
      <x:c r="H2330" t="str">
        <x:v>Webcam HD</x:v>
      </x:c>
      <x:c r="I2330" t="str">
        <x:v>Diego</x:v>
      </x:c>
      <x:c r="J2330" s="53" t="n">
        <x:v>4</x:v>
      </x:c>
      <x:c r="K2330" s="54" t="n">
        <x:v>539.59</x:v>
      </x:c>
      <x:c r="L2330" s="54" t="n">
        <x:v>246.56</x:v>
      </x:c>
      <x:c r="M2330" s="55" t="n">
        <x:v>0.098</x:v>
      </x:c>
      <x:c r="N2330" s="54" t="n">
        <x:f>ROUND(J2330*K2330,2)</x:f>
        <x:v>2158.36</x:v>
      </x:c>
      <x:c r="O2330" s="54" t="n">
        <x:f>ROUND(N2330*(1-M2330),2)</x:f>
        <x:v>1946.84</x:v>
      </x:c>
      <x:c r="P2330" s="54" t="n">
        <x:f>ROUND(J2330*L2330,2)</x:f>
        <x:v>986.24</x:v>
      </x:c>
      <x:c r="Q2330" s="54" t="n">
        <x:f>ROUND(O2330-P2330,2)</x:f>
        <x:v>960.6</x:v>
      </x:c>
      <x:c r="R2330" s="55" t="n">
        <x:f>IF(O2330=0,0,ROUND(Q2330/O2330,4))</x:f>
        <x:v>0.4934</x:v>
      </x:c>
      <x:c r="S2330" s="53" t="n">
        <x:v>6</x:v>
      </x:c>
      <x:c r="T2330" t="str">
        <x:v>Entregue</x:v>
      </x:c>
      <x:c r="U2330" t="n">
        <x:v>4</x:v>
      </x:c>
      <x:c r="V2330" t="str"/>
    </x:row>
    <x:row r="2331">
      <x:c r="A2331" s="52" t="n">
        <x:v>46157</x:v>
      </x:c>
      <x:c r="B2331" t="str">
        <x:v>PED-102330</x:v>
      </x:c>
      <x:c r="C2331" t="str">
        <x:v>Cliente 014</x:v>
      </x:c>
      <x:c r="D2331" t="str">
        <x:v>GO</x:v>
      </x:c>
      <x:c r="E2331" t="str">
        <x:v>Centro-Oeste</x:v>
      </x:c>
      <x:c r="F2331" t="str">
        <x:v>Televendas</x:v>
      </x:c>
      <x:c r="G2331" t="str">
        <x:v>Escritório</x:v>
      </x:c>
      <x:c r="H2331" t="str">
        <x:v>Cadeira Ergonômica</x:v>
      </x:c>
      <x:c r="I2331" t="str">
        <x:v>Carla</x:v>
      </x:c>
      <x:c r="J2331" s="53" t="n">
        <x:v>7</x:v>
      </x:c>
      <x:c r="K2331" s="54" t="n">
        <x:v>2145.28</x:v>
      </x:c>
      <x:c r="L2331" s="54" t="n">
        <x:v>1359.73</x:v>
      </x:c>
      <x:c r="M2331" s="55" t="n">
        <x:v>0.0855</x:v>
      </x:c>
      <x:c r="N2331" s="54" t="n">
        <x:f>ROUND(J2331*K2331,2)</x:f>
        <x:v>15016.96</x:v>
      </x:c>
      <x:c r="O2331" s="54" t="n">
        <x:f>ROUND(N2331*(1-M2331),2)</x:f>
        <x:v>13733.01</x:v>
      </x:c>
      <x:c r="P2331" s="54" t="n">
        <x:f>ROUND(J2331*L2331,2)</x:f>
        <x:v>9518.11</x:v>
      </x:c>
      <x:c r="Q2331" s="54" t="n">
        <x:f>ROUND(O2331-P2331,2)</x:f>
        <x:v>4214.9</x:v>
      </x:c>
      <x:c r="R2331" s="55" t="n">
        <x:f>IF(O2331=0,0,ROUND(Q2331/O2331,4))</x:f>
        <x:v>0.3069</x:v>
      </x:c>
      <x:c r="S2331" s="53" t="n">
        <x:v>7</x:v>
      </x:c>
      <x:c r="T2331" t="str">
        <x:v>Entregue</x:v>
      </x:c>
      <x:c r="U2331" t="n">
        <x:v>4</x:v>
      </x:c>
      <x:c r="V2331" t="str"/>
    </x:row>
    <x:row r="2332">
      <x:c r="A2332" s="52" t="n">
        <x:v>46106</x:v>
      </x:c>
      <x:c r="B2332" t="str">
        <x:v>PED-102331</x:v>
      </x:c>
      <x:c r="C2332" t="str">
        <x:v>Cliente 082</x:v>
      </x:c>
      <x:c r="D2332" t="str">
        <x:v>MA</x:v>
      </x:c>
      <x:c r="E2332" t="str">
        <x:v>Nordeste</x:v>
      </x:c>
      <x:c r="F2332" t="str">
        <x:v>Marketplace</x:v>
      </x:c>
      <x:c r="G2332" t="str">
        <x:v>Escritório</x:v>
      </x:c>
      <x:c r="H2332" t="str">
        <x:v>Cadeira Ergonômica</x:v>
      </x:c>
      <x:c r="I2332" t="str">
        <x:v>Henrique</x:v>
      </x:c>
      <x:c r="J2332" s="53" t="n">
        <x:v>2</x:v>
      </x:c>
      <x:c r="K2332" s="54" t="n">
        <x:v>2320.3</x:v>
      </x:c>
      <x:c r="L2332" s="54" t="n">
        <x:v>1506.88</x:v>
      </x:c>
      <x:c r="M2332" s="55" t="n">
        <x:v>0.0874</x:v>
      </x:c>
      <x:c r="N2332" s="54" t="n">
        <x:f>ROUND(J2332*K2332,2)</x:f>
        <x:v>4640.6</x:v>
      </x:c>
      <x:c r="O2332" s="54" t="n">
        <x:f>ROUND(N2332*(1-M2332),2)</x:f>
        <x:v>4235.01</x:v>
      </x:c>
      <x:c r="P2332" s="54" t="n">
        <x:f>ROUND(J2332*L2332,2)</x:f>
        <x:v>3013.76</x:v>
      </x:c>
      <x:c r="Q2332" s="54" t="n">
        <x:f>ROUND(O2332-P2332,2)</x:f>
        <x:v>1221.25</x:v>
      </x:c>
      <x:c r="R2332" s="55" t="n">
        <x:f>IF(O2332=0,0,ROUND(Q2332/O2332,4))</x:f>
        <x:v>0.2884</x:v>
      </x:c>
      <x:c r="S2332" s="53" t="n">
        <x:v>10</x:v>
      </x:c>
      <x:c r="T2332" t="str">
        <x:v>Entregue</x:v>
      </x:c>
      <x:c r="U2332" t="n">
        <x:v>3</x:v>
      </x:c>
      <x:c r="V2332" t="str"/>
    </x:row>
    <x:row r="2333">
      <x:c r="A2333" s="52" t="n">
        <x:v>46183</x:v>
      </x:c>
      <x:c r="B2333" t="str">
        <x:v>PED-102332</x:v>
      </x:c>
      <x:c r="C2333" t="str">
        <x:v>Cliente 018</x:v>
      </x:c>
      <x:c r="D2333" t="str">
        <x:v>MA</x:v>
      </x:c>
      <x:c r="E2333" t="str">
        <x:v>Nordeste</x:v>
      </x:c>
      <x:c r="F2333" t="str">
        <x:v>E-commerce</x:v>
      </x:c>
      <x:c r="G2333" t="str">
        <x:v>Tecnologia</x:v>
      </x:c>
      <x:c r="H2333" t="str">
        <x:v>Notebook Pro</x:v>
      </x:c>
      <x:c r="I2333" t="str">
        <x:v>Henrique</x:v>
      </x:c>
      <x:c r="J2333" s="53" t="n">
        <x:v>3</x:v>
      </x:c>
      <x:c r="K2333" s="54" t="n">
        <x:v>5669.41</x:v>
      </x:c>
      <x:c r="L2333" s="54" t="n">
        <x:v>4379.15</x:v>
      </x:c>
      <x:c r="M2333" s="55" t="n">
        <x:v>0.043</x:v>
      </x:c>
      <x:c r="N2333" s="54" t="n">
        <x:f>ROUND(J2333*K2333,2)</x:f>
        <x:v>17008.23</x:v>
      </x:c>
      <x:c r="O2333" s="54" t="n">
        <x:f>ROUND(N2333*(1-M2333),2)</x:f>
        <x:v>16276.88</x:v>
      </x:c>
      <x:c r="P2333" s="54" t="n">
        <x:f>ROUND(J2333*L2333,2)</x:f>
        <x:v>13137.45</x:v>
      </x:c>
      <x:c r="Q2333" s="54" t="n">
        <x:f>ROUND(O2333-P2333,2)</x:f>
        <x:v>3139.43</x:v>
      </x:c>
      <x:c r="R2333" s="55" t="n">
        <x:f>IF(O2333=0,0,ROUND(Q2333/O2333,4))</x:f>
        <x:v>0.1929</x:v>
      </x:c>
      <x:c r="S2333" s="53" t="n">
        <x:v>6</x:v>
      </x:c>
      <x:c r="T2333" t="str">
        <x:v>Entregue</x:v>
      </x:c>
      <x:c r="U2333" t="n">
        <x:v>5</x:v>
      </x:c>
      <x:c r="V2333" t="str"/>
    </x:row>
    <x:row r="2334">
      <x:c r="A2334" s="52" t="n">
        <x:v>46138</x:v>
      </x:c>
      <x:c r="B2334" t="str">
        <x:v>PED-102333</x:v>
      </x:c>
      <x:c r="C2334" t="str">
        <x:v>Cliente 001</x:v>
      </x:c>
      <x:c r="D2334" t="str">
        <x:v>RS</x:v>
      </x:c>
      <x:c r="E2334" t="str">
        <x:v>Sul</x:v>
      </x:c>
      <x:c r="F2334" t="str">
        <x:v>Televendas</x:v>
      </x:c>
      <x:c r="G2334" t="str">
        <x:v>Escritório</x:v>
      </x:c>
      <x:c r="H2334" t="str">
        <x:v>Luminária LED</x:v>
      </x:c>
      <x:c r="I2334" t="str">
        <x:v>Bruno</x:v>
      </x:c>
      <x:c r="J2334" s="53" t="n">
        <x:v>5</x:v>
      </x:c>
      <x:c r="K2334" s="54" t="n">
        <x:v>266.34</x:v>
      </x:c>
      <x:c r="L2334" s="54" t="n">
        <x:v>117.61</x:v>
      </x:c>
      <x:c r="M2334" s="55" t="n">
        <x:v>0.1023</x:v>
      </x:c>
      <x:c r="N2334" s="54" t="n">
        <x:f>ROUND(J2334*K2334,2)</x:f>
        <x:v>1331.7</x:v>
      </x:c>
      <x:c r="O2334" s="54" t="n">
        <x:f>ROUND(N2334*(1-M2334),2)</x:f>
        <x:v>1195.47</x:v>
      </x:c>
      <x:c r="P2334" s="54" t="n">
        <x:f>ROUND(J2334*L2334,2)</x:f>
        <x:v>588.05</x:v>
      </x:c>
      <x:c r="Q2334" s="54" t="n">
        <x:f>ROUND(O2334-P2334,2)</x:f>
        <x:v>607.42</x:v>
      </x:c>
      <x:c r="R2334" s="55" t="n">
        <x:f>IF(O2334=0,0,ROUND(Q2334/O2334,4))</x:f>
        <x:v>0.5081</x:v>
      </x:c>
      <x:c r="S2334" s="53" t="n">
        <x:v>6</x:v>
      </x:c>
      <x:c r="T2334" t="str">
        <x:v>Entregue</x:v>
      </x:c>
      <x:c r="U2334" t="n">
        <x:v>5</x:v>
      </x:c>
      <x:c r="V2334" t="str"/>
    </x:row>
    <x:row r="2335">
      <x:c r="A2335" s="52" t="n">
        <x:v>46136</x:v>
      </x:c>
      <x:c r="B2335" t="str">
        <x:v>PED-102334</x:v>
      </x:c>
      <x:c r="C2335" t="str">
        <x:v>Cliente 113</x:v>
      </x:c>
      <x:c r="D2335" t="str">
        <x:v>PA</x:v>
      </x:c>
      <x:c r="E2335" t="str">
        <x:v>Norte</x:v>
      </x:c>
      <x:c r="F2335" t="str">
        <x:v>Loja</x:v>
      </x:c>
      <x:c r="G2335" t="str">
        <x:v>Casa</x:v>
      </x:c>
      <x:c r="H2335" t="str">
        <x:v>Aspirador Robô</x:v>
      </x:c>
      <x:c r="I2335" t="str">
        <x:v>Elaine</x:v>
      </x:c>
      <x:c r="J2335" s="53" t="n">
        <x:v>6</x:v>
      </x:c>
      <x:c r="K2335" s="54" t="n">
        <x:v>1842.16</x:v>
      </x:c>
      <x:c r="L2335" s="54" t="n">
        <x:v>1237.37</x:v>
      </x:c>
      <x:c r="M2335" s="55" t="n">
        <x:v>0.1239</x:v>
      </x:c>
      <x:c r="N2335" s="54" t="n">
        <x:f>ROUND(J2335*K2335,2)</x:f>
        <x:v>11052.96</x:v>
      </x:c>
      <x:c r="O2335" s="54" t="n">
        <x:f>ROUND(N2335*(1-M2335),2)</x:f>
        <x:v>9683.5</x:v>
      </x:c>
      <x:c r="P2335" s="54" t="n">
        <x:f>ROUND(J2335*L2335,2)</x:f>
        <x:v>7424.22</x:v>
      </x:c>
      <x:c r="Q2335" s="54" t="n">
        <x:f>ROUND(O2335-P2335,2)</x:f>
        <x:v>2259.28</x:v>
      </x:c>
      <x:c r="R2335" s="55" t="n">
        <x:f>IF(O2335=0,0,ROUND(Q2335/O2335,4))</x:f>
        <x:v>0.2333</x:v>
      </x:c>
      <x:c r="S2335" s="53" t="n">
        <x:v>14</x:v>
      </x:c>
      <x:c r="T2335" t="str">
        <x:v>Entregue com atraso</x:v>
      </x:c>
      <x:c r="U2335" t="n">
        <x:v>3</x:v>
      </x:c>
      <x:c r="V2335" t="str"/>
    </x:row>
    <x:row r="2336">
      <x:c r="A2336" s="52" t="n">
        <x:v>46062</x:v>
      </x:c>
      <x:c r="B2336" t="str">
        <x:v>PED-102335</x:v>
      </x:c>
      <x:c r="C2336" t="str">
        <x:v>Cliente 072</x:v>
      </x:c>
      <x:c r="D2336" t="str">
        <x:v>DF</x:v>
      </x:c>
      <x:c r="E2336" t="str">
        <x:v>Centro-Oeste</x:v>
      </x:c>
      <x:c r="F2336" t="str">
        <x:v>Televendas</x:v>
      </x:c>
      <x:c r="G2336" t="str">
        <x:v>Casa</x:v>
      </x:c>
      <x:c r="H2336" t="str">
        <x:v>Purificador</x:v>
      </x:c>
      <x:c r="I2336" t="str">
        <x:v>Ana</x:v>
      </x:c>
      <x:c r="J2336" s="53" t="n">
        <x:v>3</x:v>
      </x:c>
      <x:c r="K2336" s="54" t="n">
        <x:v>1273.74</x:v>
      </x:c>
      <x:c r="L2336" s="54" t="n">
        <x:v>769.91</x:v>
      </x:c>
      <x:c r="M2336" s="55" t="n">
        <x:v>0.0911</x:v>
      </x:c>
      <x:c r="N2336" s="54" t="n">
        <x:f>ROUND(J2336*K2336,2)</x:f>
        <x:v>3821.22</x:v>
      </x:c>
      <x:c r="O2336" s="54" t="n">
        <x:f>ROUND(N2336*(1-M2336),2)</x:f>
        <x:v>3473.11</x:v>
      </x:c>
      <x:c r="P2336" s="54" t="n">
        <x:f>ROUND(J2336*L2336,2)</x:f>
        <x:v>2309.73</x:v>
      </x:c>
      <x:c r="Q2336" s="54" t="n">
        <x:f>ROUND(O2336-P2336,2)</x:f>
        <x:v>1163.38</x:v>
      </x:c>
      <x:c r="R2336" s="55" t="n">
        <x:f>IF(O2336=0,0,ROUND(Q2336/O2336,4))</x:f>
        <x:v>0.335</x:v>
      </x:c>
      <x:c r="S2336" s="53" t="n">
        <x:v>14</x:v>
      </x:c>
      <x:c r="T2336" t="str">
        <x:v>Entregue com atraso</x:v>
      </x:c>
      <x:c r="U2336" t="n">
        <x:v>5</x:v>
      </x:c>
      <x:c r="V2336" t="str"/>
    </x:row>
    <x:row r="2337">
      <x:c r="A2337" s="52" t="n">
        <x:v>46221</x:v>
      </x:c>
      <x:c r="B2337" t="str">
        <x:v>PED-102336</x:v>
      </x:c>
      <x:c r="C2337" t="str">
        <x:v>Cliente 069</x:v>
      </x:c>
      <x:c r="D2337" t="str">
        <x:v>DF</x:v>
      </x:c>
      <x:c r="E2337" t="str">
        <x:v>Centro-Oeste</x:v>
      </x:c>
      <x:c r="F2337" t="str">
        <x:v>Loja</x:v>
      </x:c>
      <x:c r="G2337" t="str">
        <x:v>Casa</x:v>
      </x:c>
      <x:c r="H2337" t="str">
        <x:v>Aspirador Robô</x:v>
      </x:c>
      <x:c r="I2337" t="str">
        <x:v>Carla</x:v>
      </x:c>
      <x:c r="J2337" s="53" t="n">
        <x:v>5</x:v>
      </x:c>
      <x:c r="K2337" s="54" t="n">
        <x:v>1903.38</x:v>
      </x:c>
      <x:c r="L2337" s="54" t="n">
        <x:v>1175.72</x:v>
      </x:c>
      <x:c r="M2337" s="55" t="n">
        <x:v>0.0855</x:v>
      </x:c>
      <x:c r="N2337" s="54" t="n">
        <x:f>ROUND(J2337*K2337,2)</x:f>
        <x:v>9516.9</x:v>
      </x:c>
      <x:c r="O2337" s="54" t="n">
        <x:f>ROUND(N2337*(1-M2337),2)</x:f>
        <x:v>8703.21</x:v>
      </x:c>
      <x:c r="P2337" s="54" t="n">
        <x:f>ROUND(J2337*L2337,2)</x:f>
        <x:v>5878.6</x:v>
      </x:c>
      <x:c r="Q2337" s="54" t="n">
        <x:f>ROUND(O2337-P2337,2)</x:f>
        <x:v>2824.61</x:v>
      </x:c>
      <x:c r="R2337" s="55" t="n">
        <x:f>IF(O2337=0,0,ROUND(Q2337/O2337,4))</x:f>
        <x:v>0.3245</x:v>
      </x:c>
      <x:c r="S2337" s="53" t="n">
        <x:v>2</x:v>
      </x:c>
      <x:c r="T2337" t="str">
        <x:v>Entregue</x:v>
      </x:c>
      <x:c r="U2337" t="n">
        <x:v>2</x:v>
      </x:c>
      <x:c r="V2337" t="str"/>
    </x:row>
    <x:row r="2338">
      <x:c r="A2338" s="52" t="n">
        <x:v>46159</x:v>
      </x:c>
      <x:c r="B2338" t="str">
        <x:v>PED-102337</x:v>
      </x:c>
      <x:c r="C2338" t="str">
        <x:v>Cliente 007</x:v>
      </x:c>
      <x:c r="D2338" t="str">
        <x:v>BA</x:v>
      </x:c>
      <x:c r="E2338" t="str">
        <x:v>Nordeste</x:v>
      </x:c>
      <x:c r="F2338" t="str">
        <x:v>Loja</x:v>
      </x:c>
      <x:c r="G2338" t="str">
        <x:v>Acessórios</x:v>
      </x:c>
      <x:c r="H2338" t="str">
        <x:v>Mochila Executiva</x:v>
      </x:c>
      <x:c r="I2338" t="str">
        <x:v>João</x:v>
      </x:c>
      <x:c r="J2338" s="53" t="n">
        <x:v>5</x:v>
      </x:c>
      <x:c r="K2338" s="54" t="n">
        <x:v>425.47</x:v>
      </x:c>
      <x:c r="L2338" s="54" t="n">
        <x:v>191.04</x:v>
      </x:c>
      <x:c r="M2338" s="55" t="n">
        <x:v>0.1033</x:v>
      </x:c>
      <x:c r="N2338" s="54" t="n">
        <x:f>ROUND(J2338*K2338,2)</x:f>
        <x:v>2127.35</x:v>
      </x:c>
      <x:c r="O2338" s="54" t="n">
        <x:f>ROUND(N2338*(1-M2338),2)</x:f>
        <x:v>1907.59</x:v>
      </x:c>
      <x:c r="P2338" s="54" t="n">
        <x:f>ROUND(J2338*L2338,2)</x:f>
        <x:v>955.2</x:v>
      </x:c>
      <x:c r="Q2338" s="54" t="n">
        <x:f>ROUND(O2338-P2338,2)</x:f>
        <x:v>952.39</x:v>
      </x:c>
      <x:c r="R2338" s="55" t="n">
        <x:f>IF(O2338=0,0,ROUND(Q2338/O2338,4))</x:f>
        <x:v>0.4993</x:v>
      </x:c>
      <x:c r="S2338" s="53" t="n">
        <x:v>27</x:v>
      </x:c>
      <x:c r="T2338" t="str">
        <x:v>Entregue com atraso</x:v>
      </x:c>
      <x:c r="U2338" t="n">
        <x:v>2</x:v>
      </x:c>
      <x:c r="V2338" t="str">
        <x:v>Ocorrência logística</x:v>
      </x:c>
    </x:row>
    <x:row r="2339">
      <x:c r="A2339" s="52" t="n">
        <x:v>46152</x:v>
      </x:c>
      <x:c r="B2339" t="str">
        <x:v>PED-102338</x:v>
      </x:c>
      <x:c r="C2339" t="str">
        <x:v>Cliente 105</x:v>
      </x:c>
      <x:c r="D2339" t="str">
        <x:v>PA</x:v>
      </x:c>
      <x:c r="E2339" t="str">
        <x:v>Norte</x:v>
      </x:c>
      <x:c r="F2339" t="str">
        <x:v>Televendas</x:v>
      </x:c>
      <x:c r="G2339" t="str">
        <x:v>Tecnologia</x:v>
      </x:c>
      <x:c r="H2339" t="str">
        <x:v>Monitor 27</x:v>
      </x:c>
      <x:c r="I2339" t="str">
        <x:v>Carla</x:v>
      </x:c>
      <x:c r="J2339" s="53" t="n">
        <x:v>6</x:v>
      </x:c>
      <x:c r="K2339" s="54" t="n">
        <x:v>1667.14</x:v>
      </x:c>
      <x:c r="L2339" s="54" t="n">
        <x:v>1171.37</x:v>
      </x:c>
      <x:c r="M2339" s="55" t="n">
        <x:v>0.1115</x:v>
      </x:c>
      <x:c r="N2339" s="54" t="n">
        <x:f>ROUND(J2339*K2339,2)</x:f>
        <x:v>10002.84</x:v>
      </x:c>
      <x:c r="O2339" s="54" t="n">
        <x:f>ROUND(N2339*(1-M2339),2)</x:f>
        <x:v>8887.52</x:v>
      </x:c>
      <x:c r="P2339" s="54" t="n">
        <x:f>ROUND(J2339*L2339,2)</x:f>
        <x:v>7028.22</x:v>
      </x:c>
      <x:c r="Q2339" s="54" t="n">
        <x:f>ROUND(O2339-P2339,2)</x:f>
        <x:v>1859.3</x:v>
      </x:c>
      <x:c r="R2339" s="55" t="n">
        <x:f>IF(O2339=0,0,ROUND(Q2339/O2339,4))</x:f>
        <x:v>0.2092</x:v>
      </x:c>
      <x:c r="S2339" s="53" t="n">
        <x:v>9</x:v>
      </x:c>
      <x:c r="T2339" t="str">
        <x:v>Entregue</x:v>
      </x:c>
      <x:c r="U2339" t="n">
        <x:v>3</x:v>
      </x:c>
      <x:c r="V2339" t="str"/>
    </x:row>
    <x:row r="2340">
      <x:c r="A2340" s="52" t="n">
        <x:v>46071</x:v>
      </x:c>
      <x:c r="B2340" t="str">
        <x:v>PED-102339</x:v>
      </x:c>
      <x:c r="C2340" t="str">
        <x:v>Cliente 063</x:v>
      </x:c>
      <x:c r="D2340" t="str">
        <x:v>MT</x:v>
      </x:c>
      <x:c r="E2340" t="str">
        <x:v>Centro-Oeste</x:v>
      </x:c>
      <x:c r="F2340" t="str">
        <x:v>Loja</x:v>
      </x:c>
      <x:c r="G2340" t="str">
        <x:v>Escritório</x:v>
      </x:c>
      <x:c r="H2340" t="str">
        <x:v>Luminária LED</x:v>
      </x:c>
      <x:c r="I2340" t="str">
        <x:v>Gabriela</x:v>
      </x:c>
      <x:c r="J2340" s="53" t="n">
        <x:v>5</x:v>
      </x:c>
      <x:c r="K2340" s="54" t="n">
        <x:v>265.53</x:v>
      </x:c>
      <x:c r="L2340" s="54" t="n">
        <x:v>117.24</x:v>
      </x:c>
      <x:c r="M2340" s="55" t="n">
        <x:v>0.0334</x:v>
      </x:c>
      <x:c r="N2340" s="54" t="n">
        <x:f>ROUND(J2340*K2340,2)</x:f>
        <x:v>1327.65</x:v>
      </x:c>
      <x:c r="O2340" s="54" t="n">
        <x:f>ROUND(N2340*(1-M2340),2)</x:f>
        <x:v>1283.31</x:v>
      </x:c>
      <x:c r="P2340" s="54" t="n">
        <x:f>ROUND(J2340*L2340,2)</x:f>
        <x:v>586.2</x:v>
      </x:c>
      <x:c r="Q2340" s="54" t="n">
        <x:f>ROUND(O2340-P2340,2)</x:f>
        <x:v>697.11</x:v>
      </x:c>
      <x:c r="R2340" s="55" t="n">
        <x:f>IF(O2340=0,0,ROUND(Q2340/O2340,4))</x:f>
        <x:v>0.5432</x:v>
      </x:c>
      <x:c r="S2340" s="53" t="n">
        <x:v>8</x:v>
      </x:c>
      <x:c r="T2340" t="str">
        <x:v>Entregue</x:v>
      </x:c>
      <x:c r="U2340" t="n">
        <x:v>3</x:v>
      </x:c>
      <x:c r="V2340" t="str"/>
    </x:row>
    <x:row r="2341">
      <x:c r="A2341" s="52" t="n">
        <x:v>46192</x:v>
      </x:c>
      <x:c r="B2341" t="str">
        <x:v>PED-102340</x:v>
      </x:c>
      <x:c r="C2341" t="str">
        <x:v>Cliente 094</x:v>
      </x:c>
      <x:c r="D2341" t="str">
        <x:v>PA</x:v>
      </x:c>
      <x:c r="E2341" t="str">
        <x:v>Norte</x:v>
      </x:c>
      <x:c r="F2341" t="str">
        <x:v>Marketplace</x:v>
      </x:c>
      <x:c r="G2341" t="str">
        <x:v>Casa</x:v>
      </x:c>
      <x:c r="H2341" t="str">
        <x:v>Purificador</x:v>
      </x:c>
      <x:c r="I2341" t="str">
        <x:v>Felipe</x:v>
      </x:c>
      <x:c r="J2341" s="53" t="n">
        <x:v>2</x:v>
      </x:c>
      <x:c r="K2341" s="54" t="n">
        <x:v>1356.74</x:v>
      </x:c>
      <x:c r="L2341" s="54" t="n">
        <x:v>807.82</x:v>
      </x:c>
      <x:c r="M2341" s="55" t="n">
        <x:v>0.1355</x:v>
      </x:c>
      <x:c r="N2341" s="54" t="n">
        <x:f>ROUND(J2341*K2341,2)</x:f>
        <x:v>2713.48</x:v>
      </x:c>
      <x:c r="O2341" s="54" t="n">
        <x:f>ROUND(N2341*(1-M2341),2)</x:f>
        <x:v>2345.8</x:v>
      </x:c>
      <x:c r="P2341" s="54" t="n">
        <x:f>ROUND(J2341*L2341,2)</x:f>
        <x:v>1615.64</x:v>
      </x:c>
      <x:c r="Q2341" s="54" t="n">
        <x:f>ROUND(O2341-P2341,2)</x:f>
        <x:v>730.16</x:v>
      </x:c>
      <x:c r="R2341" s="55" t="n">
        <x:f>IF(O2341=0,0,ROUND(Q2341/O2341,4))</x:f>
        <x:v>0.3113</x:v>
      </x:c>
      <x:c r="S2341" s="53" t="n">
        <x:v>2</x:v>
      </x:c>
      <x:c r="T2341" t="str">
        <x:v>Entregue</x:v>
      </x:c>
      <x:c r="U2341" t="n">
        <x:v>4</x:v>
      </x:c>
      <x:c r="V2341" t="str"/>
    </x:row>
    <x:row r="2342">
      <x:c r="A2342" s="52" t="n">
        <x:v>46084</x:v>
      </x:c>
      <x:c r="B2342" t="str">
        <x:v>PED-102341</x:v>
      </x:c>
      <x:c r="C2342" t="str">
        <x:v>Cliente 027</x:v>
      </x:c>
      <x:c r="D2342" t="str">
        <x:v>CE</x:v>
      </x:c>
      <x:c r="E2342" t="str">
        <x:v>Nordeste</x:v>
      </x:c>
      <x:c r="F2342" t="str">
        <x:v>Televendas</x:v>
      </x:c>
      <x:c r="G2342" t="str">
        <x:v>Acessórios</x:v>
      </x:c>
      <x:c r="H2342" t="str">
        <x:v>Webcam HD</x:v>
      </x:c>
      <x:c r="I2342" t="str">
        <x:v>João</x:v>
      </x:c>
      <x:c r="J2342" s="53" t="n">
        <x:v>1</x:v>
      </x:c>
      <x:c r="K2342" s="54" t="n">
        <x:v>491.55</x:v>
      </x:c>
      <x:c r="L2342" s="54" t="n">
        <x:v>250.37</x:v>
      </x:c>
      <x:c r="M2342" s="55" t="n">
        <x:v>0</x:v>
      </x:c>
      <x:c r="N2342" s="54" t="n">
        <x:f>ROUND(J2342*K2342,2)</x:f>
        <x:v>491.55</x:v>
      </x:c>
      <x:c r="O2342" s="54" t="n">
        <x:f>ROUND(N2342*(1-M2342),2)</x:f>
        <x:v>491.55</x:v>
      </x:c>
      <x:c r="P2342" s="54" t="n">
        <x:f>ROUND(J2342*L2342,2)</x:f>
        <x:v>250.37</x:v>
      </x:c>
      <x:c r="Q2342" s="54" t="n">
        <x:f>ROUND(O2342-P2342,2)</x:f>
        <x:v>241.18</x:v>
      </x:c>
      <x:c r="R2342" s="55" t="n">
        <x:f>IF(O2342=0,0,ROUND(Q2342/O2342,4))</x:f>
        <x:v>0.4907</x:v>
      </x:c>
      <x:c r="S2342" s="53" t="n">
        <x:v>2</x:v>
      </x:c>
      <x:c r="T2342" t="str">
        <x:v>Entregue</x:v>
      </x:c>
      <x:c r="U2342" t="n">
        <x:v>3</x:v>
      </x:c>
      <x:c r="V2342" t="str"/>
    </x:row>
    <x:row r="2343">
      <x:c r="A2343" s="52" t="n">
        <x:v>46157</x:v>
      </x:c>
      <x:c r="B2343" t="str">
        <x:v>PED-102342</x:v>
      </x:c>
      <x:c r="C2343" t="str">
        <x:v>Cliente 066</x:v>
      </x:c>
      <x:c r="D2343" t="str">
        <x:v>RJ</x:v>
      </x:c>
      <x:c r="E2343" t="str">
        <x:v>Sudeste</x:v>
      </x:c>
      <x:c r="F2343" t="str">
        <x:v>E-commerce</x:v>
      </x:c>
      <x:c r="G2343" t="str">
        <x:v>Escritório</x:v>
      </x:c>
      <x:c r="H2343" t="str">
        <x:v>Luminária LED</x:v>
      </x:c>
      <x:c r="I2343" t="str">
        <x:v>Gabriela</x:v>
      </x:c>
      <x:c r="J2343" s="53" t="n">
        <x:v>6</x:v>
      </x:c>
      <x:c r="K2343" s="54" t="n">
        <x:v>258.39</x:v>
      </x:c>
      <x:c r="L2343" s="54" t="n">
        <x:v>122.48</x:v>
      </x:c>
      <x:c r="M2343" s="55" t="n">
        <x:v>0</x:v>
      </x:c>
      <x:c r="N2343" s="54" t="n">
        <x:f>ROUND(J2343*K2343,2)</x:f>
        <x:v>1550.34</x:v>
      </x:c>
      <x:c r="O2343" s="54" t="n">
        <x:f>ROUND(N2343*(1-M2343),2)</x:f>
        <x:v>1550.34</x:v>
      </x:c>
      <x:c r="P2343" s="54" t="n">
        <x:f>ROUND(J2343*L2343,2)</x:f>
        <x:v>734.88</x:v>
      </x:c>
      <x:c r="Q2343" s="54" t="n">
        <x:f>ROUND(O2343-P2343,2)</x:f>
        <x:v>815.46</x:v>
      </x:c>
      <x:c r="R2343" s="55" t="n">
        <x:f>IF(O2343=0,0,ROUND(Q2343/O2343,4))</x:f>
        <x:v>0.526</x:v>
      </x:c>
      <x:c r="S2343" s="53" t="n">
        <x:v>11</x:v>
      </x:c>
      <x:c r="T2343" t="str">
        <x:v>Cancelado</x:v>
      </x:c>
      <x:c r="U2343"/>
      <x:c r="V2343" t="str"/>
    </x:row>
    <x:row r="2344">
      <x:c r="A2344" s="52" t="n">
        <x:v>46134</x:v>
      </x:c>
      <x:c r="B2344" t="str">
        <x:v>PED-102343</x:v>
      </x:c>
      <x:c r="C2344" t="str">
        <x:v>Cliente 005</x:v>
      </x:c>
      <x:c r="D2344" t="str">
        <x:v>RJ</x:v>
      </x:c>
      <x:c r="E2344" t="str">
        <x:v>Sudeste</x:v>
      </x:c>
      <x:c r="F2344" t="str">
        <x:v>E-commerce</x:v>
      </x:c>
      <x:c r="G2344" t="str">
        <x:v>Acessórios</x:v>
      </x:c>
      <x:c r="H2344" t="str">
        <x:v>Webcam HD</x:v>
      </x:c>
      <x:c r="I2344" t="str">
        <x:v>Gabriela</x:v>
      </x:c>
      <x:c r="J2344" s="53" t="n">
        <x:v>5</x:v>
      </x:c>
      <x:c r="K2344" s="54" t="n">
        <x:v>499.98</x:v>
      </x:c>
      <x:c r="L2344" s="54" t="n">
        <x:v>243.52</x:v>
      </x:c>
      <x:c r="M2344" s="55" t="n">
        <x:v>0</x:v>
      </x:c>
      <x:c r="N2344" s="54" t="n">
        <x:f>ROUND(J2344*K2344,2)</x:f>
        <x:v>2499.9</x:v>
      </x:c>
      <x:c r="O2344" s="54" t="n">
        <x:f>ROUND(N2344*(1-M2344),2)</x:f>
        <x:v>2499.9</x:v>
      </x:c>
      <x:c r="P2344" s="54" t="n">
        <x:f>ROUND(J2344*L2344,2)</x:f>
        <x:v>1217.6</x:v>
      </x:c>
      <x:c r="Q2344" s="54" t="n">
        <x:f>ROUND(O2344-P2344,2)</x:f>
        <x:v>1282.3</x:v>
      </x:c>
      <x:c r="R2344" s="55" t="n">
        <x:f>IF(O2344=0,0,ROUND(Q2344/O2344,4))</x:f>
        <x:v>0.5129</x:v>
      </x:c>
      <x:c r="S2344" s="53" t="n">
        <x:v>3</x:v>
      </x:c>
      <x:c r="T2344" t="str">
        <x:v>Entregue</x:v>
      </x:c>
      <x:c r="U2344" t="n">
        <x:v>5</x:v>
      </x:c>
      <x:c r="V2344" t="str"/>
    </x:row>
    <x:row r="2345">
      <x:c r="A2345" s="52" t="n">
        <x:v>46141</x:v>
      </x:c>
      <x:c r="B2345" t="str">
        <x:v>PED-102344</x:v>
      </x:c>
      <x:c r="C2345" t="str">
        <x:v>Cliente 117</x:v>
      </x:c>
      <x:c r="D2345" t="str">
        <x:v>PR</x:v>
      </x:c>
      <x:c r="E2345" t="str">
        <x:v>Sul</x:v>
      </x:c>
      <x:c r="F2345" t="str">
        <x:v>E-commerce</x:v>
      </x:c>
      <x:c r="G2345" t="str">
        <x:v>Casa</x:v>
      </x:c>
      <x:c r="H2345" t="str">
        <x:v>Purificador</x:v>
      </x:c>
      <x:c r="I2345" t="str">
        <x:v>Elaine</x:v>
      </x:c>
      <x:c r="J2345" s="53" t="n">
        <x:v>5</x:v>
      </x:c>
      <x:c r="K2345" s="54" t="n">
        <x:v>1238.04</x:v>
      </x:c>
      <x:c r="L2345" s="54" t="n">
        <x:v>796.53</x:v>
      </x:c>
      <x:c r="M2345" s="55" t="n">
        <x:v>0.0189</x:v>
      </x:c>
      <x:c r="N2345" s="54" t="n">
        <x:f>ROUND(J2345*K2345,2)</x:f>
        <x:v>6190.2</x:v>
      </x:c>
      <x:c r="O2345" s="54" t="n">
        <x:f>ROUND(N2345*(1-M2345),2)</x:f>
        <x:v>6073.21</x:v>
      </x:c>
      <x:c r="P2345" s="54" t="n">
        <x:f>ROUND(J2345*L2345,2)</x:f>
        <x:v>3982.65</x:v>
      </x:c>
      <x:c r="Q2345" s="54" t="n">
        <x:f>ROUND(O2345-P2345,2)</x:f>
        <x:v>2090.56</x:v>
      </x:c>
      <x:c r="R2345" s="55" t="n">
        <x:f>IF(O2345=0,0,ROUND(Q2345/O2345,4))</x:f>
        <x:v>0.3442</x:v>
      </x:c>
      <x:c r="S2345" s="53" t="n">
        <x:v>12</x:v>
      </x:c>
      <x:c r="T2345" t="str">
        <x:v>Entregue com atraso</x:v>
      </x:c>
      <x:c r="U2345" t="n">
        <x:v>5</x:v>
      </x:c>
      <x:c r="V2345" t="str"/>
    </x:row>
    <x:row r="2346">
      <x:c r="A2346" s="52" t="n">
        <x:v>46150</x:v>
      </x:c>
      <x:c r="B2346" t="str">
        <x:v>PED-102345</x:v>
      </x:c>
      <x:c r="C2346" t="str">
        <x:v>Cliente 111</x:v>
      </x:c>
      <x:c r="D2346" t="str">
        <x:v>AM</x:v>
      </x:c>
      <x:c r="E2346" t="str">
        <x:v>Norte</x:v>
      </x:c>
      <x:c r="F2346" t="str">
        <x:v>Loja</x:v>
      </x:c>
      <x:c r="G2346" t="str">
        <x:v>Casa</x:v>
      </x:c>
      <x:c r="H2346" t="str">
        <x:v>Cafeteira Smart</x:v>
      </x:c>
      <x:c r="I2346" t="str">
        <x:v>Diego</x:v>
      </x:c>
      <x:c r="J2346" s="53" t="n">
        <x:v>2</x:v>
      </x:c>
      <x:c r="K2346" s="54" t="n">
        <x:v>770.52</x:v>
      </x:c>
      <x:c r="L2346" s="54" t="n">
        <x:v>483.58</x:v>
      </x:c>
      <x:c r="M2346" s="55" t="n">
        <x:v>0.0867</x:v>
      </x:c>
      <x:c r="N2346" s="54" t="n">
        <x:f>ROUND(J2346*K2346,2)</x:f>
        <x:v>1541.04</x:v>
      </x:c>
      <x:c r="O2346" s="54" t="n">
        <x:f>ROUND(N2346*(1-M2346),2)</x:f>
        <x:v>1407.43</x:v>
      </x:c>
      <x:c r="P2346" s="54" t="n">
        <x:f>ROUND(J2346*L2346,2)</x:f>
        <x:v>967.16</x:v>
      </x:c>
      <x:c r="Q2346" s="54" t="n">
        <x:f>ROUND(O2346-P2346,2)</x:f>
        <x:v>440.27</x:v>
      </x:c>
      <x:c r="R2346" s="55" t="n">
        <x:f>IF(O2346=0,0,ROUND(Q2346/O2346,4))</x:f>
        <x:v>0.3128</x:v>
      </x:c>
      <x:c r="S2346" s="53" t="n">
        <x:v>4</x:v>
      </x:c>
      <x:c r="T2346" t="str">
        <x:v>Entregue</x:v>
      </x:c>
      <x:c r="U2346" t="n">
        <x:v>2</x:v>
      </x:c>
      <x:c r="V2346" t="str"/>
    </x:row>
    <x:row r="2347">
      <x:c r="A2347" s="52" t="n">
        <x:v>46140</x:v>
      </x:c>
      <x:c r="B2347" t="str">
        <x:v>PED-102346</x:v>
      </x:c>
      <x:c r="C2347" t="str">
        <x:v>Cliente 060</x:v>
      </x:c>
      <x:c r="D2347" t="str">
        <x:v>MA</x:v>
      </x:c>
      <x:c r="E2347" t="str">
        <x:v>Nordeste</x:v>
      </x:c>
      <x:c r="F2347" t="str">
        <x:v>E-commerce</x:v>
      </x:c>
      <x:c r="G2347" t="str">
        <x:v>Acessórios</x:v>
      </x:c>
      <x:c r="H2347" t="str">
        <x:v>Hub USB-C</x:v>
      </x:c>
      <x:c r="I2347" t="str">
        <x:v>Carla</x:v>
      </x:c>
      <x:c r="J2347" s="53" t="n">
        <x:v>6</x:v>
      </x:c>
      <x:c r="K2347" s="54" t="n">
        <x:v>301.5</x:v>
      </x:c>
      <x:c r="L2347" s="54" t="n">
        <x:v>143.79</x:v>
      </x:c>
      <x:c r="M2347" s="55" t="n">
        <x:v>0</x:v>
      </x:c>
      <x:c r="N2347" s="54" t="n">
        <x:f>ROUND(J2347*K2347,2)</x:f>
        <x:v>1809</x:v>
      </x:c>
      <x:c r="O2347" s="54" t="n">
        <x:f>ROUND(N2347*(1-M2347),2)</x:f>
        <x:v>1809</x:v>
      </x:c>
      <x:c r="P2347" s="54" t="n">
        <x:f>ROUND(J2347*L2347,2)</x:f>
        <x:v>862.74</x:v>
      </x:c>
      <x:c r="Q2347" s="54" t="n">
        <x:f>ROUND(O2347-P2347,2)</x:f>
        <x:v>946.26</x:v>
      </x:c>
      <x:c r="R2347" s="55" t="n">
        <x:f>IF(O2347=0,0,ROUND(Q2347/O2347,4))</x:f>
        <x:v>0.5231</x:v>
      </x:c>
      <x:c r="S2347" s="53" t="n">
        <x:v>8</x:v>
      </x:c>
      <x:c r="T2347" t="str">
        <x:v>Entregue</x:v>
      </x:c>
      <x:c r="U2347" t="n">
        <x:v>2</x:v>
      </x:c>
      <x:c r="V2347" t="str"/>
    </x:row>
    <x:row r="2348">
      <x:c r="A2348" s="52" t="n">
        <x:v>46171</x:v>
      </x:c>
      <x:c r="B2348" t="str">
        <x:v>PED-102347</x:v>
      </x:c>
      <x:c r="C2348" t="str">
        <x:v>Cliente 119</x:v>
      </x:c>
      <x:c r="D2348" t="str">
        <x:v>RJ</x:v>
      </x:c>
      <x:c r="E2348" t="str">
        <x:v>Sudeste</x:v>
      </x:c>
      <x:c r="F2348" t="str">
        <x:v>E-commerce</x:v>
      </x:c>
      <x:c r="G2348" t="str">
        <x:v>Escritório</x:v>
      </x:c>
      <x:c r="H2348" t="str">
        <x:v>Cadeira Ergonômica</x:v>
      </x:c>
      <x:c r="I2348" t="str">
        <x:v>João</x:v>
      </x:c>
      <x:c r="J2348" s="53" t="n">
        <x:v>6</x:v>
      </x:c>
      <x:c r="K2348" s="54" t="n">
        <x:v>2264.1</x:v>
      </x:c>
      <x:c r="L2348" s="54" t="n">
        <x:v>1470.26</x:v>
      </x:c>
      <x:c r="M2348" s="55" t="n">
        <x:v>0.0659</x:v>
      </x:c>
      <x:c r="N2348" s="54" t="n">
        <x:f>ROUND(J2348*K2348,2)</x:f>
        <x:v>13584.6</x:v>
      </x:c>
      <x:c r="O2348" s="54" t="n">
        <x:f>ROUND(N2348*(1-M2348),2)</x:f>
        <x:v>12689.37</x:v>
      </x:c>
      <x:c r="P2348" s="54" t="n">
        <x:f>ROUND(J2348*L2348,2)</x:f>
        <x:v>8821.56</x:v>
      </x:c>
      <x:c r="Q2348" s="54" t="n">
        <x:f>ROUND(O2348-P2348,2)</x:f>
        <x:v>3867.81</x:v>
      </x:c>
      <x:c r="R2348" s="55" t="n">
        <x:f>IF(O2348=0,0,ROUND(Q2348/O2348,4))</x:f>
        <x:v>0.3048</x:v>
      </x:c>
      <x:c r="S2348" s="53" t="n">
        <x:v>13</x:v>
      </x:c>
      <x:c r="T2348" t="str">
        <x:v>Entregue com atraso</x:v>
      </x:c>
      <x:c r="U2348" t="n">
        <x:v>3</x:v>
      </x:c>
      <x:c r="V2348" t="str"/>
    </x:row>
    <x:row r="2349">
      <x:c r="A2349" s="52" t="n">
        <x:v>46038</x:v>
      </x:c>
      <x:c r="B2349" t="str">
        <x:v>PED-102348</x:v>
      </x:c>
      <x:c r="C2349" t="str">
        <x:v>Cliente 109</x:v>
      </x:c>
      <x:c r="D2349" t="str">
        <x:v>RS</x:v>
      </x:c>
      <x:c r="E2349" t="str">
        <x:v>Sul</x:v>
      </x:c>
      <x:c r="F2349" t="str">
        <x:v>E-commerce</x:v>
      </x:c>
      <x:c r="G2349" t="str">
        <x:v>Tecnologia</x:v>
      </x:c>
      <x:c r="H2349" t="str">
        <x:v>Headset Office</x:v>
      </x:c>
      <x:c r="I2349" t="str">
        <x:v>Isabela</x:v>
      </x:c>
      <x:c r="J2349" s="53" t="n">
        <x:v>8</x:v>
      </x:c>
      <x:c r="K2349" s="54" t="n">
        <x:v>411.26</x:v>
      </x:c>
      <x:c r="L2349" s="54" t="n">
        <x:v>219.65</x:v>
      </x:c>
      <x:c r="M2349" s="55" t="n">
        <x:v>0</x:v>
      </x:c>
      <x:c r="N2349" s="54" t="n">
        <x:f>ROUND(J2349*K2349,2)</x:f>
        <x:v>3290.08</x:v>
      </x:c>
      <x:c r="O2349" s="54" t="n">
        <x:f>ROUND(N2349*(1-M2349),2)</x:f>
        <x:v>3290.08</x:v>
      </x:c>
      <x:c r="P2349" s="54" t="n">
        <x:f>ROUND(J2349*L2349,2)</x:f>
        <x:v>1757.2</x:v>
      </x:c>
      <x:c r="Q2349" s="54" t="n">
        <x:f>ROUND(O2349-P2349,2)</x:f>
        <x:v>1532.88</x:v>
      </x:c>
      <x:c r="R2349" s="55" t="n">
        <x:f>IF(O2349=0,0,ROUND(Q2349/O2349,4))</x:f>
        <x:v>0.4659</x:v>
      </x:c>
      <x:c r="S2349" s="53" t="n">
        <x:v>8</x:v>
      </x:c>
      <x:c r="T2349" t="str">
        <x:v>Entregue</x:v>
      </x:c>
      <x:c r="U2349" t="n">
        <x:v>3</x:v>
      </x:c>
      <x:c r="V2349" t="str"/>
    </x:row>
    <x:row r="2350">
      <x:c r="A2350" s="52" t="n">
        <x:v>46188</x:v>
      </x:c>
      <x:c r="B2350" t="str">
        <x:v>PED-102349</x:v>
      </x:c>
      <x:c r="C2350" t="str">
        <x:v>Cliente 004</x:v>
      </x:c>
      <x:c r="D2350" t="str">
        <x:v>AM</x:v>
      </x:c>
      <x:c r="E2350" t="str">
        <x:v>Norte</x:v>
      </x:c>
      <x:c r="F2350" t="str">
        <x:v>E-commerce</x:v>
      </x:c>
      <x:c r="G2350" t="str">
        <x:v>Escritório</x:v>
      </x:c>
      <x:c r="H2350" t="str">
        <x:v>Luminária LED</x:v>
      </x:c>
      <x:c r="I2350" t="str">
        <x:v>Ana</x:v>
      </x:c>
      <x:c r="J2350" s="53" t="n">
        <x:v>4</x:v>
      </x:c>
      <x:c r="K2350" s="54" t="n">
        <x:v>257.71</x:v>
      </x:c>
      <x:c r="L2350" s="54" t="n">
        <x:v>121.23</x:v>
      </x:c>
      <x:c r="M2350" s="55" t="n">
        <x:v>0.0296</x:v>
      </x:c>
      <x:c r="N2350" s="54" t="n">
        <x:f>ROUND(J2350*K2350,2)</x:f>
        <x:v>1030.84</x:v>
      </x:c>
      <x:c r="O2350" s="54" t="n">
        <x:f>ROUND(N2350*(1-M2350),2)</x:f>
        <x:v>1000.33</x:v>
      </x:c>
      <x:c r="P2350" s="54" t="n">
        <x:f>ROUND(J2350*L2350,2)</x:f>
        <x:v>484.92</x:v>
      </x:c>
      <x:c r="Q2350" s="54" t="n">
        <x:f>ROUND(O2350-P2350,2)</x:f>
        <x:v>515.41</x:v>
      </x:c>
      <x:c r="R2350" s="55" t="n">
        <x:f>IF(O2350=0,0,ROUND(Q2350/O2350,4))</x:f>
        <x:v>0.5152</x:v>
      </x:c>
      <x:c r="S2350" s="53" t="n">
        <x:v>11</x:v>
      </x:c>
      <x:c r="T2350" t="str">
        <x:v>Entregue com atraso</x:v>
      </x:c>
      <x:c r="U2350" t="n">
        <x:v>2</x:v>
      </x:c>
      <x:c r="V2350" t="str"/>
    </x:row>
    <x:row r="2351">
      <x:c r="A2351" s="52" t="n">
        <x:v>46070</x:v>
      </x:c>
      <x:c r="B2351" t="str">
        <x:v>PED-102350</x:v>
      </x:c>
      <x:c r="C2351" t="str">
        <x:v>Cliente 056</x:v>
      </x:c>
      <x:c r="D2351" t="str">
        <x:v>ES</x:v>
      </x:c>
      <x:c r="E2351" t="str">
        <x:v>Sudeste</x:v>
      </x:c>
      <x:c r="F2351" t="str">
        <x:v>E-commerce</x:v>
      </x:c>
      <x:c r="G2351" t="str">
        <x:v>Acessórios</x:v>
      </x:c>
      <x:c r="H2351" t="str">
        <x:v>Hub USB-C</x:v>
      </x:c>
      <x:c r="I2351" t="str">
        <x:v>Elaine</x:v>
      </x:c>
      <x:c r="J2351" s="53" t="n">
        <x:v>3</x:v>
      </x:c>
      <x:c r="K2351" s="54" t="n">
        <x:v>309.08</x:v>
      </x:c>
      <x:c r="L2351" s="54" t="n">
        <x:v>137.61</x:v>
      </x:c>
      <x:c r="M2351" s="55" t="n">
        <x:v>0</x:v>
      </x:c>
      <x:c r="N2351" s="54" t="n">
        <x:f>ROUND(J2351*K2351,2)</x:f>
        <x:v>927.24</x:v>
      </x:c>
      <x:c r="O2351" s="54" t="n">
        <x:f>ROUND(N2351*(1-M2351),2)</x:f>
        <x:v>927.24</x:v>
      </x:c>
      <x:c r="P2351" s="54" t="n">
        <x:f>ROUND(J2351*L2351,2)</x:f>
        <x:v>412.83</x:v>
      </x:c>
      <x:c r="Q2351" s="54" t="n">
        <x:f>ROUND(O2351-P2351,2)</x:f>
        <x:v>514.41</x:v>
      </x:c>
      <x:c r="R2351" s="55" t="n">
        <x:f>IF(O2351=0,0,ROUND(Q2351/O2351,4))</x:f>
        <x:v>0.5548</x:v>
      </x:c>
      <x:c r="S2351" s="53" t="n">
        <x:v>6</x:v>
      </x:c>
      <x:c r="T2351" t="str">
        <x:v>Entregue</x:v>
      </x:c>
      <x:c r="U2351" t="n">
        <x:v>4</x:v>
      </x:c>
      <x:c r="V2351" t="str"/>
    </x:row>
    <x:row r="2352">
      <x:c r="A2352" s="52" t="n">
        <x:v>46074</x:v>
      </x:c>
      <x:c r="B2352" t="str">
        <x:v>PED-102351</x:v>
      </x:c>
      <x:c r="C2352" t="str">
        <x:v>Cliente 059</x:v>
      </x:c>
      <x:c r="D2352" t="str">
        <x:v>MG</x:v>
      </x:c>
      <x:c r="E2352" t="str">
        <x:v>Sudeste</x:v>
      </x:c>
      <x:c r="F2352" t="str">
        <x:v>Televendas</x:v>
      </x:c>
      <x:c r="G2352" t="str">
        <x:v>Escritório</x:v>
      </x:c>
      <x:c r="H2352" t="str">
        <x:v>Luminária LED</x:v>
      </x:c>
      <x:c r="I2352" t="str">
        <x:v>Ana</x:v>
      </x:c>
      <x:c r="J2352" s="53" t="n">
        <x:v>2</x:v>
      </x:c>
      <x:c r="K2352" s="54" t="n">
        <x:v>272.36</x:v>
      </x:c>
      <x:c r="L2352" s="54" t="n">
        <x:v>123.1</x:v>
      </x:c>
      <x:c r="M2352" s="55" t="n">
        <x:v>0</x:v>
      </x:c>
      <x:c r="N2352" s="54" t="n">
        <x:f>ROUND(J2352*K2352,2)</x:f>
        <x:v>544.72</x:v>
      </x:c>
      <x:c r="O2352" s="54" t="n">
        <x:f>ROUND(N2352*(1-M2352),2)</x:f>
        <x:v>544.72</x:v>
      </x:c>
      <x:c r="P2352" s="54" t="n">
        <x:f>ROUND(J2352*L2352,2)</x:f>
        <x:v>246.2</x:v>
      </x:c>
      <x:c r="Q2352" s="54" t="n">
        <x:f>ROUND(O2352-P2352,2)</x:f>
        <x:v>298.52</x:v>
      </x:c>
      <x:c r="R2352" s="55" t="n">
        <x:f>IF(O2352=0,0,ROUND(Q2352/O2352,4))</x:f>
        <x:v>0.548</x:v>
      </x:c>
      <x:c r="S2352" s="53" t="n">
        <x:v>3</x:v>
      </x:c>
      <x:c r="T2352" t="str">
        <x:v>Entregue</x:v>
      </x:c>
      <x:c r="U2352" t="n">
        <x:v>3</x:v>
      </x:c>
      <x:c r="V2352" t="str"/>
    </x:row>
    <x:row r="2353">
      <x:c r="A2353" s="52" t="n">
        <x:v>46106</x:v>
      </x:c>
      <x:c r="B2353" t="str">
        <x:v>PED-102352</x:v>
      </x:c>
      <x:c r="C2353" t="str">
        <x:v>Cliente 069</x:v>
      </x:c>
      <x:c r="D2353" t="str">
        <x:v>ES</x:v>
      </x:c>
      <x:c r="E2353" t="str">
        <x:v>Sudeste</x:v>
      </x:c>
      <x:c r="F2353" t="str">
        <x:v>E-commerce</x:v>
      </x:c>
      <x:c r="G2353" t="str">
        <x:v>Acessórios</x:v>
      </x:c>
      <x:c r="H2353" t="str">
        <x:v>Mochila Executiva</x:v>
      </x:c>
      <x:c r="I2353" t="str">
        <x:v>Ana</x:v>
      </x:c>
      <x:c r="J2353" s="53" t="n">
        <x:v>3</x:v>
      </x:c>
      <x:c r="K2353" s="54" t="n">
        <x:v>445.82</x:v>
      </x:c>
      <x:c r="L2353" s="54" t="n">
        <x:v>184.43</x:v>
      </x:c>
      <x:c r="M2353" s="55" t="n">
        <x:v>0.1232</x:v>
      </x:c>
      <x:c r="N2353" s="54" t="n">
        <x:f>ROUND(J2353*K2353,2)</x:f>
        <x:v>1337.46</x:v>
      </x:c>
      <x:c r="O2353" s="54" t="n">
        <x:f>ROUND(N2353*(1-M2353),2)</x:f>
        <x:v>1172.68</x:v>
      </x:c>
      <x:c r="P2353" s="54" t="n">
        <x:f>ROUND(J2353*L2353,2)</x:f>
        <x:v>553.29</x:v>
      </x:c>
      <x:c r="Q2353" s="54" t="n">
        <x:f>ROUND(O2353-P2353,2)</x:f>
        <x:v>619.39</x:v>
      </x:c>
      <x:c r="R2353" s="55" t="n">
        <x:f>IF(O2353=0,0,ROUND(Q2353/O2353,4))</x:f>
        <x:v>0.5282</x:v>
      </x:c>
      <x:c r="S2353" s="53" t="n">
        <x:v>3</x:v>
      </x:c>
      <x:c r="T2353" t="str">
        <x:v>Entregue</x:v>
      </x:c>
      <x:c r="U2353" t="n">
        <x:v>2</x:v>
      </x:c>
      <x:c r="V2353" t="str"/>
    </x:row>
    <x:row r="2354">
      <x:c r="A2354" s="52" t="n">
        <x:v>46033</x:v>
      </x:c>
      <x:c r="B2354" t="str">
        <x:v>PED-102353</x:v>
      </x:c>
      <x:c r="C2354" t="str">
        <x:v>Cliente 086</x:v>
      </x:c>
      <x:c r="D2354" t="str">
        <x:v>MT</x:v>
      </x:c>
      <x:c r="E2354" t="str">
        <x:v>Centro-Oeste</x:v>
      </x:c>
      <x:c r="F2354" t="str">
        <x:v>Televendas</x:v>
      </x:c>
      <x:c r="G2354" t="str">
        <x:v>Acessórios</x:v>
      </x:c>
      <x:c r="H2354" t="str">
        <x:v>Hub USB-C</x:v>
      </x:c>
      <x:c r="I2354" t="str">
        <x:v>Gabriela</x:v>
      </x:c>
      <x:c r="J2354" s="53" t="n">
        <x:v>8</x:v>
      </x:c>
      <x:c r="K2354" s="54" t="n">
        <x:v>328.23</x:v>
      </x:c>
      <x:c r="L2354" s="54" t="n">
        <x:v>133.94</x:v>
      </x:c>
      <x:c r="M2354" s="55" t="n">
        <x:v>0</x:v>
      </x:c>
      <x:c r="N2354" s="54" t="n">
        <x:f>ROUND(J2354*K2354,2)</x:f>
        <x:v>2625.84</x:v>
      </x:c>
      <x:c r="O2354" s="54" t="n">
        <x:f>ROUND(N2354*(1-M2354),2)</x:f>
        <x:v>2625.84</x:v>
      </x:c>
      <x:c r="P2354" s="54" t="n">
        <x:f>ROUND(J2354*L2354,2)</x:f>
        <x:v>1071.52</x:v>
      </x:c>
      <x:c r="Q2354" s="54" t="n">
        <x:f>ROUND(O2354-P2354,2)</x:f>
        <x:v>1554.32</x:v>
      </x:c>
      <x:c r="R2354" s="55" t="n">
        <x:f>IF(O2354=0,0,ROUND(Q2354/O2354,4))</x:f>
        <x:v>0.5919</x:v>
      </x:c>
      <x:c r="S2354" s="53" t="n">
        <x:v>5</x:v>
      </x:c>
      <x:c r="T2354" t="str">
        <x:v>Entregue</x:v>
      </x:c>
      <x:c r="U2354" t="n">
        <x:v>2</x:v>
      </x:c>
      <x:c r="V2354" t="str"/>
    </x:row>
    <x:row r="2355">
      <x:c r="A2355" s="52" t="n">
        <x:v>46031</x:v>
      </x:c>
      <x:c r="B2355" t="str">
        <x:v>PED-102354</x:v>
      </x:c>
      <x:c r="C2355" t="str">
        <x:v>Cliente 003</x:v>
      </x:c>
      <x:c r="D2355" t="str">
        <x:v>PA</x:v>
      </x:c>
      <x:c r="E2355" t="str">
        <x:v>Norte</x:v>
      </x:c>
      <x:c r="F2355" t="str">
        <x:v>Loja</x:v>
      </x:c>
      <x:c r="G2355" t="str">
        <x:v>Escritório</x:v>
      </x:c>
      <x:c r="H2355" t="str">
        <x:v>Cadeira Ergonômica</x:v>
      </x:c>
      <x:c r="I2355" t="str">
        <x:v>Carla</x:v>
      </x:c>
      <x:c r="J2355" s="53" t="n">
        <x:v>7</x:v>
      </x:c>
      <x:c r="K2355" s="54" t="n">
        <x:v>2196.42</x:v>
      </x:c>
      <x:c r="L2355" s="54" t="n">
        <x:v>1495.67</x:v>
      </x:c>
      <x:c r="M2355" s="55" t="n">
        <x:v>0</x:v>
      </x:c>
      <x:c r="N2355" s="54" t="n">
        <x:f>ROUND(J2355*K2355,2)</x:f>
        <x:v>15374.94</x:v>
      </x:c>
      <x:c r="O2355" s="54" t="n">
        <x:f>ROUND(N2355*(1-M2355),2)</x:f>
        <x:v>15374.94</x:v>
      </x:c>
      <x:c r="P2355" s="54" t="n">
        <x:f>ROUND(J2355*L2355,2)</x:f>
        <x:v>10469.69</x:v>
      </x:c>
      <x:c r="Q2355" s="54" t="n">
        <x:f>ROUND(O2355-P2355,2)</x:f>
        <x:v>4905.25</x:v>
      </x:c>
      <x:c r="R2355" s="55" t="n">
        <x:f>IF(O2355=0,0,ROUND(Q2355/O2355,4))</x:f>
        <x:v>0.319</x:v>
      </x:c>
      <x:c r="S2355" s="53" t="n">
        <x:v>2</x:v>
      </x:c>
      <x:c r="T2355" t="str">
        <x:v>Entregue</x:v>
      </x:c>
      <x:c r="U2355" t="n">
        <x:v>3</x:v>
      </x:c>
      <x:c r="V2355" t="str"/>
    </x:row>
    <x:row r="2356">
      <x:c r="A2356" s="52" t="n">
        <x:v>46064</x:v>
      </x:c>
      <x:c r="B2356" t="str">
        <x:v>PED-102355</x:v>
      </x:c>
      <x:c r="C2356" t="str">
        <x:v>Cliente 062</x:v>
      </x:c>
      <x:c r="D2356" t="str">
        <x:v>PA</x:v>
      </x:c>
      <x:c r="E2356" t="str">
        <x:v>Norte</x:v>
      </x:c>
      <x:c r="F2356" t="str">
        <x:v>Televendas</x:v>
      </x:c>
      <x:c r="G2356" t="str">
        <x:v>Escritório</x:v>
      </x:c>
      <x:c r="H2356" t="str">
        <x:v>Mesa Ajustável</x:v>
      </x:c>
      <x:c r="I2356" t="str">
        <x:v>Carla</x:v>
      </x:c>
      <x:c r="J2356" s="53" t="n">
        <x:v>8</x:v>
      </x:c>
      <x:c r="K2356" s="54" t="n">
        <x:v>2747.83</x:v>
      </x:c>
      <x:c r="L2356" s="54" t="n">
        <x:v>1949.74</x:v>
      </x:c>
      <x:c r="M2356" s="55" t="n">
        <x:v>0</x:v>
      </x:c>
      <x:c r="N2356" s="54" t="n">
        <x:f>ROUND(J2356*K2356,2)</x:f>
        <x:v>21982.64</x:v>
      </x:c>
      <x:c r="O2356" s="54" t="n">
        <x:f>ROUND(N2356*(1-M2356),2)</x:f>
        <x:v>21982.64</x:v>
      </x:c>
      <x:c r="P2356" s="54" t="n">
        <x:f>ROUND(J2356*L2356,2)</x:f>
        <x:v>15597.92</x:v>
      </x:c>
      <x:c r="Q2356" s="54" t="n">
        <x:f>ROUND(O2356-P2356,2)</x:f>
        <x:v>6384.72</x:v>
      </x:c>
      <x:c r="R2356" s="55" t="n">
        <x:f>IF(O2356=0,0,ROUND(Q2356/O2356,4))</x:f>
        <x:v>0.2904</x:v>
      </x:c>
      <x:c r="S2356" s="53" t="n">
        <x:v>5</x:v>
      </x:c>
      <x:c r="T2356" t="str">
        <x:v>Entregue</x:v>
      </x:c>
      <x:c r="U2356" t="n">
        <x:v>3</x:v>
      </x:c>
      <x:c r="V2356" t="str"/>
    </x:row>
    <x:row r="2357">
      <x:c r="A2357" s="52" t="n">
        <x:v>46193</x:v>
      </x:c>
      <x:c r="B2357" t="str">
        <x:v>PED-102356</x:v>
      </x:c>
      <x:c r="C2357" t="str">
        <x:v>Cliente 008</x:v>
      </x:c>
      <x:c r="D2357" t="str">
        <x:v>PE</x:v>
      </x:c>
      <x:c r="E2357" t="str">
        <x:v>Nordeste</x:v>
      </x:c>
      <x:c r="F2357" t="str">
        <x:v>Televendas</x:v>
      </x:c>
      <x:c r="G2357" t="str">
        <x:v>Tecnologia</x:v>
      </x:c>
      <x:c r="H2357" t="str">
        <x:v>Notebook Pro</x:v>
      </x:c>
      <x:c r="I2357" t="str">
        <x:v>Gabriela</x:v>
      </x:c>
      <x:c r="J2357" s="53" t="n">
        <x:v>4</x:v>
      </x:c>
      <x:c r="K2357" s="54" t="n">
        <x:v>6180.4</x:v>
      </x:c>
      <x:c r="L2357" s="54" t="n">
        <x:v>4396.18</x:v>
      </x:c>
      <x:c r="M2357" s="55" t="n">
        <x:v>0</x:v>
      </x:c>
      <x:c r="N2357" s="54" t="n">
        <x:f>ROUND(J2357*K2357,2)</x:f>
        <x:v>24721.6</x:v>
      </x:c>
      <x:c r="O2357" s="54" t="n">
        <x:f>ROUND(N2357*(1-M2357),2)</x:f>
        <x:v>24721.6</x:v>
      </x:c>
      <x:c r="P2357" s="54" t="n">
        <x:f>ROUND(J2357*L2357,2)</x:f>
        <x:v>17584.72</x:v>
      </x:c>
      <x:c r="Q2357" s="54" t="n">
        <x:f>ROUND(O2357-P2357,2)</x:f>
        <x:v>7136.88</x:v>
      </x:c>
      <x:c r="R2357" s="55" t="n">
        <x:f>IF(O2357=0,0,ROUND(Q2357/O2357,4))</x:f>
        <x:v>0.2887</x:v>
      </x:c>
      <x:c r="S2357" s="53" t="n">
        <x:v>10</x:v>
      </x:c>
      <x:c r="T2357" t="str">
        <x:v>Entregue</x:v>
      </x:c>
      <x:c r="U2357" t="n">
        <x:v>2</x:v>
      </x:c>
      <x:c r="V2357" t="str"/>
    </x:row>
    <x:row r="2358">
      <x:c r="A2358" s="52" t="n">
        <x:v>46069</x:v>
      </x:c>
      <x:c r="B2358" t="str">
        <x:v>PED-102357</x:v>
      </x:c>
      <x:c r="C2358" t="str">
        <x:v>Cliente 107</x:v>
      </x:c>
      <x:c r="D2358" t="str">
        <x:v>RJ</x:v>
      </x:c>
      <x:c r="E2358" t="str">
        <x:v>Sudeste</x:v>
      </x:c>
      <x:c r="F2358" t="str">
        <x:v>Loja</x:v>
      </x:c>
      <x:c r="G2358" t="str">
        <x:v>Casa</x:v>
      </x:c>
      <x:c r="H2358" t="str">
        <x:v>Cafeteira Smart</x:v>
      </x:c>
      <x:c r="I2358" t="str">
        <x:v>Ana</x:v>
      </x:c>
      <x:c r="J2358" s="53" t="n">
        <x:v>4</x:v>
      </x:c>
      <x:c r="K2358" s="54" t="n">
        <x:v>759.19</x:v>
      </x:c>
      <x:c r="L2358" s="54" t="n">
        <x:v>451.68</x:v>
      </x:c>
      <x:c r="M2358" s="55" t="n">
        <x:v>0.0729</x:v>
      </x:c>
      <x:c r="N2358" s="54" t="n">
        <x:f>ROUND(J2358*K2358,2)</x:f>
        <x:v>3036.76</x:v>
      </x:c>
      <x:c r="O2358" s="54" t="n">
        <x:f>ROUND(N2358*(1-M2358),2)</x:f>
        <x:v>2815.38</x:v>
      </x:c>
      <x:c r="P2358" s="54" t="n">
        <x:f>ROUND(J2358*L2358,2)</x:f>
        <x:v>1806.72</x:v>
      </x:c>
      <x:c r="Q2358" s="54" t="n">
        <x:f>ROUND(O2358-P2358,2)</x:f>
        <x:v>1008.66</x:v>
      </x:c>
      <x:c r="R2358" s="55" t="n">
        <x:f>IF(O2358=0,0,ROUND(Q2358/O2358,4))</x:f>
        <x:v>0.3583</x:v>
      </x:c>
      <x:c r="S2358" s="53" t="n">
        <x:v>8</x:v>
      </x:c>
      <x:c r="T2358" t="str">
        <x:v>Entregue</x:v>
      </x:c>
      <x:c r="U2358" t="n">
        <x:v>4</x:v>
      </x:c>
      <x:c r="V2358" t="str"/>
    </x:row>
    <x:row r="2359">
      <x:c r="A2359" s="52" t="n">
        <x:v>46234</x:v>
      </x:c>
      <x:c r="B2359" t="str">
        <x:v>PED-102358</x:v>
      </x:c>
      <x:c r="C2359" t="str">
        <x:v>Cliente 120</x:v>
      </x:c>
      <x:c r="D2359" t="str">
        <x:v>DF</x:v>
      </x:c>
      <x:c r="E2359" t="str">
        <x:v>Centro-Oeste</x:v>
      </x:c>
      <x:c r="F2359" t="str">
        <x:v>Loja</x:v>
      </x:c>
      <x:c r="G2359" t="str">
        <x:v>Casa</x:v>
      </x:c>
      <x:c r="H2359" t="str">
        <x:v>Aspirador Robô</x:v>
      </x:c>
      <x:c r="I2359" t="str">
        <x:v>Carla</x:v>
      </x:c>
      <x:c r="J2359" s="53" t="n">
        <x:v>3</x:v>
      </x:c>
      <x:c r="K2359" s="54" t="n">
        <x:v>1962.72</x:v>
      </x:c>
      <x:c r="L2359" s="54" t="n">
        <x:v>1217.42</x:v>
      </x:c>
      <x:c r="M2359" s="55" t="n">
        <x:v>0.0673</x:v>
      </x:c>
      <x:c r="N2359" s="54" t="n">
        <x:f>ROUND(J2359*K2359,2)</x:f>
        <x:v>5888.16</x:v>
      </x:c>
      <x:c r="O2359" s="54" t="n">
        <x:f>ROUND(N2359*(1-M2359),2)</x:f>
        <x:v>5491.89</x:v>
      </x:c>
      <x:c r="P2359" s="54" t="n">
        <x:f>ROUND(J2359*L2359,2)</x:f>
        <x:v>3652.26</x:v>
      </x:c>
      <x:c r="Q2359" s="54" t="n">
        <x:f>ROUND(O2359-P2359,2)</x:f>
        <x:v>1839.63</x:v>
      </x:c>
      <x:c r="R2359" s="55" t="n">
        <x:f>IF(O2359=0,0,ROUND(Q2359/O2359,4))</x:f>
        <x:v>0.335</x:v>
      </x:c>
      <x:c r="S2359" s="53" t="n">
        <x:v>5</x:v>
      </x:c>
      <x:c r="T2359" t="str">
        <x:v>Entregue</x:v>
      </x:c>
      <x:c r="U2359" t="n">
        <x:v>3</x:v>
      </x:c>
      <x:c r="V2359" t="str"/>
    </x:row>
    <x:row r="2360">
      <x:c r="A2360" s="52" t="n">
        <x:v>46176</x:v>
      </x:c>
      <x:c r="B2360" t="str">
        <x:v>PED-102359</x:v>
      </x:c>
      <x:c r="C2360" t="str">
        <x:v>Cliente 120</x:v>
      </x:c>
      <x:c r="D2360" t="str">
        <x:v>SP</x:v>
      </x:c>
      <x:c r="E2360" t="str">
        <x:v>Sudeste</x:v>
      </x:c>
      <x:c r="F2360" t="str">
        <x:v>E-commerce</x:v>
      </x:c>
      <x:c r="G2360" t="str">
        <x:v>Casa</x:v>
      </x:c>
      <x:c r="H2360" t="str">
        <x:v>Purificador</x:v>
      </x:c>
      <x:c r="I2360" t="str">
        <x:v>João</x:v>
      </x:c>
      <x:c r="J2360" s="53" t="n">
        <x:v>5</x:v>
      </x:c>
      <x:c r="K2360" s="54" t="n">
        <x:v>1339.73</x:v>
      </x:c>
      <x:c r="L2360" s="54" t="n">
        <x:v>752.18</x:v>
      </x:c>
      <x:c r="M2360" s="55" t="n">
        <x:v>0</x:v>
      </x:c>
      <x:c r="N2360" s="54" t="n">
        <x:f>ROUND(J2360*K2360,2)</x:f>
        <x:v>6698.65</x:v>
      </x:c>
      <x:c r="O2360" s="54" t="n">
        <x:f>ROUND(N2360*(1-M2360),2)</x:f>
        <x:v>6698.65</x:v>
      </x:c>
      <x:c r="P2360" s="54" t="n">
        <x:f>ROUND(J2360*L2360,2)</x:f>
        <x:v>3760.9</x:v>
      </x:c>
      <x:c r="Q2360" s="54" t="n">
        <x:f>ROUND(O2360-P2360,2)</x:f>
        <x:v>2937.75</x:v>
      </x:c>
      <x:c r="R2360" s="55" t="n">
        <x:f>IF(O2360=0,0,ROUND(Q2360/O2360,4))</x:f>
        <x:v>0.4386</x:v>
      </x:c>
      <x:c r="S2360" s="53" t="n">
        <x:v>10</x:v>
      </x:c>
      <x:c r="T2360" t="str">
        <x:v>Entregue</x:v>
      </x:c>
      <x:c r="U2360" t="n">
        <x:v>4</x:v>
      </x:c>
      <x:c r="V2360" t="str"/>
    </x:row>
    <x:row r="2361">
      <x:c r="A2361" s="52" t="n">
        <x:v>46072</x:v>
      </x:c>
      <x:c r="B2361" t="str">
        <x:v>PED-102360</x:v>
      </x:c>
      <x:c r="C2361" t="str">
        <x:v>Cliente 032</x:v>
      </x:c>
      <x:c r="D2361" t="str">
        <x:v>MG</x:v>
      </x:c>
      <x:c r="E2361" t="str">
        <x:v>Sudeste</x:v>
      </x:c>
      <x:c r="F2361" t="str">
        <x:v>E-commerce</x:v>
      </x:c>
      <x:c r="G2361" t="str">
        <x:v>Escritório</x:v>
      </x:c>
      <x:c r="H2361" t="str">
        <x:v>Cadeira Ergonômica</x:v>
      </x:c>
      <x:c r="I2361" t="str">
        <x:v>João</x:v>
      </x:c>
      <x:c r="J2361" s="53" t="n">
        <x:v>4</x:v>
      </x:c>
      <x:c r="K2361" s="54" t="n">
        <x:v>2224.09</x:v>
      </x:c>
      <x:c r="L2361" s="54" t="n">
        <x:v>1448.82</x:v>
      </x:c>
      <x:c r="M2361" s="55" t="n">
        <x:v>0</x:v>
      </x:c>
      <x:c r="N2361" s="54" t="n">
        <x:f>ROUND(J2361*K2361,2)</x:f>
        <x:v>8896.36</x:v>
      </x:c>
      <x:c r="O2361" s="54" t="n">
        <x:f>ROUND(N2361*(1-M2361),2)</x:f>
        <x:v>8896.36</x:v>
      </x:c>
      <x:c r="P2361" s="54" t="n">
        <x:f>ROUND(J2361*L2361,2)</x:f>
        <x:v>5795.28</x:v>
      </x:c>
      <x:c r="Q2361" s="54" t="n">
        <x:f>ROUND(O2361-P2361,2)</x:f>
        <x:v>3101.08</x:v>
      </x:c>
      <x:c r="R2361" s="55" t="n">
        <x:f>IF(O2361=0,0,ROUND(Q2361/O2361,4))</x:f>
        <x:v>0.3486</x:v>
      </x:c>
      <x:c r="S2361" s="53" t="n">
        <x:v>7</x:v>
      </x:c>
      <x:c r="T2361" t="str">
        <x:v>Entregue</x:v>
      </x:c>
      <x:c r="U2361" t="n">
        <x:v>5</x:v>
      </x:c>
      <x:c r="V2361" t="str"/>
    </x:row>
    <x:row r="2362">
      <x:c r="A2362" s="52" t="n">
        <x:v>46053</x:v>
      </x:c>
      <x:c r="B2362" t="str">
        <x:v>PED-102361</x:v>
      </x:c>
      <x:c r="C2362" t="str">
        <x:v>Cliente 061</x:v>
      </x:c>
      <x:c r="D2362" t="str">
        <x:v>ES</x:v>
      </x:c>
      <x:c r="E2362" t="str">
        <x:v>Sudeste</x:v>
      </x:c>
      <x:c r="F2362" t="str">
        <x:v>Televendas</x:v>
      </x:c>
      <x:c r="G2362" t="str">
        <x:v>Acessórios</x:v>
      </x:c>
      <x:c r="H2362" t="str">
        <x:v>Hub USB-C</x:v>
      </x:c>
      <x:c r="I2362" t="str">
        <x:v>Bruno</x:v>
      </x:c>
      <x:c r="J2362" s="53" t="n">
        <x:v>6</x:v>
      </x:c>
      <x:c r="K2362" s="54" t="n">
        <x:v>321.39</x:v>
      </x:c>
      <x:c r="L2362" s="54" t="n">
        <x:v>135.57</x:v>
      </x:c>
      <x:c r="M2362" s="55" t="n">
        <x:v>0.037</x:v>
      </x:c>
      <x:c r="N2362" s="54" t="n">
        <x:f>ROUND(J2362*K2362,2)</x:f>
        <x:v>1928.34</x:v>
      </x:c>
      <x:c r="O2362" s="54" t="n">
        <x:f>ROUND(N2362*(1-M2362),2)</x:f>
        <x:v>1856.99</x:v>
      </x:c>
      <x:c r="P2362" s="54" t="n">
        <x:f>ROUND(J2362*L2362,2)</x:f>
        <x:v>813.42</x:v>
      </x:c>
      <x:c r="Q2362" s="54" t="n">
        <x:f>ROUND(O2362-P2362,2)</x:f>
        <x:v>1043.57</x:v>
      </x:c>
      <x:c r="R2362" s="55" t="n">
        <x:f>IF(O2362=0,0,ROUND(Q2362/O2362,4))</x:f>
        <x:v>0.562</x:v>
      </x:c>
      <x:c r="S2362" s="53" t="n">
        <x:v>5</x:v>
      </x:c>
      <x:c r="T2362" t="str">
        <x:v>Entregue</x:v>
      </x:c>
      <x:c r="U2362" t="n">
        <x:v>3</x:v>
      </x:c>
      <x:c r="V2362" t="str"/>
    </x:row>
    <x:row r="2363">
      <x:c r="A2363" s="52" t="n">
        <x:v>46104</x:v>
      </x:c>
      <x:c r="B2363" t="str">
        <x:v>PED-102362</x:v>
      </x:c>
      <x:c r="C2363" t="str">
        <x:v>Cliente 063</x:v>
      </x:c>
      <x:c r="D2363" t="str">
        <x:v>BA</x:v>
      </x:c>
      <x:c r="E2363" t="str">
        <x:v>Nordeste</x:v>
      </x:c>
      <x:c r="F2363" t="str">
        <x:v>Loja</x:v>
      </x:c>
      <x:c r="G2363" t="str">
        <x:v>Tecnologia</x:v>
      </x:c>
      <x:c r="H2363" t="str">
        <x:v>Notebook Pro</x:v>
      </x:c>
      <x:c r="I2363" t="str">
        <x:v>Henrique</x:v>
      </x:c>
      <x:c r="J2363" s="53" t="n">
        <x:v>8</x:v>
      </x:c>
      <x:c r="K2363" s="54" t="n">
        <x:v>6241.49</x:v>
      </x:c>
      <x:c r="L2363" s="54" t="n">
        <x:v>4499.3</x:v>
      </x:c>
      <x:c r="M2363" s="55" t="n">
        <x:v>0</x:v>
      </x:c>
      <x:c r="N2363" s="54" t="n">
        <x:f>ROUND(J2363*K2363,2)</x:f>
        <x:v>49931.92</x:v>
      </x:c>
      <x:c r="O2363" s="54" t="n">
        <x:f>ROUND(N2363*(1-M2363),2)</x:f>
        <x:v>49931.92</x:v>
      </x:c>
      <x:c r="P2363" s="54" t="n">
        <x:f>ROUND(J2363*L2363,2)</x:f>
        <x:v>35994.4</x:v>
      </x:c>
      <x:c r="Q2363" s="54" t="n">
        <x:f>ROUND(O2363-P2363,2)</x:f>
        <x:v>13937.52</x:v>
      </x:c>
      <x:c r="R2363" s="55" t="n">
        <x:f>IF(O2363=0,0,ROUND(Q2363/O2363,4))</x:f>
        <x:v>0.2791</x:v>
      </x:c>
      <x:c r="S2363" s="53" t="n">
        <x:v>9</x:v>
      </x:c>
      <x:c r="T2363" t="str">
        <x:v>Entregue</x:v>
      </x:c>
      <x:c r="U2363" t="n">
        <x:v>5</x:v>
      </x:c>
      <x:c r="V2363" t="str"/>
    </x:row>
    <x:row r="2364">
      <x:c r="A2364" s="52" t="n">
        <x:v>46155</x:v>
      </x:c>
      <x:c r="B2364" t="str">
        <x:v>PED-102363</x:v>
      </x:c>
      <x:c r="C2364" t="str">
        <x:v>Cliente 031</x:v>
      </x:c>
      <x:c r="D2364" t="str">
        <x:v>PR</x:v>
      </x:c>
      <x:c r="E2364" t="str">
        <x:v>Sul</x:v>
      </x:c>
      <x:c r="F2364" t="str">
        <x:v>Televendas</x:v>
      </x:c>
      <x:c r="G2364" t="str">
        <x:v>Casa</x:v>
      </x:c>
      <x:c r="H2364" t="str">
        <x:v>Cafeteira Smart</x:v>
      </x:c>
      <x:c r="I2364" t="str">
        <x:v>Felipe</x:v>
      </x:c>
      <x:c r="J2364" s="53" t="n">
        <x:v>7</x:v>
      </x:c>
      <x:c r="K2364" s="54" t="n">
        <x:v>788.77</x:v>
      </x:c>
      <x:c r="L2364" s="54" t="n">
        <x:v>477.72</x:v>
      </x:c>
      <x:c r="M2364" s="55" t="n">
        <x:v>0.0637</x:v>
      </x:c>
      <x:c r="N2364" s="54" t="n">
        <x:f>ROUND(J2364*K2364,2)</x:f>
        <x:v>5521.39</x:v>
      </x:c>
      <x:c r="O2364" s="54" t="n">
        <x:f>ROUND(N2364*(1-M2364),2)</x:f>
        <x:v>5169.68</x:v>
      </x:c>
      <x:c r="P2364" s="54" t="n">
        <x:f>ROUND(J2364*L2364,2)</x:f>
        <x:v>3344.04</x:v>
      </x:c>
      <x:c r="Q2364" s="54" t="n">
        <x:f>ROUND(O2364-P2364,2)</x:f>
        <x:v>1825.64</x:v>
      </x:c>
      <x:c r="R2364" s="55" t="n">
        <x:f>IF(O2364=0,0,ROUND(Q2364/O2364,4))</x:f>
        <x:v>0.3531</x:v>
      </x:c>
      <x:c r="S2364" s="53" t="n">
        <x:v>10</x:v>
      </x:c>
      <x:c r="T2364" t="str">
        <x:v>Entregue</x:v>
      </x:c>
      <x:c r="U2364" t="n">
        <x:v>2</x:v>
      </x:c>
      <x:c r="V2364" t="str"/>
    </x:row>
    <x:row r="2365">
      <x:c r="A2365" s="52" t="n">
        <x:v>46182</x:v>
      </x:c>
      <x:c r="B2365" t="str">
        <x:v>PED-102364</x:v>
      </x:c>
      <x:c r="C2365" t="str">
        <x:v>Cliente 014</x:v>
      </x:c>
      <x:c r="D2365" t="str">
        <x:v>SP</x:v>
      </x:c>
      <x:c r="E2365" t="str">
        <x:v>Sudeste</x:v>
      </x:c>
      <x:c r="F2365" t="str">
        <x:v>Televendas</x:v>
      </x:c>
      <x:c r="G2365" t="str">
        <x:v>Escritório</x:v>
      </x:c>
      <x:c r="H2365" t="str">
        <x:v>Luminária LED</x:v>
      </x:c>
      <x:c r="I2365" t="str">
        <x:v>Felipe</x:v>
      </x:c>
      <x:c r="J2365" s="53" t="n">
        <x:v>8</x:v>
      </x:c>
      <x:c r="K2365" s="54" t="n">
        <x:v>262.23</x:v>
      </x:c>
      <x:c r="L2365" s="54" t="n">
        <x:v>114.12</x:v>
      </x:c>
      <x:c r="M2365" s="55" t="n">
        <x:v>0</x:v>
      </x:c>
      <x:c r="N2365" s="54" t="n">
        <x:f>ROUND(J2365*K2365,2)</x:f>
        <x:v>2097.84</x:v>
      </x:c>
      <x:c r="O2365" s="54" t="n">
        <x:f>ROUND(N2365*(1-M2365),2)</x:f>
        <x:v>2097.84</x:v>
      </x:c>
      <x:c r="P2365" s="54" t="n">
        <x:f>ROUND(J2365*L2365,2)</x:f>
        <x:v>912.96</x:v>
      </x:c>
      <x:c r="Q2365" s="54" t="n">
        <x:f>ROUND(O2365-P2365,2)</x:f>
        <x:v>1184.88</x:v>
      </x:c>
      <x:c r="R2365" s="55" t="n">
        <x:f>IF(O2365=0,0,ROUND(Q2365/O2365,4))</x:f>
        <x:v>0.5648</x:v>
      </x:c>
      <x:c r="S2365" s="53" t="n">
        <x:v>13</x:v>
      </x:c>
      <x:c r="T2365" t="str">
        <x:v>Entregue com atraso</x:v>
      </x:c>
      <x:c r="U2365" t="n">
        <x:v>3</x:v>
      </x:c>
      <x:c r="V2365" t="str"/>
    </x:row>
    <x:row r="2366">
      <x:c r="A2366" s="52" t="n">
        <x:v>46115</x:v>
      </x:c>
      <x:c r="B2366" t="str">
        <x:v>PED-102365</x:v>
      </x:c>
      <x:c r="C2366" t="str">
        <x:v>Cliente 101</x:v>
      </x:c>
      <x:c r="D2366" t="str">
        <x:v>PE</x:v>
      </x:c>
      <x:c r="E2366" t="str">
        <x:v>Nordeste</x:v>
      </x:c>
      <x:c r="F2366" t="str">
        <x:v>Loja</x:v>
      </x:c>
      <x:c r="G2366" t="str">
        <x:v>Acessórios</x:v>
      </x:c>
      <x:c r="H2366" t="str">
        <x:v>Hub USB-C</x:v>
      </x:c>
      <x:c r="I2366" t="str">
        <x:v>Felipe</x:v>
      </x:c>
      <x:c r="J2366" s="53" t="n">
        <x:v>1</x:v>
      </x:c>
      <x:c r="K2366" s="54" t="n">
        <x:v>327.33</x:v>
      </x:c>
      <x:c r="L2366" s="54" t="n">
        <x:v>146.25</x:v>
      </x:c>
      <x:c r="M2366" s="55" t="n">
        <x:v>0.3893</x:v>
      </x:c>
      <x:c r="N2366" s="54" t="n">
        <x:f>ROUND(J2366*K2366,2)</x:f>
        <x:v>327.33</x:v>
      </x:c>
      <x:c r="O2366" s="54" t="n">
        <x:f>ROUND(N2366*(1-M2366),2)</x:f>
        <x:v>199.9</x:v>
      </x:c>
      <x:c r="P2366" s="54" t="n">
        <x:f>ROUND(J2366*L2366,2)</x:f>
        <x:v>146.25</x:v>
      </x:c>
      <x:c r="Q2366" s="54" t="n">
        <x:f>ROUND(O2366-P2366,2)</x:f>
        <x:v>53.65</x:v>
      </x:c>
      <x:c r="R2366" s="55" t="n">
        <x:f>IF(O2366=0,0,ROUND(Q2366/O2366,4))</x:f>
        <x:v>0.2684</x:v>
      </x:c>
      <x:c r="S2366" s="53" t="n">
        <x:v>5</x:v>
      </x:c>
      <x:c r="T2366" t="str">
        <x:v>Entregue</x:v>
      </x:c>
      <x:c r="U2366" t="n">
        <x:v>5</x:v>
      </x:c>
      <x:c r="V2366" t="str">
        <x:v>Desconto autorizado fora da campanha</x:v>
      </x:c>
    </x:row>
    <x:row r="2367">
      <x:c r="A2367" s="52" t="n">
        <x:v>46108</x:v>
      </x:c>
      <x:c r="B2367" t="str">
        <x:v>PED-102366</x:v>
      </x:c>
      <x:c r="C2367" t="str">
        <x:v>Cliente 115</x:v>
      </x:c>
      <x:c r="D2367" t="str">
        <x:v>PE</x:v>
      </x:c>
      <x:c r="E2367" t="str">
        <x:v>Nordeste</x:v>
      </x:c>
      <x:c r="F2367" t="str">
        <x:v>Loja</x:v>
      </x:c>
      <x:c r="G2367" t="str">
        <x:v>Escritório</x:v>
      </x:c>
      <x:c r="H2367" t="str">
        <x:v>Cadeira Ergonômica</x:v>
      </x:c>
      <x:c r="I2367" t="str">
        <x:v>Felipe</x:v>
      </x:c>
      <x:c r="J2367" s="53" t="n">
        <x:v>8</x:v>
      </x:c>
      <x:c r="K2367" s="54" t="n">
        <x:v>2289.43</x:v>
      </x:c>
      <x:c r="L2367" s="54" t="n">
        <x:v>1530.03</x:v>
      </x:c>
      <x:c r="M2367" s="55" t="n">
        <x:v>0.0971</x:v>
      </x:c>
      <x:c r="N2367" s="54" t="n">
        <x:f>ROUND(J2367*K2367,2)</x:f>
        <x:v>18315.44</x:v>
      </x:c>
      <x:c r="O2367" s="54" t="n">
        <x:f>ROUND(N2367*(1-M2367),2)</x:f>
        <x:v>16537.01</x:v>
      </x:c>
      <x:c r="P2367" s="54" t="n">
        <x:f>ROUND(J2367*L2367,2)</x:f>
        <x:v>12240.24</x:v>
      </x:c>
      <x:c r="Q2367" s="54" t="n">
        <x:f>ROUND(O2367-P2367,2)</x:f>
        <x:v>4296.77</x:v>
      </x:c>
      <x:c r="R2367" s="55" t="n">
        <x:f>IF(O2367=0,0,ROUND(Q2367/O2367,4))</x:f>
        <x:v>0.2598</x:v>
      </x:c>
      <x:c r="S2367" s="53" t="n">
        <x:v>2</x:v>
      </x:c>
      <x:c r="T2367" t="str">
        <x:v>Entregue</x:v>
      </x:c>
      <x:c r="U2367" t="n">
        <x:v>4</x:v>
      </x:c>
      <x:c r="V2367" t="str"/>
    </x:row>
    <x:row r="2368">
      <x:c r="A2368" s="52" t="n">
        <x:v>46151</x:v>
      </x:c>
      <x:c r="B2368" t="str">
        <x:v>PED-102367</x:v>
      </x:c>
      <x:c r="C2368" t="str">
        <x:v>Cliente 014</x:v>
      </x:c>
      <x:c r="D2368" t="str">
        <x:v>SC</x:v>
      </x:c>
      <x:c r="E2368" t="str">
        <x:v>Sul</x:v>
      </x:c>
      <x:c r="F2368" t="str">
        <x:v>Loja</x:v>
      </x:c>
      <x:c r="G2368" t="str">
        <x:v>Casa</x:v>
      </x:c>
      <x:c r="H2368" t="str">
        <x:v>Purificador</x:v>
      </x:c>
      <x:c r="I2368" t="str">
        <x:v>Gabriela</x:v>
      </x:c>
      <x:c r="J2368" s="53" t="n">
        <x:v>6</x:v>
      </x:c>
      <x:c r="K2368" s="54" t="n">
        <x:v>1299.34</x:v>
      </x:c>
      <x:c r="L2368" s="54" t="n">
        <x:v>786.08</x:v>
      </x:c>
      <x:c r="M2368" s="55" t="n">
        <x:v>0.1135</x:v>
      </x:c>
      <x:c r="N2368" s="54" t="n">
        <x:f>ROUND(J2368*K2368,2)</x:f>
        <x:v>7796.04</x:v>
      </x:c>
      <x:c r="O2368" s="54" t="n">
        <x:f>ROUND(N2368*(1-M2368),2)</x:f>
        <x:v>6911.19</x:v>
      </x:c>
      <x:c r="P2368" s="54" t="n">
        <x:f>ROUND(J2368*L2368,2)</x:f>
        <x:v>4716.48</x:v>
      </x:c>
      <x:c r="Q2368" s="54" t="n">
        <x:f>ROUND(O2368-P2368,2)</x:f>
        <x:v>2194.71</x:v>
      </x:c>
      <x:c r="R2368" s="55" t="n">
        <x:f>IF(O2368=0,0,ROUND(Q2368/O2368,4))</x:f>
        <x:v>0.3176</x:v>
      </x:c>
      <x:c r="S2368" s="53" t="n">
        <x:v>4</x:v>
      </x:c>
      <x:c r="T2368" t="str">
        <x:v>Entregue</x:v>
      </x:c>
      <x:c r="U2368" t="n">
        <x:v>3</x:v>
      </x:c>
      <x:c r="V2368" t="str"/>
    </x:row>
    <x:row r="2369">
      <x:c r="A2369" s="52" t="n">
        <x:v>46149</x:v>
      </x:c>
      <x:c r="B2369" t="str">
        <x:v>PED-102368</x:v>
      </x:c>
      <x:c r="C2369" t="str">
        <x:v>Cliente 027</x:v>
      </x:c>
      <x:c r="D2369" t="str">
        <x:v>DF</x:v>
      </x:c>
      <x:c r="E2369" t="str">
        <x:v>Centro-Oeste</x:v>
      </x:c>
      <x:c r="F2369" t="str">
        <x:v>Loja</x:v>
      </x:c>
      <x:c r="G2369" t="str">
        <x:v>Acessórios</x:v>
      </x:c>
      <x:c r="H2369" t="str">
        <x:v>Webcam HD</x:v>
      </x:c>
      <x:c r="I2369" t="str">
        <x:v>Bruno</x:v>
      </x:c>
      <x:c r="J2369" s="53" t="n">
        <x:v>1</x:v>
      </x:c>
      <x:c r="K2369" s="54" t="n">
        <x:v>496.06</x:v>
      </x:c>
      <x:c r="L2369" s="54" t="n">
        <x:v>241.61</x:v>
      </x:c>
      <x:c r="M2369" s="55" t="n">
        <x:v>0</x:v>
      </x:c>
      <x:c r="N2369" s="54" t="n">
        <x:f>ROUND(J2369*K2369,2)</x:f>
        <x:v>496.06</x:v>
      </x:c>
      <x:c r="O2369" s="54" t="n">
        <x:f>ROUND(N2369*(1-M2369),2)</x:f>
        <x:v>496.06</x:v>
      </x:c>
      <x:c r="P2369" s="54" t="n">
        <x:f>ROUND(J2369*L2369,2)</x:f>
        <x:v>241.61</x:v>
      </x:c>
      <x:c r="Q2369" s="54" t="n">
        <x:f>ROUND(O2369-P2369,2)</x:f>
        <x:v>254.45</x:v>
      </x:c>
      <x:c r="R2369" s="55" t="n">
        <x:f>IF(O2369=0,0,ROUND(Q2369/O2369,4))</x:f>
        <x:v>0.5129</x:v>
      </x:c>
      <x:c r="S2369" s="53" t="n">
        <x:v>14</x:v>
      </x:c>
      <x:c r="T2369" t="str">
        <x:v>Entregue com atraso</x:v>
      </x:c>
      <x:c r="U2369" t="n">
        <x:v>3</x:v>
      </x:c>
      <x:c r="V2369" t="str"/>
    </x:row>
    <x:row r="2370">
      <x:c r="A2370" s="52" t="n">
        <x:v>46056</x:v>
      </x:c>
      <x:c r="B2370" t="str">
        <x:v>PED-102369</x:v>
      </x:c>
      <x:c r="C2370" t="str">
        <x:v>Cliente 082</x:v>
      </x:c>
      <x:c r="D2370" t="str">
        <x:v>MG</x:v>
      </x:c>
      <x:c r="E2370" t="str">
        <x:v>Sudeste</x:v>
      </x:c>
      <x:c r="F2370" t="str">
        <x:v>Marketplace</x:v>
      </x:c>
      <x:c r="G2370" t="str">
        <x:v>Escritório</x:v>
      </x:c>
      <x:c r="H2370" t="str">
        <x:v>Luminária LED</x:v>
      </x:c>
      <x:c r="I2370" t="str">
        <x:v>Carla</x:v>
      </x:c>
      <x:c r="J2370" s="53" t="n">
        <x:v>3</x:v>
      </x:c>
      <x:c r="K2370" s="54" t="n">
        <x:v>255.03</x:v>
      </x:c>
      <x:c r="L2370" s="54" t="n">
        <x:v>118.7</x:v>
      </x:c>
      <x:c r="M2370" s="55" t="n">
        <x:v>0.1083</x:v>
      </x:c>
      <x:c r="N2370" s="54" t="n">
        <x:f>ROUND(J2370*K2370,2)</x:f>
        <x:v>765.09</x:v>
      </x:c>
      <x:c r="O2370" s="54" t="n">
        <x:f>ROUND(N2370*(1-M2370),2)</x:f>
        <x:v>682.23</x:v>
      </x:c>
      <x:c r="P2370" s="54" t="n">
        <x:f>ROUND(J2370*L2370,2)</x:f>
        <x:v>356.1</x:v>
      </x:c>
      <x:c r="Q2370" s="54" t="n">
        <x:f>ROUND(O2370-P2370,2)</x:f>
        <x:v>326.13</x:v>
      </x:c>
      <x:c r="R2370" s="55" t="n">
        <x:f>IF(O2370=0,0,ROUND(Q2370/O2370,4))</x:f>
        <x:v>0.478</x:v>
      </x:c>
      <x:c r="S2370" s="53" t="n">
        <x:v>10</x:v>
      </x:c>
      <x:c r="T2370" t="str">
        <x:v>Entregue</x:v>
      </x:c>
      <x:c r="U2370" t="n">
        <x:v>5</x:v>
      </x:c>
      <x:c r="V2370" t="str"/>
    </x:row>
    <x:row r="2371">
      <x:c r="A2371" s="52" t="n">
        <x:v>46092</x:v>
      </x:c>
      <x:c r="B2371" t="str">
        <x:v>PED-102370</x:v>
      </x:c>
      <x:c r="C2371" t="str">
        <x:v>Cliente 096</x:v>
      </x:c>
      <x:c r="D2371" t="str">
        <x:v>GO</x:v>
      </x:c>
      <x:c r="E2371" t="str">
        <x:v>Centro-Oeste</x:v>
      </x:c>
      <x:c r="F2371" t="str">
        <x:v>E-commerce</x:v>
      </x:c>
      <x:c r="G2371" t="str">
        <x:v>Acessórios</x:v>
      </x:c>
      <x:c r="H2371" t="str">
        <x:v>Mochila Executiva</x:v>
      </x:c>
      <x:c r="I2371" t="str">
        <x:v>Elaine</x:v>
      </x:c>
      <x:c r="J2371" s="53" t="n">
        <x:v>7</x:v>
      </x:c>
      <x:c r="K2371" s="54" t="n">
        <x:v>408.37</x:v>
      </x:c>
      <x:c r="L2371" s="54" t="n">
        <x:v>190.52</x:v>
      </x:c>
      <x:c r="M2371" s="55" t="n">
        <x:v>0.064</x:v>
      </x:c>
      <x:c r="N2371" s="54" t="n">
        <x:f>ROUND(J2371*K2371,2)</x:f>
        <x:v>2858.59</x:v>
      </x:c>
      <x:c r="O2371" s="54" t="n">
        <x:f>ROUND(N2371*(1-M2371),2)</x:f>
        <x:v>2675.64</x:v>
      </x:c>
      <x:c r="P2371" s="54" t="n">
        <x:f>ROUND(J2371*L2371,2)</x:f>
        <x:v>1333.64</x:v>
      </x:c>
      <x:c r="Q2371" s="54" t="n">
        <x:f>ROUND(O2371-P2371,2)</x:f>
        <x:v>1342</x:v>
      </x:c>
      <x:c r="R2371" s="55" t="n">
        <x:f>IF(O2371=0,0,ROUND(Q2371/O2371,4))</x:f>
        <x:v>0.5016</x:v>
      </x:c>
      <x:c r="S2371" s="53" t="n">
        <x:v>10</x:v>
      </x:c>
      <x:c r="T2371" t="str">
        <x:v>Entregue</x:v>
      </x:c>
      <x:c r="U2371" t="n">
        <x:v>5</x:v>
      </x:c>
      <x:c r="V2371" t="str"/>
    </x:row>
    <x:row r="2372">
      <x:c r="A2372" s="52" t="n">
        <x:v>46196</x:v>
      </x:c>
      <x:c r="B2372" t="str">
        <x:v>PED-102371</x:v>
      </x:c>
      <x:c r="C2372" t="str">
        <x:v>Cliente 055</x:v>
      </x:c>
      <x:c r="D2372" t="str">
        <x:v>CE</x:v>
      </x:c>
      <x:c r="E2372" t="str">
        <x:v>Nordeste</x:v>
      </x:c>
      <x:c r="F2372" t="str">
        <x:v>Televendas</x:v>
      </x:c>
      <x:c r="G2372" t="str">
        <x:v>Tecnologia</x:v>
      </x:c>
      <x:c r="H2372" t="str">
        <x:v>Notebook Pro</x:v>
      </x:c>
      <x:c r="I2372" t="str">
        <x:v>Diego</x:v>
      </x:c>
      <x:c r="J2372" s="53" t="n">
        <x:v>4</x:v>
      </x:c>
      <x:c r="K2372" s="54" t="n">
        <x:v>5839.6</x:v>
      </x:c>
      <x:c r="L2372" s="54" t="n">
        <x:v>4464.51</x:v>
      </x:c>
      <x:c r="M2372" s="55" t="n">
        <x:v>0.0593</x:v>
      </x:c>
      <x:c r="N2372" s="54" t="n">
        <x:f>ROUND(J2372*K2372,2)</x:f>
        <x:v>23358.4</x:v>
      </x:c>
      <x:c r="O2372" s="54" t="n">
        <x:f>ROUND(N2372*(1-M2372),2)</x:f>
        <x:v>21973.25</x:v>
      </x:c>
      <x:c r="P2372" s="54" t="n">
        <x:f>ROUND(J2372*L2372,2)</x:f>
        <x:v>17858.04</x:v>
      </x:c>
      <x:c r="Q2372" s="54" t="n">
        <x:f>ROUND(O2372-P2372,2)</x:f>
        <x:v>4115.21</x:v>
      </x:c>
      <x:c r="R2372" s="55" t="n">
        <x:f>IF(O2372=0,0,ROUND(Q2372/O2372,4))</x:f>
        <x:v>0.1873</x:v>
      </x:c>
      <x:c r="S2372" s="53" t="n">
        <x:v>8</x:v>
      </x:c>
      <x:c r="T2372" t="str">
        <x:v>Entregue</x:v>
      </x:c>
      <x:c r="U2372" t="n">
        <x:v>5</x:v>
      </x:c>
      <x:c r="V2372" t="str"/>
    </x:row>
    <x:row r="2373">
      <x:c r="A2373" s="52" t="n">
        <x:v>46217</x:v>
      </x:c>
      <x:c r="B2373" t="str">
        <x:v>PED-102372</x:v>
      </x:c>
      <x:c r="C2373" t="str">
        <x:v>Cliente 036</x:v>
      </x:c>
      <x:c r="D2373" t="str">
        <x:v>AM</x:v>
      </x:c>
      <x:c r="E2373" t="str">
        <x:v>Norte</x:v>
      </x:c>
      <x:c r="F2373" t="str">
        <x:v>E-commerce</x:v>
      </x:c>
      <x:c r="G2373" t="str">
        <x:v>Acessórios</x:v>
      </x:c>
      <x:c r="H2373" t="str">
        <x:v>Mochila Executiva</x:v>
      </x:c>
      <x:c r="I2373" t="str">
        <x:v>Diego</x:v>
      </x:c>
      <x:c r="J2373" s="53" t="n">
        <x:v>5</x:v>
      </x:c>
      <x:c r="K2373" s="54" t="n">
        <x:v>427.17</x:v>
      </x:c>
      <x:c r="L2373" s="54" t="n">
        <x:v>197.7</x:v>
      </x:c>
      <x:c r="M2373" s="55" t="n">
        <x:v>0.0555</x:v>
      </x:c>
      <x:c r="N2373" s="54" t="n">
        <x:f>ROUND(J2373*K2373,2)</x:f>
        <x:v>2135.85</x:v>
      </x:c>
      <x:c r="O2373" s="54" t="n">
        <x:f>ROUND(N2373*(1-M2373),2)</x:f>
        <x:v>2017.31</x:v>
      </x:c>
      <x:c r="P2373" s="54" t="n">
        <x:f>ROUND(J2373*L2373,2)</x:f>
        <x:v>988.5</x:v>
      </x:c>
      <x:c r="Q2373" s="54" t="n">
        <x:f>ROUND(O2373-P2373,2)</x:f>
        <x:v>1028.81</x:v>
      </x:c>
      <x:c r="R2373" s="55" t="n">
        <x:f>IF(O2373=0,0,ROUND(Q2373/O2373,4))</x:f>
        <x:v>0.51</x:v>
      </x:c>
      <x:c r="S2373" s="53" t="n">
        <x:v>14</x:v>
      </x:c>
      <x:c r="T2373" t="str">
        <x:v>Entregue com atraso</x:v>
      </x:c>
      <x:c r="U2373" t="n">
        <x:v>3</x:v>
      </x:c>
      <x:c r="V2373" t="str"/>
    </x:row>
    <x:row r="2374">
      <x:c r="A2374" s="52" t="n">
        <x:v>46197</x:v>
      </x:c>
      <x:c r="B2374" t="str">
        <x:v>PED-102373</x:v>
      </x:c>
      <x:c r="C2374" t="str">
        <x:v>Cliente 026</x:v>
      </x:c>
      <x:c r="D2374" t="str">
        <x:v>PA</x:v>
      </x:c>
      <x:c r="E2374" t="str">
        <x:v>Norte</x:v>
      </x:c>
      <x:c r="F2374" t="str">
        <x:v>Televendas</x:v>
      </x:c>
      <x:c r="G2374" t="str">
        <x:v>Acessórios</x:v>
      </x:c>
      <x:c r="H2374" t="str">
        <x:v>Mochila Executiva</x:v>
      </x:c>
      <x:c r="I2374" t="str">
        <x:v>Henrique</x:v>
      </x:c>
      <x:c r="J2374" s="53" t="n">
        <x:v>4</x:v>
      </x:c>
      <x:c r="K2374" s="54" t="n">
        <x:v>445.58</x:v>
      </x:c>
      <x:c r="L2374" s="54" t="n">
        <x:v>195.55</x:v>
      </x:c>
      <x:c r="M2374" s="55" t="n">
        <x:v>0.0177</x:v>
      </x:c>
      <x:c r="N2374" s="54" t="n">
        <x:f>ROUND(J2374*K2374,2)</x:f>
        <x:v>1782.32</x:v>
      </x:c>
      <x:c r="O2374" s="54" t="n">
        <x:f>ROUND(N2374*(1-M2374),2)</x:f>
        <x:v>1750.77</x:v>
      </x:c>
      <x:c r="P2374" s="54" t="n">
        <x:f>ROUND(J2374*L2374,2)</x:f>
        <x:v>782.2</x:v>
      </x:c>
      <x:c r="Q2374" s="54" t="n">
        <x:f>ROUND(O2374-P2374,2)</x:f>
        <x:v>968.57</x:v>
      </x:c>
      <x:c r="R2374" s="55" t="n">
        <x:f>IF(O2374=0,0,ROUND(Q2374/O2374,4))</x:f>
        <x:v>0.5532</x:v>
      </x:c>
      <x:c r="S2374" s="53" t="n">
        <x:v>10</x:v>
      </x:c>
      <x:c r="T2374" t="str">
        <x:v>Entregue</x:v>
      </x:c>
      <x:c r="U2374" t="n">
        <x:v>2</x:v>
      </x:c>
      <x:c r="V2374" t="str"/>
    </x:row>
    <x:row r="2375">
      <x:c r="A2375" s="52" t="n">
        <x:v>46061</x:v>
      </x:c>
      <x:c r="B2375" t="str">
        <x:v>PED-102374</x:v>
      </x:c>
      <x:c r="C2375" t="str">
        <x:v>Cliente 073</x:v>
      </x:c>
      <x:c r="D2375" t="str">
        <x:v>PR</x:v>
      </x:c>
      <x:c r="E2375" t="str">
        <x:v>Sul</x:v>
      </x:c>
      <x:c r="F2375" t="str">
        <x:v>Loja</x:v>
      </x:c>
      <x:c r="G2375" t="str">
        <x:v>Escritório</x:v>
      </x:c>
      <x:c r="H2375" t="str">
        <x:v>Cadeira Ergonômica</x:v>
      </x:c>
      <x:c r="I2375" t="str">
        <x:v>Ana</x:v>
      </x:c>
      <x:c r="J2375" s="53" t="n">
        <x:v>1</x:v>
      </x:c>
      <x:c r="K2375" s="54" t="n">
        <x:v>2076.46</x:v>
      </x:c>
      <x:c r="L2375" s="54" t="n">
        <x:v>1431.99</x:v>
      </x:c>
      <x:c r="M2375" s="55" t="n">
        <x:v>0</x:v>
      </x:c>
      <x:c r="N2375" s="54" t="n">
        <x:f>ROUND(J2375*K2375,2)</x:f>
        <x:v>2076.46</x:v>
      </x:c>
      <x:c r="O2375" s="54" t="n">
        <x:f>ROUND(N2375*(1-M2375),2)</x:f>
        <x:v>2076.46</x:v>
      </x:c>
      <x:c r="P2375" s="54" t="n">
        <x:f>ROUND(J2375*L2375,2)</x:f>
        <x:v>1431.99</x:v>
      </x:c>
      <x:c r="Q2375" s="54" t="n">
        <x:f>ROUND(O2375-P2375,2)</x:f>
        <x:v>644.47</x:v>
      </x:c>
      <x:c r="R2375" s="55" t="n">
        <x:f>IF(O2375=0,0,ROUND(Q2375/O2375,4))</x:f>
        <x:v>0.3104</x:v>
      </x:c>
      <x:c r="S2375" s="53" t="n">
        <x:v>7</x:v>
      </x:c>
      <x:c r="T2375" t="str">
        <x:v>Entregue</x:v>
      </x:c>
      <x:c r="U2375" t="n">
        <x:v>2</x:v>
      </x:c>
      <x:c r="V2375" t="str"/>
    </x:row>
    <x:row r="2376">
      <x:c r="A2376" s="52" t="n">
        <x:v>46208</x:v>
      </x:c>
      <x:c r="B2376" t="str">
        <x:v>PED-102375</x:v>
      </x:c>
      <x:c r="C2376" t="str">
        <x:v>Cliente 095</x:v>
      </x:c>
      <x:c r="D2376" t="str">
        <x:v>BA</x:v>
      </x:c>
      <x:c r="E2376" t="str">
        <x:v>Nordeste</x:v>
      </x:c>
      <x:c r="F2376" t="str">
        <x:v>Loja</x:v>
      </x:c>
      <x:c r="G2376" t="str">
        <x:v>Escritório</x:v>
      </x:c>
      <x:c r="H2376" t="str">
        <x:v>Luminária LED</x:v>
      </x:c>
      <x:c r="I2376" t="str">
        <x:v>Bruno</x:v>
      </x:c>
      <x:c r="J2376" s="53" t="n">
        <x:v>4</x:v>
      </x:c>
      <x:c r="K2376" s="54" t="n">
        <x:v>274.22</x:v>
      </x:c>
      <x:c r="L2376" s="54" t="n">
        <x:v>121.25</x:v>
      </x:c>
      <x:c r="M2376" s="55" t="n">
        <x:v>0</x:v>
      </x:c>
      <x:c r="N2376" s="54" t="n">
        <x:f>ROUND(J2376*K2376,2)</x:f>
        <x:v>1096.88</x:v>
      </x:c>
      <x:c r="O2376" s="54" t="n">
        <x:f>ROUND(N2376*(1-M2376),2)</x:f>
        <x:v>1096.88</x:v>
      </x:c>
      <x:c r="P2376" s="54" t="n">
        <x:f>ROUND(J2376*L2376,2)</x:f>
        <x:v>485</x:v>
      </x:c>
      <x:c r="Q2376" s="54" t="n">
        <x:f>ROUND(O2376-P2376,2)</x:f>
        <x:v>611.88</x:v>
      </x:c>
      <x:c r="R2376" s="55" t="n">
        <x:f>IF(O2376=0,0,ROUND(Q2376/O2376,4))</x:f>
        <x:v>0.5578</x:v>
      </x:c>
      <x:c r="S2376" s="53" t="n">
        <x:v>9</x:v>
      </x:c>
      <x:c r="T2376" t="str">
        <x:v>Entregue</x:v>
      </x:c>
      <x:c r="U2376" t="n">
        <x:v>2</x:v>
      </x:c>
      <x:c r="V2376" t="str"/>
    </x:row>
    <x:row r="2377">
      <x:c r="A2377" s="52" t="n">
        <x:v>46077</x:v>
      </x:c>
      <x:c r="B2377" t="str">
        <x:v>PED-102376</x:v>
      </x:c>
      <x:c r="C2377" t="str">
        <x:v>Cliente 037</x:v>
      </x:c>
      <x:c r="D2377" t="str">
        <x:v>MG</x:v>
      </x:c>
      <x:c r="E2377" t="str">
        <x:v>Sudeste</x:v>
      </x:c>
      <x:c r="F2377" t="str">
        <x:v>E-commerce</x:v>
      </x:c>
      <x:c r="G2377" t="str">
        <x:v>Escritório</x:v>
      </x:c>
      <x:c r="H2377" t="str">
        <x:v>Luminária LED</x:v>
      </x:c>
      <x:c r="I2377" t="str">
        <x:v>Diego</x:v>
      </x:c>
      <x:c r="J2377" s="53" t="n">
        <x:v>2</x:v>
      </x:c>
      <x:c r="K2377" s="54" t="n">
        <x:v>260.35</x:v>
      </x:c>
      <x:c r="L2377" s="54" t="n">
        <x:v>113.66</x:v>
      </x:c>
      <x:c r="M2377" s="55" t="n">
        <x:v>0</x:v>
      </x:c>
      <x:c r="N2377" s="54" t="n">
        <x:f>ROUND(J2377*K2377,2)</x:f>
        <x:v>520.7</x:v>
      </x:c>
      <x:c r="O2377" s="54" t="n">
        <x:f>ROUND(N2377*(1-M2377),2)</x:f>
        <x:v>520.7</x:v>
      </x:c>
      <x:c r="P2377" s="54" t="n">
        <x:f>ROUND(J2377*L2377,2)</x:f>
        <x:v>227.32</x:v>
      </x:c>
      <x:c r="Q2377" s="54" t="n">
        <x:f>ROUND(O2377-P2377,2)</x:f>
        <x:v>293.38</x:v>
      </x:c>
      <x:c r="R2377" s="55" t="n">
        <x:f>IF(O2377=0,0,ROUND(Q2377/O2377,4))</x:f>
        <x:v>0.5634</x:v>
      </x:c>
      <x:c r="S2377" s="53" t="n">
        <x:v>14</x:v>
      </x:c>
      <x:c r="T2377" t="str">
        <x:v>Entregue com atraso</x:v>
      </x:c>
      <x:c r="U2377" t="n">
        <x:v>3</x:v>
      </x:c>
      <x:c r="V2377" t="str"/>
    </x:row>
    <x:row r="2378">
      <x:c r="A2378" s="52" t="n">
        <x:v>46201</x:v>
      </x:c>
      <x:c r="B2378" t="str">
        <x:v>PED-102377</x:v>
      </x:c>
      <x:c r="C2378" t="str">
        <x:v>Cliente 101</x:v>
      </x:c>
      <x:c r="D2378" t="str">
        <x:v>GO</x:v>
      </x:c>
      <x:c r="E2378" t="str">
        <x:v>Centro-Oeste</x:v>
      </x:c>
      <x:c r="F2378" t="str">
        <x:v>E-commerce</x:v>
      </x:c>
      <x:c r="G2378" t="str">
        <x:v>Tecnologia</x:v>
      </x:c>
      <x:c r="H2378" t="str">
        <x:v>Monitor 27</x:v>
      </x:c>
      <x:c r="I2378" t="str">
        <x:v>Diego</x:v>
      </x:c>
      <x:c r="J2378" s="53" t="n">
        <x:v>4</x:v>
      </x:c>
      <x:c r="K2378" s="54" t="n">
        <x:v>1607.53</x:v>
      </x:c>
      <x:c r="L2378" s="54" t="n">
        <x:v>1068.4</x:v>
      </x:c>
      <x:c r="M2378" s="55" t="n">
        <x:v>0.003</x:v>
      </x:c>
      <x:c r="N2378" s="54" t="n">
        <x:f>ROUND(J2378*K2378,2)</x:f>
        <x:v>6430.12</x:v>
      </x:c>
      <x:c r="O2378" s="54" t="n">
        <x:f>ROUND(N2378*(1-M2378),2)</x:f>
        <x:v>6410.83</x:v>
      </x:c>
      <x:c r="P2378" s="54" t="n">
        <x:f>ROUND(J2378*L2378,2)</x:f>
        <x:v>4273.6</x:v>
      </x:c>
      <x:c r="Q2378" s="54" t="n">
        <x:f>ROUND(O2378-P2378,2)</x:f>
        <x:v>2137.23</x:v>
      </x:c>
      <x:c r="R2378" s="55" t="n">
        <x:f>IF(O2378=0,0,ROUND(Q2378/O2378,4))</x:f>
        <x:v>0.3334</x:v>
      </x:c>
      <x:c r="S2378" s="53" t="n">
        <x:v>11</x:v>
      </x:c>
      <x:c r="T2378" t="str">
        <x:v>Entregue com atraso</x:v>
      </x:c>
      <x:c r="U2378" t="n">
        <x:v>4</x:v>
      </x:c>
      <x:c r="V2378" t="str"/>
    </x:row>
    <x:row r="2379">
      <x:c r="A2379" s="52" t="n">
        <x:v>46074</x:v>
      </x:c>
      <x:c r="B2379" t="str">
        <x:v>PED-102378</x:v>
      </x:c>
      <x:c r="C2379" t="str">
        <x:v>Cliente 113</x:v>
      </x:c>
      <x:c r="D2379" t="str">
        <x:v>AM</x:v>
      </x:c>
      <x:c r="E2379" t="str">
        <x:v>Norte</x:v>
      </x:c>
      <x:c r="F2379" t="str">
        <x:v>Marketplace</x:v>
      </x:c>
      <x:c r="G2379" t="str">
        <x:v>Casa</x:v>
      </x:c>
      <x:c r="H2379" t="str">
        <x:v>Aspirador Robô</x:v>
      </x:c>
      <x:c r="I2379" t="str">
        <x:v>Bruno</x:v>
      </x:c>
      <x:c r="J2379" s="53" t="n">
        <x:v>3</x:v>
      </x:c>
      <x:c r="K2379" s="54" t="n">
        <x:v>1969.42</x:v>
      </x:c>
      <x:c r="L2379" s="54" t="n">
        <x:v>1247.38</x:v>
      </x:c>
      <x:c r="M2379" s="55" t="n">
        <x:v>0.1459</x:v>
      </x:c>
      <x:c r="N2379" s="54" t="n">
        <x:f>ROUND(J2379*K2379,2)</x:f>
        <x:v>5908.26</x:v>
      </x:c>
      <x:c r="O2379" s="54" t="n">
        <x:f>ROUND(N2379*(1-M2379),2)</x:f>
        <x:v>5046.24</x:v>
      </x:c>
      <x:c r="P2379" s="54" t="n">
        <x:f>ROUND(J2379*L2379,2)</x:f>
        <x:v>3742.14</x:v>
      </x:c>
      <x:c r="Q2379" s="54" t="n">
        <x:f>ROUND(O2379-P2379,2)</x:f>
        <x:v>1304.1</x:v>
      </x:c>
      <x:c r="R2379" s="55" t="n">
        <x:f>IF(O2379=0,0,ROUND(Q2379/O2379,4))</x:f>
        <x:v>0.2584</x:v>
      </x:c>
      <x:c r="S2379" s="53" t="n">
        <x:v>10</x:v>
      </x:c>
      <x:c r="T2379" t="str">
        <x:v>Entregue</x:v>
      </x:c>
      <x:c r="U2379" t="n">
        <x:v>3</x:v>
      </x:c>
      <x:c r="V2379" t="str"/>
    </x:row>
    <x:row r="2380">
      <x:c r="A2380" s="52" t="n">
        <x:v>46068</x:v>
      </x:c>
      <x:c r="B2380" t="str">
        <x:v>PED-102379</x:v>
      </x:c>
      <x:c r="C2380" t="str">
        <x:v>Cliente 035</x:v>
      </x:c>
      <x:c r="D2380" t="str">
        <x:v>MT</x:v>
      </x:c>
      <x:c r="E2380" t="str">
        <x:v>Centro-Oeste</x:v>
      </x:c>
      <x:c r="F2380" t="str">
        <x:v>Loja</x:v>
      </x:c>
      <x:c r="G2380" t="str">
        <x:v>Acessórios</x:v>
      </x:c>
      <x:c r="H2380" t="str">
        <x:v>Mochila Executiva</x:v>
      </x:c>
      <x:c r="I2380" t="str">
        <x:v>Diego</x:v>
      </x:c>
      <x:c r="J2380" s="53" t="n">
        <x:v>2</x:v>
      </x:c>
      <x:c r="K2380" s="54" t="n">
        <x:v>428.05</x:v>
      </x:c>
      <x:c r="L2380" s="54" t="n">
        <x:v>191.83</x:v>
      </x:c>
      <x:c r="M2380" s="55" t="n">
        <x:v>0.0349</x:v>
      </x:c>
      <x:c r="N2380" s="54" t="n">
        <x:f>ROUND(J2380*K2380,2)</x:f>
        <x:v>856.1</x:v>
      </x:c>
      <x:c r="O2380" s="54" t="n">
        <x:f>ROUND(N2380*(1-M2380),2)</x:f>
        <x:v>826.22</x:v>
      </x:c>
      <x:c r="P2380" s="54" t="n">
        <x:f>ROUND(J2380*L2380,2)</x:f>
        <x:v>383.66</x:v>
      </x:c>
      <x:c r="Q2380" s="54" t="n">
        <x:f>ROUND(O2380-P2380,2)</x:f>
        <x:v>442.56</x:v>
      </x:c>
      <x:c r="R2380" s="55" t="n">
        <x:f>IF(O2380=0,0,ROUND(Q2380/O2380,4))</x:f>
        <x:v>0.5356</x:v>
      </x:c>
      <x:c r="S2380" s="53" t="n">
        <x:v>8</x:v>
      </x:c>
      <x:c r="T2380" t="str">
        <x:v>Entregue</x:v>
      </x:c>
      <x:c r="U2380" t="n">
        <x:v>2</x:v>
      </x:c>
      <x:c r="V2380" t="str"/>
    </x:row>
    <x:row r="2381">
      <x:c r="A2381" s="52" t="n">
        <x:v>46110</x:v>
      </x:c>
      <x:c r="B2381" t="str">
        <x:v>PED-102380</x:v>
      </x:c>
      <x:c r="C2381" t="str">
        <x:v>Cliente 077</x:v>
      </x:c>
      <x:c r="D2381" t="str">
        <x:v>ES</x:v>
      </x:c>
      <x:c r="E2381" t="str">
        <x:v>Sudeste</x:v>
      </x:c>
      <x:c r="F2381" t="str">
        <x:v>Televendas</x:v>
      </x:c>
      <x:c r="G2381" t="str">
        <x:v>Escritório</x:v>
      </x:c>
      <x:c r="H2381" t="str">
        <x:v>Luminária LED</x:v>
      </x:c>
      <x:c r="I2381" t="str">
        <x:v>Henrique</x:v>
      </x:c>
      <x:c r="J2381" s="53" t="n">
        <x:v>4</x:v>
      </x:c>
      <x:c r="K2381" s="54" t="n">
        <x:v>259.97</x:v>
      </x:c>
      <x:c r="L2381" s="54" t="n">
        <x:v>119.61</x:v>
      </x:c>
      <x:c r="M2381" s="55" t="n">
        <x:v>0.0508</x:v>
      </x:c>
      <x:c r="N2381" s="54" t="n">
        <x:f>ROUND(J2381*K2381,2)</x:f>
        <x:v>1039.88</x:v>
      </x:c>
      <x:c r="O2381" s="54" t="n">
        <x:f>ROUND(N2381*(1-M2381),2)</x:f>
        <x:v>987.05</x:v>
      </x:c>
      <x:c r="P2381" s="54" t="n">
        <x:f>ROUND(J2381*L2381,2)</x:f>
        <x:v>478.44</x:v>
      </x:c>
      <x:c r="Q2381" s="54" t="n">
        <x:f>ROUND(O2381-P2381,2)</x:f>
        <x:v>508.61</x:v>
      </x:c>
      <x:c r="R2381" s="55" t="n">
        <x:f>IF(O2381=0,0,ROUND(Q2381/O2381,4))</x:f>
        <x:v>0.5153</x:v>
      </x:c>
      <x:c r="S2381" s="53" t="n">
        <x:v>4</x:v>
      </x:c>
      <x:c r="T2381" t="str">
        <x:v>Entregue</x:v>
      </x:c>
      <x:c r="U2381" t="n">
        <x:v>5</x:v>
      </x:c>
      <x:c r="V2381" t="str"/>
    </x:row>
    <x:row r="2382">
      <x:c r="A2382" s="52" t="n">
        <x:v>46193</x:v>
      </x:c>
      <x:c r="B2382" t="str">
        <x:v>PED-102381</x:v>
      </x:c>
      <x:c r="C2382" t="str">
        <x:v>Cliente 067</x:v>
      </x:c>
      <x:c r="D2382" t="str">
        <x:v>GO</x:v>
      </x:c>
      <x:c r="E2382" t="str">
        <x:v>Centro-Oeste</x:v>
      </x:c>
      <x:c r="F2382" t="str">
        <x:v>Televendas</x:v>
      </x:c>
      <x:c r="G2382" t="str">
        <x:v>Casa</x:v>
      </x:c>
      <x:c r="H2382" t="str">
        <x:v>Aspirador Robô</x:v>
      </x:c>
      <x:c r="I2382" t="str">
        <x:v>Elaine</x:v>
      </x:c>
      <x:c r="J2382" s="53" t="n">
        <x:v>5</x:v>
      </x:c>
      <x:c r="K2382" s="54" t="n">
        <x:v>1855.8</x:v>
      </x:c>
      <x:c r="L2382" s="54" t="n">
        <x:v>1211.48</x:v>
      </x:c>
      <x:c r="M2382" s="55" t="n">
        <x:v>0.0731</x:v>
      </x:c>
      <x:c r="N2382" s="54" t="n">
        <x:f>ROUND(J2382*K2382,2)</x:f>
        <x:v>9279</x:v>
      </x:c>
      <x:c r="O2382" s="54" t="n">
        <x:f>ROUND(N2382*(1-M2382),2)</x:f>
        <x:v>8600.71</x:v>
      </x:c>
      <x:c r="P2382" s="54" t="n">
        <x:f>ROUND(J2382*L2382,2)</x:f>
        <x:v>6057.4</x:v>
      </x:c>
      <x:c r="Q2382" s="54" t="n">
        <x:f>ROUND(O2382-P2382,2)</x:f>
        <x:v>2543.31</x:v>
      </x:c>
      <x:c r="R2382" s="55" t="n">
        <x:f>IF(O2382=0,0,ROUND(Q2382/O2382,4))</x:f>
        <x:v>0.2957</x:v>
      </x:c>
      <x:c r="S2382" s="53" t="n">
        <x:v>13</x:v>
      </x:c>
      <x:c r="T2382" t="str">
        <x:v>Entregue com atraso</x:v>
      </x:c>
      <x:c r="U2382" t="n">
        <x:v>3</x:v>
      </x:c>
      <x:c r="V2382" t="str"/>
    </x:row>
    <x:row r="2383">
      <x:c r="A2383" s="52" t="n">
        <x:v>46096</x:v>
      </x:c>
      <x:c r="B2383" t="str">
        <x:v>PED-102382</x:v>
      </x:c>
      <x:c r="C2383" t="str">
        <x:v>Cliente 002</x:v>
      </x:c>
      <x:c r="D2383" t="str">
        <x:v>RS</x:v>
      </x:c>
      <x:c r="E2383" t="str">
        <x:v>Sul</x:v>
      </x:c>
      <x:c r="F2383" t="str">
        <x:v>Marketplace</x:v>
      </x:c>
      <x:c r="G2383" t="str">
        <x:v>Casa</x:v>
      </x:c>
      <x:c r="H2383" t="str">
        <x:v>Purificador</x:v>
      </x:c>
      <x:c r="I2383" t="str">
        <x:v>Isabela</x:v>
      </x:c>
      <x:c r="J2383" s="53" t="n">
        <x:v>4</x:v>
      </x:c>
      <x:c r="K2383" s="54" t="n">
        <x:v>1236.91</x:v>
      </x:c>
      <x:c r="L2383" s="54" t="n">
        <x:v>803.61</x:v>
      </x:c>
      <x:c r="M2383" s="55" t="n">
        <x:v>0.1398</x:v>
      </x:c>
      <x:c r="N2383" s="54" t="n">
        <x:f>ROUND(J2383*K2383,2)</x:f>
        <x:v>4947.64</x:v>
      </x:c>
      <x:c r="O2383" s="54" t="n">
        <x:f>ROUND(N2383*(1-M2383),2)</x:f>
        <x:v>4255.96</x:v>
      </x:c>
      <x:c r="P2383" s="54" t="n">
        <x:f>ROUND(J2383*L2383,2)</x:f>
        <x:v>3214.44</x:v>
      </x:c>
      <x:c r="Q2383" s="54" t="n">
        <x:f>ROUND(O2383-P2383,2)</x:f>
        <x:v>1041.52</x:v>
      </x:c>
      <x:c r="R2383" s="55" t="n">
        <x:f>IF(O2383=0,0,ROUND(Q2383/O2383,4))</x:f>
        <x:v>0.2447</x:v>
      </x:c>
      <x:c r="S2383" s="53" t="n">
        <x:v>9</x:v>
      </x:c>
      <x:c r="T2383" t="str">
        <x:v>Entregue</x:v>
      </x:c>
      <x:c r="U2383" t="n">
        <x:v>4</x:v>
      </x:c>
      <x:c r="V2383" t="str"/>
    </x:row>
    <x:row r="2384">
      <x:c r="A2384" s="52" t="n">
        <x:v>46049</x:v>
      </x:c>
      <x:c r="B2384" t="str">
        <x:v>PED-102383</x:v>
      </x:c>
      <x:c r="C2384" t="str">
        <x:v>Cliente 106</x:v>
      </x:c>
      <x:c r="D2384" t="str">
        <x:v>PE</x:v>
      </x:c>
      <x:c r="E2384" t="str">
        <x:v>Nordeste</x:v>
      </x:c>
      <x:c r="F2384" t="str">
        <x:v>Loja</x:v>
      </x:c>
      <x:c r="G2384" t="str">
        <x:v>Casa</x:v>
      </x:c>
      <x:c r="H2384" t="str">
        <x:v>Aspirador Robô</x:v>
      </x:c>
      <x:c r="I2384" t="str">
        <x:v>Felipe</x:v>
      </x:c>
      <x:c r="J2384" s="53" t="n">
        <x:v>6</x:v>
      </x:c>
      <x:c r="K2384" s="54" t="n">
        <x:v>1790.94</x:v>
      </x:c>
      <x:c r="L2384" s="54" t="n">
        <x:v>1211.76</x:v>
      </x:c>
      <x:c r="M2384" s="55" t="n">
        <x:v>0.0934</x:v>
      </x:c>
      <x:c r="N2384" s="54" t="n">
        <x:f>ROUND(J2384*K2384,2)</x:f>
        <x:v>10745.64</x:v>
      </x:c>
      <x:c r="O2384" s="54" t="n">
        <x:f>ROUND(N2384*(1-M2384),2)</x:f>
        <x:v>9742</x:v>
      </x:c>
      <x:c r="P2384" s="54" t="n">
        <x:f>ROUND(J2384*L2384,2)</x:f>
        <x:v>7270.56</x:v>
      </x:c>
      <x:c r="Q2384" s="54" t="n">
        <x:f>ROUND(O2384-P2384,2)</x:f>
        <x:v>2471.44</x:v>
      </x:c>
      <x:c r="R2384" s="55" t="n">
        <x:f>IF(O2384=0,0,ROUND(Q2384/O2384,4))</x:f>
        <x:v>0.2537</x:v>
      </x:c>
      <x:c r="S2384" s="53" t="n">
        <x:v>10</x:v>
      </x:c>
      <x:c r="T2384" t="str">
        <x:v>Entregue</x:v>
      </x:c>
      <x:c r="U2384" t="n">
        <x:v>2</x:v>
      </x:c>
      <x:c r="V2384" t="str"/>
    </x:row>
    <x:row r="2385">
      <x:c r="A2385" s="52" t="n">
        <x:v>46183</x:v>
      </x:c>
      <x:c r="B2385" t="str">
        <x:v>PED-102384</x:v>
      </x:c>
      <x:c r="C2385" t="str">
        <x:v>Cliente 025</x:v>
      </x:c>
      <x:c r="D2385" t="str">
        <x:v>MT</x:v>
      </x:c>
      <x:c r="E2385" t="str">
        <x:v>Centro-Oeste</x:v>
      </x:c>
      <x:c r="F2385" t="str">
        <x:v>Marketplace</x:v>
      </x:c>
      <x:c r="G2385" t="str">
        <x:v>Casa</x:v>
      </x:c>
      <x:c r="H2385" t="str">
        <x:v>Aspirador Robô</x:v>
      </x:c>
      <x:c r="I2385" t="str">
        <x:v>Elaine</x:v>
      </x:c>
      <x:c r="J2385" s="53" t="n">
        <x:v>5</x:v>
      </x:c>
      <x:c r="K2385" s="54" t="n">
        <x:v>1975.5</x:v>
      </x:c>
      <x:c r="L2385" s="54" t="n">
        <x:v>1190.17</x:v>
      </x:c>
      <x:c r="M2385" s="55" t="n">
        <x:v>0.1121</x:v>
      </x:c>
      <x:c r="N2385" s="54" t="n">
        <x:f>ROUND(J2385*K2385,2)</x:f>
        <x:v>9877.5</x:v>
      </x:c>
      <x:c r="O2385" s="54" t="n">
        <x:f>ROUND(N2385*(1-M2385),2)</x:f>
        <x:v>8770.23</x:v>
      </x:c>
      <x:c r="P2385" s="54" t="n">
        <x:f>ROUND(J2385*L2385,2)</x:f>
        <x:v>5950.85</x:v>
      </x:c>
      <x:c r="Q2385" s="54" t="n">
        <x:f>ROUND(O2385-P2385,2)</x:f>
        <x:v>2819.38</x:v>
      </x:c>
      <x:c r="R2385" s="55" t="n">
        <x:f>IF(O2385=0,0,ROUND(Q2385/O2385,4))</x:f>
        <x:v>0.3215</x:v>
      </x:c>
      <x:c r="S2385" s="53" t="n">
        <x:v>12</x:v>
      </x:c>
      <x:c r="T2385" t="str">
        <x:v>Entregue com atraso</x:v>
      </x:c>
      <x:c r="U2385" t="n">
        <x:v>4</x:v>
      </x:c>
      <x:c r="V2385" t="str"/>
    </x:row>
    <x:row r="2386">
      <x:c r="A2386" s="52" t="n">
        <x:v>46058</x:v>
      </x:c>
      <x:c r="B2386" t="str">
        <x:v>PED-102385</x:v>
      </x:c>
      <x:c r="C2386" t="str">
        <x:v>Cliente 098</x:v>
      </x:c>
      <x:c r="D2386" t="str">
        <x:v>MG</x:v>
      </x:c>
      <x:c r="E2386" t="str">
        <x:v>Sudeste</x:v>
      </x:c>
      <x:c r="F2386" t="str">
        <x:v>Televendas</x:v>
      </x:c>
      <x:c r="G2386" t="str">
        <x:v>Acessórios</x:v>
      </x:c>
      <x:c r="H2386" t="str">
        <x:v>Hub USB-C</x:v>
      </x:c>
      <x:c r="I2386" t="str">
        <x:v>Ana</x:v>
      </x:c>
      <x:c r="J2386" s="53" t="n">
        <x:v>6</x:v>
      </x:c>
      <x:c r="K2386" s="54" t="n">
        <x:v>317.92</x:v>
      </x:c>
      <x:c r="L2386" s="54" t="n">
        <x:v>132.57</x:v>
      </x:c>
      <x:c r="M2386" s="55" t="n">
        <x:v>0.0631</x:v>
      </x:c>
      <x:c r="N2386" s="54" t="n">
        <x:f>ROUND(J2386*K2386,2)</x:f>
        <x:v>1907.52</x:v>
      </x:c>
      <x:c r="O2386" s="54" t="n">
        <x:f>ROUND(N2386*(1-M2386),2)</x:f>
        <x:v>1787.16</x:v>
      </x:c>
      <x:c r="P2386" s="54" t="n">
        <x:f>ROUND(J2386*L2386,2)</x:f>
        <x:v>795.42</x:v>
      </x:c>
      <x:c r="Q2386" s="54" t="n">
        <x:f>ROUND(O2386-P2386,2)</x:f>
        <x:v>991.74</x:v>
      </x:c>
      <x:c r="R2386" s="55" t="n">
        <x:f>IF(O2386=0,0,ROUND(Q2386/O2386,4))</x:f>
        <x:v>0.5549</x:v>
      </x:c>
      <x:c r="S2386" s="53" t="n">
        <x:v>7</x:v>
      </x:c>
      <x:c r="T2386" t="str">
        <x:v>Entregue</x:v>
      </x:c>
      <x:c r="U2386" t="n">
        <x:v>2</x:v>
      </x:c>
      <x:c r="V2386" t="str"/>
    </x:row>
    <x:row r="2387">
      <x:c r="A2387" s="52" t="n">
        <x:v>46161</x:v>
      </x:c>
      <x:c r="B2387" t="str">
        <x:v>PED-102386</x:v>
      </x:c>
      <x:c r="C2387" t="str">
        <x:v>Cliente 015</x:v>
      </x:c>
      <x:c r="D2387" t="str">
        <x:v>BA</x:v>
      </x:c>
      <x:c r="E2387" t="str">
        <x:v>Nordeste</x:v>
      </x:c>
      <x:c r="F2387" t="str">
        <x:v>Marketplace</x:v>
      </x:c>
      <x:c r="G2387" t="str">
        <x:v>Escritório</x:v>
      </x:c>
      <x:c r="H2387" t="str">
        <x:v>Mesa Ajustável</x:v>
      </x:c>
      <x:c r="I2387" t="str">
        <x:v>Henrique</x:v>
      </x:c>
      <x:c r="J2387" s="53" t="n">
        <x:v>2</x:v>
      </x:c>
      <x:c r="K2387" s="54" t="n">
        <x:v>2829.78</x:v>
      </x:c>
      <x:c r="L2387" s="54" t="n">
        <x:v>1803.95</x:v>
      </x:c>
      <x:c r="M2387" s="55" t="n">
        <x:v>0.035</x:v>
      </x:c>
      <x:c r="N2387" s="54" t="n">
        <x:f>ROUND(J2387*K2387,2)</x:f>
        <x:v>5659.56</x:v>
      </x:c>
      <x:c r="O2387" s="54" t="n">
        <x:f>ROUND(N2387*(1-M2387),2)</x:f>
        <x:v>5461.48</x:v>
      </x:c>
      <x:c r="P2387" s="54" t="n">
        <x:f>ROUND(J2387*L2387,2)</x:f>
        <x:v>3607.9</x:v>
      </x:c>
      <x:c r="Q2387" s="54" t="n">
        <x:f>ROUND(O2387-P2387,2)</x:f>
        <x:v>1853.58</x:v>
      </x:c>
      <x:c r="R2387" s="55" t="n">
        <x:f>IF(O2387=0,0,ROUND(Q2387/O2387,4))</x:f>
        <x:v>0.3394</x:v>
      </x:c>
      <x:c r="S2387" s="53" t="n">
        <x:v>5</x:v>
      </x:c>
      <x:c r="T2387" t="str">
        <x:v>Entregue</x:v>
      </x:c>
      <x:c r="U2387" t="n">
        <x:v>2</x:v>
      </x:c>
      <x:c r="V2387" t="str"/>
    </x:row>
    <x:row r="2388">
      <x:c r="A2388" s="52" t="n">
        <x:v>46059</x:v>
      </x:c>
      <x:c r="B2388" t="str">
        <x:v>PED-102387</x:v>
      </x:c>
      <x:c r="C2388" t="str">
        <x:v>Cliente 095</x:v>
      </x:c>
      <x:c r="D2388" t="str">
        <x:v>SC</x:v>
      </x:c>
      <x:c r="E2388" t="str">
        <x:v>Sul</x:v>
      </x:c>
      <x:c r="F2388" t="str">
        <x:v>Televendas</x:v>
      </x:c>
      <x:c r="G2388" t="str">
        <x:v>Tecnologia</x:v>
      </x:c>
      <x:c r="H2388" t="str">
        <x:v>Headset Office</x:v>
      </x:c>
      <x:c r="I2388" t="str">
        <x:v>Felipe</x:v>
      </x:c>
      <x:c r="J2388" s="53" t="n">
        <x:v>6</x:v>
      </x:c>
      <x:c r="K2388" s="54" t="n">
        <x:v>411.89</x:v>
      </x:c>
      <x:c r="L2388" s="54" t="n">
        <x:v>217.64</x:v>
      </x:c>
      <x:c r="M2388" s="55" t="n">
        <x:v>0</x:v>
      </x:c>
      <x:c r="N2388" s="54" t="n">
        <x:f>ROUND(J2388*K2388,2)</x:f>
        <x:v>2471.34</x:v>
      </x:c>
      <x:c r="O2388" s="54" t="n">
        <x:f>ROUND(N2388*(1-M2388),2)</x:f>
        <x:v>2471.34</x:v>
      </x:c>
      <x:c r="P2388" s="54" t="n">
        <x:f>ROUND(J2388*L2388,2)</x:f>
        <x:v>1305.84</x:v>
      </x:c>
      <x:c r="Q2388" s="54" t="n">
        <x:f>ROUND(O2388-P2388,2)</x:f>
        <x:v>1165.5</x:v>
      </x:c>
      <x:c r="R2388" s="55" t="n">
        <x:f>IF(O2388=0,0,ROUND(Q2388/O2388,4))</x:f>
        <x:v>0.4716</x:v>
      </x:c>
      <x:c r="S2388" s="53" t="n">
        <x:v>12</x:v>
      </x:c>
      <x:c r="T2388" t="str">
        <x:v>Entregue com atraso</x:v>
      </x:c>
      <x:c r="U2388" t="n">
        <x:v>5</x:v>
      </x:c>
      <x:c r="V2388" t="str"/>
    </x:row>
    <x:row r="2389">
      <x:c r="A2389" s="52" t="n">
        <x:v>46204</x:v>
      </x:c>
      <x:c r="B2389" t="str">
        <x:v>PED-102388</x:v>
      </x:c>
      <x:c r="C2389" t="str">
        <x:v>Cliente 087</x:v>
      </x:c>
      <x:c r="D2389" t="str">
        <x:v>PA</x:v>
      </x:c>
      <x:c r="E2389" t="str">
        <x:v>Norte</x:v>
      </x:c>
      <x:c r="F2389" t="str">
        <x:v>Marketplace</x:v>
      </x:c>
      <x:c r="G2389" t="str">
        <x:v>Acessórios</x:v>
      </x:c>
      <x:c r="H2389" t="str">
        <x:v>Mochila Executiva</x:v>
      </x:c>
      <x:c r="I2389" t="str">
        <x:v>Elaine</x:v>
      </x:c>
      <x:c r="J2389" s="53" t="n">
        <x:v>5</x:v>
      </x:c>
      <x:c r="K2389" s="54" t="n">
        <x:v>449.52</x:v>
      </x:c>
      <x:c r="L2389" s="54" t="n">
        <x:v>192.22</x:v>
      </x:c>
      <x:c r="M2389" s="55" t="n">
        <x:v>0.0495</x:v>
      </x:c>
      <x:c r="N2389" s="54" t="n">
        <x:f>ROUND(J2389*K2389,2)</x:f>
        <x:v>2247.6</x:v>
      </x:c>
      <x:c r="O2389" s="54" t="n">
        <x:f>ROUND(N2389*(1-M2389),2)</x:f>
        <x:v>2136.34</x:v>
      </x:c>
      <x:c r="P2389" s="54" t="n">
        <x:f>ROUND(J2389*L2389,2)</x:f>
        <x:v>961.1</x:v>
      </x:c>
      <x:c r="Q2389" s="54" t="n">
        <x:f>ROUND(O2389-P2389,2)</x:f>
        <x:v>1175.24</x:v>
      </x:c>
      <x:c r="R2389" s="55" t="n">
        <x:f>IF(O2389=0,0,ROUND(Q2389/O2389,4))</x:f>
        <x:v>0.5501</x:v>
      </x:c>
      <x:c r="S2389" s="53" t="n">
        <x:v>12</x:v>
      </x:c>
      <x:c r="T2389" t="str">
        <x:v>Entregue com atraso</x:v>
      </x:c>
      <x:c r="U2389" t="n">
        <x:v>4</x:v>
      </x:c>
      <x:c r="V2389" t="str"/>
    </x:row>
    <x:row r="2390">
      <x:c r="A2390" s="52" t="n">
        <x:v>46119</x:v>
      </x:c>
      <x:c r="B2390" t="str">
        <x:v>PED-102389</x:v>
      </x:c>
      <x:c r="C2390" t="str">
        <x:v>Cliente 014</x:v>
      </x:c>
      <x:c r="D2390" t="str">
        <x:v>PR</x:v>
      </x:c>
      <x:c r="E2390" t="str">
        <x:v>Sul</x:v>
      </x:c>
      <x:c r="F2390" t="str">
        <x:v>Loja</x:v>
      </x:c>
      <x:c r="G2390" t="str">
        <x:v>Acessórios</x:v>
      </x:c>
      <x:c r="H2390" t="str">
        <x:v>Mochila Executiva</x:v>
      </x:c>
      <x:c r="I2390" t="str">
        <x:v>Felipe</x:v>
      </x:c>
      <x:c r="J2390" s="53" t="n">
        <x:v>6</x:v>
      </x:c>
      <x:c r="K2390" s="54" t="n">
        <x:v>424.73</x:v>
      </x:c>
      <x:c r="L2390" s="54" t="n">
        <x:v>192.01</x:v>
      </x:c>
      <x:c r="M2390" s="55" t="n">
        <x:v>0</x:v>
      </x:c>
      <x:c r="N2390" s="54" t="n">
        <x:f>ROUND(J2390*K2390,2)</x:f>
        <x:v>2548.38</x:v>
      </x:c>
      <x:c r="O2390" s="54" t="n">
        <x:f>ROUND(N2390*(1-M2390),2)</x:f>
        <x:v>2548.38</x:v>
      </x:c>
      <x:c r="P2390" s="54" t="n">
        <x:f>ROUND(J2390*L2390,2)</x:f>
        <x:v>1152.06</x:v>
      </x:c>
      <x:c r="Q2390" s="54" t="n">
        <x:f>ROUND(O2390-P2390,2)</x:f>
        <x:v>1396.32</x:v>
      </x:c>
      <x:c r="R2390" s="55" t="n">
        <x:f>IF(O2390=0,0,ROUND(Q2390/O2390,4))</x:f>
        <x:v>0.5479</x:v>
      </x:c>
      <x:c r="S2390" s="53" t="n">
        <x:v>3</x:v>
      </x:c>
      <x:c r="T2390" t="str">
        <x:v>Entregue</x:v>
      </x:c>
      <x:c r="U2390" t="n">
        <x:v>3</x:v>
      </x:c>
      <x:c r="V2390" t="str"/>
    </x:row>
    <x:row r="2391">
      <x:c r="A2391" s="52" t="n">
        <x:v>46217</x:v>
      </x:c>
      <x:c r="B2391" t="str">
        <x:v>PED-102390</x:v>
      </x:c>
      <x:c r="C2391" t="str">
        <x:v>Cliente 049</x:v>
      </x:c>
      <x:c r="D2391" t="str">
        <x:v>RS</x:v>
      </x:c>
      <x:c r="E2391" t="str">
        <x:v>Sul</x:v>
      </x:c>
      <x:c r="F2391" t="str">
        <x:v>Marketplace</x:v>
      </x:c>
      <x:c r="G2391" t="str">
        <x:v>Casa</x:v>
      </x:c>
      <x:c r="H2391" t="str">
        <x:v>Cafeteira Smart</x:v>
      </x:c>
      <x:c r="I2391" t="str">
        <x:v>Bruno</x:v>
      </x:c>
      <x:c r="J2391" s="53" t="n">
        <x:v>3</x:v>
      </x:c>
      <x:c r="K2391" s="54" t="n">
        <x:v>754.19</x:v>
      </x:c>
      <x:c r="L2391" s="54" t="n">
        <x:v>444.16</x:v>
      </x:c>
      <x:c r="M2391" s="55" t="n">
        <x:v>0.035</x:v>
      </x:c>
      <x:c r="N2391" s="54" t="n">
        <x:f>ROUND(J2391*K2391,2)</x:f>
        <x:v>2262.57</x:v>
      </x:c>
      <x:c r="O2391" s="54" t="n">
        <x:f>ROUND(N2391*(1-M2391),2)</x:f>
        <x:v>2183.38</x:v>
      </x:c>
      <x:c r="P2391" s="54" t="n">
        <x:f>ROUND(J2391*L2391,2)</x:f>
        <x:v>1332.48</x:v>
      </x:c>
      <x:c r="Q2391" s="54" t="n">
        <x:f>ROUND(O2391-P2391,2)</x:f>
        <x:v>850.9</x:v>
      </x:c>
      <x:c r="R2391" s="55" t="n">
        <x:f>IF(O2391=0,0,ROUND(Q2391/O2391,4))</x:f>
        <x:v>0.3897</x:v>
      </x:c>
      <x:c r="S2391" s="53" t="n">
        <x:v>13</x:v>
      </x:c>
      <x:c r="T2391" t="str">
        <x:v>Entregue com atraso</x:v>
      </x:c>
      <x:c r="U2391" t="n">
        <x:v>3</x:v>
      </x:c>
      <x:c r="V2391" t="str"/>
    </x:row>
    <x:row r="2392">
      <x:c r="A2392" s="52" t="n">
        <x:v>46052</x:v>
      </x:c>
      <x:c r="B2392" t="str">
        <x:v>PED-102391</x:v>
      </x:c>
      <x:c r="C2392" t="str">
        <x:v>Cliente 112</x:v>
      </x:c>
      <x:c r="D2392" t="str">
        <x:v>MT</x:v>
      </x:c>
      <x:c r="E2392" t="str">
        <x:v>Centro-Oeste</x:v>
      </x:c>
      <x:c r="F2392" t="str">
        <x:v>Marketplace</x:v>
      </x:c>
      <x:c r="G2392" t="str">
        <x:v>Acessórios</x:v>
      </x:c>
      <x:c r="H2392" t="str">
        <x:v>Webcam HD</x:v>
      </x:c>
      <x:c r="I2392" t="str">
        <x:v>Elaine</x:v>
      </x:c>
      <x:c r="J2392" s="53" t="n">
        <x:v>5</x:v>
      </x:c>
      <x:c r="K2392" s="54" t="n">
        <x:v>499.98</x:v>
      </x:c>
      <x:c r="L2392" s="54" t="n">
        <x:v>251.53</x:v>
      </x:c>
      <x:c r="M2392" s="55" t="n">
        <x:v>0.0951</x:v>
      </x:c>
      <x:c r="N2392" s="54" t="n">
        <x:f>ROUND(J2392*K2392,2)</x:f>
        <x:v>2499.9</x:v>
      </x:c>
      <x:c r="O2392" s="54" t="n">
        <x:f>ROUND(N2392*(1-M2392),2)</x:f>
        <x:v>2262.16</x:v>
      </x:c>
      <x:c r="P2392" s="54" t="n">
        <x:f>ROUND(J2392*L2392,2)</x:f>
        <x:v>1257.65</x:v>
      </x:c>
      <x:c r="Q2392" s="54" t="n">
        <x:f>ROUND(O2392-P2392,2)</x:f>
        <x:v>1004.51</x:v>
      </x:c>
      <x:c r="R2392" s="55" t="n">
        <x:f>IF(O2392=0,0,ROUND(Q2392/O2392,4))</x:f>
        <x:v>0.444</x:v>
      </x:c>
      <x:c r="S2392" s="53" t="n">
        <x:v>8</x:v>
      </x:c>
      <x:c r="T2392" t="str">
        <x:v>Entregue</x:v>
      </x:c>
      <x:c r="U2392" t="n">
        <x:v>2</x:v>
      </x:c>
      <x:c r="V2392" t="str"/>
    </x:row>
    <x:row r="2393">
      <x:c r="A2393" s="52" t="n">
        <x:v>46070</x:v>
      </x:c>
      <x:c r="B2393" t="str">
        <x:v>PED-102392</x:v>
      </x:c>
      <x:c r="C2393" t="str">
        <x:v>Cliente 032</x:v>
      </x:c>
      <x:c r="D2393" t="str">
        <x:v>DF</x:v>
      </x:c>
      <x:c r="E2393" t="str">
        <x:v>Centro-Oeste</x:v>
      </x:c>
      <x:c r="F2393" t="str">
        <x:v>E-commerce</x:v>
      </x:c>
      <x:c r="G2393" t="str">
        <x:v>Escritório</x:v>
      </x:c>
      <x:c r="H2393" t="str">
        <x:v>Mesa Ajustável</x:v>
      </x:c>
      <x:c r="I2393" t="str">
        <x:v>Ana</x:v>
      </x:c>
      <x:c r="J2393" s="53" t="n">
        <x:v>7</x:v>
      </x:c>
      <x:c r="K2393" s="54" t="n">
        <x:v>2777.77</x:v>
      </x:c>
      <x:c r="L2393" s="54" t="n">
        <x:v>1884.27</x:v>
      </x:c>
      <x:c r="M2393" s="55" t="n">
        <x:v>0</x:v>
      </x:c>
      <x:c r="N2393" s="54" t="n">
        <x:f>ROUND(J2393*K2393,2)</x:f>
        <x:v>19444.39</x:v>
      </x:c>
      <x:c r="O2393" s="54" t="n">
        <x:f>ROUND(N2393*(1-M2393),2)</x:f>
        <x:v>19444.39</x:v>
      </x:c>
      <x:c r="P2393" s="54" t="n">
        <x:f>ROUND(J2393*L2393,2)</x:f>
        <x:v>13189.89</x:v>
      </x:c>
      <x:c r="Q2393" s="54" t="n">
        <x:f>ROUND(O2393-P2393,2)</x:f>
        <x:v>6254.5</x:v>
      </x:c>
      <x:c r="R2393" s="55" t="n">
        <x:f>IF(O2393=0,0,ROUND(Q2393/O2393,4))</x:f>
        <x:v>0.3217</x:v>
      </x:c>
      <x:c r="S2393" s="53" t="n">
        <x:v>13</x:v>
      </x:c>
      <x:c r="T2393" t="str">
        <x:v>Entregue com atraso</x:v>
      </x:c>
      <x:c r="U2393" t="n">
        <x:v>2</x:v>
      </x:c>
      <x:c r="V2393" t="str"/>
    </x:row>
    <x:row r="2394">
      <x:c r="A2394" s="52" t="n">
        <x:v>46090</x:v>
      </x:c>
      <x:c r="B2394" t="str">
        <x:v>PED-102393</x:v>
      </x:c>
      <x:c r="C2394" t="str">
        <x:v>Cliente 049</x:v>
      </x:c>
      <x:c r="D2394" t="str">
        <x:v>AM</x:v>
      </x:c>
      <x:c r="E2394" t="str">
        <x:v>Norte</x:v>
      </x:c>
      <x:c r="F2394" t="str">
        <x:v>Televendas</x:v>
      </x:c>
      <x:c r="G2394" t="str">
        <x:v>Acessórios</x:v>
      </x:c>
      <x:c r="H2394" t="str">
        <x:v>Webcam HD</x:v>
      </x:c>
      <x:c r="I2394" t="str">
        <x:v>Isabela</x:v>
      </x:c>
      <x:c r="J2394" s="53" t="n">
        <x:v>6</x:v>
      </x:c>
      <x:c r="K2394" s="54" t="n">
        <x:v>489.53</x:v>
      </x:c>
      <x:c r="L2394" s="54" t="n">
        <x:v>253.66</x:v>
      </x:c>
      <x:c r="M2394" s="55" t="n">
        <x:v>0.0115</x:v>
      </x:c>
      <x:c r="N2394" s="54" t="n">
        <x:f>ROUND(J2394*K2394,2)</x:f>
        <x:v>2937.18</x:v>
      </x:c>
      <x:c r="O2394" s="54" t="n">
        <x:f>ROUND(N2394*(1-M2394),2)</x:f>
        <x:v>2903.4</x:v>
      </x:c>
      <x:c r="P2394" s="54" t="n">
        <x:f>ROUND(J2394*L2394,2)</x:f>
        <x:v>1521.96</x:v>
      </x:c>
      <x:c r="Q2394" s="54" t="n">
        <x:f>ROUND(O2394-P2394,2)</x:f>
        <x:v>1381.44</x:v>
      </x:c>
      <x:c r="R2394" s="55" t="n">
        <x:f>IF(O2394=0,0,ROUND(Q2394/O2394,4))</x:f>
        <x:v>0.4758</x:v>
      </x:c>
      <x:c r="S2394" s="53" t="n">
        <x:v>2</x:v>
      </x:c>
      <x:c r="T2394" t="str">
        <x:v>Entregue</x:v>
      </x:c>
      <x:c r="U2394" t="n">
        <x:v>3</x:v>
      </x:c>
      <x:c r="V2394" t="str"/>
    </x:row>
    <x:row r="2395">
      <x:c r="A2395" s="52" t="n">
        <x:v>46072</x:v>
      </x:c>
      <x:c r="B2395" t="str">
        <x:v>PED-102394</x:v>
      </x:c>
      <x:c r="C2395" t="str">
        <x:v>Cliente 094</x:v>
      </x:c>
      <x:c r="D2395" t="str">
        <x:v>SP</x:v>
      </x:c>
      <x:c r="E2395" t="str">
        <x:v>Sudeste</x:v>
      </x:c>
      <x:c r="F2395" t="str">
        <x:v>Televendas</x:v>
      </x:c>
      <x:c r="G2395" t="str">
        <x:v>Acessórios</x:v>
      </x:c>
      <x:c r="H2395" t="str">
        <x:v>Hub USB-C</x:v>
      </x:c>
      <x:c r="I2395" t="str">
        <x:v>Ana</x:v>
      </x:c>
      <x:c r="J2395" s="53" t="n">
        <x:v>3</x:v>
      </x:c>
      <x:c r="K2395" s="54" t="n">
        <x:v>315.38</x:v>
      </x:c>
      <x:c r="L2395" s="54" t="n">
        <x:v>132.25</x:v>
      </x:c>
      <x:c r="M2395" s="55" t="n">
        <x:v>0.0565</x:v>
      </x:c>
      <x:c r="N2395" s="54" t="n">
        <x:f>ROUND(J2395*K2395,2)</x:f>
        <x:v>946.14</x:v>
      </x:c>
      <x:c r="O2395" s="54" t="n">
        <x:f>ROUND(N2395*(1-M2395),2)</x:f>
        <x:v>892.68</x:v>
      </x:c>
      <x:c r="P2395" s="54" t="n">
        <x:f>ROUND(J2395*L2395,2)</x:f>
        <x:v>396.75</x:v>
      </x:c>
      <x:c r="Q2395" s="54" t="n">
        <x:f>ROUND(O2395-P2395,2)</x:f>
        <x:v>495.93</x:v>
      </x:c>
      <x:c r="R2395" s="55" t="n">
        <x:f>IF(O2395=0,0,ROUND(Q2395/O2395,4))</x:f>
        <x:v>0.5556</x:v>
      </x:c>
      <x:c r="S2395" s="53" t="n">
        <x:v>3</x:v>
      </x:c>
      <x:c r="T2395" t="str">
        <x:v>Entregue</x:v>
      </x:c>
      <x:c r="U2395" t="n">
        <x:v>2</x:v>
      </x:c>
      <x:c r="V2395" t="str"/>
    </x:row>
    <x:row r="2396">
      <x:c r="A2396" s="52" t="n">
        <x:v>46054</x:v>
      </x:c>
      <x:c r="B2396" t="str">
        <x:v>PED-102395</x:v>
      </x:c>
      <x:c r="C2396" t="str">
        <x:v>Cliente 097</x:v>
      </x:c>
      <x:c r="D2396" t="str">
        <x:v>MT</x:v>
      </x:c>
      <x:c r="E2396" t="str">
        <x:v>Centro-Oeste</x:v>
      </x:c>
      <x:c r="F2396" t="str">
        <x:v>E-commerce</x:v>
      </x:c>
      <x:c r="G2396" t="str">
        <x:v>Tecnologia</x:v>
      </x:c>
      <x:c r="H2396" t="str">
        <x:v>Notebook Pro</x:v>
      </x:c>
      <x:c r="I2396" t="str">
        <x:v>Diego</x:v>
      </x:c>
      <x:c r="J2396" s="53" t="n">
        <x:v>3</x:v>
      </x:c>
      <x:c r="K2396" s="54" t="n">
        <x:v>5689.1</x:v>
      </x:c>
      <x:c r="L2396" s="54" t="n">
        <x:v>4275.22</x:v>
      </x:c>
      <x:c r="M2396" s="55" t="n">
        <x:v>0.1185</x:v>
      </x:c>
      <x:c r="N2396" s="54" t="n">
        <x:f>ROUND(J2396*K2396,2)</x:f>
        <x:v>17067.3</x:v>
      </x:c>
      <x:c r="O2396" s="54" t="n">
        <x:f>ROUND(N2396*(1-M2396),2)</x:f>
        <x:v>15044.82</x:v>
      </x:c>
      <x:c r="P2396" s="54" t="n">
        <x:f>ROUND(J2396*L2396,2)</x:f>
        <x:v>12825.66</x:v>
      </x:c>
      <x:c r="Q2396" s="54" t="n">
        <x:f>ROUND(O2396-P2396,2)</x:f>
        <x:v>2219.16</x:v>
      </x:c>
      <x:c r="R2396" s="55" t="n">
        <x:f>IF(O2396=0,0,ROUND(Q2396/O2396,4))</x:f>
        <x:v>0.1475</x:v>
      </x:c>
      <x:c r="S2396" s="53" t="n">
        <x:v>13</x:v>
      </x:c>
      <x:c r="T2396" t="str">
        <x:v>Entregue com atraso</x:v>
      </x:c>
      <x:c r="U2396" t="n">
        <x:v>4</x:v>
      </x:c>
      <x:c r="V2396" t="str"/>
    </x:row>
    <x:row r="2397">
      <x:c r="A2397" s="52" t="n">
        <x:v>46066</x:v>
      </x:c>
      <x:c r="B2397" t="str">
        <x:v>PED-102396</x:v>
      </x:c>
      <x:c r="C2397" t="str">
        <x:v>Cliente 054</x:v>
      </x:c>
      <x:c r="D2397" t="str">
        <x:v>AM</x:v>
      </x:c>
      <x:c r="E2397" t="str">
        <x:v>Norte</x:v>
      </x:c>
      <x:c r="F2397" t="str">
        <x:v>E-commerce</x:v>
      </x:c>
      <x:c r="G2397" t="str">
        <x:v>Acessórios</x:v>
      </x:c>
      <x:c r="H2397" t="str">
        <x:v>Hub USB-C</x:v>
      </x:c>
      <x:c r="I2397" t="str">
        <x:v>Ana</x:v>
      </x:c>
      <x:c r="J2397" s="53" t="n">
        <x:v>4</x:v>
      </x:c>
      <x:c r="K2397" s="54" t="n">
        <x:v>319.12</x:v>
      </x:c>
      <x:c r="L2397" s="54" t="n">
        <x:v>136.24</x:v>
      </x:c>
      <x:c r="M2397" s="55" t="n">
        <x:v>0.0047</x:v>
      </x:c>
      <x:c r="N2397" s="54" t="n">
        <x:f>ROUND(J2397*K2397,2)</x:f>
        <x:v>1276.48</x:v>
      </x:c>
      <x:c r="O2397" s="54" t="n">
        <x:f>ROUND(N2397*(1-M2397),2)</x:f>
        <x:v>1270.48</x:v>
      </x:c>
      <x:c r="P2397" s="54" t="n">
        <x:f>ROUND(J2397*L2397,2)</x:f>
        <x:v>544.96</x:v>
      </x:c>
      <x:c r="Q2397" s="54" t="n">
        <x:f>ROUND(O2397-P2397,2)</x:f>
        <x:v>725.52</x:v>
      </x:c>
      <x:c r="R2397" s="55" t="n">
        <x:f>IF(O2397=0,0,ROUND(Q2397/O2397,4))</x:f>
        <x:v>0.5711</x:v>
      </x:c>
      <x:c r="S2397" s="53" t="n">
        <x:v>8</x:v>
      </x:c>
      <x:c r="T2397" t="str">
        <x:v>Entregue</x:v>
      </x:c>
      <x:c r="U2397" t="n">
        <x:v>3</x:v>
      </x:c>
      <x:c r="V2397" t="str"/>
    </x:row>
    <x:row r="2398">
      <x:c r="A2398" s="52" t="n">
        <x:v>46057</x:v>
      </x:c>
      <x:c r="B2398" t="str">
        <x:v>PED-102397</x:v>
      </x:c>
      <x:c r="C2398" t="str">
        <x:v>Cliente 104</x:v>
      </x:c>
      <x:c r="D2398" t="str">
        <x:v>BA</x:v>
      </x:c>
      <x:c r="E2398" t="str">
        <x:v>Nordeste</x:v>
      </x:c>
      <x:c r="F2398" t="str">
        <x:v>Televendas</x:v>
      </x:c>
      <x:c r="G2398" t="str">
        <x:v>Escritório</x:v>
      </x:c>
      <x:c r="H2398" t="str">
        <x:v>Cadeira Ergonômica</x:v>
      </x:c>
      <x:c r="I2398" t="str">
        <x:v>Gabriela</x:v>
      </x:c>
      <x:c r="J2398" s="53" t="n">
        <x:v>1</x:v>
      </x:c>
      <x:c r="K2398" s="54" t="n">
        <x:v>2288.59</x:v>
      </x:c>
      <x:c r="L2398" s="54" t="n">
        <x:v>1480.04</x:v>
      </x:c>
      <x:c r="M2398" s="55" t="n">
        <x:v>0.0711</x:v>
      </x:c>
      <x:c r="N2398" s="54" t="n">
        <x:f>ROUND(J2398*K2398,2)</x:f>
        <x:v>2288.59</x:v>
      </x:c>
      <x:c r="O2398" s="54" t="n">
        <x:f>ROUND(N2398*(1-M2398),2)</x:f>
        <x:v>2125.87</x:v>
      </x:c>
      <x:c r="P2398" s="54" t="n">
        <x:f>ROUND(J2398*L2398,2)</x:f>
        <x:v>1480.04</x:v>
      </x:c>
      <x:c r="Q2398" s="54" t="n">
        <x:f>ROUND(O2398-P2398,2)</x:f>
        <x:v>645.83</x:v>
      </x:c>
      <x:c r="R2398" s="55" t="n">
        <x:f>IF(O2398=0,0,ROUND(Q2398/O2398,4))</x:f>
        <x:v>0.3038</x:v>
      </x:c>
      <x:c r="S2398" s="53" t="n">
        <x:v>6</x:v>
      </x:c>
      <x:c r="T2398" t="str">
        <x:v>Entregue</x:v>
      </x:c>
      <x:c r="U2398" t="n">
        <x:v>5</x:v>
      </x:c>
      <x:c r="V2398" t="str"/>
    </x:row>
    <x:row r="2399">
      <x:c r="A2399" s="52" t="n">
        <x:v>46156</x:v>
      </x:c>
      <x:c r="B2399" t="str">
        <x:v>PED-102398</x:v>
      </x:c>
      <x:c r="C2399" t="str">
        <x:v>Cliente 050</x:v>
      </x:c>
      <x:c r="D2399" t="str">
        <x:v>CE</x:v>
      </x:c>
      <x:c r="E2399" t="str">
        <x:v>Nordeste</x:v>
      </x:c>
      <x:c r="F2399" t="str">
        <x:v>E-commerce</x:v>
      </x:c>
      <x:c r="G2399" t="str">
        <x:v>Casa</x:v>
      </x:c>
      <x:c r="H2399" t="str">
        <x:v>Purificador</x:v>
      </x:c>
      <x:c r="I2399" t="str">
        <x:v>Gabriela</x:v>
      </x:c>
      <x:c r="J2399" s="53" t="n">
        <x:v>4</x:v>
      </x:c>
      <x:c r="K2399" s="54" t="n">
        <x:v>1239.31</x:v>
      </x:c>
      <x:c r="L2399" s="54" t="n">
        <x:v>766.74</x:v>
      </x:c>
      <x:c r="M2399" s="55" t="n">
        <x:v>0.0758</x:v>
      </x:c>
      <x:c r="N2399" s="54" t="n">
        <x:f>ROUND(J2399*K2399,2)</x:f>
        <x:v>4957.24</x:v>
      </x:c>
      <x:c r="O2399" s="54" t="n">
        <x:f>ROUND(N2399*(1-M2399),2)</x:f>
        <x:v>4581.48</x:v>
      </x:c>
      <x:c r="P2399" s="54" t="n">
        <x:f>ROUND(J2399*L2399,2)</x:f>
        <x:v>3066.96</x:v>
      </x:c>
      <x:c r="Q2399" s="54" t="n">
        <x:f>ROUND(O2399-P2399,2)</x:f>
        <x:v>1514.52</x:v>
      </x:c>
      <x:c r="R2399" s="55" t="n">
        <x:f>IF(O2399=0,0,ROUND(Q2399/O2399,4))</x:f>
        <x:v>0.3306</x:v>
      </x:c>
      <x:c r="S2399" s="53" t="n">
        <x:v>11</x:v>
      </x:c>
      <x:c r="T2399" t="str">
        <x:v>Entregue com atraso</x:v>
      </x:c>
      <x:c r="U2399" t="n">
        <x:v>2</x:v>
      </x:c>
      <x:c r="V2399" t="str"/>
    </x:row>
    <x:row r="2400">
      <x:c r="A2400" s="52" t="n">
        <x:v>46085</x:v>
      </x:c>
      <x:c r="B2400" t="str">
        <x:v>PED-102399</x:v>
      </x:c>
      <x:c r="C2400" t="str">
        <x:v>Cliente 100</x:v>
      </x:c>
      <x:c r="D2400" t="str">
        <x:v>PE</x:v>
      </x:c>
      <x:c r="E2400" t="str">
        <x:v>Nordeste</x:v>
      </x:c>
      <x:c r="F2400" t="str">
        <x:v>Loja</x:v>
      </x:c>
      <x:c r="G2400" t="str">
        <x:v>Tecnologia</x:v>
      </x:c>
      <x:c r="H2400" t="str">
        <x:v>Monitor 27</x:v>
      </x:c>
      <x:c r="I2400" t="str">
        <x:v>João</x:v>
      </x:c>
      <x:c r="J2400" s="53" t="n">
        <x:v>1</x:v>
      </x:c>
      <x:c r="K2400" s="54" t="n">
        <x:v>1766.63</x:v>
      </x:c>
      <x:c r="L2400" s="54" t="n">
        <x:v>1101.13</x:v>
      </x:c>
      <x:c r="M2400" s="55" t="n">
        <x:v>0.1109</x:v>
      </x:c>
      <x:c r="N2400" s="54" t="n">
        <x:f>ROUND(J2400*K2400,2)</x:f>
        <x:v>1766.63</x:v>
      </x:c>
      <x:c r="O2400" s="54" t="n">
        <x:f>ROUND(N2400*(1-M2400),2)</x:f>
        <x:v>1570.71</x:v>
      </x:c>
      <x:c r="P2400" s="54" t="n">
        <x:f>ROUND(J2400*L2400,2)</x:f>
        <x:v>1101.13</x:v>
      </x:c>
      <x:c r="Q2400" s="54" t="n">
        <x:f>ROUND(O2400-P2400,2)</x:f>
        <x:v>469.58</x:v>
      </x:c>
      <x:c r="R2400" s="55" t="n">
        <x:f>IF(O2400=0,0,ROUND(Q2400/O2400,4))</x:f>
        <x:v>0.299</x:v>
      </x:c>
      <x:c r="S2400" s="53" t="n">
        <x:v>11</x:v>
      </x:c>
      <x:c r="T2400" t="str">
        <x:v>Entregue com atraso</x:v>
      </x:c>
      <x:c r="U2400" t="n">
        <x:v>2</x:v>
      </x:c>
      <x:c r="V2400" t="str"/>
    </x:row>
    <x:row r="2401">
      <x:c r="A2401" s="52" t="n">
        <x:v>46035</x:v>
      </x:c>
      <x:c r="B2401" t="str">
        <x:v>PED-102400</x:v>
      </x:c>
      <x:c r="C2401" t="str">
        <x:v>Cliente 090</x:v>
      </x:c>
      <x:c r="D2401" t="str">
        <x:v>GO</x:v>
      </x:c>
      <x:c r="E2401" t="str">
        <x:v>Centro-Oeste</x:v>
      </x:c>
      <x:c r="F2401" t="str">
        <x:v>Loja</x:v>
      </x:c>
      <x:c r="G2401" t="str">
        <x:v>Casa</x:v>
      </x:c>
      <x:c r="H2401" t="str">
        <x:v>Aspirador Robô</x:v>
      </x:c>
      <x:c r="I2401" t="str">
        <x:v>Elaine</x:v>
      </x:c>
      <x:c r="J2401" s="53" t="n">
        <x:v>3</x:v>
      </x:c>
      <x:c r="K2401" s="54" t="n">
        <x:v>1912.45</x:v>
      </x:c>
      <x:c r="L2401" s="54" t="n">
        <x:v>1189.61</x:v>
      </x:c>
      <x:c r="M2401" s="55" t="n">
        <x:v>0</x:v>
      </x:c>
      <x:c r="N2401" s="54" t="n">
        <x:f>ROUND(J2401*K2401,2)</x:f>
        <x:v>5737.35</x:v>
      </x:c>
      <x:c r="O2401" s="54" t="n">
        <x:f>ROUND(N2401*(1-M2401),2)</x:f>
        <x:v>5737.35</x:v>
      </x:c>
      <x:c r="P2401" s="54" t="n">
        <x:f>ROUND(J2401*L2401,2)</x:f>
        <x:v>3568.83</x:v>
      </x:c>
      <x:c r="Q2401" s="54" t="n">
        <x:f>ROUND(O2401-P2401,2)</x:f>
        <x:v>2168.52</x:v>
      </x:c>
      <x:c r="R2401" s="55" t="n">
        <x:f>IF(O2401=0,0,ROUND(Q2401/O2401,4))</x:f>
        <x:v>0.378</x:v>
      </x:c>
      <x:c r="S2401" s="53" t="n">
        <x:v>10</x:v>
      </x:c>
      <x:c r="T2401" t="str">
        <x:v>Entregue</x:v>
      </x:c>
      <x:c r="U2401" t="n">
        <x:v>3</x:v>
      </x:c>
      <x:c r="V2401" t="str"/>
    </x:row>
    <x:row r="2402">
      <x:c r="A2402" s="52" t="n">
        <x:v>46059</x:v>
      </x:c>
      <x:c r="B2402" t="str">
        <x:v>PED-102401</x:v>
      </x:c>
      <x:c r="C2402" t="str">
        <x:v>Cliente 117</x:v>
      </x:c>
      <x:c r="D2402" t="str">
        <x:v>SP</x:v>
      </x:c>
      <x:c r="E2402" t="str">
        <x:v>Sudeste</x:v>
      </x:c>
      <x:c r="F2402" t="str">
        <x:v>Loja</x:v>
      </x:c>
      <x:c r="G2402" t="str">
        <x:v>Tecnologia</x:v>
      </x:c>
      <x:c r="H2402" t="str">
        <x:v>Monitor 27</x:v>
      </x:c>
      <x:c r="I2402" t="str">
        <x:v>Henrique</x:v>
      </x:c>
      <x:c r="J2402" s="53" t="n">
        <x:v>8</x:v>
      </x:c>
      <x:c r="K2402" s="54" t="n">
        <x:v>1602.65</x:v>
      </x:c>
      <x:c r="L2402" s="54" t="n">
        <x:v>1119.11</x:v>
      </x:c>
      <x:c r="M2402" s="55" t="n">
        <x:v>0.0763</x:v>
      </x:c>
      <x:c r="N2402" s="54" t="n">
        <x:f>ROUND(J2402*K2402,2)</x:f>
        <x:v>12821.2</x:v>
      </x:c>
      <x:c r="O2402" s="54" t="n">
        <x:f>ROUND(N2402*(1-M2402),2)</x:f>
        <x:v>11842.94</x:v>
      </x:c>
      <x:c r="P2402" s="54" t="n">
        <x:f>ROUND(J2402*L2402,2)</x:f>
        <x:v>8952.88</x:v>
      </x:c>
      <x:c r="Q2402" s="54" t="n">
        <x:f>ROUND(O2402-P2402,2)</x:f>
        <x:v>2890.06</x:v>
      </x:c>
      <x:c r="R2402" s="55" t="n">
        <x:f>IF(O2402=0,0,ROUND(Q2402/O2402,4))</x:f>
        <x:v>0.244</x:v>
      </x:c>
      <x:c r="S2402" s="53" t="n">
        <x:v>2</x:v>
      </x:c>
      <x:c r="T2402" t="str">
        <x:v>Entregue</x:v>
      </x:c>
      <x:c r="U2402" t="n">
        <x:v>2</x:v>
      </x:c>
      <x:c r="V2402" t="str"/>
    </x:row>
    <x:row r="2403">
      <x:c r="A2403" s="52" t="n">
        <x:v>46031</x:v>
      </x:c>
      <x:c r="B2403" t="str">
        <x:v>PED-102402</x:v>
      </x:c>
      <x:c r="C2403" t="str">
        <x:v>Cliente 012</x:v>
      </x:c>
      <x:c r="D2403" t="str">
        <x:v>PA</x:v>
      </x:c>
      <x:c r="E2403" t="str">
        <x:v>Norte</x:v>
      </x:c>
      <x:c r="F2403" t="str">
        <x:v>E-commerce</x:v>
      </x:c>
      <x:c r="G2403" t="str">
        <x:v>Tecnologia</x:v>
      </x:c>
      <x:c r="H2403" t="str">
        <x:v>Monitor 27</x:v>
      </x:c>
      <x:c r="I2403" t="str">
        <x:v>Ana</x:v>
      </x:c>
      <x:c r="J2403" s="53" t="n">
        <x:v>5</x:v>
      </x:c>
      <x:c r="K2403" s="54" t="n">
        <x:v>1669.71</x:v>
      </x:c>
      <x:c r="L2403" s="54" t="n">
        <x:v>1106.2</x:v>
      </x:c>
      <x:c r="M2403" s="55" t="n">
        <x:v>0</x:v>
      </x:c>
      <x:c r="N2403" s="54" t="n">
        <x:f>ROUND(J2403*K2403,2)</x:f>
        <x:v>8348.55</x:v>
      </x:c>
      <x:c r="O2403" s="54" t="n">
        <x:f>ROUND(N2403*(1-M2403),2)</x:f>
        <x:v>8348.55</x:v>
      </x:c>
      <x:c r="P2403" s="54" t="n">
        <x:f>ROUND(J2403*L2403,2)</x:f>
        <x:v>5531</x:v>
      </x:c>
      <x:c r="Q2403" s="54" t="n">
        <x:f>ROUND(O2403-P2403,2)</x:f>
        <x:v>2817.55</x:v>
      </x:c>
      <x:c r="R2403" s="55" t="n">
        <x:f>IF(O2403=0,0,ROUND(Q2403/O2403,4))</x:f>
        <x:v>0.3375</x:v>
      </x:c>
      <x:c r="S2403" s="53" t="n">
        <x:v>3</x:v>
      </x:c>
      <x:c r="T2403" t="str">
        <x:v>Entregue</x:v>
      </x:c>
      <x:c r="U2403" t="n">
        <x:v>4</x:v>
      </x:c>
      <x:c r="V2403" t="str"/>
    </x:row>
    <x:row r="2404">
      <x:c r="A2404" s="52" t="n">
        <x:v>46192</x:v>
      </x:c>
      <x:c r="B2404" t="str">
        <x:v>PED-102403</x:v>
      </x:c>
      <x:c r="C2404" t="str">
        <x:v>Cliente 114</x:v>
      </x:c>
      <x:c r="D2404" t="str">
        <x:v>GO</x:v>
      </x:c>
      <x:c r="E2404" t="str">
        <x:v>Centro-Oeste</x:v>
      </x:c>
      <x:c r="F2404" t="str">
        <x:v>E-commerce</x:v>
      </x:c>
      <x:c r="G2404" t="str">
        <x:v>Tecnologia</x:v>
      </x:c>
      <x:c r="H2404" t="str">
        <x:v>Monitor 27</x:v>
      </x:c>
      <x:c r="I2404" t="str">
        <x:v>João</x:v>
      </x:c>
      <x:c r="J2404" s="53" t="n">
        <x:v>7</x:v>
      </x:c>
      <x:c r="K2404" s="54" t="n">
        <x:v>1757.51</x:v>
      </x:c>
      <x:c r="L2404" s="54" t="n">
        <x:v>1045.32</x:v>
      </x:c>
      <x:c r="M2404" s="55" t="n">
        <x:v>0.096</x:v>
      </x:c>
      <x:c r="N2404" s="54" t="n">
        <x:f>ROUND(J2404*K2404,2)</x:f>
        <x:v>12302.57</x:v>
      </x:c>
      <x:c r="O2404" s="54" t="n">
        <x:f>ROUND(N2404*(1-M2404),2)</x:f>
        <x:v>11121.52</x:v>
      </x:c>
      <x:c r="P2404" s="54" t="n">
        <x:f>ROUND(J2404*L2404,2)</x:f>
        <x:v>7317.24</x:v>
      </x:c>
      <x:c r="Q2404" s="54" t="n">
        <x:f>ROUND(O2404-P2404,2)</x:f>
        <x:v>3804.28</x:v>
      </x:c>
      <x:c r="R2404" s="55" t="n">
        <x:f>IF(O2404=0,0,ROUND(Q2404/O2404,4))</x:f>
        <x:v>0.3421</x:v>
      </x:c>
      <x:c r="S2404" s="53" t="n">
        <x:v>14</x:v>
      </x:c>
      <x:c r="T2404" t="str">
        <x:v>Entregue com atraso</x:v>
      </x:c>
      <x:c r="U2404" t="n">
        <x:v>5</x:v>
      </x:c>
      <x:c r="V2404" t="str"/>
    </x:row>
    <x:row r="2405">
      <x:c r="A2405" s="52" t="n">
        <x:v>46185</x:v>
      </x:c>
      <x:c r="B2405" t="str">
        <x:v>PED-102404</x:v>
      </x:c>
      <x:c r="C2405" t="str">
        <x:v>Cliente 059</x:v>
      </x:c>
      <x:c r="D2405" t="str">
        <x:v>DF</x:v>
      </x:c>
      <x:c r="E2405" t="str">
        <x:v>Centro-Oeste</x:v>
      </x:c>
      <x:c r="F2405" t="str">
        <x:v>Marketplace</x:v>
      </x:c>
      <x:c r="G2405" t="str">
        <x:v>Escritório</x:v>
      </x:c>
      <x:c r="H2405" t="str">
        <x:v>Luminária LED</x:v>
      </x:c>
      <x:c r="I2405" t="str">
        <x:v>Elaine</x:v>
      </x:c>
      <x:c r="J2405" s="53" t="n">
        <x:v>7</x:v>
      </x:c>
      <x:c r="K2405" s="54" t="n">
        <x:v>251.85</x:v>
      </x:c>
      <x:c r="L2405" s="54" t="n">
        <x:v>123.88</x:v>
      </x:c>
      <x:c r="M2405" s="55" t="n">
        <x:v>0.035</x:v>
      </x:c>
      <x:c r="N2405" s="54" t="n">
        <x:f>ROUND(J2405*K2405,2)</x:f>
        <x:v>1762.95</x:v>
      </x:c>
      <x:c r="O2405" s="54" t="n">
        <x:f>ROUND(N2405*(1-M2405),2)</x:f>
        <x:v>1701.25</x:v>
      </x:c>
      <x:c r="P2405" s="54" t="n">
        <x:f>ROUND(J2405*L2405,2)</x:f>
        <x:v>867.16</x:v>
      </x:c>
      <x:c r="Q2405" s="54" t="n">
        <x:f>ROUND(O2405-P2405,2)</x:f>
        <x:v>834.09</x:v>
      </x:c>
      <x:c r="R2405" s="55" t="n">
        <x:f>IF(O2405=0,0,ROUND(Q2405/O2405,4))</x:f>
        <x:v>0.4903</x:v>
      </x:c>
      <x:c r="S2405" s="53" t="n">
        <x:v>5</x:v>
      </x:c>
      <x:c r="T2405" t="str">
        <x:v>Entregue</x:v>
      </x:c>
      <x:c r="U2405" t="n">
        <x:v>2</x:v>
      </x:c>
      <x:c r="V2405" t="str"/>
    </x:row>
    <x:row r="2406">
      <x:c r="A2406" s="52" t="n">
        <x:v>46064</x:v>
      </x:c>
      <x:c r="B2406" t="str">
        <x:v>PED-102405</x:v>
      </x:c>
      <x:c r="C2406" t="str">
        <x:v>Cliente 045</x:v>
      </x:c>
      <x:c r="D2406" t="str">
        <x:v>PA</x:v>
      </x:c>
      <x:c r="E2406" t="str">
        <x:v>Norte</x:v>
      </x:c>
      <x:c r="F2406" t="str">
        <x:v>Televendas</x:v>
      </x:c>
      <x:c r="G2406" t="str">
        <x:v>Tecnologia</x:v>
      </x:c>
      <x:c r="H2406" t="str">
        <x:v>Notebook Pro</x:v>
      </x:c>
      <x:c r="I2406" t="str">
        <x:v>Henrique</x:v>
      </x:c>
      <x:c r="J2406" s="53" t="n">
        <x:v>2</x:v>
      </x:c>
      <x:c r="K2406" s="54" t="n">
        <x:v>6051.77</x:v>
      </x:c>
      <x:c r="L2406" s="54" t="n">
        <x:v>4556.85</x:v>
      </x:c>
      <x:c r="M2406" s="55" t="n">
        <x:v>0.0691</x:v>
      </x:c>
      <x:c r="N2406" s="54" t="n">
        <x:f>ROUND(J2406*K2406,2)</x:f>
        <x:v>12103.54</x:v>
      </x:c>
      <x:c r="O2406" s="54" t="n">
        <x:f>ROUND(N2406*(1-M2406),2)</x:f>
        <x:v>11267.19</x:v>
      </x:c>
      <x:c r="P2406" s="54" t="n">
        <x:f>ROUND(J2406*L2406,2)</x:f>
        <x:v>9113.7</x:v>
      </x:c>
      <x:c r="Q2406" s="54" t="n">
        <x:f>ROUND(O2406-P2406,2)</x:f>
        <x:v>2153.49</x:v>
      </x:c>
      <x:c r="R2406" s="55" t="n">
        <x:f>IF(O2406=0,0,ROUND(Q2406/O2406,4))</x:f>
        <x:v>0.1911</x:v>
      </x:c>
      <x:c r="S2406" s="53" t="n">
        <x:v>13</x:v>
      </x:c>
      <x:c r="T2406" t="str">
        <x:v>Entregue com atraso</x:v>
      </x:c>
      <x:c r="U2406" t="n">
        <x:v>4</x:v>
      </x:c>
      <x:c r="V2406" t="str"/>
    </x:row>
    <x:row r="2407">
      <x:c r="A2407" s="52" t="n">
        <x:v>46196</x:v>
      </x:c>
      <x:c r="B2407" t="str">
        <x:v>PED-102406</x:v>
      </x:c>
      <x:c r="C2407" t="str">
        <x:v>Cliente 087</x:v>
      </x:c>
      <x:c r="D2407" t="str">
        <x:v>MA</x:v>
      </x:c>
      <x:c r="E2407" t="str">
        <x:v>Nordeste</x:v>
      </x:c>
      <x:c r="F2407" t="str">
        <x:v>Loja</x:v>
      </x:c>
      <x:c r="G2407" t="str">
        <x:v>Escritório</x:v>
      </x:c>
      <x:c r="H2407" t="str">
        <x:v>Luminária LED</x:v>
      </x:c>
      <x:c r="I2407" t="str">
        <x:v>Gabriela</x:v>
      </x:c>
      <x:c r="J2407" s="53" t="n">
        <x:v>1</x:v>
      </x:c>
      <x:c r="K2407" s="54" t="n">
        <x:v>252.87</x:v>
      </x:c>
      <x:c r="L2407" s="54" t="n">
        <x:v>117.89</x:v>
      </x:c>
      <x:c r="M2407" s="55" t="n">
        <x:v>0.0662</x:v>
      </x:c>
      <x:c r="N2407" s="54" t="n">
        <x:f>ROUND(J2407*K2407,2)</x:f>
        <x:v>252.87</x:v>
      </x:c>
      <x:c r="O2407" s="54" t="n">
        <x:f>ROUND(N2407*(1-M2407),2)</x:f>
        <x:v>236.13</x:v>
      </x:c>
      <x:c r="P2407" s="54" t="n">
        <x:f>ROUND(J2407*L2407,2)</x:f>
        <x:v>117.89</x:v>
      </x:c>
      <x:c r="Q2407" s="54" t="n">
        <x:f>ROUND(O2407-P2407,2)</x:f>
        <x:v>118.24</x:v>
      </x:c>
      <x:c r="R2407" s="55" t="n">
        <x:f>IF(O2407=0,0,ROUND(Q2407/O2407,4))</x:f>
        <x:v>0.5007</x:v>
      </x:c>
      <x:c r="S2407" s="53" t="n">
        <x:v>2</x:v>
      </x:c>
      <x:c r="T2407" t="str">
        <x:v>Entregue</x:v>
      </x:c>
      <x:c r="U2407" t="n">
        <x:v>5</x:v>
      </x:c>
      <x:c r="V2407" t="str"/>
    </x:row>
    <x:row r="2408">
      <x:c r="A2408" s="52" t="n">
        <x:v>46109</x:v>
      </x:c>
      <x:c r="B2408" t="str">
        <x:v>PED-102407</x:v>
      </x:c>
      <x:c r="C2408" t="str">
        <x:v>Cliente 014</x:v>
      </x:c>
      <x:c r="D2408" t="str">
        <x:v>CE</x:v>
      </x:c>
      <x:c r="E2408" t="str">
        <x:v>Nordeste</x:v>
      </x:c>
      <x:c r="F2408" t="str">
        <x:v>Marketplace</x:v>
      </x:c>
      <x:c r="G2408" t="str">
        <x:v>Acessórios</x:v>
      </x:c>
      <x:c r="H2408" t="str">
        <x:v>Mochila Executiva</x:v>
      </x:c>
      <x:c r="I2408" t="str">
        <x:v>Elaine</x:v>
      </x:c>
      <x:c r="J2408" s="53" t="n">
        <x:v>8</x:v>
      </x:c>
      <x:c r="K2408" s="54" t="n">
        <x:v>404.51</x:v>
      </x:c>
      <x:c r="L2408" s="54" t="n">
        <x:v>202.5</x:v>
      </x:c>
      <x:c r="M2408" s="55" t="n">
        <x:v>0.0889</x:v>
      </x:c>
      <x:c r="N2408" s="54" t="n">
        <x:f>ROUND(J2408*K2408,2)</x:f>
        <x:v>3236.08</x:v>
      </x:c>
      <x:c r="O2408" s="54" t="n">
        <x:f>ROUND(N2408*(1-M2408),2)</x:f>
        <x:v>2948.39</x:v>
      </x:c>
      <x:c r="P2408" s="54" t="n">
        <x:f>ROUND(J2408*L2408,2)</x:f>
        <x:v>1620</x:v>
      </x:c>
      <x:c r="Q2408" s="54" t="n">
        <x:f>ROUND(O2408-P2408,2)</x:f>
        <x:v>1328.39</x:v>
      </x:c>
      <x:c r="R2408" s="55" t="n">
        <x:f>IF(O2408=0,0,ROUND(Q2408/O2408,4))</x:f>
        <x:v>0.4505</x:v>
      </x:c>
      <x:c r="S2408" s="53" t="n">
        <x:v>8</x:v>
      </x:c>
      <x:c r="T2408" t="str">
        <x:v>Entregue</x:v>
      </x:c>
      <x:c r="U2408" t="n">
        <x:v>5</x:v>
      </x:c>
      <x:c r="V2408" t="str"/>
    </x:row>
    <x:row r="2409">
      <x:c r="A2409" s="52" t="n">
        <x:v>46049</x:v>
      </x:c>
      <x:c r="B2409" t="str">
        <x:v>PED-102408</x:v>
      </x:c>
      <x:c r="C2409" t="str">
        <x:v>Cliente 030</x:v>
      </x:c>
      <x:c r="D2409" t="str">
        <x:v>CE</x:v>
      </x:c>
      <x:c r="E2409" t="str">
        <x:v>Nordeste</x:v>
      </x:c>
      <x:c r="F2409" t="str">
        <x:v>Marketplace</x:v>
      </x:c>
      <x:c r="G2409" t="str">
        <x:v>Tecnologia</x:v>
      </x:c>
      <x:c r="H2409" t="str">
        <x:v>Monitor 27</x:v>
      </x:c>
      <x:c r="I2409" t="str">
        <x:v>Isabela</x:v>
      </x:c>
      <x:c r="J2409" s="53" t="n">
        <x:v>1</x:v>
      </x:c>
      <x:c r="K2409" s="54" t="n">
        <x:v>1781.23</x:v>
      </x:c>
      <x:c r="L2409" s="54" t="n">
        <x:v>1167.62</x:v>
      </x:c>
      <x:c r="M2409" s="55" t="n">
        <x:v>0.0419</x:v>
      </x:c>
      <x:c r="N2409" s="54" t="n">
        <x:f>ROUND(J2409*K2409,2)</x:f>
        <x:v>1781.23</x:v>
      </x:c>
      <x:c r="O2409" s="54" t="n">
        <x:f>ROUND(N2409*(1-M2409),2)</x:f>
        <x:v>1706.6</x:v>
      </x:c>
      <x:c r="P2409" s="54" t="n">
        <x:f>ROUND(J2409*L2409,2)</x:f>
        <x:v>1167.62</x:v>
      </x:c>
      <x:c r="Q2409" s="54" t="n">
        <x:f>ROUND(O2409-P2409,2)</x:f>
        <x:v>538.98</x:v>
      </x:c>
      <x:c r="R2409" s="55" t="n">
        <x:f>IF(O2409=0,0,ROUND(Q2409/O2409,4))</x:f>
        <x:v>0.3158</x:v>
      </x:c>
      <x:c r="S2409" s="53" t="n">
        <x:v>11</x:v>
      </x:c>
      <x:c r="T2409" t="str">
        <x:v>Entregue com atraso</x:v>
      </x:c>
      <x:c r="U2409" t="n">
        <x:v>2</x:v>
      </x:c>
      <x:c r="V2409" t="str"/>
    </x:row>
    <x:row r="2410">
      <x:c r="A2410" s="52" t="n">
        <x:v>46072</x:v>
      </x:c>
      <x:c r="B2410" t="str">
        <x:v>PED-102409</x:v>
      </x:c>
      <x:c r="C2410" t="str">
        <x:v>Cliente 058</x:v>
      </x:c>
      <x:c r="D2410" t="str">
        <x:v>MA</x:v>
      </x:c>
      <x:c r="E2410" t="str">
        <x:v>Nordeste</x:v>
      </x:c>
      <x:c r="F2410" t="str">
        <x:v>Marketplace</x:v>
      </x:c>
      <x:c r="G2410" t="str">
        <x:v>Escritório</x:v>
      </x:c>
      <x:c r="H2410" t="str">
        <x:v>Cadeira Ergonômica</x:v>
      </x:c>
      <x:c r="I2410" t="str">
        <x:v>Elaine</x:v>
      </x:c>
      <x:c r="J2410" s="53" t="n">
        <x:v>6</x:v>
      </x:c>
      <x:c r="K2410" s="54" t="n">
        <x:v>2245.23</x:v>
      </x:c>
      <x:c r="L2410" s="54" t="n">
        <x:v>1457.79</x:v>
      </x:c>
      <x:c r="M2410" s="55" t="n">
        <x:v>0.035</x:v>
      </x:c>
      <x:c r="N2410" s="54" t="n">
        <x:f>ROUND(J2410*K2410,2)</x:f>
        <x:v>13471.38</x:v>
      </x:c>
      <x:c r="O2410" s="54" t="n">
        <x:f>ROUND(N2410*(1-M2410),2)</x:f>
        <x:v>12999.88</x:v>
      </x:c>
      <x:c r="P2410" s="54" t="n">
        <x:f>ROUND(J2410*L2410,2)</x:f>
        <x:v>8746.74</x:v>
      </x:c>
      <x:c r="Q2410" s="54" t="n">
        <x:f>ROUND(O2410-P2410,2)</x:f>
        <x:v>4253.14</x:v>
      </x:c>
      <x:c r="R2410" s="55" t="n">
        <x:f>IF(O2410=0,0,ROUND(Q2410/O2410,4))</x:f>
        <x:v>0.3272</x:v>
      </x:c>
      <x:c r="S2410" s="53" t="n">
        <x:v>4</x:v>
      </x:c>
      <x:c r="T2410" t="str">
        <x:v>Entregue</x:v>
      </x:c>
      <x:c r="U2410" t="n">
        <x:v>4</x:v>
      </x:c>
      <x:c r="V2410" t="str"/>
    </x:row>
    <x:row r="2411">
      <x:c r="A2411" s="52" t="n">
        <x:v>46059</x:v>
      </x:c>
      <x:c r="B2411" t="str">
        <x:v>PED-102410</x:v>
      </x:c>
      <x:c r="C2411" t="str">
        <x:v>Cliente 085</x:v>
      </x:c>
      <x:c r="D2411" t="str">
        <x:v>MG</x:v>
      </x:c>
      <x:c r="E2411" t="str">
        <x:v>Sudeste</x:v>
      </x:c>
      <x:c r="F2411" t="str">
        <x:v>Marketplace</x:v>
      </x:c>
      <x:c r="G2411" t="str">
        <x:v>Tecnologia</x:v>
      </x:c>
      <x:c r="H2411" t="str">
        <x:v>Monitor 27</x:v>
      </x:c>
      <x:c r="I2411" t="str">
        <x:v>Henrique</x:v>
      </x:c>
      <x:c r="J2411" s="53" t="n">
        <x:v>2</x:v>
      </x:c>
      <x:c r="K2411" s="54" t="n">
        <x:v>1648.38</x:v>
      </x:c>
      <x:c r="L2411" s="54" t="n">
        <x:v>1123.25</x:v>
      </x:c>
      <x:c r="M2411" s="55" t="n">
        <x:v>0.1141</x:v>
      </x:c>
      <x:c r="N2411" s="54" t="n">
        <x:f>ROUND(J2411*K2411,2)</x:f>
        <x:v>3296.76</x:v>
      </x:c>
      <x:c r="O2411" s="54" t="n">
        <x:f>ROUND(N2411*(1-M2411),2)</x:f>
        <x:v>2920.6</x:v>
      </x:c>
      <x:c r="P2411" s="54" t="n">
        <x:f>ROUND(J2411*L2411,2)</x:f>
        <x:v>2246.5</x:v>
      </x:c>
      <x:c r="Q2411" s="54" t="n">
        <x:f>ROUND(O2411-P2411,2)</x:f>
        <x:v>674.1</x:v>
      </x:c>
      <x:c r="R2411" s="55" t="n">
        <x:f>IF(O2411=0,0,ROUND(Q2411/O2411,4))</x:f>
        <x:v>0.2308</x:v>
      </x:c>
      <x:c r="S2411" s="53" t="n">
        <x:v>27</x:v>
      </x:c>
      <x:c r="T2411" t="str">
        <x:v>Entregue com atraso</x:v>
      </x:c>
      <x:c r="U2411" t="n">
        <x:v>1</x:v>
      </x:c>
      <x:c r="V2411" t="str">
        <x:v>Ocorrência logística</x:v>
      </x:c>
    </x:row>
    <x:row r="2412">
      <x:c r="A2412" s="52" t="n">
        <x:v>46073</x:v>
      </x:c>
      <x:c r="B2412" t="str">
        <x:v>PED-102411</x:v>
      </x:c>
      <x:c r="C2412" t="str">
        <x:v>Cliente 081</x:v>
      </x:c>
      <x:c r="D2412" t="str">
        <x:v>BA</x:v>
      </x:c>
      <x:c r="E2412" t="str">
        <x:v>Nordeste</x:v>
      </x:c>
      <x:c r="F2412" t="str">
        <x:v>E-commerce</x:v>
      </x:c>
      <x:c r="G2412" t="str">
        <x:v>Escritório</x:v>
      </x:c>
      <x:c r="H2412" t="str">
        <x:v>Luminária LED</x:v>
      </x:c>
      <x:c r="I2412" t="str">
        <x:v>Carla</x:v>
      </x:c>
      <x:c r="J2412" s="53" t="n">
        <x:v>2</x:v>
      </x:c>
      <x:c r="K2412" s="54" t="n">
        <x:v>269.41</x:v>
      </x:c>
      <x:c r="L2412" s="54" t="n">
        <x:v>120.06</x:v>
      </x:c>
      <x:c r="M2412" s="55" t="n">
        <x:v>0</x:v>
      </x:c>
      <x:c r="N2412" s="54" t="n">
        <x:f>ROUND(J2412*K2412,2)</x:f>
        <x:v>538.82</x:v>
      </x:c>
      <x:c r="O2412" s="54" t="n">
        <x:f>ROUND(N2412*(1-M2412),2)</x:f>
        <x:v>538.82</x:v>
      </x:c>
      <x:c r="P2412" s="54" t="n">
        <x:f>ROUND(J2412*L2412,2)</x:f>
        <x:v>240.12</x:v>
      </x:c>
      <x:c r="Q2412" s="54" t="n">
        <x:f>ROUND(O2412-P2412,2)</x:f>
        <x:v>298.7</x:v>
      </x:c>
      <x:c r="R2412" s="55" t="n">
        <x:f>IF(O2412=0,0,ROUND(Q2412/O2412,4))</x:f>
        <x:v>0.5544</x:v>
      </x:c>
      <x:c r="S2412" s="53" t="n">
        <x:v>10</x:v>
      </x:c>
      <x:c r="T2412" t="str">
        <x:v>Entregue</x:v>
      </x:c>
      <x:c r="U2412" t="n">
        <x:v>4</x:v>
      </x:c>
      <x:c r="V2412" t="str"/>
    </x:row>
    <x:row r="2413">
      <x:c r="A2413" s="52" t="n">
        <x:v>46145</x:v>
      </x:c>
      <x:c r="B2413" t="str">
        <x:v>PED-102412</x:v>
      </x:c>
      <x:c r="C2413" t="str">
        <x:v>Cliente 092</x:v>
      </x:c>
      <x:c r="D2413" t="str">
        <x:v>MA</x:v>
      </x:c>
      <x:c r="E2413" t="str">
        <x:v>Nordeste</x:v>
      </x:c>
      <x:c r="F2413" t="str">
        <x:v>E-commerce</x:v>
      </x:c>
      <x:c r="G2413" t="str">
        <x:v>Escritório</x:v>
      </x:c>
      <x:c r="H2413" t="str">
        <x:v>Mesa Ajustável</x:v>
      </x:c>
      <x:c r="I2413" t="str">
        <x:v>Carla</x:v>
      </x:c>
      <x:c r="J2413" s="53" t="n">
        <x:v>2</x:v>
      </x:c>
      <x:c r="K2413" s="54" t="n">
        <x:v>2804.44</x:v>
      </x:c>
      <x:c r="L2413" s="54" t="n">
        <x:v>1806.25</x:v>
      </x:c>
      <x:c r="M2413" s="55" t="n">
        <x:v>0</x:v>
      </x:c>
      <x:c r="N2413" s="54" t="n">
        <x:f>ROUND(J2413*K2413,2)</x:f>
        <x:v>5608.88</x:v>
      </x:c>
      <x:c r="O2413" s="54" t="n">
        <x:f>ROUND(N2413*(1-M2413),2)</x:f>
        <x:v>5608.88</x:v>
      </x:c>
      <x:c r="P2413" s="54" t="n">
        <x:f>ROUND(J2413*L2413,2)</x:f>
        <x:v>3612.5</x:v>
      </x:c>
      <x:c r="Q2413" s="54" t="n">
        <x:f>ROUND(O2413-P2413,2)</x:f>
        <x:v>1996.38</x:v>
      </x:c>
      <x:c r="R2413" s="55" t="n">
        <x:f>IF(O2413=0,0,ROUND(Q2413/O2413,4))</x:f>
        <x:v>0.3559</x:v>
      </x:c>
      <x:c r="S2413" s="53" t="n">
        <x:v>6</x:v>
      </x:c>
      <x:c r="T2413" t="str">
        <x:v>Entregue</x:v>
      </x:c>
      <x:c r="U2413" t="n">
        <x:v>2</x:v>
      </x:c>
      <x:c r="V2413" t="str"/>
    </x:row>
    <x:row r="2414">
      <x:c r="A2414" s="52" t="n">
        <x:v>46209</x:v>
      </x:c>
      <x:c r="B2414" t="str">
        <x:v>PED-102413</x:v>
      </x:c>
      <x:c r="C2414" t="str">
        <x:v>Cliente 073</x:v>
      </x:c>
      <x:c r="D2414" t="str">
        <x:v>PE</x:v>
      </x:c>
      <x:c r="E2414" t="str">
        <x:v>Nordeste</x:v>
      </x:c>
      <x:c r="F2414" t="str">
        <x:v>E-commerce</x:v>
      </x:c>
      <x:c r="G2414" t="str">
        <x:v>Casa</x:v>
      </x:c>
      <x:c r="H2414" t="str">
        <x:v>Cafeteira Smart</x:v>
      </x:c>
      <x:c r="I2414" t="str">
        <x:v>Gabriela</x:v>
      </x:c>
      <x:c r="J2414" s="53" t="n">
        <x:v>7</x:v>
      </x:c>
      <x:c r="K2414" s="54" t="n">
        <x:v>766.86</x:v>
      </x:c>
      <x:c r="L2414" s="54" t="n">
        <x:v>458.36</x:v>
      </x:c>
      <x:c r="M2414" s="55" t="n">
        <x:v>0</x:v>
      </x:c>
      <x:c r="N2414" s="54" t="n">
        <x:f>ROUND(J2414*K2414,2)</x:f>
        <x:v>5368.02</x:v>
      </x:c>
      <x:c r="O2414" s="54" t="n">
        <x:f>ROUND(N2414*(1-M2414),2)</x:f>
        <x:v>5368.02</x:v>
      </x:c>
      <x:c r="P2414" s="54" t="n">
        <x:f>ROUND(J2414*L2414,2)</x:f>
        <x:v>3208.52</x:v>
      </x:c>
      <x:c r="Q2414" s="54" t="n">
        <x:f>ROUND(O2414-P2414,2)</x:f>
        <x:v>2159.5</x:v>
      </x:c>
      <x:c r="R2414" s="55" t="n">
        <x:f>IF(O2414=0,0,ROUND(Q2414/O2414,4))</x:f>
        <x:v>0.4023</x:v>
      </x:c>
      <x:c r="S2414" s="53" t="n">
        <x:v>4</x:v>
      </x:c>
      <x:c r="T2414" t="str">
        <x:v>Entregue</x:v>
      </x:c>
      <x:c r="U2414" t="n">
        <x:v>5</x:v>
      </x:c>
      <x:c r="V2414" t="str"/>
    </x:row>
    <x:row r="2415">
      <x:c r="A2415" s="52" t="n">
        <x:v>46187</x:v>
      </x:c>
      <x:c r="B2415" t="str">
        <x:v>PED-102414</x:v>
      </x:c>
      <x:c r="C2415" t="str">
        <x:v>Cliente 022</x:v>
      </x:c>
      <x:c r="D2415" t="str">
        <x:v>RS</x:v>
      </x:c>
      <x:c r="E2415" t="str">
        <x:v>Sul</x:v>
      </x:c>
      <x:c r="F2415" t="str">
        <x:v>Televendas</x:v>
      </x:c>
      <x:c r="G2415" t="str">
        <x:v>Tecnologia</x:v>
      </x:c>
      <x:c r="H2415" t="str">
        <x:v>Notebook Pro</x:v>
      </x:c>
      <x:c r="I2415" t="str">
        <x:v>João</x:v>
      </x:c>
      <x:c r="J2415" s="53" t="n">
        <x:v>2</x:v>
      </x:c>
      <x:c r="K2415" s="54" t="n">
        <x:v>5866.34</x:v>
      </x:c>
      <x:c r="L2415" s="54" t="n">
        <x:v>4368.49</x:v>
      </x:c>
      <x:c r="M2415" s="55" t="n">
        <x:v>0</x:v>
      </x:c>
      <x:c r="N2415" s="54" t="n">
        <x:f>ROUND(J2415*K2415,2)</x:f>
        <x:v>11732.68</x:v>
      </x:c>
      <x:c r="O2415" s="54" t="n">
        <x:f>ROUND(N2415*(1-M2415),2)</x:f>
        <x:v>11732.68</x:v>
      </x:c>
      <x:c r="P2415" s="54" t="n">
        <x:f>ROUND(J2415*L2415,2)</x:f>
        <x:v>8736.98</x:v>
      </x:c>
      <x:c r="Q2415" s="54" t="n">
        <x:f>ROUND(O2415-P2415,2)</x:f>
        <x:v>2995.7</x:v>
      </x:c>
      <x:c r="R2415" s="55" t="n">
        <x:f>IF(O2415=0,0,ROUND(Q2415/O2415,4))</x:f>
        <x:v>0.2553</x:v>
      </x:c>
      <x:c r="S2415" s="53" t="n">
        <x:v>7</x:v>
      </x:c>
      <x:c r="T2415" t="str">
        <x:v>Entregue</x:v>
      </x:c>
      <x:c r="U2415" t="n">
        <x:v>4</x:v>
      </x:c>
      <x:c r="V2415" t="str"/>
    </x:row>
    <x:row r="2416">
      <x:c r="A2416" s="52" t="n">
        <x:v>46170</x:v>
      </x:c>
      <x:c r="B2416" t="str">
        <x:v>PED-102415</x:v>
      </x:c>
      <x:c r="C2416" t="str">
        <x:v>Cliente 108</x:v>
      </x:c>
      <x:c r="D2416" t="str">
        <x:v>MA</x:v>
      </x:c>
      <x:c r="E2416" t="str">
        <x:v>Nordeste</x:v>
      </x:c>
      <x:c r="F2416" t="str">
        <x:v>Loja</x:v>
      </x:c>
      <x:c r="G2416" t="str">
        <x:v>Acessórios</x:v>
      </x:c>
      <x:c r="H2416" t="str">
        <x:v>Webcam HD</x:v>
      </x:c>
      <x:c r="I2416" t="str">
        <x:v>Ana</x:v>
      </x:c>
      <x:c r="J2416" s="53" t="n">
        <x:v>7</x:v>
      </x:c>
      <x:c r="K2416" s="54" t="n">
        <x:v>491.46</x:v>
      </x:c>
      <x:c r="L2416" s="54" t="n">
        <x:v>250.45</x:v>
      </x:c>
      <x:c r="M2416" s="55" t="n">
        <x:v>0</x:v>
      </x:c>
      <x:c r="N2416" s="54" t="n">
        <x:f>ROUND(J2416*K2416,2)</x:f>
        <x:v>3440.22</x:v>
      </x:c>
      <x:c r="O2416" s="54" t="n">
        <x:f>ROUND(N2416*(1-M2416),2)</x:f>
        <x:v>3440.22</x:v>
      </x:c>
      <x:c r="P2416" s="54" t="n">
        <x:f>ROUND(J2416*L2416,2)</x:f>
        <x:v>1753.15</x:v>
      </x:c>
      <x:c r="Q2416" s="54" t="n">
        <x:f>ROUND(O2416-P2416,2)</x:f>
        <x:v>1687.07</x:v>
      </x:c>
      <x:c r="R2416" s="55" t="n">
        <x:f>IF(O2416=0,0,ROUND(Q2416/O2416,4))</x:f>
        <x:v>0.4904</x:v>
      </x:c>
      <x:c r="S2416" s="53" t="n">
        <x:v>13</x:v>
      </x:c>
      <x:c r="T2416" t="str">
        <x:v>Entregue com atraso</x:v>
      </x:c>
      <x:c r="U2416" t="n">
        <x:v>3</x:v>
      </x:c>
      <x:c r="V2416" t="str"/>
    </x:row>
    <x:row r="2417">
      <x:c r="A2417" s="52" t="n">
        <x:v>46177</x:v>
      </x:c>
      <x:c r="B2417" t="str">
        <x:v>PED-102416</x:v>
      </x:c>
      <x:c r="C2417" t="str">
        <x:v>Cliente 044</x:v>
      </x:c>
      <x:c r="D2417" t="str">
        <x:v>GO</x:v>
      </x:c>
      <x:c r="E2417" t="str">
        <x:v>Centro-Oeste</x:v>
      </x:c>
      <x:c r="F2417" t="str">
        <x:v>Marketplace</x:v>
      </x:c>
      <x:c r="G2417" t="str">
        <x:v>Casa</x:v>
      </x:c>
      <x:c r="H2417" t="str">
        <x:v>Aspirador Robô</x:v>
      </x:c>
      <x:c r="I2417" t="str">
        <x:v>Henrique</x:v>
      </x:c>
      <x:c r="J2417" s="53" t="n">
        <x:v>6</x:v>
      </x:c>
      <x:c r="K2417" s="54" t="n">
        <x:v>1934.91</x:v>
      </x:c>
      <x:c r="L2417" s="54" t="n">
        <x:v>1207.24</x:v>
      </x:c>
      <x:c r="M2417" s="55" t="n">
        <x:v>0.035</x:v>
      </x:c>
      <x:c r="N2417" s="54" t="n">
        <x:f>ROUND(J2417*K2417,2)</x:f>
        <x:v>11609.46</x:v>
      </x:c>
      <x:c r="O2417" s="54" t="n">
        <x:f>ROUND(N2417*(1-M2417),2)</x:f>
        <x:v>11203.13</x:v>
      </x:c>
      <x:c r="P2417" s="54" t="n">
        <x:f>ROUND(J2417*L2417,2)</x:f>
        <x:v>7243.44</x:v>
      </x:c>
      <x:c r="Q2417" s="54" t="n">
        <x:f>ROUND(O2417-P2417,2)</x:f>
        <x:v>3959.69</x:v>
      </x:c>
      <x:c r="R2417" s="55" t="n">
        <x:f>IF(O2417=0,0,ROUND(Q2417/O2417,4))</x:f>
        <x:v>0.3534</x:v>
      </x:c>
      <x:c r="S2417" s="53" t="n">
        <x:v>6</x:v>
      </x:c>
      <x:c r="T2417" t="str">
        <x:v>Entregue</x:v>
      </x:c>
      <x:c r="U2417" t="n">
        <x:v>4</x:v>
      </x:c>
      <x:c r="V2417" t="str"/>
    </x:row>
    <x:row r="2418">
      <x:c r="A2418" s="52" t="n">
        <x:v>46107</x:v>
      </x:c>
      <x:c r="B2418" t="str">
        <x:v>PED-102417</x:v>
      </x:c>
      <x:c r="C2418" t="str">
        <x:v>Cliente 066</x:v>
      </x:c>
      <x:c r="D2418" t="str">
        <x:v>AM</x:v>
      </x:c>
      <x:c r="E2418" t="str">
        <x:v>Norte</x:v>
      </x:c>
      <x:c r="F2418" t="str">
        <x:v>Marketplace</x:v>
      </x:c>
      <x:c r="G2418" t="str">
        <x:v>Escritório</x:v>
      </x:c>
      <x:c r="H2418" t="str">
        <x:v>Mesa Ajustável</x:v>
      </x:c>
      <x:c r="I2418" t="str">
        <x:v>Felipe</x:v>
      </x:c>
      <x:c r="J2418" s="53" t="n">
        <x:v>2</x:v>
      </x:c>
      <x:c r="K2418" s="54" t="n">
        <x:v>2808.35</x:v>
      </x:c>
      <x:c r="L2418" s="54" t="n">
        <x:v>1801.49</x:v>
      </x:c>
      <x:c r="M2418" s="55" t="n">
        <x:v>0.035</x:v>
      </x:c>
      <x:c r="N2418" s="54" t="n">
        <x:f>ROUND(J2418*K2418,2)</x:f>
        <x:v>5616.7</x:v>
      </x:c>
      <x:c r="O2418" s="54" t="n">
        <x:f>ROUND(N2418*(1-M2418),2)</x:f>
        <x:v>5420.12</x:v>
      </x:c>
      <x:c r="P2418" s="54" t="n">
        <x:f>ROUND(J2418*L2418,2)</x:f>
        <x:v>3602.98</x:v>
      </x:c>
      <x:c r="Q2418" s="54" t="n">
        <x:f>ROUND(O2418-P2418,2)</x:f>
        <x:v>1817.14</x:v>
      </x:c>
      <x:c r="R2418" s="55" t="n">
        <x:f>IF(O2418=0,0,ROUND(Q2418/O2418,4))</x:f>
        <x:v>0.3353</x:v>
      </x:c>
      <x:c r="S2418" s="53" t="n">
        <x:v>7</x:v>
      </x:c>
      <x:c r="T2418" t="str">
        <x:v>Entregue</x:v>
      </x:c>
      <x:c r="U2418" t="n">
        <x:v>5</x:v>
      </x:c>
      <x:c r="V2418" t="str"/>
    </x:row>
    <x:row r="2419">
      <x:c r="A2419" s="52" t="n">
        <x:v>46118</x:v>
      </x:c>
      <x:c r="B2419" t="str">
        <x:v>PED-102418</x:v>
      </x:c>
      <x:c r="C2419" t="str">
        <x:v>Cliente 047</x:v>
      </x:c>
      <x:c r="D2419" t="str">
        <x:v>ES</x:v>
      </x:c>
      <x:c r="E2419" t="str">
        <x:v>Sudeste</x:v>
      </x:c>
      <x:c r="F2419" t="str">
        <x:v>Marketplace</x:v>
      </x:c>
      <x:c r="G2419" t="str">
        <x:v>Tecnologia</x:v>
      </x:c>
      <x:c r="H2419" t="str">
        <x:v>Monitor 27</x:v>
      </x:c>
      <x:c r="I2419" t="str">
        <x:v>João</x:v>
      </x:c>
      <x:c r="J2419" s="53" t="n">
        <x:v>6</x:v>
      </x:c>
      <x:c r="K2419" s="54" t="n">
        <x:v>1780.57</x:v>
      </x:c>
      <x:c r="L2419" s="54" t="n">
        <x:v>1041.84</x:v>
      </x:c>
      <x:c r="M2419" s="55" t="n">
        <x:v>0.1075</x:v>
      </x:c>
      <x:c r="N2419" s="54" t="n">
        <x:f>ROUND(J2419*K2419,2)</x:f>
        <x:v>10683.42</x:v>
      </x:c>
      <x:c r="O2419" s="54" t="n">
        <x:f>ROUND(N2419*(1-M2419),2)</x:f>
        <x:v>9534.95</x:v>
      </x:c>
      <x:c r="P2419" s="54" t="n">
        <x:f>ROUND(J2419*L2419,2)</x:f>
        <x:v>6251.04</x:v>
      </x:c>
      <x:c r="Q2419" s="54" t="n">
        <x:f>ROUND(O2419-P2419,2)</x:f>
        <x:v>3283.91</x:v>
      </x:c>
      <x:c r="R2419" s="55" t="n">
        <x:f>IF(O2419=0,0,ROUND(Q2419/O2419,4))</x:f>
        <x:v>0.3444</x:v>
      </x:c>
      <x:c r="S2419" s="53" t="n">
        <x:v>8</x:v>
      </x:c>
      <x:c r="T2419" t="str">
        <x:v>Entregue</x:v>
      </x:c>
      <x:c r="U2419" t="n">
        <x:v>2</x:v>
      </x:c>
      <x:c r="V2419" t="str"/>
    </x:row>
    <x:row r="2420">
      <x:c r="A2420" s="52" t="n">
        <x:v>46131</x:v>
      </x:c>
      <x:c r="B2420" t="str">
        <x:v>PED-102419</x:v>
      </x:c>
      <x:c r="C2420" t="str">
        <x:v>Cliente 007</x:v>
      </x:c>
      <x:c r="D2420" t="str">
        <x:v>PE</x:v>
      </x:c>
      <x:c r="E2420" t="str">
        <x:v>Nordeste</x:v>
      </x:c>
      <x:c r="F2420" t="str">
        <x:v>Marketplace</x:v>
      </x:c>
      <x:c r="G2420" t="str">
        <x:v>Escritório</x:v>
      </x:c>
      <x:c r="H2420" t="str">
        <x:v>Cadeira Ergonômica</x:v>
      </x:c>
      <x:c r="I2420" t="str">
        <x:v>Ana</x:v>
      </x:c>
      <x:c r="J2420" s="53" t="n">
        <x:v>6</x:v>
      </x:c>
      <x:c r="K2420" s="54" t="n">
        <x:v>2264.44</x:v>
      </x:c>
      <x:c r="L2420" s="54" t="n">
        <x:v>1512.97</x:v>
      </x:c>
      <x:c r="M2420" s="55" t="n">
        <x:v>0.035</x:v>
      </x:c>
      <x:c r="N2420" s="54" t="n">
        <x:f>ROUND(J2420*K2420,2)</x:f>
        <x:v>13586.64</x:v>
      </x:c>
      <x:c r="O2420" s="54" t="n">
        <x:f>ROUND(N2420*(1-M2420),2)</x:f>
        <x:v>13111.11</x:v>
      </x:c>
      <x:c r="P2420" s="54" t="n">
        <x:f>ROUND(J2420*L2420,2)</x:f>
        <x:v>9077.82</x:v>
      </x:c>
      <x:c r="Q2420" s="54" t="n">
        <x:f>ROUND(O2420-P2420,2)</x:f>
        <x:v>4033.29</x:v>
      </x:c>
      <x:c r="R2420" s="55" t="n">
        <x:f>IF(O2420=0,0,ROUND(Q2420/O2420,4))</x:f>
        <x:v>0.3076</x:v>
      </x:c>
      <x:c r="S2420" s="53" t="n">
        <x:v>11</x:v>
      </x:c>
      <x:c r="T2420" t="str">
        <x:v>Entregue com atraso</x:v>
      </x:c>
      <x:c r="U2420" t="n">
        <x:v>4</x:v>
      </x:c>
      <x:c r="V2420" t="str"/>
    </x:row>
    <x:row r="2421">
      <x:c r="A2421" s="52" t="n">
        <x:v>46196</x:v>
      </x:c>
      <x:c r="B2421" t="str">
        <x:v>PED-102420</x:v>
      </x:c>
      <x:c r="C2421" t="str">
        <x:v>Cliente 021</x:v>
      </x:c>
      <x:c r="D2421" t="str">
        <x:v>PE</x:v>
      </x:c>
      <x:c r="E2421" t="str">
        <x:v>Nordeste</x:v>
      </x:c>
      <x:c r="F2421" t="str">
        <x:v>E-commerce</x:v>
      </x:c>
      <x:c r="G2421" t="str">
        <x:v>Acessórios</x:v>
      </x:c>
      <x:c r="H2421" t="str">
        <x:v>Hub USB-C</x:v>
      </x:c>
      <x:c r="I2421" t="str">
        <x:v>Carla</x:v>
      </x:c>
      <x:c r="J2421" s="53" t="n">
        <x:v>2</x:v>
      </x:c>
      <x:c r="K2421" s="54" t="n">
        <x:v>321.41</x:v>
      </x:c>
      <x:c r="L2421" s="54" t="n">
        <x:v>136.52</x:v>
      </x:c>
      <x:c r="M2421" s="55" t="n">
        <x:v>0</x:v>
      </x:c>
      <x:c r="N2421" s="54" t="n">
        <x:f>ROUND(J2421*K2421,2)</x:f>
        <x:v>642.82</x:v>
      </x:c>
      <x:c r="O2421" s="54" t="n">
        <x:f>ROUND(N2421*(1-M2421),2)</x:f>
        <x:v>642.82</x:v>
      </x:c>
      <x:c r="P2421" s="54" t="n">
        <x:f>ROUND(J2421*L2421,2)</x:f>
        <x:v>273.04</x:v>
      </x:c>
      <x:c r="Q2421" s="54" t="n">
        <x:f>ROUND(O2421-P2421,2)</x:f>
        <x:v>369.78</x:v>
      </x:c>
      <x:c r="R2421" s="55" t="n">
        <x:f>IF(O2421=0,0,ROUND(Q2421/O2421,4))</x:f>
        <x:v>0.5752</x:v>
      </x:c>
      <x:c r="S2421" s="53" t="n">
        <x:v>9</x:v>
      </x:c>
      <x:c r="T2421" t="str">
        <x:v>Entregue</x:v>
      </x:c>
      <x:c r="U2421" t="n">
        <x:v>3</x:v>
      </x:c>
      <x:c r="V2421" t="str"/>
    </x:row>
    <x:row r="2422">
      <x:c r="A2422" s="52" t="n">
        <x:v>46131</x:v>
      </x:c>
      <x:c r="B2422" t="str">
        <x:v>PED-102421</x:v>
      </x:c>
      <x:c r="C2422" t="str">
        <x:v>Cliente 027</x:v>
      </x:c>
      <x:c r="D2422" t="str">
        <x:v>MT</x:v>
      </x:c>
      <x:c r="E2422" t="str">
        <x:v>Centro-Oeste</x:v>
      </x:c>
      <x:c r="F2422" t="str">
        <x:v>Televendas</x:v>
      </x:c>
      <x:c r="G2422" t="str">
        <x:v>Tecnologia</x:v>
      </x:c>
      <x:c r="H2422" t="str">
        <x:v>Monitor 27</x:v>
      </x:c>
      <x:c r="I2422" t="str">
        <x:v>Elaine</x:v>
      </x:c>
      <x:c r="J2422" s="53" t="n">
        <x:v>1</x:v>
      </x:c>
      <x:c r="K2422" s="54" t="n">
        <x:v>1687.94</x:v>
      </x:c>
      <x:c r="L2422" s="54" t="n">
        <x:v>1112.91</x:v>
      </x:c>
      <x:c r="M2422" s="55" t="n">
        <x:v>0.0601</x:v>
      </x:c>
      <x:c r="N2422" s="54" t="n">
        <x:f>ROUND(J2422*K2422,2)</x:f>
        <x:v>1687.94</x:v>
      </x:c>
      <x:c r="O2422" s="54" t="n">
        <x:f>ROUND(N2422*(1-M2422),2)</x:f>
        <x:v>1586.49</x:v>
      </x:c>
      <x:c r="P2422" s="54" t="n">
        <x:f>ROUND(J2422*L2422,2)</x:f>
        <x:v>1112.91</x:v>
      </x:c>
      <x:c r="Q2422" s="54" t="n">
        <x:f>ROUND(O2422-P2422,2)</x:f>
        <x:v>473.58</x:v>
      </x:c>
      <x:c r="R2422" s="55" t="n">
        <x:f>IF(O2422=0,0,ROUND(Q2422/O2422,4))</x:f>
        <x:v>0.2985</x:v>
      </x:c>
      <x:c r="S2422" s="53" t="n">
        <x:v>10</x:v>
      </x:c>
      <x:c r="T2422" t="str">
        <x:v>Entregue</x:v>
      </x:c>
      <x:c r="U2422" t="n">
        <x:v>2</x:v>
      </x:c>
      <x:c r="V2422" t="str"/>
    </x:row>
    <x:row r="2423">
      <x:c r="A2423" s="52" t="n">
        <x:v>46222</x:v>
      </x:c>
      <x:c r="B2423" t="str">
        <x:v>PED-102422</x:v>
      </x:c>
      <x:c r="C2423" t="str">
        <x:v>Cliente 057</x:v>
      </x:c>
      <x:c r="D2423" t="str">
        <x:v>MA</x:v>
      </x:c>
      <x:c r="E2423" t="str">
        <x:v>Nordeste</x:v>
      </x:c>
      <x:c r="F2423" t="str">
        <x:v>Loja</x:v>
      </x:c>
      <x:c r="G2423" t="str">
        <x:v>Acessórios</x:v>
      </x:c>
      <x:c r="H2423" t="str">
        <x:v>Mochila Executiva</x:v>
      </x:c>
      <x:c r="I2423" t="str">
        <x:v>Elaine</x:v>
      </x:c>
      <x:c r="J2423" s="53" t="n">
        <x:v>4</x:v>
      </x:c>
      <x:c r="K2423" s="54" t="n">
        <x:v>448.76</x:v>
      </x:c>
      <x:c r="L2423" s="54" t="n">
        <x:v>194.69</x:v>
      </x:c>
      <x:c r="M2423" s="55" t="n">
        <x:v>0.0534</x:v>
      </x:c>
      <x:c r="N2423" s="54" t="n">
        <x:f>ROUND(J2423*K2423,2)</x:f>
        <x:v>1795.04</x:v>
      </x:c>
      <x:c r="O2423" s="54" t="n">
        <x:f>ROUND(N2423*(1-M2423),2)</x:f>
        <x:v>1699.18</x:v>
      </x:c>
      <x:c r="P2423" s="54" t="n">
        <x:f>ROUND(J2423*L2423,2)</x:f>
        <x:v>778.76</x:v>
      </x:c>
      <x:c r="Q2423" s="54" t="n">
        <x:f>ROUND(O2423-P2423,2)</x:f>
        <x:v>920.42</x:v>
      </x:c>
      <x:c r="R2423" s="55" t="n">
        <x:f>IF(O2423=0,0,ROUND(Q2423/O2423,4))</x:f>
        <x:v>0.5417</x:v>
      </x:c>
      <x:c r="S2423" s="53" t="n">
        <x:v>13</x:v>
      </x:c>
      <x:c r="T2423" t="str">
        <x:v>Entregue com atraso</x:v>
      </x:c>
      <x:c r="U2423" t="n">
        <x:v>5</x:v>
      </x:c>
      <x:c r="V2423" t="str"/>
    </x:row>
    <x:row r="2424">
      <x:c r="A2424" s="52" t="n">
        <x:v>46093</x:v>
      </x:c>
      <x:c r="B2424" t="str">
        <x:v>PED-102423</x:v>
      </x:c>
      <x:c r="C2424" t="str">
        <x:v>Cliente 106</x:v>
      </x:c>
      <x:c r="D2424" t="str">
        <x:v>ES</x:v>
      </x:c>
      <x:c r="E2424" t="str">
        <x:v>Sudeste</x:v>
      </x:c>
      <x:c r="F2424" t="str">
        <x:v>Marketplace</x:v>
      </x:c>
      <x:c r="G2424" t="str">
        <x:v>Escritório</x:v>
      </x:c>
      <x:c r="H2424" t="str">
        <x:v>Cadeira Ergonômica</x:v>
      </x:c>
      <x:c r="I2424" t="str">
        <x:v>Isabela</x:v>
      </x:c>
      <x:c r="J2424" s="53" t="n">
        <x:v>4</x:v>
      </x:c>
      <x:c r="K2424" s="54" t="n">
        <x:v>2312.89</x:v>
      </x:c>
      <x:c r="L2424" s="54" t="n">
        <x:v>1420.11</x:v>
      </x:c>
      <x:c r="M2424" s="55" t="n">
        <x:v>0.1554</x:v>
      </x:c>
      <x:c r="N2424" s="54" t="n">
        <x:f>ROUND(J2424*K2424,2)</x:f>
        <x:v>9251.56</x:v>
      </x:c>
      <x:c r="O2424" s="54" t="n">
        <x:f>ROUND(N2424*(1-M2424),2)</x:f>
        <x:v>7813.87</x:v>
      </x:c>
      <x:c r="P2424" s="54" t="n">
        <x:f>ROUND(J2424*L2424,2)</x:f>
        <x:v>5680.44</x:v>
      </x:c>
      <x:c r="Q2424" s="54" t="n">
        <x:f>ROUND(O2424-P2424,2)</x:f>
        <x:v>2133.43</x:v>
      </x:c>
      <x:c r="R2424" s="55" t="n">
        <x:f>IF(O2424=0,0,ROUND(Q2424/O2424,4))</x:f>
        <x:v>0.273</x:v>
      </x:c>
      <x:c r="S2424" s="53" t="n">
        <x:v>2</x:v>
      </x:c>
      <x:c r="T2424" t="str">
        <x:v>Entregue</x:v>
      </x:c>
      <x:c r="U2424" t="n">
        <x:v>5</x:v>
      </x:c>
      <x:c r="V2424" t="str"/>
    </x:row>
    <x:row r="2425">
      <x:c r="A2425" s="52" t="n">
        <x:v>46049</x:v>
      </x:c>
      <x:c r="B2425" t="str">
        <x:v>PED-102424</x:v>
      </x:c>
      <x:c r="C2425" t="str">
        <x:v>Cliente 102</x:v>
      </x:c>
      <x:c r="D2425" t="str">
        <x:v>SP</x:v>
      </x:c>
      <x:c r="E2425" t="str">
        <x:v>Sudeste</x:v>
      </x:c>
      <x:c r="F2425" t="str">
        <x:v>Loja</x:v>
      </x:c>
      <x:c r="G2425" t="str">
        <x:v>Escritório</x:v>
      </x:c>
      <x:c r="H2425" t="str">
        <x:v>Mesa Ajustável</x:v>
      </x:c>
      <x:c r="I2425" t="str">
        <x:v>Carla</x:v>
      </x:c>
      <x:c r="J2425" s="53" t="n">
        <x:v>2</x:v>
      </x:c>
      <x:c r="K2425" s="54" t="n">
        <x:v>2758.31</x:v>
      </x:c>
      <x:c r="L2425" s="54" t="n">
        <x:v>1797.79</x:v>
      </x:c>
      <x:c r="M2425" s="55" t="n">
        <x:v>0.0435</x:v>
      </x:c>
      <x:c r="N2425" s="54" t="n">
        <x:f>ROUND(J2425*K2425,2)</x:f>
        <x:v>5516.62</x:v>
      </x:c>
      <x:c r="O2425" s="54" t="n">
        <x:f>ROUND(N2425*(1-M2425),2)</x:f>
        <x:v>5276.65</x:v>
      </x:c>
      <x:c r="P2425" s="54" t="n">
        <x:f>ROUND(J2425*L2425,2)</x:f>
        <x:v>3595.58</x:v>
      </x:c>
      <x:c r="Q2425" s="54" t="n">
        <x:f>ROUND(O2425-P2425,2)</x:f>
        <x:v>1681.07</x:v>
      </x:c>
      <x:c r="R2425" s="55" t="n">
        <x:f>IF(O2425=0,0,ROUND(Q2425/O2425,4))</x:f>
        <x:v>0.3186</x:v>
      </x:c>
      <x:c r="S2425" s="53" t="n">
        <x:v>3</x:v>
      </x:c>
      <x:c r="T2425" t="str">
        <x:v>Entregue</x:v>
      </x:c>
      <x:c r="U2425" t="n">
        <x:v>4</x:v>
      </x:c>
      <x:c r="V2425" t="str"/>
    </x:row>
    <x:row r="2426">
      <x:c r="A2426" s="52" t="n">
        <x:v>46194</x:v>
      </x:c>
      <x:c r="B2426" t="str">
        <x:v>PED-102425</x:v>
      </x:c>
      <x:c r="C2426" t="str">
        <x:v>Cliente 019</x:v>
      </x:c>
      <x:c r="D2426" t="str">
        <x:v>PE</x:v>
      </x:c>
      <x:c r="E2426" t="str">
        <x:v>Nordeste</x:v>
      </x:c>
      <x:c r="F2426" t="str">
        <x:v>Televendas</x:v>
      </x:c>
      <x:c r="G2426" t="str">
        <x:v>Escritório</x:v>
      </x:c>
      <x:c r="H2426" t="str">
        <x:v>Mesa Ajustável</x:v>
      </x:c>
      <x:c r="I2426" t="str">
        <x:v>Henrique</x:v>
      </x:c>
      <x:c r="J2426" s="53" t="n">
        <x:v>4</x:v>
      </x:c>
      <x:c r="K2426" s="54" t="n">
        <x:v>2733.17</x:v>
      </x:c>
      <x:c r="L2426" s="54" t="n">
        <x:v>1957.32</x:v>
      </x:c>
      <x:c r="M2426" s="55" t="n">
        <x:v>0.015</x:v>
      </x:c>
      <x:c r="N2426" s="54" t="n">
        <x:f>ROUND(J2426*K2426,2)</x:f>
        <x:v>10932.68</x:v>
      </x:c>
      <x:c r="O2426" s="54" t="n">
        <x:f>ROUND(N2426*(1-M2426),2)</x:f>
        <x:v>10768.69</x:v>
      </x:c>
      <x:c r="P2426" s="54" t="n">
        <x:f>ROUND(J2426*L2426,2)</x:f>
        <x:v>7829.28</x:v>
      </x:c>
      <x:c r="Q2426" s="54" t="n">
        <x:f>ROUND(O2426-P2426,2)</x:f>
        <x:v>2939.41</x:v>
      </x:c>
      <x:c r="R2426" s="55" t="n">
        <x:f>IF(O2426=0,0,ROUND(Q2426/O2426,4))</x:f>
        <x:v>0.273</x:v>
      </x:c>
      <x:c r="S2426" s="53" t="n">
        <x:v>14</x:v>
      </x:c>
      <x:c r="T2426" t="str">
        <x:v>Entregue com atraso</x:v>
      </x:c>
      <x:c r="U2426" t="n">
        <x:v>3</x:v>
      </x:c>
      <x:c r="V2426" t="str"/>
    </x:row>
    <x:row r="2427">
      <x:c r="A2427" s="52" t="n">
        <x:v>46113</x:v>
      </x:c>
      <x:c r="B2427" t="str">
        <x:v>PED-102426</x:v>
      </x:c>
      <x:c r="C2427" t="str">
        <x:v>Cliente 045</x:v>
      </x:c>
      <x:c r="D2427" t="str">
        <x:v>CE</x:v>
      </x:c>
      <x:c r="E2427" t="str">
        <x:v>Nordeste</x:v>
      </x:c>
      <x:c r="F2427" t="str">
        <x:v>E-commerce</x:v>
      </x:c>
      <x:c r="G2427" t="str">
        <x:v>Tecnologia</x:v>
      </x:c>
      <x:c r="H2427" t="str">
        <x:v>Headset Office</x:v>
      </x:c>
      <x:c r="I2427" t="str">
        <x:v>Gabriela</x:v>
      </x:c>
      <x:c r="J2427" s="53" t="n">
        <x:v>4</x:v>
      </x:c>
      <x:c r="K2427" s="54" t="n">
        <x:v>379.67</x:v>
      </x:c>
      <x:c r="L2427" s="54" t="n">
        <x:v>209.32</x:v>
      </x:c>
      <x:c r="M2427" s="55" t="n">
        <x:v>0.0463</x:v>
      </x:c>
      <x:c r="N2427" s="54" t="n">
        <x:f>ROUND(J2427*K2427,2)</x:f>
        <x:v>1518.68</x:v>
      </x:c>
      <x:c r="O2427" s="54" t="n">
        <x:f>ROUND(N2427*(1-M2427),2)</x:f>
        <x:v>1448.37</x:v>
      </x:c>
      <x:c r="P2427" s="54" t="n">
        <x:f>ROUND(J2427*L2427,2)</x:f>
        <x:v>837.28</x:v>
      </x:c>
      <x:c r="Q2427" s="54" t="n">
        <x:f>ROUND(O2427-P2427,2)</x:f>
        <x:v>611.09</x:v>
      </x:c>
      <x:c r="R2427" s="55" t="n">
        <x:f>IF(O2427=0,0,ROUND(Q2427/O2427,4))</x:f>
        <x:v>0.4219</x:v>
      </x:c>
      <x:c r="S2427" s="53" t="n">
        <x:v>5</x:v>
      </x:c>
      <x:c r="T2427" t="str">
        <x:v>Entregue</x:v>
      </x:c>
      <x:c r="U2427" t="n">
        <x:v>4</x:v>
      </x:c>
      <x:c r="V2427" t="str"/>
    </x:row>
    <x:row r="2428">
      <x:c r="A2428" s="52" t="n">
        <x:v>46116</x:v>
      </x:c>
      <x:c r="B2428" t="str">
        <x:v>PED-102427</x:v>
      </x:c>
      <x:c r="C2428" t="str">
        <x:v>Cliente 108</x:v>
      </x:c>
      <x:c r="D2428" t="str">
        <x:v>CE</x:v>
      </x:c>
      <x:c r="E2428" t="str">
        <x:v>Nordeste</x:v>
      </x:c>
      <x:c r="F2428" t="str">
        <x:v>Marketplace</x:v>
      </x:c>
      <x:c r="G2428" t="str">
        <x:v>Casa</x:v>
      </x:c>
      <x:c r="H2428" t="str">
        <x:v>Aspirador Robô</x:v>
      </x:c>
      <x:c r="I2428" t="str">
        <x:v>Ana</x:v>
      </x:c>
      <x:c r="J2428" s="53" t="n">
        <x:v>6</x:v>
      </x:c>
      <x:c r="K2428" s="54" t="n">
        <x:v>1844.29</x:v>
      </x:c>
      <x:c r="L2428" s="54" t="n">
        <x:v>1245.51</x:v>
      </x:c>
      <x:c r="M2428" s="55" t="n">
        <x:v>0.0755</x:v>
      </x:c>
      <x:c r="N2428" s="54" t="n">
        <x:f>ROUND(J2428*K2428,2)</x:f>
        <x:v>11065.74</x:v>
      </x:c>
      <x:c r="O2428" s="54" t="n">
        <x:f>ROUND(N2428*(1-M2428),2)</x:f>
        <x:v>10230.28</x:v>
      </x:c>
      <x:c r="P2428" s="54" t="n">
        <x:f>ROUND(J2428*L2428,2)</x:f>
        <x:v>7473.06</x:v>
      </x:c>
      <x:c r="Q2428" s="54" t="n">
        <x:f>ROUND(O2428-P2428,2)</x:f>
        <x:v>2757.22</x:v>
      </x:c>
      <x:c r="R2428" s="55" t="n">
        <x:f>IF(O2428=0,0,ROUND(Q2428/O2428,4))</x:f>
        <x:v>0.2695</x:v>
      </x:c>
      <x:c r="S2428" s="53" t="n">
        <x:v>13</x:v>
      </x:c>
      <x:c r="T2428" t="str">
        <x:v>Entregue com atraso</x:v>
      </x:c>
      <x:c r="U2428" t="n">
        <x:v>4</x:v>
      </x:c>
      <x:c r="V2428" t="str"/>
    </x:row>
    <x:row r="2429">
      <x:c r="A2429" s="52" t="n">
        <x:v>46113</x:v>
      </x:c>
      <x:c r="B2429" t="str">
        <x:v>PED-102428</x:v>
      </x:c>
      <x:c r="C2429" t="str">
        <x:v>Cliente 097</x:v>
      </x:c>
      <x:c r="D2429" t="str">
        <x:v>RJ</x:v>
      </x:c>
      <x:c r="E2429" t="str">
        <x:v>Sudeste</x:v>
      </x:c>
      <x:c r="F2429" t="str">
        <x:v>Televendas</x:v>
      </x:c>
      <x:c r="G2429" t="str">
        <x:v>Tecnologia</x:v>
      </x:c>
      <x:c r="H2429" t="str">
        <x:v>Notebook Pro</x:v>
      </x:c>
      <x:c r="I2429" t="str">
        <x:v>Ana</x:v>
      </x:c>
      <x:c r="J2429" s="53" t="n">
        <x:v>1</x:v>
      </x:c>
      <x:c r="K2429" s="54" t="n">
        <x:v>5988.47</x:v>
      </x:c>
      <x:c r="L2429" s="54" t="n">
        <x:v>4207.84</x:v>
      </x:c>
      <x:c r="M2429" s="55" t="n">
        <x:v>0.0115</x:v>
      </x:c>
      <x:c r="N2429" s="54" t="n">
        <x:f>ROUND(J2429*K2429,2)</x:f>
        <x:v>5988.47</x:v>
      </x:c>
      <x:c r="O2429" s="54" t="n">
        <x:f>ROUND(N2429*(1-M2429),2)</x:f>
        <x:v>5919.6</x:v>
      </x:c>
      <x:c r="P2429" s="54" t="n">
        <x:f>ROUND(J2429*L2429,2)</x:f>
        <x:v>4207.84</x:v>
      </x:c>
      <x:c r="Q2429" s="54" t="n">
        <x:f>ROUND(O2429-P2429,2)</x:f>
        <x:v>1711.76</x:v>
      </x:c>
      <x:c r="R2429" s="55" t="n">
        <x:f>IF(O2429=0,0,ROUND(Q2429/O2429,4))</x:f>
        <x:v>0.2892</x:v>
      </x:c>
      <x:c r="S2429" s="53" t="n">
        <x:v>3</x:v>
      </x:c>
      <x:c r="T2429" t="str">
        <x:v>Entregue</x:v>
      </x:c>
      <x:c r="U2429" t="n">
        <x:v>2</x:v>
      </x:c>
      <x:c r="V2429" t="str"/>
    </x:row>
    <x:row r="2430">
      <x:c r="A2430" s="52" t="n">
        <x:v>46088</x:v>
      </x:c>
      <x:c r="B2430" t="str">
        <x:v>PED-102429</x:v>
      </x:c>
      <x:c r="C2430" t="str">
        <x:v>Cliente 010</x:v>
      </x:c>
      <x:c r="D2430" t="str">
        <x:v>PE</x:v>
      </x:c>
      <x:c r="E2430" t="str">
        <x:v>Nordeste</x:v>
      </x:c>
      <x:c r="F2430" t="str">
        <x:v>Loja</x:v>
      </x:c>
      <x:c r="G2430" t="str">
        <x:v>Tecnologia</x:v>
      </x:c>
      <x:c r="H2430" t="str">
        <x:v>Monitor 27</x:v>
      </x:c>
      <x:c r="I2430" t="str">
        <x:v>Elaine</x:v>
      </x:c>
      <x:c r="J2430" s="53" t="n">
        <x:v>6</x:v>
      </x:c>
      <x:c r="K2430" s="54" t="n">
        <x:v>1629.3</x:v>
      </x:c>
      <x:c r="L2430" s="54" t="n">
        <x:v>1078.45</x:v>
      </x:c>
      <x:c r="M2430" s="55" t="n">
        <x:v>0.038</x:v>
      </x:c>
      <x:c r="N2430" s="54" t="n">
        <x:f>ROUND(J2430*K2430,2)</x:f>
        <x:v>9775.8</x:v>
      </x:c>
      <x:c r="O2430" s="54" t="n">
        <x:f>ROUND(N2430*(1-M2430),2)</x:f>
        <x:v>9404.32</x:v>
      </x:c>
      <x:c r="P2430" s="54" t="n">
        <x:f>ROUND(J2430*L2430,2)</x:f>
        <x:v>6470.7</x:v>
      </x:c>
      <x:c r="Q2430" s="54" t="n">
        <x:f>ROUND(O2430-P2430,2)</x:f>
        <x:v>2933.62</x:v>
      </x:c>
      <x:c r="R2430" s="55" t="n">
        <x:f>IF(O2430=0,0,ROUND(Q2430/O2430,4))</x:f>
        <x:v>0.3119</x:v>
      </x:c>
      <x:c r="S2430" s="53" t="n">
        <x:v>9</x:v>
      </x:c>
      <x:c r="T2430" t="str">
        <x:v>Entregue</x:v>
      </x:c>
      <x:c r="U2430" t="n">
        <x:v>3</x:v>
      </x:c>
      <x:c r="V2430" t="str"/>
    </x:row>
    <x:row r="2431">
      <x:c r="A2431" s="52" t="n">
        <x:v>46115</x:v>
      </x:c>
      <x:c r="B2431" t="str">
        <x:v>PED-102430</x:v>
      </x:c>
      <x:c r="C2431" t="str">
        <x:v>Cliente 061</x:v>
      </x:c>
      <x:c r="D2431" t="str">
        <x:v>AM</x:v>
      </x:c>
      <x:c r="E2431" t="str">
        <x:v>Norte</x:v>
      </x:c>
      <x:c r="F2431" t="str">
        <x:v>E-commerce</x:v>
      </x:c>
      <x:c r="G2431" t="str">
        <x:v>Acessórios</x:v>
      </x:c>
      <x:c r="H2431" t="str">
        <x:v>Hub USB-C</x:v>
      </x:c>
      <x:c r="I2431" t="str">
        <x:v>Henrique</x:v>
      </x:c>
      <x:c r="J2431" s="53" t="n">
        <x:v>6</x:v>
      </x:c>
      <x:c r="K2431" s="54" t="n">
        <x:v>324.78</x:v>
      </x:c>
      <x:c r="L2431" s="54" t="n">
        <x:v>144.02</x:v>
      </x:c>
      <x:c r="M2431" s="55" t="n">
        <x:v>0</x:v>
      </x:c>
      <x:c r="N2431" s="54" t="n">
        <x:f>ROUND(J2431*K2431,2)</x:f>
        <x:v>1948.68</x:v>
      </x:c>
      <x:c r="O2431" s="54" t="n">
        <x:f>ROUND(N2431*(1-M2431),2)</x:f>
        <x:v>1948.68</x:v>
      </x:c>
      <x:c r="P2431" s="54" t="n">
        <x:f>ROUND(J2431*L2431,2)</x:f>
        <x:v>864.12</x:v>
      </x:c>
      <x:c r="Q2431" s="54" t="n">
        <x:f>ROUND(O2431-P2431,2)</x:f>
        <x:v>1084.56</x:v>
      </x:c>
      <x:c r="R2431" s="55" t="n">
        <x:f>IF(O2431=0,0,ROUND(Q2431/O2431,4))</x:f>
        <x:v>0.5566</x:v>
      </x:c>
      <x:c r="S2431" s="53" t="n">
        <x:v>14</x:v>
      </x:c>
      <x:c r="T2431" t="str">
        <x:v>Entregue com atraso</x:v>
      </x:c>
      <x:c r="U2431" t="n">
        <x:v>4</x:v>
      </x:c>
      <x:c r="V2431" t="str"/>
    </x:row>
    <x:row r="2432">
      <x:c r="A2432" s="52" t="n">
        <x:v>46111</x:v>
      </x:c>
      <x:c r="B2432" t="str">
        <x:v>PED-102431</x:v>
      </x:c>
      <x:c r="C2432" t="str">
        <x:v>Cliente 022</x:v>
      </x:c>
      <x:c r="D2432" t="str">
        <x:v>SP</x:v>
      </x:c>
      <x:c r="E2432" t="str">
        <x:v>Sudeste</x:v>
      </x:c>
      <x:c r="F2432" t="str">
        <x:v>E-commerce</x:v>
      </x:c>
      <x:c r="G2432" t="str">
        <x:v>Acessórios</x:v>
      </x:c>
      <x:c r="H2432" t="str">
        <x:v>Hub USB-C</x:v>
      </x:c>
      <x:c r="I2432" t="str">
        <x:v>Felipe</x:v>
      </x:c>
      <x:c r="J2432" s="53" t="n">
        <x:v>2</x:v>
      </x:c>
      <x:c r="K2432" s="54" t="n">
        <x:v>315.51</x:v>
      </x:c>
      <x:c r="L2432" s="54" t="n">
        <x:v>138.19</x:v>
      </x:c>
      <x:c r="M2432" s="55" t="n">
        <x:v>0.0237</x:v>
      </x:c>
      <x:c r="N2432" s="54" t="n">
        <x:f>ROUND(J2432*K2432,2)</x:f>
        <x:v>631.02</x:v>
      </x:c>
      <x:c r="O2432" s="54" t="n">
        <x:f>ROUND(N2432*(1-M2432),2)</x:f>
        <x:v>616.06</x:v>
      </x:c>
      <x:c r="P2432" s="54" t="n">
        <x:f>ROUND(J2432*L2432,2)</x:f>
        <x:v>276.38</x:v>
      </x:c>
      <x:c r="Q2432" s="54" t="n">
        <x:f>ROUND(O2432-P2432,2)</x:f>
        <x:v>339.68</x:v>
      </x:c>
      <x:c r="R2432" s="55" t="n">
        <x:f>IF(O2432=0,0,ROUND(Q2432/O2432,4))</x:f>
        <x:v>0.5514</x:v>
      </x:c>
      <x:c r="S2432" s="53" t="n">
        <x:v>3</x:v>
      </x:c>
      <x:c r="T2432" t="str">
        <x:v>Entregue</x:v>
      </x:c>
      <x:c r="U2432" t="n">
        <x:v>4</x:v>
      </x:c>
      <x:c r="V2432" t="str"/>
    </x:row>
    <x:row r="2433">
      <x:c r="A2433" s="52" t="n">
        <x:v>46087</x:v>
      </x:c>
      <x:c r="B2433" t="str">
        <x:v>PED-102432</x:v>
      </x:c>
      <x:c r="C2433" t="str">
        <x:v>Cliente 073</x:v>
      </x:c>
      <x:c r="D2433" t="str">
        <x:v>SP</x:v>
      </x:c>
      <x:c r="E2433" t="str">
        <x:v>Sudeste</x:v>
      </x:c>
      <x:c r="F2433" t="str">
        <x:v>E-commerce</x:v>
      </x:c>
      <x:c r="G2433" t="str">
        <x:v>Tecnologia</x:v>
      </x:c>
      <x:c r="H2433" t="str">
        <x:v>Headset Office</x:v>
      </x:c>
      <x:c r="I2433" t="str">
        <x:v>Gabriela</x:v>
      </x:c>
      <x:c r="J2433" s="53" t="n">
        <x:v>3</x:v>
      </x:c>
      <x:c r="K2433" s="54" t="n">
        <x:v>372.93</x:v>
      </x:c>
      <x:c r="L2433" s="54" t="n">
        <x:v>205.05</x:v>
      </x:c>
      <x:c r="M2433" s="55" t="n">
        <x:v>0</x:v>
      </x:c>
      <x:c r="N2433" s="54" t="n">
        <x:f>ROUND(J2433*K2433,2)</x:f>
        <x:v>1118.79</x:v>
      </x:c>
      <x:c r="O2433" s="54" t="n">
        <x:f>ROUND(N2433*(1-M2433),2)</x:f>
        <x:v>1118.79</x:v>
      </x:c>
      <x:c r="P2433" s="54" t="n">
        <x:f>ROUND(J2433*L2433,2)</x:f>
        <x:v>615.15</x:v>
      </x:c>
      <x:c r="Q2433" s="54" t="n">
        <x:f>ROUND(O2433-P2433,2)</x:f>
        <x:v>503.64</x:v>
      </x:c>
      <x:c r="R2433" s="55" t="n">
        <x:f>IF(O2433=0,0,ROUND(Q2433/O2433,4))</x:f>
        <x:v>0.4502</x:v>
      </x:c>
      <x:c r="S2433" s="53" t="n">
        <x:v>8</x:v>
      </x:c>
      <x:c r="T2433" t="str">
        <x:v>Entregue</x:v>
      </x:c>
      <x:c r="U2433" t="n">
        <x:v>3</x:v>
      </x:c>
      <x:c r="V2433" t="str"/>
    </x:row>
    <x:row r="2434">
      <x:c r="A2434" s="52" t="n">
        <x:v>46122</x:v>
      </x:c>
      <x:c r="B2434" t="str">
        <x:v>PED-102433</x:v>
      </x:c>
      <x:c r="C2434" t="str">
        <x:v>Cliente 006</x:v>
      </x:c>
      <x:c r="D2434" t="str">
        <x:v>MT</x:v>
      </x:c>
      <x:c r="E2434" t="str">
        <x:v>Centro-Oeste</x:v>
      </x:c>
      <x:c r="F2434" t="str">
        <x:v>Loja</x:v>
      </x:c>
      <x:c r="G2434" t="str">
        <x:v>Tecnologia</x:v>
      </x:c>
      <x:c r="H2434" t="str">
        <x:v>Monitor 27</x:v>
      </x:c>
      <x:c r="I2434" t="str">
        <x:v>Ana</x:v>
      </x:c>
      <x:c r="J2434" s="53" t="n">
        <x:v>3</x:v>
      </x:c>
      <x:c r="K2434" s="54" t="n">
        <x:v>1765.77</x:v>
      </x:c>
      <x:c r="L2434" s="54" t="n">
        <x:v>1071.68</x:v>
      </x:c>
      <x:c r="M2434" s="55" t="n">
        <x:v>0.0476</x:v>
      </x:c>
      <x:c r="N2434" s="54" t="n">
        <x:f>ROUND(J2434*K2434,2)</x:f>
        <x:v>5297.31</x:v>
      </x:c>
      <x:c r="O2434" s="54" t="n">
        <x:f>ROUND(N2434*(1-M2434),2)</x:f>
        <x:v>5045.16</x:v>
      </x:c>
      <x:c r="P2434" s="54" t="n">
        <x:f>ROUND(J2434*L2434,2)</x:f>
        <x:v>3215.04</x:v>
      </x:c>
      <x:c r="Q2434" s="54" t="n">
        <x:f>ROUND(O2434-P2434,2)</x:f>
        <x:v>1830.12</x:v>
      </x:c>
      <x:c r="R2434" s="55" t="n">
        <x:f>IF(O2434=0,0,ROUND(Q2434/O2434,4))</x:f>
        <x:v>0.3627</x:v>
      </x:c>
      <x:c r="S2434" s="53" t="n">
        <x:v>10</x:v>
      </x:c>
      <x:c r="T2434" t="str">
        <x:v>Entregue</x:v>
      </x:c>
      <x:c r="U2434" t="n">
        <x:v>4</x:v>
      </x:c>
      <x:c r="V2434" t="str"/>
    </x:row>
    <x:row r="2435">
      <x:c r="A2435" s="52" t="n">
        <x:v>46060</x:v>
      </x:c>
      <x:c r="B2435" t="str">
        <x:v>PED-102434</x:v>
      </x:c>
      <x:c r="C2435" t="str">
        <x:v>Cliente 063</x:v>
      </x:c>
      <x:c r="D2435" t="str">
        <x:v>BA</x:v>
      </x:c>
      <x:c r="E2435" t="str">
        <x:v>Nordeste</x:v>
      </x:c>
      <x:c r="F2435" t="str">
        <x:v>Loja</x:v>
      </x:c>
      <x:c r="G2435" t="str">
        <x:v>Tecnologia</x:v>
      </x:c>
      <x:c r="H2435" t="str">
        <x:v>Headset Office</x:v>
      </x:c>
      <x:c r="I2435" t="str">
        <x:v>João</x:v>
      </x:c>
      <x:c r="J2435" s="53" t="n">
        <x:v>6</x:v>
      </x:c>
      <x:c r="K2435" s="54" t="n">
        <x:v>405.54</x:v>
      </x:c>
      <x:c r="L2435" s="54" t="n">
        <x:v>216.65</x:v>
      </x:c>
      <x:c r="M2435" s="55" t="n">
        <x:v>0.0472</x:v>
      </x:c>
      <x:c r="N2435" s="54" t="n">
        <x:f>ROUND(J2435*K2435,2)</x:f>
        <x:v>2433.24</x:v>
      </x:c>
      <x:c r="O2435" s="54" t="n">
        <x:f>ROUND(N2435*(1-M2435),2)</x:f>
        <x:v>2318.39</x:v>
      </x:c>
      <x:c r="P2435" s="54" t="n">
        <x:f>ROUND(J2435*L2435,2)</x:f>
        <x:v>1299.9</x:v>
      </x:c>
      <x:c r="Q2435" s="54" t="n">
        <x:f>ROUND(O2435-P2435,2)</x:f>
        <x:v>1018.49</x:v>
      </x:c>
      <x:c r="R2435" s="55" t="n">
        <x:f>IF(O2435=0,0,ROUND(Q2435/O2435,4))</x:f>
        <x:v>0.4393</x:v>
      </x:c>
      <x:c r="S2435" s="53" t="n">
        <x:v>6</x:v>
      </x:c>
      <x:c r="T2435" t="str">
        <x:v>Entregue</x:v>
      </x:c>
      <x:c r="U2435" t="n">
        <x:v>4</x:v>
      </x:c>
      <x:c r="V2435" t="str"/>
    </x:row>
    <x:row r="2436">
      <x:c r="A2436" s="52" t="n">
        <x:v>46097</x:v>
      </x:c>
      <x:c r="B2436" t="str">
        <x:v>PED-102435</x:v>
      </x:c>
      <x:c r="C2436" t="str">
        <x:v>Cliente 058</x:v>
      </x:c>
      <x:c r="D2436" t="str">
        <x:v>MG</x:v>
      </x:c>
      <x:c r="E2436" t="str">
        <x:v>Sudeste</x:v>
      </x:c>
      <x:c r="F2436" t="str">
        <x:v>Televendas</x:v>
      </x:c>
      <x:c r="G2436" t="str">
        <x:v>Escritório</x:v>
      </x:c>
      <x:c r="H2436" t="str">
        <x:v>Luminária LED</x:v>
      </x:c>
      <x:c r="I2436" t="str">
        <x:v>Carla</x:v>
      </x:c>
      <x:c r="J2436" s="53" t="n">
        <x:v>7</x:v>
      </x:c>
      <x:c r="K2436" s="54" t="n">
        <x:v>262.07</x:v>
      </x:c>
      <x:c r="L2436" s="54" t="n">
        <x:v>117.3</x:v>
      </x:c>
      <x:c r="M2436" s="55" t="n">
        <x:v>0.0549</x:v>
      </x:c>
      <x:c r="N2436" s="54" t="n">
        <x:f>ROUND(J2436*K2436,2)</x:f>
        <x:v>1834.49</x:v>
      </x:c>
      <x:c r="O2436" s="54" t="n">
        <x:f>ROUND(N2436*(1-M2436),2)</x:f>
        <x:v>1733.78</x:v>
      </x:c>
      <x:c r="P2436" s="54" t="n">
        <x:f>ROUND(J2436*L2436,2)</x:f>
        <x:v>821.1</x:v>
      </x:c>
      <x:c r="Q2436" s="54" t="n">
        <x:f>ROUND(O2436-P2436,2)</x:f>
        <x:v>912.68</x:v>
      </x:c>
      <x:c r="R2436" s="55" t="n">
        <x:f>IF(O2436=0,0,ROUND(Q2436/O2436,4))</x:f>
        <x:v>0.5264</x:v>
      </x:c>
      <x:c r="S2436" s="53" t="n">
        <x:v>2</x:v>
      </x:c>
      <x:c r="T2436" t="str">
        <x:v>Entregue</x:v>
      </x:c>
      <x:c r="U2436" t="n">
        <x:v>2</x:v>
      </x:c>
      <x:c r="V2436" t="str"/>
    </x:row>
    <x:row r="2437">
      <x:c r="A2437" s="52" t="n">
        <x:v>46152</x:v>
      </x:c>
      <x:c r="B2437" t="str">
        <x:v>PED-102436</x:v>
      </x:c>
      <x:c r="C2437" t="str">
        <x:v>Cliente 030</x:v>
      </x:c>
      <x:c r="D2437" t="str">
        <x:v>RS</x:v>
      </x:c>
      <x:c r="E2437" t="str">
        <x:v>Sul</x:v>
      </x:c>
      <x:c r="F2437" t="str">
        <x:v>Televendas</x:v>
      </x:c>
      <x:c r="G2437" t="str">
        <x:v>Acessórios</x:v>
      </x:c>
      <x:c r="H2437" t="str">
        <x:v>Mochila Executiva</x:v>
      </x:c>
      <x:c r="I2437" t="str">
        <x:v>Carla</x:v>
      </x:c>
      <x:c r="J2437" s="53" t="n">
        <x:v>7</x:v>
      </x:c>
      <x:c r="K2437" s="54" t="n">
        <x:v>435.06</x:v>
      </x:c>
      <x:c r="L2437" s="54" t="n">
        <x:v>193.4</x:v>
      </x:c>
      <x:c r="M2437" s="55" t="n">
        <x:v>0.1001</x:v>
      </x:c>
      <x:c r="N2437" s="54" t="n">
        <x:f>ROUND(J2437*K2437,2)</x:f>
        <x:v>3045.42</x:v>
      </x:c>
      <x:c r="O2437" s="54" t="n">
        <x:f>ROUND(N2437*(1-M2437),2)</x:f>
        <x:v>2740.57</x:v>
      </x:c>
      <x:c r="P2437" s="54" t="n">
        <x:f>ROUND(J2437*L2437,2)</x:f>
        <x:v>1353.8</x:v>
      </x:c>
      <x:c r="Q2437" s="54" t="n">
        <x:f>ROUND(O2437-P2437,2)</x:f>
        <x:v>1386.77</x:v>
      </x:c>
      <x:c r="R2437" s="55" t="n">
        <x:f>IF(O2437=0,0,ROUND(Q2437/O2437,4))</x:f>
        <x:v>0.506</x:v>
      </x:c>
      <x:c r="S2437" s="53" t="n">
        <x:v>7</x:v>
      </x:c>
      <x:c r="T2437" t="str">
        <x:v>Entregue</x:v>
      </x:c>
      <x:c r="U2437" t="n">
        <x:v>4</x:v>
      </x:c>
      <x:c r="V2437" t="str"/>
    </x:row>
    <x:row r="2438">
      <x:c r="A2438" s="52" t="n">
        <x:v>46096</x:v>
      </x:c>
      <x:c r="B2438" t="str">
        <x:v>PED-102437</x:v>
      </x:c>
      <x:c r="C2438" t="str">
        <x:v>Cliente 022</x:v>
      </x:c>
      <x:c r="D2438" t="str">
        <x:v>PR</x:v>
      </x:c>
      <x:c r="E2438" t="str">
        <x:v>Sul</x:v>
      </x:c>
      <x:c r="F2438" t="str">
        <x:v>Marketplace</x:v>
      </x:c>
      <x:c r="G2438" t="str">
        <x:v>Casa</x:v>
      </x:c>
      <x:c r="H2438" t="str">
        <x:v>Aspirador Robô</x:v>
      </x:c>
      <x:c r="I2438" t="str">
        <x:v>Diego</x:v>
      </x:c>
      <x:c r="J2438" s="53" t="n">
        <x:v>8</x:v>
      </x:c>
      <x:c r="K2438" s="54" t="n">
        <x:v>1906.01</x:v>
      </x:c>
      <x:c r="L2438" s="54" t="n">
        <x:v>1212.07</x:v>
      </x:c>
      <x:c r="M2438" s="55" t="n">
        <x:v>0.1273</x:v>
      </x:c>
      <x:c r="N2438" s="54" t="n">
        <x:f>ROUND(J2438*K2438,2)</x:f>
        <x:v>15248.08</x:v>
      </x:c>
      <x:c r="O2438" s="54" t="n">
        <x:f>ROUND(N2438*(1-M2438),2)</x:f>
        <x:v>13307</x:v>
      </x:c>
      <x:c r="P2438" s="54" t="n">
        <x:f>ROUND(J2438*L2438,2)</x:f>
        <x:v>9696.56</x:v>
      </x:c>
      <x:c r="Q2438" s="54" t="n">
        <x:f>ROUND(O2438-P2438,2)</x:f>
        <x:v>3610.44</x:v>
      </x:c>
      <x:c r="R2438" s="55" t="n">
        <x:f>IF(O2438=0,0,ROUND(Q2438/O2438,4))</x:f>
        <x:v>0.2713</x:v>
      </x:c>
      <x:c r="S2438" s="53" t="n">
        <x:v>6</x:v>
      </x:c>
      <x:c r="T2438" t="str">
        <x:v>Entregue</x:v>
      </x:c>
      <x:c r="U2438" t="n">
        <x:v>2</x:v>
      </x:c>
      <x:c r="V2438" t="str"/>
    </x:row>
    <x:row r="2439">
      <x:c r="A2439" s="52" t="n">
        <x:v>46146</x:v>
      </x:c>
      <x:c r="B2439" t="str">
        <x:v>PED-102438</x:v>
      </x:c>
      <x:c r="C2439" t="str">
        <x:v>Cliente 071</x:v>
      </x:c>
      <x:c r="D2439" t="str">
        <x:v>PR</x:v>
      </x:c>
      <x:c r="E2439" t="str">
        <x:v>Sul</x:v>
      </x:c>
      <x:c r="F2439" t="str">
        <x:v>Marketplace</x:v>
      </x:c>
      <x:c r="G2439" t="str">
        <x:v>Casa</x:v>
      </x:c>
      <x:c r="H2439" t="str">
        <x:v>Aspirador Robô</x:v>
      </x:c>
      <x:c r="I2439" t="str">
        <x:v>Elaine</x:v>
      </x:c>
      <x:c r="J2439" s="53" t="n">
        <x:v>2</x:v>
      </x:c>
      <x:c r="K2439" s="54" t="n">
        <x:v>1828.74</x:v>
      </x:c>
      <x:c r="L2439" s="54" t="n">
        <x:v>1237.78</x:v>
      </x:c>
      <x:c r="M2439" s="55" t="n">
        <x:v>0.1451</x:v>
      </x:c>
      <x:c r="N2439" s="54" t="n">
        <x:f>ROUND(J2439*K2439,2)</x:f>
        <x:v>3657.48</x:v>
      </x:c>
      <x:c r="O2439" s="54" t="n">
        <x:f>ROUND(N2439*(1-M2439),2)</x:f>
        <x:v>3126.78</x:v>
      </x:c>
      <x:c r="P2439" s="54" t="n">
        <x:f>ROUND(J2439*L2439,2)</x:f>
        <x:v>2475.56</x:v>
      </x:c>
      <x:c r="Q2439" s="54" t="n">
        <x:f>ROUND(O2439-P2439,2)</x:f>
        <x:v>651.22</x:v>
      </x:c>
      <x:c r="R2439" s="55" t="n">
        <x:f>IF(O2439=0,0,ROUND(Q2439/O2439,4))</x:f>
        <x:v>0.2083</x:v>
      </x:c>
      <x:c r="S2439" s="53" t="n">
        <x:v>2</x:v>
      </x:c>
      <x:c r="T2439" t="str">
        <x:v>Entregue</x:v>
      </x:c>
      <x:c r="U2439" t="n">
        <x:v>5</x:v>
      </x:c>
      <x:c r="V2439" t="str"/>
    </x:row>
    <x:row r="2440">
      <x:c r="A2440" s="52" t="n">
        <x:v>46183</x:v>
      </x:c>
      <x:c r="B2440" t="str">
        <x:v>PED-102439</x:v>
      </x:c>
      <x:c r="C2440" t="str">
        <x:v>Cliente 052</x:v>
      </x:c>
      <x:c r="D2440" t="str">
        <x:v>PA</x:v>
      </x:c>
      <x:c r="E2440" t="str">
        <x:v>Norte</x:v>
      </x:c>
      <x:c r="F2440" t="str">
        <x:v>Televendas</x:v>
      </x:c>
      <x:c r="G2440" t="str">
        <x:v>Casa</x:v>
      </x:c>
      <x:c r="H2440" t="str">
        <x:v>Purificador</x:v>
      </x:c>
      <x:c r="I2440" t="str">
        <x:v>Felipe</x:v>
      </x:c>
      <x:c r="J2440" s="53" t="n">
        <x:v>4</x:v>
      </x:c>
      <x:c r="K2440" s="54" t="n">
        <x:v>1273</x:v>
      </x:c>
      <x:c r="L2440" s="54" t="n">
        <x:v>828.22</x:v>
      </x:c>
      <x:c r="M2440" s="55" t="n">
        <x:v>0.1085</x:v>
      </x:c>
      <x:c r="N2440" s="54" t="n">
        <x:f>ROUND(J2440*K2440,2)</x:f>
        <x:v>5092</x:v>
      </x:c>
      <x:c r="O2440" s="54" t="n">
        <x:f>ROUND(N2440*(1-M2440),2)</x:f>
        <x:v>4539.52</x:v>
      </x:c>
      <x:c r="P2440" s="54" t="n">
        <x:f>ROUND(J2440*L2440,2)</x:f>
        <x:v>3312.88</x:v>
      </x:c>
      <x:c r="Q2440" s="54" t="n">
        <x:f>ROUND(O2440-P2440,2)</x:f>
        <x:v>1226.64</x:v>
      </x:c>
      <x:c r="R2440" s="55" t="n">
        <x:f>IF(O2440=0,0,ROUND(Q2440/O2440,4))</x:f>
        <x:v>0.2702</x:v>
      </x:c>
      <x:c r="S2440" s="53" t="n">
        <x:v>14</x:v>
      </x:c>
      <x:c r="T2440" t="str">
        <x:v>Entregue com atraso</x:v>
      </x:c>
      <x:c r="U2440" t="n">
        <x:v>3</x:v>
      </x:c>
      <x:c r="V2440" t="str"/>
    </x:row>
    <x:row r="2441">
      <x:c r="A2441" s="52" t="n">
        <x:v>46104</x:v>
      </x:c>
      <x:c r="B2441" t="str">
        <x:v>PED-102440</x:v>
      </x:c>
      <x:c r="C2441" t="str">
        <x:v>Cliente 119</x:v>
      </x:c>
      <x:c r="D2441" t="str">
        <x:v>SC</x:v>
      </x:c>
      <x:c r="E2441" t="str">
        <x:v>Sul</x:v>
      </x:c>
      <x:c r="F2441" t="str">
        <x:v>Televendas</x:v>
      </x:c>
      <x:c r="G2441" t="str">
        <x:v>Casa</x:v>
      </x:c>
      <x:c r="H2441" t="str">
        <x:v>Cafeteira Smart</x:v>
      </x:c>
      <x:c r="I2441" t="str">
        <x:v>Isabela</x:v>
      </x:c>
      <x:c r="J2441" s="53" t="n">
        <x:v>6</x:v>
      </x:c>
      <x:c r="K2441" s="54" t="n">
        <x:v>743.33</x:v>
      </x:c>
      <x:c r="L2441" s="54" t="n">
        <x:v>476.11</x:v>
      </x:c>
      <x:c r="M2441" s="55" t="n">
        <x:v>0</x:v>
      </x:c>
      <x:c r="N2441" s="54" t="n">
        <x:f>ROUND(J2441*K2441,2)</x:f>
        <x:v>4459.98</x:v>
      </x:c>
      <x:c r="O2441" s="54" t="n">
        <x:f>ROUND(N2441*(1-M2441),2)</x:f>
        <x:v>4459.98</x:v>
      </x:c>
      <x:c r="P2441" s="54" t="n">
        <x:f>ROUND(J2441*L2441,2)</x:f>
        <x:v>2856.66</x:v>
      </x:c>
      <x:c r="Q2441" s="54" t="n">
        <x:f>ROUND(O2441-P2441,2)</x:f>
        <x:v>1603.32</x:v>
      </x:c>
      <x:c r="R2441" s="55" t="n">
        <x:f>IF(O2441=0,0,ROUND(Q2441/O2441,4))</x:f>
        <x:v>0.3595</x:v>
      </x:c>
      <x:c r="S2441" s="53" t="n">
        <x:v>3</x:v>
      </x:c>
      <x:c r="T2441" t="str">
        <x:v>Entregue</x:v>
      </x:c>
      <x:c r="U2441" t="n">
        <x:v>5</x:v>
      </x:c>
      <x:c r="V2441" t="str"/>
    </x:row>
    <x:row r="2442">
      <x:c r="A2442" s="52" t="n">
        <x:v>46178</x:v>
      </x:c>
      <x:c r="B2442" t="str">
        <x:v>PED-102441</x:v>
      </x:c>
      <x:c r="C2442" t="str">
        <x:v>Cliente 113</x:v>
      </x:c>
      <x:c r="D2442" t="str">
        <x:v>DF</x:v>
      </x:c>
      <x:c r="E2442" t="str">
        <x:v>Centro-Oeste</x:v>
      </x:c>
      <x:c r="F2442" t="str">
        <x:v>Loja</x:v>
      </x:c>
      <x:c r="G2442" t="str">
        <x:v>Acessórios</x:v>
      </x:c>
      <x:c r="H2442" t="str">
        <x:v>Mochila Executiva</x:v>
      </x:c>
      <x:c r="I2442" t="str">
        <x:v>Gabriela</x:v>
      </x:c>
      <x:c r="J2442" s="53" t="n">
        <x:v>8</x:v>
      </x:c>
      <x:c r="K2442" s="54" t="n">
        <x:v>446.54</x:v>
      </x:c>
      <x:c r="L2442" s="54" t="n">
        <x:v>198.57</x:v>
      </x:c>
      <x:c r="M2442" s="55" t="n">
        <x:v>0</x:v>
      </x:c>
      <x:c r="N2442" s="54" t="n">
        <x:f>ROUND(J2442*K2442,2)</x:f>
        <x:v>3572.32</x:v>
      </x:c>
      <x:c r="O2442" s="54" t="n">
        <x:f>ROUND(N2442*(1-M2442),2)</x:f>
        <x:v>3572.32</x:v>
      </x:c>
      <x:c r="P2442" s="54" t="n">
        <x:f>ROUND(J2442*L2442,2)</x:f>
        <x:v>1588.56</x:v>
      </x:c>
      <x:c r="Q2442" s="54" t="n">
        <x:f>ROUND(O2442-P2442,2)</x:f>
        <x:v>1983.76</x:v>
      </x:c>
      <x:c r="R2442" s="55" t="n">
        <x:f>IF(O2442=0,0,ROUND(Q2442/O2442,4))</x:f>
        <x:v>0.5553</x:v>
      </x:c>
      <x:c r="S2442" s="53" t="n">
        <x:v>7</x:v>
      </x:c>
      <x:c r="T2442" t="str">
        <x:v>Entregue</x:v>
      </x:c>
      <x:c r="U2442" t="n">
        <x:v>2</x:v>
      </x:c>
      <x:c r="V2442" t="str"/>
    </x:row>
    <x:row r="2443">
      <x:c r="A2443" s="52" t="n">
        <x:v>46030</x:v>
      </x:c>
      <x:c r="B2443" t="str">
        <x:v>PED-102442</x:v>
      </x:c>
      <x:c r="C2443" t="str">
        <x:v>Cliente 087</x:v>
      </x:c>
      <x:c r="D2443" t="str">
        <x:v>CE</x:v>
      </x:c>
      <x:c r="E2443" t="str">
        <x:v>Nordeste</x:v>
      </x:c>
      <x:c r="F2443" t="str">
        <x:v>Marketplace</x:v>
      </x:c>
      <x:c r="G2443" t="str">
        <x:v>Escritório</x:v>
      </x:c>
      <x:c r="H2443" t="str">
        <x:v>Luminária LED</x:v>
      </x:c>
      <x:c r="I2443" t="str">
        <x:v>Ana</x:v>
      </x:c>
      <x:c r="J2443" s="53" t="n">
        <x:v>4</x:v>
      </x:c>
      <x:c r="K2443" s="54" t="n">
        <x:v>257.21</x:v>
      </x:c>
      <x:c r="L2443" s="54" t="n">
        <x:v>124.44</x:v>
      </x:c>
      <x:c r="M2443" s="55" t="n">
        <x:v>0.035</x:v>
      </x:c>
      <x:c r="N2443" s="54" t="n">
        <x:f>ROUND(J2443*K2443,2)</x:f>
        <x:v>1028.84</x:v>
      </x:c>
      <x:c r="O2443" s="54" t="n">
        <x:f>ROUND(N2443*(1-M2443),2)</x:f>
        <x:v>992.83</x:v>
      </x:c>
      <x:c r="P2443" s="54" t="n">
        <x:f>ROUND(J2443*L2443,2)</x:f>
        <x:v>497.76</x:v>
      </x:c>
      <x:c r="Q2443" s="54" t="n">
        <x:f>ROUND(O2443-P2443,2)</x:f>
        <x:v>495.07</x:v>
      </x:c>
      <x:c r="R2443" s="55" t="n">
        <x:f>IF(O2443=0,0,ROUND(Q2443/O2443,4))</x:f>
        <x:v>0.4986</x:v>
      </x:c>
      <x:c r="S2443" s="53" t="n">
        <x:v>4</x:v>
      </x:c>
      <x:c r="T2443" t="str">
        <x:v>Entregue</x:v>
      </x:c>
      <x:c r="U2443" t="n">
        <x:v>3</x:v>
      </x:c>
      <x:c r="V2443" t="str"/>
    </x:row>
    <x:row r="2444">
      <x:c r="A2444" s="52" t="n">
        <x:v>46084</x:v>
      </x:c>
      <x:c r="B2444" t="str">
        <x:v>PED-102443</x:v>
      </x:c>
      <x:c r="C2444" t="str">
        <x:v>Cliente 013</x:v>
      </x:c>
      <x:c r="D2444" t="str">
        <x:v>PA</x:v>
      </x:c>
      <x:c r="E2444" t="str">
        <x:v>Norte</x:v>
      </x:c>
      <x:c r="F2444" t="str">
        <x:v>E-commerce</x:v>
      </x:c>
      <x:c r="G2444" t="str">
        <x:v>Casa</x:v>
      </x:c>
      <x:c r="H2444" t="str">
        <x:v>Cafeteira Smart</x:v>
      </x:c>
      <x:c r="I2444" t="str">
        <x:v>Bruno</x:v>
      </x:c>
      <x:c r="J2444" s="53" t="n">
        <x:v>1</x:v>
      </x:c>
      <x:c r="K2444" s="54" t="n">
        <x:v>793.23</x:v>
      </x:c>
      <x:c r="L2444" s="54" t="n">
        <x:v>459.48</x:v>
      </x:c>
      <x:c r="M2444" s="55" t="n">
        <x:v>0.0344</x:v>
      </x:c>
      <x:c r="N2444" s="54" t="n">
        <x:f>ROUND(J2444*K2444,2)</x:f>
        <x:v>793.23</x:v>
      </x:c>
      <x:c r="O2444" s="54" t="n">
        <x:f>ROUND(N2444*(1-M2444),2)</x:f>
        <x:v>765.94</x:v>
      </x:c>
      <x:c r="P2444" s="54" t="n">
        <x:f>ROUND(J2444*L2444,2)</x:f>
        <x:v>459.48</x:v>
      </x:c>
      <x:c r="Q2444" s="54" t="n">
        <x:f>ROUND(O2444-P2444,2)</x:f>
        <x:v>306.46</x:v>
      </x:c>
      <x:c r="R2444" s="55" t="n">
        <x:f>IF(O2444=0,0,ROUND(Q2444/O2444,4))</x:f>
        <x:v>0.4001</x:v>
      </x:c>
      <x:c r="S2444" s="53" t="n">
        <x:v>14</x:v>
      </x:c>
      <x:c r="T2444" t="str">
        <x:v>Entregue com atraso</x:v>
      </x:c>
      <x:c r="U2444" t="n">
        <x:v>2</x:v>
      </x:c>
      <x:c r="V2444" t="str"/>
    </x:row>
    <x:row r="2445">
      <x:c r="A2445" s="52" t="n">
        <x:v>46040</x:v>
      </x:c>
      <x:c r="B2445" t="str">
        <x:v>PED-102444</x:v>
      </x:c>
      <x:c r="C2445" t="str">
        <x:v>Cliente 092</x:v>
      </x:c>
      <x:c r="D2445" t="str">
        <x:v>RJ</x:v>
      </x:c>
      <x:c r="E2445" t="str">
        <x:v>Sudeste</x:v>
      </x:c>
      <x:c r="F2445" t="str">
        <x:v>Marketplace</x:v>
      </x:c>
      <x:c r="G2445" t="str">
        <x:v>Tecnologia</x:v>
      </x:c>
      <x:c r="H2445" t="str">
        <x:v>Monitor 27</x:v>
      </x:c>
      <x:c r="I2445" t="str">
        <x:v>Isabela</x:v>
      </x:c>
      <x:c r="J2445" s="53" t="n">
        <x:v>4</x:v>
      </x:c>
      <x:c r="K2445" s="54" t="n">
        <x:v>1690.83</x:v>
      </x:c>
      <x:c r="L2445" s="54" t="n">
        <x:v>1113.59</x:v>
      </x:c>
      <x:c r="M2445" s="55" t="n">
        <x:v>0.035</x:v>
      </x:c>
      <x:c r="N2445" s="54" t="n">
        <x:f>ROUND(J2445*K2445,2)</x:f>
        <x:v>6763.32</x:v>
      </x:c>
      <x:c r="O2445" s="54" t="n">
        <x:f>ROUND(N2445*(1-M2445),2)</x:f>
        <x:v>6526.6</x:v>
      </x:c>
      <x:c r="P2445" s="54" t="n">
        <x:f>ROUND(J2445*L2445,2)</x:f>
        <x:v>4454.36</x:v>
      </x:c>
      <x:c r="Q2445" s="54" t="n">
        <x:f>ROUND(O2445-P2445,2)</x:f>
        <x:v>2072.24</x:v>
      </x:c>
      <x:c r="R2445" s="55" t="n">
        <x:f>IF(O2445=0,0,ROUND(Q2445/O2445,4))</x:f>
        <x:v>0.3175</x:v>
      </x:c>
      <x:c r="S2445" s="53" t="n">
        <x:v>8</x:v>
      </x:c>
      <x:c r="T2445" t="str">
        <x:v>Entregue</x:v>
      </x:c>
      <x:c r="U2445" t="n">
        <x:v>2</x:v>
      </x:c>
      <x:c r="V2445" t="str"/>
    </x:row>
    <x:row r="2446">
      <x:c r="A2446" s="52" t="n">
        <x:v>46089</x:v>
      </x:c>
      <x:c r="B2446" t="str">
        <x:v>PED-102445</x:v>
      </x:c>
      <x:c r="C2446" t="str">
        <x:v>Cliente 053</x:v>
      </x:c>
      <x:c r="D2446" t="str">
        <x:v>BA</x:v>
      </x:c>
      <x:c r="E2446" t="str">
        <x:v>Nordeste</x:v>
      </x:c>
      <x:c r="F2446" t="str">
        <x:v>E-commerce</x:v>
      </x:c>
      <x:c r="G2446" t="str">
        <x:v>Tecnologia</x:v>
      </x:c>
      <x:c r="H2446" t="str">
        <x:v>Notebook Pro</x:v>
      </x:c>
      <x:c r="I2446" t="str">
        <x:v>Bruno</x:v>
      </x:c>
      <x:c r="J2446" s="53" t="n">
        <x:v>8</x:v>
      </x:c>
      <x:c r="K2446" s="54" t="n">
        <x:v>6160.63</x:v>
      </x:c>
      <x:c r="L2446" s="54" t="n">
        <x:v>4559.17</x:v>
      </x:c>
      <x:c r="M2446" s="55" t="n">
        <x:v>0.1174</x:v>
      </x:c>
      <x:c r="N2446" s="54" t="n">
        <x:f>ROUND(J2446*K2446,2)</x:f>
        <x:v>49285.04</x:v>
      </x:c>
      <x:c r="O2446" s="54" t="n">
        <x:f>ROUND(N2446*(1-M2446),2)</x:f>
        <x:v>43498.98</x:v>
      </x:c>
      <x:c r="P2446" s="54" t="n">
        <x:f>ROUND(J2446*L2446,2)</x:f>
        <x:v>36473.36</x:v>
      </x:c>
      <x:c r="Q2446" s="54" t="n">
        <x:f>ROUND(O2446-P2446,2)</x:f>
        <x:v>7025.62</x:v>
      </x:c>
      <x:c r="R2446" s="55" t="n">
        <x:f>IF(O2446=0,0,ROUND(Q2446/O2446,4))</x:f>
        <x:v>0.1615</x:v>
      </x:c>
      <x:c r="S2446" s="53" t="n">
        <x:v>8</x:v>
      </x:c>
      <x:c r="T2446" t="str">
        <x:v>Entregue</x:v>
      </x:c>
      <x:c r="U2446" t="n">
        <x:v>4</x:v>
      </x:c>
      <x:c r="V2446" t="str"/>
    </x:row>
    <x:row r="2447">
      <x:c r="A2447" s="52" t="n">
        <x:v>46050</x:v>
      </x:c>
      <x:c r="B2447" t="str">
        <x:v>PED-102446</x:v>
      </x:c>
      <x:c r="C2447" t="str">
        <x:v>Cliente 075</x:v>
      </x:c>
      <x:c r="D2447" t="str">
        <x:v>RS</x:v>
      </x:c>
      <x:c r="E2447" t="str">
        <x:v>Sul</x:v>
      </x:c>
      <x:c r="F2447" t="str">
        <x:v>Marketplace</x:v>
      </x:c>
      <x:c r="G2447" t="str">
        <x:v>Acessórios</x:v>
      </x:c>
      <x:c r="H2447" t="str">
        <x:v>Mochila Executiva</x:v>
      </x:c>
      <x:c r="I2447" t="str">
        <x:v>Bruno</x:v>
      </x:c>
      <x:c r="J2447" s="53" t="n">
        <x:v>2</x:v>
      </x:c>
      <x:c r="K2447" s="54" t="n">
        <x:v>417.08</x:v>
      </x:c>
      <x:c r="L2447" s="54" t="n">
        <x:v>185.2</x:v>
      </x:c>
      <x:c r="M2447" s="55" t="n">
        <x:v>0.035</x:v>
      </x:c>
      <x:c r="N2447" s="54" t="n">
        <x:f>ROUND(J2447*K2447,2)</x:f>
        <x:v>834.16</x:v>
      </x:c>
      <x:c r="O2447" s="54" t="n">
        <x:f>ROUND(N2447*(1-M2447),2)</x:f>
        <x:v>804.96</x:v>
      </x:c>
      <x:c r="P2447" s="54" t="n">
        <x:f>ROUND(J2447*L2447,2)</x:f>
        <x:v>370.4</x:v>
      </x:c>
      <x:c r="Q2447" s="54" t="n">
        <x:f>ROUND(O2447-P2447,2)</x:f>
        <x:v>434.56</x:v>
      </x:c>
      <x:c r="R2447" s="55" t="n">
        <x:f>IF(O2447=0,0,ROUND(Q2447/O2447,4))</x:f>
        <x:v>0.5399</x:v>
      </x:c>
      <x:c r="S2447" s="53" t="n">
        <x:v>12</x:v>
      </x:c>
      <x:c r="T2447" t="str">
        <x:v>Entregue com atraso</x:v>
      </x:c>
      <x:c r="U2447" t="n">
        <x:v>5</x:v>
      </x:c>
      <x:c r="V2447" t="str"/>
    </x:row>
    <x:row r="2448">
      <x:c r="A2448" s="52" t="n">
        <x:v>46028</x:v>
      </x:c>
      <x:c r="B2448" t="str">
        <x:v>PED-102447</x:v>
      </x:c>
      <x:c r="C2448" t="str">
        <x:v>Cliente 017</x:v>
      </x:c>
      <x:c r="D2448" t="str">
        <x:v>PA</x:v>
      </x:c>
      <x:c r="E2448" t="str">
        <x:v>Norte</x:v>
      </x:c>
      <x:c r="F2448" t="str">
        <x:v>Marketplace</x:v>
      </x:c>
      <x:c r="G2448" t="str">
        <x:v>Casa</x:v>
      </x:c>
      <x:c r="H2448" t="str">
        <x:v>Aspirador Robô</x:v>
      </x:c>
      <x:c r="I2448" t="str">
        <x:v>Diego</x:v>
      </x:c>
      <x:c r="J2448" s="53" t="n">
        <x:v>2</x:v>
      </x:c>
      <x:c r="K2448" s="54" t="n">
        <x:v>1953.75</x:v>
      </x:c>
      <x:c r="L2448" s="54" t="n">
        <x:v>1184.97</x:v>
      </x:c>
      <x:c r="M2448" s="55" t="n">
        <x:v>0.035</x:v>
      </x:c>
      <x:c r="N2448" s="54" t="n">
        <x:f>ROUND(J2448*K2448,2)</x:f>
        <x:v>3907.5</x:v>
      </x:c>
      <x:c r="O2448" s="54" t="n">
        <x:f>ROUND(N2448*(1-M2448),2)</x:f>
        <x:v>3770.74</x:v>
      </x:c>
      <x:c r="P2448" s="54" t="n">
        <x:f>ROUND(J2448*L2448,2)</x:f>
        <x:v>2369.94</x:v>
      </x:c>
      <x:c r="Q2448" s="54" t="n">
        <x:f>ROUND(O2448-P2448,2)</x:f>
        <x:v>1400.8</x:v>
      </x:c>
      <x:c r="R2448" s="55" t="n">
        <x:f>IF(O2448=0,0,ROUND(Q2448/O2448,4))</x:f>
        <x:v>0.3715</x:v>
      </x:c>
      <x:c r="S2448" s="53" t="n">
        <x:v>12</x:v>
      </x:c>
      <x:c r="T2448" t="str">
        <x:v>Entregue com atraso</x:v>
      </x:c>
      <x:c r="U2448" t="n">
        <x:v>2</x:v>
      </x:c>
      <x:c r="V2448" t="str"/>
    </x:row>
    <x:row r="2449">
      <x:c r="A2449" s="52" t="n">
        <x:v>46133</x:v>
      </x:c>
      <x:c r="B2449" t="str">
        <x:v>PED-102448</x:v>
      </x:c>
      <x:c r="C2449" t="str">
        <x:v>Cliente 103</x:v>
      </x:c>
      <x:c r="D2449" t="str">
        <x:v>PE</x:v>
      </x:c>
      <x:c r="E2449" t="str">
        <x:v>Nordeste</x:v>
      </x:c>
      <x:c r="F2449" t="str">
        <x:v>Marketplace</x:v>
      </x:c>
      <x:c r="G2449" t="str">
        <x:v>Tecnologia</x:v>
      </x:c>
      <x:c r="H2449" t="str">
        <x:v>Monitor 27</x:v>
      </x:c>
      <x:c r="I2449" t="str">
        <x:v>Bruno</x:v>
      </x:c>
      <x:c r="J2449" s="53" t="n">
        <x:v>8</x:v>
      </x:c>
      <x:c r="K2449" s="54" t="n">
        <x:v>1637.34</x:v>
      </x:c>
      <x:c r="L2449" s="54" t="n">
        <x:v>1154.24</x:v>
      </x:c>
      <x:c r="M2449" s="55" t="n">
        <x:v>0.035</x:v>
      </x:c>
      <x:c r="N2449" s="54" t="n">
        <x:f>ROUND(J2449*K2449,2)</x:f>
        <x:v>13098.72</x:v>
      </x:c>
      <x:c r="O2449" s="54" t="n">
        <x:f>ROUND(N2449*(1-M2449),2)</x:f>
        <x:v>12640.26</x:v>
      </x:c>
      <x:c r="P2449" s="54" t="n">
        <x:f>ROUND(J2449*L2449,2)</x:f>
        <x:v>9233.92</x:v>
      </x:c>
      <x:c r="Q2449" s="54" t="n">
        <x:f>ROUND(O2449-P2449,2)</x:f>
        <x:v>3406.34</x:v>
      </x:c>
      <x:c r="R2449" s="55" t="n">
        <x:f>IF(O2449=0,0,ROUND(Q2449/O2449,4))</x:f>
        <x:v>0.2695</x:v>
      </x:c>
      <x:c r="S2449" s="53" t="n">
        <x:v>10</x:v>
      </x:c>
      <x:c r="T2449" t="str">
        <x:v>Entregue</x:v>
      </x:c>
      <x:c r="U2449" t="n">
        <x:v>5</x:v>
      </x:c>
      <x:c r="V2449" t="str"/>
    </x:row>
    <x:row r="2450">
      <x:c r="A2450" s="52" t="n">
        <x:v>46045</x:v>
      </x:c>
      <x:c r="B2450" t="str">
        <x:v>PED-102449</x:v>
      </x:c>
      <x:c r="C2450" t="str">
        <x:v>Cliente 007</x:v>
      </x:c>
      <x:c r="D2450" t="str">
        <x:v>PR</x:v>
      </x:c>
      <x:c r="E2450" t="str">
        <x:v>Sul</x:v>
      </x:c>
      <x:c r="F2450" t="str">
        <x:v>Loja</x:v>
      </x:c>
      <x:c r="G2450" t="str">
        <x:v>Acessórios</x:v>
      </x:c>
      <x:c r="H2450" t="str">
        <x:v>Hub USB-C</x:v>
      </x:c>
      <x:c r="I2450" t="str">
        <x:v>Henrique</x:v>
      </x:c>
      <x:c r="J2450" s="53" t="n">
        <x:v>4</x:v>
      </x:c>
      <x:c r="K2450" s="54" t="n">
        <x:v>326.62</x:v>
      </x:c>
      <x:c r="L2450" s="54" t="n">
        <x:v>140.3</x:v>
      </x:c>
      <x:c r="M2450" s="55" t="n">
        <x:v>0</x:v>
      </x:c>
      <x:c r="N2450" s="54" t="n">
        <x:f>ROUND(J2450*K2450,2)</x:f>
        <x:v>1306.48</x:v>
      </x:c>
      <x:c r="O2450" s="54" t="n">
        <x:f>ROUND(N2450*(1-M2450),2)</x:f>
        <x:v>1306.48</x:v>
      </x:c>
      <x:c r="P2450" s="54" t="n">
        <x:f>ROUND(J2450*L2450,2)</x:f>
        <x:v>561.2</x:v>
      </x:c>
      <x:c r="Q2450" s="54" t="n">
        <x:f>ROUND(O2450-P2450,2)</x:f>
        <x:v>745.28</x:v>
      </x:c>
      <x:c r="R2450" s="55" t="n">
        <x:f>IF(O2450=0,0,ROUND(Q2450/O2450,4))</x:f>
        <x:v>0.5704</x:v>
      </x:c>
      <x:c r="S2450" s="53" t="n">
        <x:v>5</x:v>
      </x:c>
      <x:c r="T2450" t="str">
        <x:v>Entregue</x:v>
      </x:c>
      <x:c r="U2450" t="n">
        <x:v>5</x:v>
      </x:c>
      <x:c r="V2450" t="str"/>
    </x:row>
    <x:row r="2451">
      <x:c r="A2451" s="52" t="n">
        <x:v>46050</x:v>
      </x:c>
      <x:c r="B2451" t="str">
        <x:v>PED-102450</x:v>
      </x:c>
      <x:c r="C2451" t="str">
        <x:v>Cliente 114</x:v>
      </x:c>
      <x:c r="D2451" t="str">
        <x:v>BA</x:v>
      </x:c>
      <x:c r="E2451" t="str">
        <x:v>Nordeste</x:v>
      </x:c>
      <x:c r="F2451" t="str">
        <x:v>E-commerce</x:v>
      </x:c>
      <x:c r="G2451" t="str">
        <x:v>Tecnologia</x:v>
      </x:c>
      <x:c r="H2451" t="str">
        <x:v>Notebook Pro</x:v>
      </x:c>
      <x:c r="I2451" t="str">
        <x:v>Carla</x:v>
      </x:c>
      <x:c r="J2451" s="53" t="n">
        <x:v>3</x:v>
      </x:c>
      <x:c r="K2451" s="54" t="n">
        <x:v>5955.37</x:v>
      </x:c>
      <x:c r="L2451" s="54" t="n">
        <x:v>4623.92</x:v>
      </x:c>
      <x:c r="M2451" s="55" t="n">
        <x:v>0.0195</x:v>
      </x:c>
      <x:c r="N2451" s="54" t="n">
        <x:f>ROUND(J2451*K2451,2)</x:f>
        <x:v>17866.11</x:v>
      </x:c>
      <x:c r="O2451" s="54" t="n">
        <x:f>ROUND(N2451*(1-M2451),2)</x:f>
        <x:v>17517.72</x:v>
      </x:c>
      <x:c r="P2451" s="54" t="n">
        <x:f>ROUND(J2451*L2451,2)</x:f>
        <x:v>13871.76</x:v>
      </x:c>
      <x:c r="Q2451" s="54" t="n">
        <x:f>ROUND(O2451-P2451,2)</x:f>
        <x:v>3645.96</x:v>
      </x:c>
      <x:c r="R2451" s="55" t="n">
        <x:f>IF(O2451=0,0,ROUND(Q2451/O2451,4))</x:f>
        <x:v>0.2081</x:v>
      </x:c>
      <x:c r="S2451" s="53" t="n">
        <x:v>13</x:v>
      </x:c>
      <x:c r="T2451" t="str">
        <x:v>Entregue com atraso</x:v>
      </x:c>
      <x:c r="U2451" t="n">
        <x:v>5</x:v>
      </x:c>
      <x:c r="V2451" t="str"/>
    </x:row>
    <x:row r="2452">
      <x:c r="A2452" s="52" t="n">
        <x:v>46100</x:v>
      </x:c>
      <x:c r="B2452" t="str">
        <x:v>PED-102451</x:v>
      </x:c>
      <x:c r="C2452" t="str">
        <x:v>Cliente 110</x:v>
      </x:c>
      <x:c r="D2452" t="str">
        <x:v>MG</x:v>
      </x:c>
      <x:c r="E2452" t="str">
        <x:v>Sudeste</x:v>
      </x:c>
      <x:c r="F2452" t="str">
        <x:v>Marketplace</x:v>
      </x:c>
      <x:c r="G2452" t="str">
        <x:v>Acessórios</x:v>
      </x:c>
      <x:c r="H2452" t="str">
        <x:v>Mochila Executiva</x:v>
      </x:c>
      <x:c r="I2452" t="str">
        <x:v>Elaine</x:v>
      </x:c>
      <x:c r="J2452" s="53" t="n">
        <x:v>2</x:v>
      </x:c>
      <x:c r="K2452" s="54" t="n">
        <x:v>414.5</x:v>
      </x:c>
      <x:c r="L2452" s="54" t="n">
        <x:v>193.99</x:v>
      </x:c>
      <x:c r="M2452" s="55" t="n">
        <x:v>0.035</x:v>
      </x:c>
      <x:c r="N2452" s="54" t="n">
        <x:f>ROUND(J2452*K2452,2)</x:f>
        <x:v>829</x:v>
      </x:c>
      <x:c r="O2452" s="54" t="n">
        <x:f>ROUND(N2452*(1-M2452),2)</x:f>
        <x:v>799.99</x:v>
      </x:c>
      <x:c r="P2452" s="54" t="n">
        <x:f>ROUND(J2452*L2452,2)</x:f>
        <x:v>387.98</x:v>
      </x:c>
      <x:c r="Q2452" s="54" t="n">
        <x:f>ROUND(O2452-P2452,2)</x:f>
        <x:v>412.01</x:v>
      </x:c>
      <x:c r="R2452" s="55" t="n">
        <x:f>IF(O2452=0,0,ROUND(Q2452/O2452,4))</x:f>
        <x:v>0.515</x:v>
      </x:c>
      <x:c r="S2452" s="53" t="n">
        <x:v>10</x:v>
      </x:c>
      <x:c r="T2452" t="str">
        <x:v>Entregue</x:v>
      </x:c>
      <x:c r="U2452" t="n">
        <x:v>2</x:v>
      </x:c>
      <x:c r="V2452" t="str"/>
    </x:row>
    <x:row r="2453">
      <x:c r="A2453" s="52" t="n">
        <x:v>46060</x:v>
      </x:c>
      <x:c r="B2453" t="str">
        <x:v>PED-102452</x:v>
      </x:c>
      <x:c r="C2453" t="str">
        <x:v>Cliente 047</x:v>
      </x:c>
      <x:c r="D2453" t="str">
        <x:v>ES</x:v>
      </x:c>
      <x:c r="E2453" t="str">
        <x:v>Sudeste</x:v>
      </x:c>
      <x:c r="F2453" t="str">
        <x:v>Televendas</x:v>
      </x:c>
      <x:c r="G2453" t="str">
        <x:v>Escritório</x:v>
      </x:c>
      <x:c r="H2453" t="str">
        <x:v>Cadeira Ergonômica</x:v>
      </x:c>
      <x:c r="I2453" t="str">
        <x:v>Felipe</x:v>
      </x:c>
      <x:c r="J2453" s="53" t="n">
        <x:v>8</x:v>
      </x:c>
      <x:c r="K2453" s="54" t="n">
        <x:v>2193.45</x:v>
      </x:c>
      <x:c r="L2453" s="54" t="n">
        <x:v>1463.81</x:v>
      </x:c>
      <x:c r="M2453" s="55" t="n">
        <x:v>0</x:v>
      </x:c>
      <x:c r="N2453" s="54" t="n">
        <x:f>ROUND(J2453*K2453,2)</x:f>
        <x:v>17547.6</x:v>
      </x:c>
      <x:c r="O2453" s="54" t="n">
        <x:f>ROUND(N2453*(1-M2453),2)</x:f>
        <x:v>17547.6</x:v>
      </x:c>
      <x:c r="P2453" s="54" t="n">
        <x:f>ROUND(J2453*L2453,2)</x:f>
        <x:v>11710.48</x:v>
      </x:c>
      <x:c r="Q2453" s="54" t="n">
        <x:f>ROUND(O2453-P2453,2)</x:f>
        <x:v>5837.12</x:v>
      </x:c>
      <x:c r="R2453" s="55" t="n">
        <x:f>IF(O2453=0,0,ROUND(Q2453/O2453,4))</x:f>
        <x:v>0.3326</x:v>
      </x:c>
      <x:c r="S2453" s="53" t="n">
        <x:v>7</x:v>
      </x:c>
      <x:c r="T2453" t="str">
        <x:v>Entregue</x:v>
      </x:c>
      <x:c r="U2453" t="n">
        <x:v>2</x:v>
      </x:c>
      <x:c r="V2453" t="str"/>
    </x:row>
    <x:row r="2454">
      <x:c r="A2454" s="52" t="n">
        <x:v>46120</x:v>
      </x:c>
      <x:c r="B2454" t="str">
        <x:v>PED-102453</x:v>
      </x:c>
      <x:c r="C2454" t="str">
        <x:v>Cliente 044</x:v>
      </x:c>
      <x:c r="D2454" t="str">
        <x:v>MA</x:v>
      </x:c>
      <x:c r="E2454" t="str">
        <x:v>Nordeste</x:v>
      </x:c>
      <x:c r="F2454" t="str">
        <x:v>Loja</x:v>
      </x:c>
      <x:c r="G2454" t="str">
        <x:v>Casa</x:v>
      </x:c>
      <x:c r="H2454" t="str">
        <x:v>Cafeteira Smart</x:v>
      </x:c>
      <x:c r="I2454" t="str">
        <x:v>Diego</x:v>
      </x:c>
      <x:c r="J2454" s="53" t="n">
        <x:v>7</x:v>
      </x:c>
      <x:c r="K2454" s="54" t="n">
        <x:v>764.13</x:v>
      </x:c>
      <x:c r="L2454" s="54" t="n">
        <x:v>471.32</x:v>
      </x:c>
      <x:c r="M2454" s="55" t="n">
        <x:v>0.048</x:v>
      </x:c>
      <x:c r="N2454" s="54" t="n">
        <x:f>ROUND(J2454*K2454,2)</x:f>
        <x:v>5348.91</x:v>
      </x:c>
      <x:c r="O2454" s="54" t="n">
        <x:f>ROUND(N2454*(1-M2454),2)</x:f>
        <x:v>5092.16</x:v>
      </x:c>
      <x:c r="P2454" s="54" t="n">
        <x:f>ROUND(J2454*L2454,2)</x:f>
        <x:v>3299.24</x:v>
      </x:c>
      <x:c r="Q2454" s="54" t="n">
        <x:f>ROUND(O2454-P2454,2)</x:f>
        <x:v>1792.92</x:v>
      </x:c>
      <x:c r="R2454" s="55" t="n">
        <x:f>IF(O2454=0,0,ROUND(Q2454/O2454,4))</x:f>
        <x:v>0.3521</x:v>
      </x:c>
      <x:c r="S2454" s="53" t="n">
        <x:v>11</x:v>
      </x:c>
      <x:c r="T2454" t="str">
        <x:v>Entregue com atraso</x:v>
      </x:c>
      <x:c r="U2454" t="n">
        <x:v>4</x:v>
      </x:c>
      <x:c r="V2454" t="str"/>
    </x:row>
    <x:row r="2455">
      <x:c r="A2455" s="52" t="n">
        <x:v>46155</x:v>
      </x:c>
      <x:c r="B2455" t="str">
        <x:v>PED-102454</x:v>
      </x:c>
      <x:c r="C2455" t="str">
        <x:v>Cliente 021</x:v>
      </x:c>
      <x:c r="D2455" t="str">
        <x:v>SP</x:v>
      </x:c>
      <x:c r="E2455" t="str">
        <x:v>Sudeste</x:v>
      </x:c>
      <x:c r="F2455" t="str">
        <x:v>E-commerce</x:v>
      </x:c>
      <x:c r="G2455" t="str">
        <x:v>Acessórios</x:v>
      </x:c>
      <x:c r="H2455" t="str">
        <x:v>Hub USB-C</x:v>
      </x:c>
      <x:c r="I2455" t="str">
        <x:v>Diego</x:v>
      </x:c>
      <x:c r="J2455" s="53" t="n">
        <x:v>6</x:v>
      </x:c>
      <x:c r="K2455" s="54" t="n">
        <x:v>302.27</x:v>
      </x:c>
      <x:c r="L2455" s="54" t="n">
        <x:v>141.24</x:v>
      </x:c>
      <x:c r="M2455" s="55" t="n">
        <x:v>0</x:v>
      </x:c>
      <x:c r="N2455" s="54" t="n">
        <x:f>ROUND(J2455*K2455,2)</x:f>
        <x:v>1813.62</x:v>
      </x:c>
      <x:c r="O2455" s="54" t="n">
        <x:f>ROUND(N2455*(1-M2455),2)</x:f>
        <x:v>1813.62</x:v>
      </x:c>
      <x:c r="P2455" s="54" t="n">
        <x:f>ROUND(J2455*L2455,2)</x:f>
        <x:v>847.44</x:v>
      </x:c>
      <x:c r="Q2455" s="54" t="n">
        <x:f>ROUND(O2455-P2455,2)</x:f>
        <x:v>966.18</x:v>
      </x:c>
      <x:c r="R2455" s="55" t="n">
        <x:f>IF(O2455=0,0,ROUND(Q2455/O2455,4))</x:f>
        <x:v>0.5327</x:v>
      </x:c>
      <x:c r="S2455" s="53" t="n">
        <x:v>11</x:v>
      </x:c>
      <x:c r="T2455" t="str">
        <x:v>Entregue com atraso</x:v>
      </x:c>
      <x:c r="U2455" t="n">
        <x:v>2</x:v>
      </x:c>
      <x:c r="V2455" t="str"/>
    </x:row>
    <x:row r="2456">
      <x:c r="A2456" s="52" t="n">
        <x:v>46060</x:v>
      </x:c>
      <x:c r="B2456" t="str">
        <x:v>PED-102455</x:v>
      </x:c>
      <x:c r="C2456" t="str">
        <x:v>Cliente 090</x:v>
      </x:c>
      <x:c r="D2456" t="str">
        <x:v>PR</x:v>
      </x:c>
      <x:c r="E2456" t="str">
        <x:v>Sul</x:v>
      </x:c>
      <x:c r="F2456" t="str">
        <x:v>Loja</x:v>
      </x:c>
      <x:c r="G2456" t="str">
        <x:v>Escritório</x:v>
      </x:c>
      <x:c r="H2456" t="str">
        <x:v>Cadeira Ergonômica</x:v>
      </x:c>
      <x:c r="I2456" t="str">
        <x:v>Felipe</x:v>
      </x:c>
      <x:c r="J2456" s="53" t="n">
        <x:v>2</x:v>
      </x:c>
      <x:c r="K2456" s="54" t="n">
        <x:v>2093.19</x:v>
      </x:c>
      <x:c r="L2456" s="54" t="n">
        <x:v>1479.62</x:v>
      </x:c>
      <x:c r="M2456" s="55" t="n">
        <x:v>0.0226</x:v>
      </x:c>
      <x:c r="N2456" s="54" t="n">
        <x:f>ROUND(J2456*K2456,2)</x:f>
        <x:v>4186.38</x:v>
      </x:c>
      <x:c r="O2456" s="54" t="n">
        <x:f>ROUND(N2456*(1-M2456),2)</x:f>
        <x:v>4091.77</x:v>
      </x:c>
      <x:c r="P2456" s="54" t="n">
        <x:f>ROUND(J2456*L2456,2)</x:f>
        <x:v>2959.24</x:v>
      </x:c>
      <x:c r="Q2456" s="54" t="n">
        <x:f>ROUND(O2456-P2456,2)</x:f>
        <x:v>1132.53</x:v>
      </x:c>
      <x:c r="R2456" s="55" t="n">
        <x:f>IF(O2456=0,0,ROUND(Q2456/O2456,4))</x:f>
        <x:v>0.2768</x:v>
      </x:c>
      <x:c r="S2456" s="53" t="n">
        <x:v>7</x:v>
      </x:c>
      <x:c r="T2456" t="str">
        <x:v>Entregue</x:v>
      </x:c>
      <x:c r="U2456" t="n">
        <x:v>3</x:v>
      </x:c>
      <x:c r="V2456" t="str"/>
    </x:row>
    <x:row r="2457">
      <x:c r="A2457" s="52" t="n">
        <x:v>46227</x:v>
      </x:c>
      <x:c r="B2457" t="str">
        <x:v>PED-102456</x:v>
      </x:c>
      <x:c r="C2457" t="str">
        <x:v>Cliente 058</x:v>
      </x:c>
      <x:c r="D2457" t="str">
        <x:v>PE</x:v>
      </x:c>
      <x:c r="E2457" t="str">
        <x:v>Nordeste</x:v>
      </x:c>
      <x:c r="F2457" t="str">
        <x:v>Loja</x:v>
      </x:c>
      <x:c r="G2457" t="str">
        <x:v>Tecnologia</x:v>
      </x:c>
      <x:c r="H2457" t="str">
        <x:v>Headset Office</x:v>
      </x:c>
      <x:c r="I2457" t="str">
        <x:v>Bruno</x:v>
      </x:c>
      <x:c r="J2457" s="53" t="n">
        <x:v>8</x:v>
      </x:c>
      <x:c r="K2457" s="54" t="n">
        <x:v>373.75</x:v>
      </x:c>
      <x:c r="L2457" s="54" t="n">
        <x:v>224.33</x:v>
      </x:c>
      <x:c r="M2457" s="55" t="n">
        <x:v>0</x:v>
      </x:c>
      <x:c r="N2457" s="54" t="n">
        <x:f>ROUND(J2457*K2457,2)</x:f>
        <x:v>2990</x:v>
      </x:c>
      <x:c r="O2457" s="54" t="n">
        <x:f>ROUND(N2457*(1-M2457),2)</x:f>
        <x:v>2990</x:v>
      </x:c>
      <x:c r="P2457" s="54" t="n">
        <x:f>ROUND(J2457*L2457,2)</x:f>
        <x:v>1794.64</x:v>
      </x:c>
      <x:c r="Q2457" s="54" t="n">
        <x:f>ROUND(O2457-P2457,2)</x:f>
        <x:v>1195.36</x:v>
      </x:c>
      <x:c r="R2457" s="55" t="n">
        <x:f>IF(O2457=0,0,ROUND(Q2457/O2457,4))</x:f>
        <x:v>0.3998</x:v>
      </x:c>
      <x:c r="S2457" s="53" t="n">
        <x:v>7</x:v>
      </x:c>
      <x:c r="T2457" t="str">
        <x:v>Entregue</x:v>
      </x:c>
      <x:c r="U2457" t="n">
        <x:v>2</x:v>
      </x:c>
      <x:c r="V2457" t="str"/>
    </x:row>
    <x:row r="2458">
      <x:c r="A2458" s="52" t="n">
        <x:v>46195</x:v>
      </x:c>
      <x:c r="B2458" t="str">
        <x:v>PED-102457</x:v>
      </x:c>
      <x:c r="C2458" t="str">
        <x:v>Cliente 078</x:v>
      </x:c>
      <x:c r="D2458" t="str">
        <x:v>MA</x:v>
      </x:c>
      <x:c r="E2458" t="str">
        <x:v>Nordeste</x:v>
      </x:c>
      <x:c r="F2458" t="str">
        <x:v>Loja</x:v>
      </x:c>
      <x:c r="G2458" t="str">
        <x:v>Casa</x:v>
      </x:c>
      <x:c r="H2458" t="str">
        <x:v>Cafeteira Smart</x:v>
      </x:c>
      <x:c r="I2458" t="str">
        <x:v>João</x:v>
      </x:c>
      <x:c r="J2458" s="53" t="n">
        <x:v>2</x:v>
      </x:c>
      <x:c r="K2458" s="54" t="n">
        <x:v>771.63</x:v>
      </x:c>
      <x:c r="L2458" s="54" t="n">
        <x:v>465.4</x:v>
      </x:c>
      <x:c r="M2458" s="55" t="n">
        <x:v>0</x:v>
      </x:c>
      <x:c r="N2458" s="54" t="n">
        <x:f>ROUND(J2458*K2458,2)</x:f>
        <x:v>1543.26</x:v>
      </x:c>
      <x:c r="O2458" s="54" t="n">
        <x:f>ROUND(N2458*(1-M2458),2)</x:f>
        <x:v>1543.26</x:v>
      </x:c>
      <x:c r="P2458" s="54" t="n">
        <x:f>ROUND(J2458*L2458,2)</x:f>
        <x:v>930.8</x:v>
      </x:c>
      <x:c r="Q2458" s="54" t="n">
        <x:f>ROUND(O2458-P2458,2)</x:f>
        <x:v>612.46</x:v>
      </x:c>
      <x:c r="R2458" s="55" t="n">
        <x:f>IF(O2458=0,0,ROUND(Q2458/O2458,4))</x:f>
        <x:v>0.3969</x:v>
      </x:c>
      <x:c r="S2458" s="53" t="n">
        <x:v>5</x:v>
      </x:c>
      <x:c r="T2458" t="str">
        <x:v>Entregue</x:v>
      </x:c>
      <x:c r="U2458" t="n">
        <x:v>5</x:v>
      </x:c>
      <x:c r="V2458" t="str"/>
    </x:row>
    <x:row r="2459">
      <x:c r="A2459" s="52" t="n">
        <x:v>46044</x:v>
      </x:c>
      <x:c r="B2459" t="str">
        <x:v>PED-102458</x:v>
      </x:c>
      <x:c r="C2459" t="str">
        <x:v>Cliente 099</x:v>
      </x:c>
      <x:c r="D2459" t="str">
        <x:v>PA</x:v>
      </x:c>
      <x:c r="E2459" t="str">
        <x:v>Norte</x:v>
      </x:c>
      <x:c r="F2459" t="str">
        <x:v>Loja</x:v>
      </x:c>
      <x:c r="G2459" t="str">
        <x:v>Tecnologia</x:v>
      </x:c>
      <x:c r="H2459" t="str">
        <x:v>Notebook Pro</x:v>
      </x:c>
      <x:c r="I2459" t="str">
        <x:v>João</x:v>
      </x:c>
      <x:c r="J2459" s="53" t="n">
        <x:v>4</x:v>
      </x:c>
      <x:c r="K2459" s="54" t="n">
        <x:v>5562.82</x:v>
      </x:c>
      <x:c r="L2459" s="54" t="n">
        <x:v>4422.24</x:v>
      </x:c>
      <x:c r="M2459" s="55" t="n">
        <x:v>0</x:v>
      </x:c>
      <x:c r="N2459" s="54" t="n">
        <x:f>ROUND(J2459*K2459,2)</x:f>
        <x:v>22251.28</x:v>
      </x:c>
      <x:c r="O2459" s="54" t="n">
        <x:f>ROUND(N2459*(1-M2459),2)</x:f>
        <x:v>22251.28</x:v>
      </x:c>
      <x:c r="P2459" s="54" t="n">
        <x:f>ROUND(J2459*L2459,2)</x:f>
        <x:v>17688.96</x:v>
      </x:c>
      <x:c r="Q2459" s="54" t="n">
        <x:f>ROUND(O2459-P2459,2)</x:f>
        <x:v>4562.32</x:v>
      </x:c>
      <x:c r="R2459" s="55" t="n">
        <x:f>IF(O2459=0,0,ROUND(Q2459/O2459,4))</x:f>
        <x:v>0.205</x:v>
      </x:c>
      <x:c r="S2459" s="53" t="n">
        <x:v>6</x:v>
      </x:c>
      <x:c r="T2459" t="str">
        <x:v>Entregue</x:v>
      </x:c>
      <x:c r="U2459" t="n">
        <x:v>5</x:v>
      </x:c>
      <x:c r="V2459" t="str"/>
    </x:row>
    <x:row r="2460">
      <x:c r="A2460" s="52" t="n">
        <x:v>46209</x:v>
      </x:c>
      <x:c r="B2460" t="str">
        <x:v>PED-102459</x:v>
      </x:c>
      <x:c r="C2460" t="str">
        <x:v>Cliente 001</x:v>
      </x:c>
      <x:c r="D2460" t="str">
        <x:v>SC</x:v>
      </x:c>
      <x:c r="E2460" t="str">
        <x:v>Sul</x:v>
      </x:c>
      <x:c r="F2460" t="str">
        <x:v>Loja</x:v>
      </x:c>
      <x:c r="G2460" t="str">
        <x:v>Tecnologia</x:v>
      </x:c>
      <x:c r="H2460" t="str">
        <x:v>Headset Office</x:v>
      </x:c>
      <x:c r="I2460" t="str">
        <x:v>Carla</x:v>
      </x:c>
      <x:c r="J2460" s="53" t="n">
        <x:v>4</x:v>
      </x:c>
      <x:c r="K2460" s="54" t="n">
        <x:v>410.98</x:v>
      </x:c>
      <x:c r="L2460" s="54" t="n">
        <x:v>216.23</x:v>
      </x:c>
      <x:c r="M2460" s="55" t="n">
        <x:v>0.0942</x:v>
      </x:c>
      <x:c r="N2460" s="54" t="n">
        <x:f>ROUND(J2460*K2460,2)</x:f>
        <x:v>1643.92</x:v>
      </x:c>
      <x:c r="O2460" s="54" t="n">
        <x:f>ROUND(N2460*(1-M2460),2)</x:f>
        <x:v>1489.06</x:v>
      </x:c>
      <x:c r="P2460" s="54" t="n">
        <x:f>ROUND(J2460*L2460,2)</x:f>
        <x:v>864.92</x:v>
      </x:c>
      <x:c r="Q2460" s="54" t="n">
        <x:f>ROUND(O2460-P2460,2)</x:f>
        <x:v>624.14</x:v>
      </x:c>
      <x:c r="R2460" s="55" t="n">
        <x:f>IF(O2460=0,0,ROUND(Q2460/O2460,4))</x:f>
        <x:v>0.4192</x:v>
      </x:c>
      <x:c r="S2460" s="53" t="n">
        <x:v>6</x:v>
      </x:c>
      <x:c r="T2460" t="str">
        <x:v>Entregue</x:v>
      </x:c>
      <x:c r="U2460" t="n">
        <x:v>5</x:v>
      </x:c>
      <x:c r="V2460" t="str"/>
    </x:row>
    <x:row r="2461">
      <x:c r="A2461" s="52" t="n">
        <x:v>46202</x:v>
      </x:c>
      <x:c r="B2461" t="str">
        <x:v>PED-102460</x:v>
      </x:c>
      <x:c r="C2461" t="str">
        <x:v>Cliente 001</x:v>
      </x:c>
      <x:c r="D2461" t="str">
        <x:v>PA</x:v>
      </x:c>
      <x:c r="E2461" t="str">
        <x:v>Norte</x:v>
      </x:c>
      <x:c r="F2461" t="str">
        <x:v>Marketplace</x:v>
      </x:c>
      <x:c r="G2461" t="str">
        <x:v>Tecnologia</x:v>
      </x:c>
      <x:c r="H2461" t="str">
        <x:v>Notebook Pro</x:v>
      </x:c>
      <x:c r="I2461" t="str">
        <x:v>Bruno</x:v>
      </x:c>
      <x:c r="J2461" s="53" t="n">
        <x:v>7</x:v>
      </x:c>
      <x:c r="K2461" s="54" t="n">
        <x:v>5600.96</x:v>
      </x:c>
      <x:c r="L2461" s="54" t="n">
        <x:v>4551.65</x:v>
      </x:c>
      <x:c r="M2461" s="55" t="n">
        <x:v>0.1201</x:v>
      </x:c>
      <x:c r="N2461" s="54" t="n">
        <x:f>ROUND(J2461*K2461,2)</x:f>
        <x:v>39206.72</x:v>
      </x:c>
      <x:c r="O2461" s="54" t="n">
        <x:f>ROUND(N2461*(1-M2461),2)</x:f>
        <x:v>34497.99</x:v>
      </x:c>
      <x:c r="P2461" s="54" t="n">
        <x:f>ROUND(J2461*L2461,2)</x:f>
        <x:v>31861.55</x:v>
      </x:c>
      <x:c r="Q2461" s="54" t="n">
        <x:f>ROUND(O2461-P2461,2)</x:f>
        <x:v>2636.44</x:v>
      </x:c>
      <x:c r="R2461" s="55" t="n">
        <x:f>IF(O2461=0,0,ROUND(Q2461/O2461,4))</x:f>
        <x:v>0.0764</x:v>
      </x:c>
      <x:c r="S2461" s="53" t="n">
        <x:v>12</x:v>
      </x:c>
      <x:c r="T2461" t="str">
        <x:v>Entregue com atraso</x:v>
      </x:c>
      <x:c r="U2461" t="n">
        <x:v>4</x:v>
      </x:c>
      <x:c r="V2461" t="str"/>
    </x:row>
    <x:row r="2462">
      <x:c r="A2462" s="52" t="n">
        <x:v>46130</x:v>
      </x:c>
      <x:c r="B2462" t="str">
        <x:v>PED-102461</x:v>
      </x:c>
      <x:c r="C2462" t="str">
        <x:v>Cliente 087</x:v>
      </x:c>
      <x:c r="D2462" t="str">
        <x:v>CE</x:v>
      </x:c>
      <x:c r="E2462" t="str">
        <x:v>Nordeste</x:v>
      </x:c>
      <x:c r="F2462" t="str">
        <x:v>Marketplace</x:v>
      </x:c>
      <x:c r="G2462" t="str">
        <x:v>Tecnologia</x:v>
      </x:c>
      <x:c r="H2462" t="str">
        <x:v>Headset Office</x:v>
      </x:c>
      <x:c r="I2462" t="str">
        <x:v>Bruno</x:v>
      </x:c>
      <x:c r="J2462" s="53" t="n">
        <x:v>1</x:v>
      </x:c>
      <x:c r="K2462" s="54" t="n">
        <x:v>389.63</x:v>
      </x:c>
      <x:c r="L2462" s="54" t="n">
        <x:v>222.68</x:v>
      </x:c>
      <x:c r="M2462" s="55" t="n">
        <x:v>0.035</x:v>
      </x:c>
      <x:c r="N2462" s="54" t="n">
        <x:f>ROUND(J2462*K2462,2)</x:f>
        <x:v>389.63</x:v>
      </x:c>
      <x:c r="O2462" s="54" t="n">
        <x:f>ROUND(N2462*(1-M2462),2)</x:f>
        <x:v>375.99</x:v>
      </x:c>
      <x:c r="P2462" s="54" t="n">
        <x:f>ROUND(J2462*L2462,2)</x:f>
        <x:v>222.68</x:v>
      </x:c>
      <x:c r="Q2462" s="54" t="n">
        <x:f>ROUND(O2462-P2462,2)</x:f>
        <x:v>153.31</x:v>
      </x:c>
      <x:c r="R2462" s="55" t="n">
        <x:f>IF(O2462=0,0,ROUND(Q2462/O2462,4))</x:f>
        <x:v>0.4078</x:v>
      </x:c>
      <x:c r="S2462" s="53" t="n">
        <x:v>3</x:v>
      </x:c>
      <x:c r="T2462" t="str">
        <x:v>Entregue</x:v>
      </x:c>
      <x:c r="U2462" t="n">
        <x:v>2</x:v>
      </x:c>
      <x:c r="V2462" t="str"/>
    </x:row>
    <x:row r="2463">
      <x:c r="A2463" s="52" t="n">
        <x:v>46175</x:v>
      </x:c>
      <x:c r="B2463" t="str">
        <x:v>PED-102462</x:v>
      </x:c>
      <x:c r="C2463" t="str">
        <x:v>Cliente 074</x:v>
      </x:c>
      <x:c r="D2463" t="str">
        <x:v>DF</x:v>
      </x:c>
      <x:c r="E2463" t="str">
        <x:v>Centro-Oeste</x:v>
      </x:c>
      <x:c r="F2463" t="str">
        <x:v>Marketplace</x:v>
      </x:c>
      <x:c r="G2463" t="str">
        <x:v>Casa</x:v>
      </x:c>
      <x:c r="H2463" t="str">
        <x:v>Aspirador Robô</x:v>
      </x:c>
      <x:c r="I2463" t="str">
        <x:v>Ana</x:v>
      </x:c>
      <x:c r="J2463" s="53" t="n">
        <x:v>7</x:v>
      </x:c>
      <x:c r="K2463" s="54" t="n">
        <x:v>1874.87</x:v>
      </x:c>
      <x:c r="L2463" s="54" t="n">
        <x:v>1214.22</x:v>
      </x:c>
      <x:c r="M2463" s="55" t="n">
        <x:v>0.1256</x:v>
      </x:c>
      <x:c r="N2463" s="54" t="n">
        <x:f>ROUND(J2463*K2463,2)</x:f>
        <x:v>13124.09</x:v>
      </x:c>
      <x:c r="O2463" s="54" t="n">
        <x:f>ROUND(N2463*(1-M2463),2)</x:f>
        <x:v>11475.7</x:v>
      </x:c>
      <x:c r="P2463" s="54" t="n">
        <x:f>ROUND(J2463*L2463,2)</x:f>
        <x:v>8499.54</x:v>
      </x:c>
      <x:c r="Q2463" s="54" t="n">
        <x:f>ROUND(O2463-P2463,2)</x:f>
        <x:v>2976.16</x:v>
      </x:c>
      <x:c r="R2463" s="55" t="n">
        <x:f>IF(O2463=0,0,ROUND(Q2463/O2463,4))</x:f>
        <x:v>0.2593</x:v>
      </x:c>
      <x:c r="S2463" s="53" t="n">
        <x:v>7</x:v>
      </x:c>
      <x:c r="T2463" t="str">
        <x:v>Entregue</x:v>
      </x:c>
      <x:c r="U2463" t="n">
        <x:v>4</x:v>
      </x:c>
      <x:c r="V2463" t="str"/>
    </x:row>
    <x:row r="2464">
      <x:c r="A2464" s="52" t="n">
        <x:v>46194</x:v>
      </x:c>
      <x:c r="B2464" t="str">
        <x:v>PED-102463</x:v>
      </x:c>
      <x:c r="C2464" t="str">
        <x:v>Cliente 042</x:v>
      </x:c>
      <x:c r="D2464" t="str">
        <x:v>DF</x:v>
      </x:c>
      <x:c r="E2464" t="str">
        <x:v>Centro-Oeste</x:v>
      </x:c>
      <x:c r="F2464" t="str">
        <x:v>E-commerce</x:v>
      </x:c>
      <x:c r="G2464" t="str">
        <x:v>Tecnologia</x:v>
      </x:c>
      <x:c r="H2464" t="str">
        <x:v>Headset Office</x:v>
      </x:c>
      <x:c r="I2464" t="str">
        <x:v>Isabela</x:v>
      </x:c>
      <x:c r="J2464" s="53" t="n">
        <x:v>5</x:v>
      </x:c>
      <x:c r="K2464" s="54" t="n">
        <x:v>397.21</x:v>
      </x:c>
      <x:c r="L2464" s="54" t="n">
        <x:v>209.37</x:v>
      </x:c>
      <x:c r="M2464" s="55" t="n">
        <x:v>0.0038</x:v>
      </x:c>
      <x:c r="N2464" s="54" t="n">
        <x:f>ROUND(J2464*K2464,2)</x:f>
        <x:v>1986.05</x:v>
      </x:c>
      <x:c r="O2464" s="54" t="n">
        <x:f>ROUND(N2464*(1-M2464),2)</x:f>
        <x:v>1978.5</x:v>
      </x:c>
      <x:c r="P2464" s="54" t="n">
        <x:f>ROUND(J2464*L2464,2)</x:f>
        <x:v>1046.85</x:v>
      </x:c>
      <x:c r="Q2464" s="54" t="n">
        <x:f>ROUND(O2464-P2464,2)</x:f>
        <x:v>931.65</x:v>
      </x:c>
      <x:c r="R2464" s="55" t="n">
        <x:f>IF(O2464=0,0,ROUND(Q2464/O2464,4))</x:f>
        <x:v>0.4709</x:v>
      </x:c>
      <x:c r="S2464" s="53" t="n">
        <x:v>13</x:v>
      </x:c>
      <x:c r="T2464" t="str">
        <x:v>Entregue com atraso</x:v>
      </x:c>
      <x:c r="U2464" t="n">
        <x:v>2</x:v>
      </x:c>
      <x:c r="V2464" t="str"/>
    </x:row>
    <x:row r="2465">
      <x:c r="A2465" s="52" t="n">
        <x:v>46115</x:v>
      </x:c>
      <x:c r="B2465" t="str">
        <x:v>PED-102464</x:v>
      </x:c>
      <x:c r="C2465" t="str">
        <x:v>Cliente 029</x:v>
      </x:c>
      <x:c r="D2465" t="str">
        <x:v>MT</x:v>
      </x:c>
      <x:c r="E2465" t="str">
        <x:v>Centro-Oeste</x:v>
      </x:c>
      <x:c r="F2465" t="str">
        <x:v>Marketplace</x:v>
      </x:c>
      <x:c r="G2465" t="str">
        <x:v>Acessórios</x:v>
      </x:c>
      <x:c r="H2465" t="str">
        <x:v>Mochila Executiva</x:v>
      </x:c>
      <x:c r="I2465" t="str">
        <x:v>Bruno</x:v>
      </x:c>
      <x:c r="J2465" s="53" t="n">
        <x:v>8</x:v>
      </x:c>
      <x:c r="K2465" s="54" t="n">
        <x:v>414.3</x:v>
      </x:c>
      <x:c r="L2465" s="54" t="n">
        <x:v>190.13</x:v>
      </x:c>
      <x:c r="M2465" s="55" t="n">
        <x:v>0.035</x:v>
      </x:c>
      <x:c r="N2465" s="54" t="n">
        <x:f>ROUND(J2465*K2465,2)</x:f>
        <x:v>3314.4</x:v>
      </x:c>
      <x:c r="O2465" s="54" t="n">
        <x:f>ROUND(N2465*(1-M2465),2)</x:f>
        <x:v>3198.4</x:v>
      </x:c>
      <x:c r="P2465" s="54" t="n">
        <x:f>ROUND(J2465*L2465,2)</x:f>
        <x:v>1521.04</x:v>
      </x:c>
      <x:c r="Q2465" s="54" t="n">
        <x:f>ROUND(O2465-P2465,2)</x:f>
        <x:v>1677.36</x:v>
      </x:c>
      <x:c r="R2465" s="55" t="n">
        <x:f>IF(O2465=0,0,ROUND(Q2465/O2465,4))</x:f>
        <x:v>0.5244</x:v>
      </x:c>
      <x:c r="S2465" s="53" t="n">
        <x:v>3</x:v>
      </x:c>
      <x:c r="T2465" t="str">
        <x:v>Entregue</x:v>
      </x:c>
      <x:c r="U2465" t="n">
        <x:v>2</x:v>
      </x:c>
      <x:c r="V2465" t="str"/>
    </x:row>
    <x:row r="2466">
      <x:c r="A2466" s="52" t="n">
        <x:v>46153</x:v>
      </x:c>
      <x:c r="B2466" t="str">
        <x:v>PED-102465</x:v>
      </x:c>
      <x:c r="C2466" t="str">
        <x:v>Cliente 027</x:v>
      </x:c>
      <x:c r="D2466" t="str">
        <x:v>MT</x:v>
      </x:c>
      <x:c r="E2466" t="str">
        <x:v>Centro-Oeste</x:v>
      </x:c>
      <x:c r="F2466" t="str">
        <x:v>Loja</x:v>
      </x:c>
      <x:c r="G2466" t="str">
        <x:v>Escritório</x:v>
      </x:c>
      <x:c r="H2466" t="str">
        <x:v>Cadeira Ergonômica</x:v>
      </x:c>
      <x:c r="I2466" t="str">
        <x:v>Felipe</x:v>
      </x:c>
      <x:c r="J2466" s="53" t="n">
        <x:v>6</x:v>
      </x:c>
      <x:c r="K2466" s="54" t="n">
        <x:v>2232.41</x:v>
      </x:c>
      <x:c r="L2466" s="54" t="n">
        <x:v>1371.04</x:v>
      </x:c>
      <x:c r="M2466" s="55" t="n">
        <x:v>0.0938</x:v>
      </x:c>
      <x:c r="N2466" s="54" t="n">
        <x:f>ROUND(J2466*K2466,2)</x:f>
        <x:v>13394.46</x:v>
      </x:c>
      <x:c r="O2466" s="54" t="n">
        <x:f>ROUND(N2466*(1-M2466),2)</x:f>
        <x:v>12138.06</x:v>
      </x:c>
      <x:c r="P2466" s="54" t="n">
        <x:f>ROUND(J2466*L2466,2)</x:f>
        <x:v>8226.24</x:v>
      </x:c>
      <x:c r="Q2466" s="54" t="n">
        <x:f>ROUND(O2466-P2466,2)</x:f>
        <x:v>3911.82</x:v>
      </x:c>
      <x:c r="R2466" s="55" t="n">
        <x:f>IF(O2466=0,0,ROUND(Q2466/O2466,4))</x:f>
        <x:v>0.3223</x:v>
      </x:c>
      <x:c r="S2466" s="53" t="n">
        <x:v>6</x:v>
      </x:c>
      <x:c r="T2466" t="str">
        <x:v>Entregue</x:v>
      </x:c>
      <x:c r="U2466" t="n">
        <x:v>3</x:v>
      </x:c>
      <x:c r="V2466" t="str"/>
    </x:row>
    <x:row r="2467">
      <x:c r="A2467" s="52" t="n">
        <x:v>46178</x:v>
      </x:c>
      <x:c r="B2467" t="str">
        <x:v>PED-102466</x:v>
      </x:c>
      <x:c r="C2467" t="str">
        <x:v>Cliente 037</x:v>
      </x:c>
      <x:c r="D2467" t="str">
        <x:v>MG</x:v>
      </x:c>
      <x:c r="E2467" t="str">
        <x:v>Sudeste</x:v>
      </x:c>
      <x:c r="F2467" t="str">
        <x:v>E-commerce</x:v>
      </x:c>
      <x:c r="G2467" t="str">
        <x:v>Casa</x:v>
      </x:c>
      <x:c r="H2467" t="str">
        <x:v>Cafeteira Smart</x:v>
      </x:c>
      <x:c r="I2467" t="str">
        <x:v>João</x:v>
      </x:c>
      <x:c r="J2467" s="53" t="n">
        <x:v>8</x:v>
      </x:c>
      <x:c r="K2467" s="54" t="n">
        <x:v>795.43</x:v>
      </x:c>
      <x:c r="L2467" s="54" t="n">
        <x:v>458.36</x:v>
      </x:c>
      <x:c r="M2467" s="55" t="n">
        <x:v>0</x:v>
      </x:c>
      <x:c r="N2467" s="54" t="n">
        <x:f>ROUND(J2467*K2467,2)</x:f>
        <x:v>6363.44</x:v>
      </x:c>
      <x:c r="O2467" s="54" t="n">
        <x:f>ROUND(N2467*(1-M2467),2)</x:f>
        <x:v>6363.44</x:v>
      </x:c>
      <x:c r="P2467" s="54" t="n">
        <x:f>ROUND(J2467*L2467,2)</x:f>
        <x:v>3666.88</x:v>
      </x:c>
      <x:c r="Q2467" s="54" t="n">
        <x:f>ROUND(O2467-P2467,2)</x:f>
        <x:v>2696.56</x:v>
      </x:c>
      <x:c r="R2467" s="55" t="n">
        <x:f>IF(O2467=0,0,ROUND(Q2467/O2467,4))</x:f>
        <x:v>0.4238</x:v>
      </x:c>
      <x:c r="S2467" s="53" t="n">
        <x:v>13</x:v>
      </x:c>
      <x:c r="T2467" t="str">
        <x:v>Entregue com atraso</x:v>
      </x:c>
      <x:c r="U2467" t="n">
        <x:v>4</x:v>
      </x:c>
      <x:c r="V2467" t="str"/>
    </x:row>
    <x:row r="2468">
      <x:c r="A2468" s="52" t="n">
        <x:v>46045</x:v>
      </x:c>
      <x:c r="B2468" t="str">
        <x:v>PED-102467</x:v>
      </x:c>
      <x:c r="C2468" t="str">
        <x:v>Cliente 051</x:v>
      </x:c>
      <x:c r="D2468" t="str">
        <x:v>SC</x:v>
      </x:c>
      <x:c r="E2468" t="str">
        <x:v>Sul</x:v>
      </x:c>
      <x:c r="F2468" t="str">
        <x:v>Marketplace</x:v>
      </x:c>
      <x:c r="G2468" t="str">
        <x:v>Acessórios</x:v>
      </x:c>
      <x:c r="H2468" t="str">
        <x:v>Hub USB-C</x:v>
      </x:c>
      <x:c r="I2468" t="str">
        <x:v>Isabela</x:v>
      </x:c>
      <x:c r="J2468" s="53" t="n">
        <x:v>1</x:v>
      </x:c>
      <x:c r="K2468" s="54" t="n">
        <x:v>312.2</x:v>
      </x:c>
      <x:c r="L2468" s="54" t="n">
        <x:v>132.72</x:v>
      </x:c>
      <x:c r="M2468" s="55" t="n">
        <x:v>0.035</x:v>
      </x:c>
      <x:c r="N2468" s="54" t="n">
        <x:f>ROUND(J2468*K2468,2)</x:f>
        <x:v>312.2</x:v>
      </x:c>
      <x:c r="O2468" s="54" t="n">
        <x:f>ROUND(N2468*(1-M2468),2)</x:f>
        <x:v>301.27</x:v>
      </x:c>
      <x:c r="P2468" s="54" t="n">
        <x:f>ROUND(J2468*L2468,2)</x:f>
        <x:v>132.72</x:v>
      </x:c>
      <x:c r="Q2468" s="54" t="n">
        <x:f>ROUND(O2468-P2468,2)</x:f>
        <x:v>168.55</x:v>
      </x:c>
      <x:c r="R2468" s="55" t="n">
        <x:f>IF(O2468=0,0,ROUND(Q2468/O2468,4))</x:f>
        <x:v>0.5595</x:v>
      </x:c>
      <x:c r="S2468" s="53" t="n">
        <x:v>11</x:v>
      </x:c>
      <x:c r="T2468" t="str">
        <x:v>Entregue com atraso</x:v>
      </x:c>
      <x:c r="U2468" t="n">
        <x:v>4</x:v>
      </x:c>
      <x:c r="V2468" t="str"/>
    </x:row>
    <x:row r="2469">
      <x:c r="A2469" s="52" t="n">
        <x:v>46165</x:v>
      </x:c>
      <x:c r="B2469" t="str">
        <x:v>PED-102468</x:v>
      </x:c>
      <x:c r="C2469" t="str">
        <x:v>Cliente 046</x:v>
      </x:c>
      <x:c r="D2469" t="str">
        <x:v>GO</x:v>
      </x:c>
      <x:c r="E2469" t="str">
        <x:v>Centro-Oeste</x:v>
      </x:c>
      <x:c r="F2469" t="str">
        <x:v>E-commerce</x:v>
      </x:c>
      <x:c r="G2469" t="str">
        <x:v>Escritório</x:v>
      </x:c>
      <x:c r="H2469" t="str">
        <x:v>Cadeira Ergonômica</x:v>
      </x:c>
      <x:c r="I2469" t="str">
        <x:v>Henrique</x:v>
      </x:c>
      <x:c r="J2469" s="53" t="n">
        <x:v>1</x:v>
      </x:c>
      <x:c r="K2469" s="54" t="n">
        <x:v>2148.45</x:v>
      </x:c>
      <x:c r="L2469" s="54" t="n">
        <x:v>1375.43</x:v>
      </x:c>
      <x:c r="M2469" s="55" t="n">
        <x:v>0.0195</x:v>
      </x:c>
      <x:c r="N2469" s="54" t="n">
        <x:f>ROUND(J2469*K2469,2)</x:f>
        <x:v>2148.45</x:v>
      </x:c>
      <x:c r="O2469" s="54" t="n">
        <x:f>ROUND(N2469*(1-M2469),2)</x:f>
        <x:v>2106.56</x:v>
      </x:c>
      <x:c r="P2469" s="54" t="n">
        <x:f>ROUND(J2469*L2469,2)</x:f>
        <x:v>1375.43</x:v>
      </x:c>
      <x:c r="Q2469" s="54" t="n">
        <x:f>ROUND(O2469-P2469,2)</x:f>
        <x:v>731.13</x:v>
      </x:c>
      <x:c r="R2469" s="55" t="n">
        <x:f>IF(O2469=0,0,ROUND(Q2469/O2469,4))</x:f>
        <x:v>0.3471</x:v>
      </x:c>
      <x:c r="S2469" s="53" t="n">
        <x:v>2</x:v>
      </x:c>
      <x:c r="T2469" t="str">
        <x:v>Entregue</x:v>
      </x:c>
      <x:c r="U2469" t="n">
        <x:v>2</x:v>
      </x:c>
      <x:c r="V2469" t="str"/>
    </x:row>
    <x:row r="2470">
      <x:c r="A2470" s="52" t="n">
        <x:v>46139</x:v>
      </x:c>
      <x:c r="B2470" t="str">
        <x:v>PED-102469</x:v>
      </x:c>
      <x:c r="C2470" t="str">
        <x:v>Cliente 043</x:v>
      </x:c>
      <x:c r="D2470" t="str">
        <x:v>RS</x:v>
      </x:c>
      <x:c r="E2470" t="str">
        <x:v>Sul</x:v>
      </x:c>
      <x:c r="F2470" t="str">
        <x:v>E-commerce</x:v>
      </x:c>
      <x:c r="G2470" t="str">
        <x:v>Escritório</x:v>
      </x:c>
      <x:c r="H2470" t="str">
        <x:v>Mesa Ajustável</x:v>
      </x:c>
      <x:c r="I2470" t="str">
        <x:v>Felipe</x:v>
      </x:c>
      <x:c r="J2470" s="53" t="n">
        <x:v>1</x:v>
      </x:c>
      <x:c r="K2470" s="54" t="n">
        <x:v>2900.69</x:v>
      </x:c>
      <x:c r="L2470" s="54" t="n">
        <x:v>1782.47</x:v>
      </x:c>
      <x:c r="M2470" s="55" t="n">
        <x:v>0</x:v>
      </x:c>
      <x:c r="N2470" s="54" t="n">
        <x:f>ROUND(J2470*K2470,2)</x:f>
        <x:v>2900.69</x:v>
      </x:c>
      <x:c r="O2470" s="54" t="n">
        <x:f>ROUND(N2470*(1-M2470),2)</x:f>
        <x:v>2900.69</x:v>
      </x:c>
      <x:c r="P2470" s="54" t="n">
        <x:f>ROUND(J2470*L2470,2)</x:f>
        <x:v>1782.47</x:v>
      </x:c>
      <x:c r="Q2470" s="54" t="n">
        <x:f>ROUND(O2470-P2470,2)</x:f>
        <x:v>1118.22</x:v>
      </x:c>
      <x:c r="R2470" s="55" t="n">
        <x:f>IF(O2470=0,0,ROUND(Q2470/O2470,4))</x:f>
        <x:v>0.3855</x:v>
      </x:c>
      <x:c r="S2470" s="53" t="n">
        <x:v>8</x:v>
      </x:c>
      <x:c r="T2470" t="str">
        <x:v>Entregue</x:v>
      </x:c>
      <x:c r="U2470" t="n">
        <x:v>2</x:v>
      </x:c>
      <x:c r="V2470" t="str"/>
    </x:row>
    <x:row r="2471">
      <x:c r="A2471" s="52" t="n">
        <x:v>46216</x:v>
      </x:c>
      <x:c r="B2471" t="str">
        <x:v>PED-102470</x:v>
      </x:c>
      <x:c r="C2471" t="str">
        <x:v>Cliente 012</x:v>
      </x:c>
      <x:c r="D2471" t="str">
        <x:v>RS</x:v>
      </x:c>
      <x:c r="E2471" t="str">
        <x:v>Sul</x:v>
      </x:c>
      <x:c r="F2471" t="str">
        <x:v>Loja</x:v>
      </x:c>
      <x:c r="G2471" t="str">
        <x:v>Tecnologia</x:v>
      </x:c>
      <x:c r="H2471" t="str">
        <x:v>Notebook Pro</x:v>
      </x:c>
      <x:c r="I2471" t="str">
        <x:v>Henrique</x:v>
      </x:c>
      <x:c r="J2471" s="53" t="n">
        <x:v>7</x:v>
      </x:c>
      <x:c r="K2471" s="54" t="n">
        <x:v>5915.13</x:v>
      </x:c>
      <x:c r="L2471" s="54" t="n">
        <x:v>4452.95</x:v>
      </x:c>
      <x:c r="M2471" s="55" t="n">
        <x:v>0</x:v>
      </x:c>
      <x:c r="N2471" s="54" t="n">
        <x:f>ROUND(J2471*K2471,2)</x:f>
        <x:v>41405.91</x:v>
      </x:c>
      <x:c r="O2471" s="54" t="n">
        <x:f>ROUND(N2471*(1-M2471),2)</x:f>
        <x:v>41405.91</x:v>
      </x:c>
      <x:c r="P2471" s="54" t="n">
        <x:f>ROUND(J2471*L2471,2)</x:f>
        <x:v>31170.65</x:v>
      </x:c>
      <x:c r="Q2471" s="54" t="n">
        <x:f>ROUND(O2471-P2471,2)</x:f>
        <x:v>10235.26</x:v>
      </x:c>
      <x:c r="R2471" s="55" t="n">
        <x:f>IF(O2471=0,0,ROUND(Q2471/O2471,4))</x:f>
        <x:v>0.2472</x:v>
      </x:c>
      <x:c r="S2471" s="53" t="n">
        <x:v>3</x:v>
      </x:c>
      <x:c r="T2471" t="str">
        <x:v>Entregue</x:v>
      </x:c>
      <x:c r="U2471" t="n">
        <x:v>2</x:v>
      </x:c>
      <x:c r="V2471" t="str"/>
    </x:row>
    <x:row r="2472">
      <x:c r="A2472" s="52" t="n">
        <x:v>46051</x:v>
      </x:c>
      <x:c r="B2472" t="str">
        <x:v>PED-102471</x:v>
      </x:c>
      <x:c r="C2472" t="str">
        <x:v>Cliente 039</x:v>
      </x:c>
      <x:c r="D2472" t="str">
        <x:v>RJ</x:v>
      </x:c>
      <x:c r="E2472" t="str">
        <x:v>Sudeste</x:v>
      </x:c>
      <x:c r="F2472" t="str">
        <x:v>Marketplace</x:v>
      </x:c>
      <x:c r="G2472" t="str">
        <x:v>Tecnologia</x:v>
      </x:c>
      <x:c r="H2472" t="str">
        <x:v>Headset Office</x:v>
      </x:c>
      <x:c r="I2472" t="str">
        <x:v>Ana</x:v>
      </x:c>
      <x:c r="J2472" s="53" t="n">
        <x:v>4</x:v>
      </x:c>
      <x:c r="K2472" s="54" t="n">
        <x:v>390.18</x:v>
      </x:c>
      <x:c r="L2472" s="54" t="n">
        <x:v>214.26</x:v>
      </x:c>
      <x:c r="M2472" s="55" t="n">
        <x:v>0.1134</x:v>
      </x:c>
      <x:c r="N2472" s="54" t="n">
        <x:f>ROUND(J2472*K2472,2)</x:f>
        <x:v>1560.72</x:v>
      </x:c>
      <x:c r="O2472" s="54" t="n">
        <x:f>ROUND(N2472*(1-M2472),2)</x:f>
        <x:v>1383.73</x:v>
      </x:c>
      <x:c r="P2472" s="54" t="n">
        <x:f>ROUND(J2472*L2472,2)</x:f>
        <x:v>857.04</x:v>
      </x:c>
      <x:c r="Q2472" s="54" t="n">
        <x:f>ROUND(O2472-P2472,2)</x:f>
        <x:v>526.69</x:v>
      </x:c>
      <x:c r="R2472" s="55" t="n">
        <x:f>IF(O2472=0,0,ROUND(Q2472/O2472,4))</x:f>
        <x:v>0.3806</x:v>
      </x:c>
      <x:c r="S2472" s="53" t="n">
        <x:v>2</x:v>
      </x:c>
      <x:c r="T2472" t="str">
        <x:v>Entregue</x:v>
      </x:c>
      <x:c r="U2472" t="n">
        <x:v>4</x:v>
      </x:c>
      <x:c r="V2472" t="str"/>
    </x:row>
    <x:row r="2473">
      <x:c r="A2473" s="52" t="n">
        <x:v>46182</x:v>
      </x:c>
      <x:c r="B2473" t="str">
        <x:v>PED-102472</x:v>
      </x:c>
      <x:c r="C2473" t="str">
        <x:v>Cliente 102</x:v>
      </x:c>
      <x:c r="D2473" t="str">
        <x:v>DF</x:v>
      </x:c>
      <x:c r="E2473" t="str">
        <x:v>Centro-Oeste</x:v>
      </x:c>
      <x:c r="F2473" t="str">
        <x:v>Televendas</x:v>
      </x:c>
      <x:c r="G2473" t="str">
        <x:v>Tecnologia</x:v>
      </x:c>
      <x:c r="H2473" t="str">
        <x:v>Headset Office</x:v>
      </x:c>
      <x:c r="I2473" t="str">
        <x:v>João</x:v>
      </x:c>
      <x:c r="J2473" s="53" t="n">
        <x:v>2</x:v>
      </x:c>
      <x:c r="K2473" s="54" t="n">
        <x:v>399.59</x:v>
      </x:c>
      <x:c r="L2473" s="54" t="n">
        <x:v>214.15</x:v>
      </x:c>
      <x:c r="M2473" s="55" t="n">
        <x:v>0</x:v>
      </x:c>
      <x:c r="N2473" s="54" t="n">
        <x:f>ROUND(J2473*K2473,2)</x:f>
        <x:v>799.18</x:v>
      </x:c>
      <x:c r="O2473" s="54" t="n">
        <x:f>ROUND(N2473*(1-M2473),2)</x:f>
        <x:v>799.18</x:v>
      </x:c>
      <x:c r="P2473" s="54" t="n">
        <x:f>ROUND(J2473*L2473,2)</x:f>
        <x:v>428.3</x:v>
      </x:c>
      <x:c r="Q2473" s="54" t="n">
        <x:f>ROUND(O2473-P2473,2)</x:f>
        <x:v>370.88</x:v>
      </x:c>
      <x:c r="R2473" s="55" t="n">
        <x:f>IF(O2473=0,0,ROUND(Q2473/O2473,4))</x:f>
        <x:v>0.4641</x:v>
      </x:c>
      <x:c r="S2473" s="53" t="n">
        <x:v>4</x:v>
      </x:c>
      <x:c r="T2473" t="str">
        <x:v>Entregue</x:v>
      </x:c>
      <x:c r="U2473" t="n">
        <x:v>5</x:v>
      </x:c>
      <x:c r="V2473" t="str"/>
    </x:row>
    <x:row r="2474">
      <x:c r="A2474" s="52" t="n">
        <x:v>46220</x:v>
      </x:c>
      <x:c r="B2474" t="str">
        <x:v>PED-102473</x:v>
      </x:c>
      <x:c r="C2474" t="str">
        <x:v>Cliente 010</x:v>
      </x:c>
      <x:c r="D2474" t="str">
        <x:v>GO</x:v>
      </x:c>
      <x:c r="E2474" t="str">
        <x:v>Centro-Oeste</x:v>
      </x:c>
      <x:c r="F2474" t="str">
        <x:v>Televendas</x:v>
      </x:c>
      <x:c r="G2474" t="str">
        <x:v>Tecnologia</x:v>
      </x:c>
      <x:c r="H2474" t="str">
        <x:v>Headset Office</x:v>
      </x:c>
      <x:c r="I2474" t="str">
        <x:v>Carla</x:v>
      </x:c>
      <x:c r="J2474" s="53" t="n">
        <x:v>8</x:v>
      </x:c>
      <x:c r="K2474" s="54" t="n">
        <x:v>405.66</x:v>
      </x:c>
      <x:c r="L2474" s="54" t="n">
        <x:v>211.43</x:v>
      </x:c>
      <x:c r="M2474" s="55" t="n">
        <x:v>0.0892</x:v>
      </x:c>
      <x:c r="N2474" s="54" t="n">
        <x:f>ROUND(J2474*K2474,2)</x:f>
        <x:v>3245.28</x:v>
      </x:c>
      <x:c r="O2474" s="54" t="n">
        <x:f>ROUND(N2474*(1-M2474),2)</x:f>
        <x:v>2955.8</x:v>
      </x:c>
      <x:c r="P2474" s="54" t="n">
        <x:f>ROUND(J2474*L2474,2)</x:f>
        <x:v>1691.44</x:v>
      </x:c>
      <x:c r="Q2474" s="54" t="n">
        <x:f>ROUND(O2474-P2474,2)</x:f>
        <x:v>1264.36</x:v>
      </x:c>
      <x:c r="R2474" s="55" t="n">
        <x:f>IF(O2474=0,0,ROUND(Q2474/O2474,4))</x:f>
        <x:v>0.4278</x:v>
      </x:c>
      <x:c r="S2474" s="53" t="n">
        <x:v>13</x:v>
      </x:c>
      <x:c r="T2474" t="str">
        <x:v>Entregue com atraso</x:v>
      </x:c>
      <x:c r="U2474" t="n">
        <x:v>3</x:v>
      </x:c>
      <x:c r="V2474" t="str"/>
    </x:row>
    <x:row r="2475">
      <x:c r="A2475" s="52" t="n">
        <x:v>46217</x:v>
      </x:c>
      <x:c r="B2475" t="str">
        <x:v>PED-102474</x:v>
      </x:c>
      <x:c r="C2475" t="str">
        <x:v>Cliente 016</x:v>
      </x:c>
      <x:c r="D2475" t="str">
        <x:v>ES</x:v>
      </x:c>
      <x:c r="E2475" t="str">
        <x:v>Sudeste</x:v>
      </x:c>
      <x:c r="F2475" t="str">
        <x:v>E-commerce</x:v>
      </x:c>
      <x:c r="G2475" t="str">
        <x:v>Escritório</x:v>
      </x:c>
      <x:c r="H2475" t="str">
        <x:v>Cadeira Ergonômica</x:v>
      </x:c>
      <x:c r="I2475" t="str">
        <x:v>Bruno</x:v>
      </x:c>
      <x:c r="J2475" s="53" t="n">
        <x:v>7</x:v>
      </x:c>
      <x:c r="K2475" s="54" t="n">
        <x:v>2211.88</x:v>
      </x:c>
      <x:c r="L2475" s="54" t="n">
        <x:v>1360.48</x:v>
      </x:c>
      <x:c r="M2475" s="55" t="n">
        <x:v>0</x:v>
      </x:c>
      <x:c r="N2475" s="54" t="n">
        <x:f>ROUND(J2475*K2475,2)</x:f>
        <x:v>15483.16</x:v>
      </x:c>
      <x:c r="O2475" s="54" t="n">
        <x:f>ROUND(N2475*(1-M2475),2)</x:f>
        <x:v>15483.16</x:v>
      </x:c>
      <x:c r="P2475" s="54" t="n">
        <x:f>ROUND(J2475*L2475,2)</x:f>
        <x:v>9523.36</x:v>
      </x:c>
      <x:c r="Q2475" s="54" t="n">
        <x:f>ROUND(O2475-P2475,2)</x:f>
        <x:v>5959.8</x:v>
      </x:c>
      <x:c r="R2475" s="55" t="n">
        <x:f>IF(O2475=0,0,ROUND(Q2475/O2475,4))</x:f>
        <x:v>0.3849</x:v>
      </x:c>
      <x:c r="S2475" s="53" t="n">
        <x:v>11</x:v>
      </x:c>
      <x:c r="T2475" t="str">
        <x:v>Entregue com atraso</x:v>
      </x:c>
      <x:c r="U2475" t="n">
        <x:v>3</x:v>
      </x:c>
      <x:c r="V2475" t="str"/>
    </x:row>
    <x:row r="2476">
      <x:c r="A2476" s="52" t="n">
        <x:v>46213</x:v>
      </x:c>
      <x:c r="B2476" t="str">
        <x:v>PED-102475</x:v>
      </x:c>
      <x:c r="C2476" t="str">
        <x:v>Cliente 050</x:v>
      </x:c>
      <x:c r="D2476" t="str">
        <x:v>BA</x:v>
      </x:c>
      <x:c r="E2476" t="str">
        <x:v>Nordeste</x:v>
      </x:c>
      <x:c r="F2476" t="str">
        <x:v>Televendas</x:v>
      </x:c>
      <x:c r="G2476" t="str">
        <x:v>Escritório</x:v>
      </x:c>
      <x:c r="H2476" t="str">
        <x:v>Mesa Ajustável</x:v>
      </x:c>
      <x:c r="I2476" t="str">
        <x:v>Elaine</x:v>
      </x:c>
      <x:c r="J2476" s="53" t="n">
        <x:v>7</x:v>
      </x:c>
      <x:c r="K2476" s="54" t="n">
        <x:v>2629.32</x:v>
      </x:c>
      <x:c r="L2476" s="54" t="n">
        <x:v>1905.32</x:v>
      </x:c>
      <x:c r="M2476" s="55" t="n">
        <x:v>0.0476</x:v>
      </x:c>
      <x:c r="N2476" s="54" t="n">
        <x:f>ROUND(J2476*K2476,2)</x:f>
        <x:v>18405.24</x:v>
      </x:c>
      <x:c r="O2476" s="54" t="n">
        <x:f>ROUND(N2476*(1-M2476),2)</x:f>
        <x:v>17529.15</x:v>
      </x:c>
      <x:c r="P2476" s="54" t="n">
        <x:f>ROUND(J2476*L2476,2)</x:f>
        <x:v>13337.24</x:v>
      </x:c>
      <x:c r="Q2476" s="54" t="n">
        <x:f>ROUND(O2476-P2476,2)</x:f>
        <x:v>4191.91</x:v>
      </x:c>
      <x:c r="R2476" s="55" t="n">
        <x:f>IF(O2476=0,0,ROUND(Q2476/O2476,4))</x:f>
        <x:v>0.2391</x:v>
      </x:c>
      <x:c r="S2476" s="53" t="n">
        <x:v>13</x:v>
      </x:c>
      <x:c r="T2476" t="str">
        <x:v>Entregue com atraso</x:v>
      </x:c>
      <x:c r="U2476" t="n">
        <x:v>3</x:v>
      </x:c>
      <x:c r="V2476" t="str"/>
    </x:row>
    <x:row r="2477">
      <x:c r="A2477" s="52" t="n">
        <x:v>46232</x:v>
      </x:c>
      <x:c r="B2477" t="str">
        <x:v>PED-102476</x:v>
      </x:c>
      <x:c r="C2477" t="str">
        <x:v>Cliente 115</x:v>
      </x:c>
      <x:c r="D2477" t="str">
        <x:v>MT</x:v>
      </x:c>
      <x:c r="E2477" t="str">
        <x:v>Centro-Oeste</x:v>
      </x:c>
      <x:c r="F2477" t="str">
        <x:v>Loja</x:v>
      </x:c>
      <x:c r="G2477" t="str">
        <x:v>Acessórios</x:v>
      </x:c>
      <x:c r="H2477" t="str">
        <x:v>Mochila Executiva</x:v>
      </x:c>
      <x:c r="I2477" t="str">
        <x:v>Carla</x:v>
      </x:c>
      <x:c r="J2477" s="53" t="n">
        <x:v>7</x:v>
      </x:c>
      <x:c r="K2477" s="54" t="n">
        <x:v>411.15</x:v>
      </x:c>
      <x:c r="L2477" s="54" t="n">
        <x:v>193.65</x:v>
      </x:c>
      <x:c r="M2477" s="55" t="n">
        <x:v>0.0856</x:v>
      </x:c>
      <x:c r="N2477" s="54" t="n">
        <x:f>ROUND(J2477*K2477,2)</x:f>
        <x:v>2878.05</x:v>
      </x:c>
      <x:c r="O2477" s="54" t="n">
        <x:f>ROUND(N2477*(1-M2477),2)</x:f>
        <x:v>2631.69</x:v>
      </x:c>
      <x:c r="P2477" s="54" t="n">
        <x:f>ROUND(J2477*L2477,2)</x:f>
        <x:v>1355.55</x:v>
      </x:c>
      <x:c r="Q2477" s="54" t="n">
        <x:f>ROUND(O2477-P2477,2)</x:f>
        <x:v>1276.14</x:v>
      </x:c>
      <x:c r="R2477" s="55" t="n">
        <x:f>IF(O2477=0,0,ROUND(Q2477/O2477,4))</x:f>
        <x:v>0.4849</x:v>
      </x:c>
      <x:c r="S2477" s="53" t="n">
        <x:v>8</x:v>
      </x:c>
      <x:c r="T2477" t="str">
        <x:v>Entregue</x:v>
      </x:c>
      <x:c r="U2477" t="n">
        <x:v>5</x:v>
      </x:c>
      <x:c r="V2477" t="str"/>
    </x:row>
    <x:row r="2478">
      <x:c r="A2478" s="52" t="n">
        <x:v>46193</x:v>
      </x:c>
      <x:c r="B2478" t="str">
        <x:v>PED-102477</x:v>
      </x:c>
      <x:c r="C2478" t="str">
        <x:v>Cliente 082</x:v>
      </x:c>
      <x:c r="D2478" t="str">
        <x:v>AM</x:v>
      </x:c>
      <x:c r="E2478" t="str">
        <x:v>Norte</x:v>
      </x:c>
      <x:c r="F2478" t="str">
        <x:v>Marketplace</x:v>
      </x:c>
      <x:c r="G2478" t="str">
        <x:v>Acessórios</x:v>
      </x:c>
      <x:c r="H2478" t="str">
        <x:v>Hub USB-C</x:v>
      </x:c>
      <x:c r="I2478" t="str">
        <x:v>Felipe</x:v>
      </x:c>
      <x:c r="J2478" s="53" t="n">
        <x:v>1</x:v>
      </x:c>
      <x:c r="K2478" s="54" t="n">
        <x:v>331.18</x:v>
      </x:c>
      <x:c r="L2478" s="54" t="n">
        <x:v>145.02</x:v>
      </x:c>
      <x:c r="M2478" s="55" t="n">
        <x:v>0.093</x:v>
      </x:c>
      <x:c r="N2478" s="54" t="n">
        <x:f>ROUND(J2478*K2478,2)</x:f>
        <x:v>331.18</x:v>
      </x:c>
      <x:c r="O2478" s="54" t="n">
        <x:f>ROUND(N2478*(1-M2478),2)</x:f>
        <x:v>300.38</x:v>
      </x:c>
      <x:c r="P2478" s="54" t="n">
        <x:f>ROUND(J2478*L2478,2)</x:f>
        <x:v>145.02</x:v>
      </x:c>
      <x:c r="Q2478" s="54" t="n">
        <x:f>ROUND(O2478-P2478,2)</x:f>
        <x:v>155.36</x:v>
      </x:c>
      <x:c r="R2478" s="55" t="n">
        <x:f>IF(O2478=0,0,ROUND(Q2478/O2478,4))</x:f>
        <x:v>0.5172</x:v>
      </x:c>
      <x:c r="S2478" s="53" t="n">
        <x:v>6</x:v>
      </x:c>
      <x:c r="T2478" t="str">
        <x:v>Entregue</x:v>
      </x:c>
      <x:c r="U2478" t="n">
        <x:v>3</x:v>
      </x:c>
      <x:c r="V2478" t="str"/>
    </x:row>
    <x:row r="2479">
      <x:c r="A2479" s="52" t="n">
        <x:v>46212</x:v>
      </x:c>
      <x:c r="B2479" t="str">
        <x:v>PED-102478</x:v>
      </x:c>
      <x:c r="C2479" t="str">
        <x:v>Cliente 012</x:v>
      </x:c>
      <x:c r="D2479" t="str">
        <x:v>BA</x:v>
      </x:c>
      <x:c r="E2479" t="str">
        <x:v>Nordeste</x:v>
      </x:c>
      <x:c r="F2479" t="str">
        <x:v>Televendas</x:v>
      </x:c>
      <x:c r="G2479" t="str">
        <x:v>Acessórios</x:v>
      </x:c>
      <x:c r="H2479" t="str">
        <x:v>Mochila Executiva</x:v>
      </x:c>
      <x:c r="I2479" t="str">
        <x:v>Henrique</x:v>
      </x:c>
      <x:c r="J2479" s="53" t="n">
        <x:v>6</x:v>
      </x:c>
      <x:c r="K2479" s="54" t="n">
        <x:v>422.8</x:v>
      </x:c>
      <x:c r="L2479" s="54" t="n">
        <x:v>201.34</x:v>
      </x:c>
      <x:c r="M2479" s="55" t="n">
        <x:v>0.0107</x:v>
      </x:c>
      <x:c r="N2479" s="54" t="n">
        <x:f>ROUND(J2479*K2479,2)</x:f>
        <x:v>2536.8</x:v>
      </x:c>
      <x:c r="O2479" s="54" t="n">
        <x:f>ROUND(N2479*(1-M2479),2)</x:f>
        <x:v>2509.66</x:v>
      </x:c>
      <x:c r="P2479" s="54" t="n">
        <x:f>ROUND(J2479*L2479,2)</x:f>
        <x:v>1208.04</x:v>
      </x:c>
      <x:c r="Q2479" s="54" t="n">
        <x:f>ROUND(O2479-P2479,2)</x:f>
        <x:v>1301.62</x:v>
      </x:c>
      <x:c r="R2479" s="55" t="n">
        <x:f>IF(O2479=0,0,ROUND(Q2479/O2479,4))</x:f>
        <x:v>0.5186</x:v>
      </x:c>
      <x:c r="S2479" s="53" t="n">
        <x:v>4</x:v>
      </x:c>
      <x:c r="T2479" t="str">
        <x:v>Entregue</x:v>
      </x:c>
      <x:c r="U2479" t="n">
        <x:v>3</x:v>
      </x:c>
      <x:c r="V2479" t="str"/>
    </x:row>
    <x:row r="2480">
      <x:c r="A2480" s="52" t="n">
        <x:v>46069</x:v>
      </x:c>
      <x:c r="B2480" t="str">
        <x:v>PED-102479</x:v>
      </x:c>
      <x:c r="C2480" t="str">
        <x:v>Cliente 064</x:v>
      </x:c>
      <x:c r="D2480" t="str">
        <x:v>GO</x:v>
      </x:c>
      <x:c r="E2480" t="str">
        <x:v>Centro-Oeste</x:v>
      </x:c>
      <x:c r="F2480" t="str">
        <x:v>Marketplace</x:v>
      </x:c>
      <x:c r="G2480" t="str">
        <x:v>Escritório</x:v>
      </x:c>
      <x:c r="H2480" t="str">
        <x:v>Cadeira Ergonômica</x:v>
      </x:c>
      <x:c r="I2480" t="str">
        <x:v>Elaine</x:v>
      </x:c>
      <x:c r="J2480" s="53" t="n">
        <x:v>5</x:v>
      </x:c>
      <x:c r="K2480" s="54" t="n">
        <x:v>2186.5</x:v>
      </x:c>
      <x:c r="L2480" s="54" t="n">
        <x:v>1471.11</x:v>
      </x:c>
      <x:c r="M2480" s="55" t="n">
        <x:v>0.035</x:v>
      </x:c>
      <x:c r="N2480" s="54" t="n">
        <x:f>ROUND(J2480*K2480,2)</x:f>
        <x:v>10932.5</x:v>
      </x:c>
      <x:c r="O2480" s="54" t="n">
        <x:f>ROUND(N2480*(1-M2480),2)</x:f>
        <x:v>10549.86</x:v>
      </x:c>
      <x:c r="P2480" s="54" t="n">
        <x:f>ROUND(J2480*L2480,2)</x:f>
        <x:v>7355.55</x:v>
      </x:c>
      <x:c r="Q2480" s="54" t="n">
        <x:f>ROUND(O2480-P2480,2)</x:f>
        <x:v>3194.31</x:v>
      </x:c>
      <x:c r="R2480" s="55" t="n">
        <x:f>IF(O2480=0,0,ROUND(Q2480/O2480,4))</x:f>
        <x:v>0.3028</x:v>
      </x:c>
      <x:c r="S2480" s="53" t="n">
        <x:v>14</x:v>
      </x:c>
      <x:c r="T2480" t="str">
        <x:v>Entregue com atraso</x:v>
      </x:c>
      <x:c r="U2480" t="n">
        <x:v>4</x:v>
      </x:c>
      <x:c r="V2480" t="str"/>
    </x:row>
    <x:row r="2481">
      <x:c r="A2481" s="52" t="n">
        <x:v>46188</x:v>
      </x:c>
      <x:c r="B2481" t="str">
        <x:v>PED-102480</x:v>
      </x:c>
      <x:c r="C2481" t="str">
        <x:v>Cliente 018</x:v>
      </x:c>
      <x:c r="D2481" t="str">
        <x:v>GO</x:v>
      </x:c>
      <x:c r="E2481" t="str">
        <x:v>Centro-Oeste</x:v>
      </x:c>
      <x:c r="F2481" t="str">
        <x:v>Marketplace</x:v>
      </x:c>
      <x:c r="G2481" t="str">
        <x:v>Tecnologia</x:v>
      </x:c>
      <x:c r="H2481" t="str">
        <x:v>Headset Office</x:v>
      </x:c>
      <x:c r="I2481" t="str">
        <x:v>Elaine</x:v>
      </x:c>
      <x:c r="J2481" s="53" t="n">
        <x:v>4</x:v>
      </x:c>
      <x:c r="K2481" s="54" t="n">
        <x:v>384.6</x:v>
      </x:c>
      <x:c r="L2481" s="54" t="n">
        <x:v>205.96</x:v>
      </x:c>
      <x:c r="M2481" s="55" t="n">
        <x:v>0.0464</x:v>
      </x:c>
      <x:c r="N2481" s="54" t="n">
        <x:f>ROUND(J2481*K2481,2)</x:f>
        <x:v>1538.4</x:v>
      </x:c>
      <x:c r="O2481" s="54" t="n">
        <x:f>ROUND(N2481*(1-M2481),2)</x:f>
        <x:v>1467.02</x:v>
      </x:c>
      <x:c r="P2481" s="54" t="n">
        <x:f>ROUND(J2481*L2481,2)</x:f>
        <x:v>823.84</x:v>
      </x:c>
      <x:c r="Q2481" s="54" t="n">
        <x:f>ROUND(O2481-P2481,2)</x:f>
        <x:v>643.18</x:v>
      </x:c>
      <x:c r="R2481" s="55" t="n">
        <x:f>IF(O2481=0,0,ROUND(Q2481/O2481,4))</x:f>
        <x:v>0.4384</x:v>
      </x:c>
      <x:c r="S2481" s="53" t="n">
        <x:v>9</x:v>
      </x:c>
      <x:c r="T2481" t="str">
        <x:v>Entregue</x:v>
      </x:c>
      <x:c r="U2481" t="n">
        <x:v>4</x:v>
      </x:c>
      <x:c r="V2481" t="str"/>
    </x:row>
    <x:row r="2482">
      <x:c r="A2482" s="52" t="n">
        <x:v>46099</x:v>
      </x:c>
      <x:c r="B2482" t="str">
        <x:v>PED-102481</x:v>
      </x:c>
      <x:c r="C2482" t="str">
        <x:v>Cliente 108</x:v>
      </x:c>
      <x:c r="D2482" t="str">
        <x:v>PR</x:v>
      </x:c>
      <x:c r="E2482" t="str">
        <x:v>Sul</x:v>
      </x:c>
      <x:c r="F2482" t="str">
        <x:v>Marketplace</x:v>
      </x:c>
      <x:c r="G2482" t="str">
        <x:v>Casa</x:v>
      </x:c>
      <x:c r="H2482" t="str">
        <x:v>Aspirador Robô</x:v>
      </x:c>
      <x:c r="I2482" t="str">
        <x:v>Henrique</x:v>
      </x:c>
      <x:c r="J2482" s="53" t="n">
        <x:v>2</x:v>
      </x:c>
      <x:c r="K2482" s="54" t="n">
        <x:v>1874.92</x:v>
      </x:c>
      <x:c r="L2482" s="54" t="n">
        <x:v>1148.48</x:v>
      </x:c>
      <x:c r="M2482" s="55" t="n">
        <x:v>0.0602</x:v>
      </x:c>
      <x:c r="N2482" s="54" t="n">
        <x:f>ROUND(J2482*K2482,2)</x:f>
        <x:v>3749.84</x:v>
      </x:c>
      <x:c r="O2482" s="54" t="n">
        <x:f>ROUND(N2482*(1-M2482),2)</x:f>
        <x:v>3524.1</x:v>
      </x:c>
      <x:c r="P2482" s="54" t="n">
        <x:f>ROUND(J2482*L2482,2)</x:f>
        <x:v>2296.96</x:v>
      </x:c>
      <x:c r="Q2482" s="54" t="n">
        <x:f>ROUND(O2482-P2482,2)</x:f>
        <x:v>1227.14</x:v>
      </x:c>
      <x:c r="R2482" s="55" t="n">
        <x:f>IF(O2482=0,0,ROUND(Q2482/O2482,4))</x:f>
        <x:v>0.3482</x:v>
      </x:c>
      <x:c r="S2482" s="53" t="n">
        <x:v>8</x:v>
      </x:c>
      <x:c r="T2482" t="str">
        <x:v>Entregue</x:v>
      </x:c>
      <x:c r="U2482" t="n">
        <x:v>3</x:v>
      </x:c>
      <x:c r="V2482" t="str"/>
    </x:row>
    <x:row r="2483">
      <x:c r="A2483" s="52" t="n">
        <x:v>46171</x:v>
      </x:c>
      <x:c r="B2483" t="str">
        <x:v>PED-102482</x:v>
      </x:c>
      <x:c r="C2483" t="str">
        <x:v>Cliente 086</x:v>
      </x:c>
      <x:c r="D2483" t="str">
        <x:v>MT</x:v>
      </x:c>
      <x:c r="E2483" t="str">
        <x:v>Centro-Oeste</x:v>
      </x:c>
      <x:c r="F2483" t="str">
        <x:v>Televendas</x:v>
      </x:c>
      <x:c r="G2483" t="str">
        <x:v>Tecnologia</x:v>
      </x:c>
      <x:c r="H2483" t="str">
        <x:v>Monitor 27</x:v>
      </x:c>
      <x:c r="I2483" t="str">
        <x:v>Bruno</x:v>
      </x:c>
      <x:c r="J2483" s="53" t="n">
        <x:v>1</x:v>
      </x:c>
      <x:c r="K2483" s="54" t="n">
        <x:v>1629.84</x:v>
      </x:c>
      <x:c r="L2483" s="54" t="n">
        <x:v>1075.97</x:v>
      </x:c>
      <x:c r="M2483" s="55" t="n">
        <x:v>0.0023</x:v>
      </x:c>
      <x:c r="N2483" s="54" t="n">
        <x:f>ROUND(J2483*K2483,2)</x:f>
        <x:v>1629.84</x:v>
      </x:c>
      <x:c r="O2483" s="54" t="n">
        <x:f>ROUND(N2483*(1-M2483),2)</x:f>
        <x:v>1626.09</x:v>
      </x:c>
      <x:c r="P2483" s="54" t="n">
        <x:f>ROUND(J2483*L2483,2)</x:f>
        <x:v>1075.97</x:v>
      </x:c>
      <x:c r="Q2483" s="54" t="n">
        <x:f>ROUND(O2483-P2483,2)</x:f>
        <x:v>550.12</x:v>
      </x:c>
      <x:c r="R2483" s="55" t="n">
        <x:f>IF(O2483=0,0,ROUND(Q2483/O2483,4))</x:f>
        <x:v>0.3383</x:v>
      </x:c>
      <x:c r="S2483" s="53" t="n">
        <x:v>9</x:v>
      </x:c>
      <x:c r="T2483" t="str">
        <x:v>Entregue</x:v>
      </x:c>
      <x:c r="U2483" t="n">
        <x:v>4</x:v>
      </x:c>
      <x:c r="V2483" t="str"/>
    </x:row>
    <x:row r="2484">
      <x:c r="A2484" s="52" t="n">
        <x:v>46027</x:v>
      </x:c>
      <x:c r="B2484" t="str">
        <x:v>PED-102483</x:v>
      </x:c>
      <x:c r="C2484" t="str">
        <x:v>Cliente 024</x:v>
      </x:c>
      <x:c r="D2484" t="str">
        <x:v>MA</x:v>
      </x:c>
      <x:c r="E2484" t="str">
        <x:v>Nordeste</x:v>
      </x:c>
      <x:c r="F2484" t="str">
        <x:v>Televendas</x:v>
      </x:c>
      <x:c r="G2484" t="str">
        <x:v>Tecnologia</x:v>
      </x:c>
      <x:c r="H2484" t="str">
        <x:v>Headset Office</x:v>
      </x:c>
      <x:c r="I2484" t="str">
        <x:v>Henrique</x:v>
      </x:c>
      <x:c r="J2484" s="53" t="n">
        <x:v>1</x:v>
      </x:c>
      <x:c r="K2484" s="54" t="n">
        <x:v>393.62</x:v>
      </x:c>
      <x:c r="L2484" s="54" t="n">
        <x:v>220.34</x:v>
      </x:c>
      <x:c r="M2484" s="55" t="n">
        <x:v>0</x:v>
      </x:c>
      <x:c r="N2484" s="54" t="n">
        <x:f>ROUND(J2484*K2484,2)</x:f>
        <x:v>393.62</x:v>
      </x:c>
      <x:c r="O2484" s="54" t="n">
        <x:f>ROUND(N2484*(1-M2484),2)</x:f>
        <x:v>393.62</x:v>
      </x:c>
      <x:c r="P2484" s="54" t="n">
        <x:f>ROUND(J2484*L2484,2)</x:f>
        <x:v>220.34</x:v>
      </x:c>
      <x:c r="Q2484" s="54" t="n">
        <x:f>ROUND(O2484-P2484,2)</x:f>
        <x:v>173.28</x:v>
      </x:c>
      <x:c r="R2484" s="55" t="n">
        <x:f>IF(O2484=0,0,ROUND(Q2484/O2484,4))</x:f>
        <x:v>0.4402</x:v>
      </x:c>
      <x:c r="S2484" s="53" t="n">
        <x:v>31</x:v>
      </x:c>
      <x:c r="T2484" t="str">
        <x:v>Entregue com atraso</x:v>
      </x:c>
      <x:c r="U2484" t="n">
        <x:v>2</x:v>
      </x:c>
      <x:c r="V2484" t="str">
        <x:v>Ocorrência logística</x:v>
      </x:c>
    </x:row>
    <x:row r="2485">
      <x:c r="A2485" s="52" t="n">
        <x:v>46075</x:v>
      </x:c>
      <x:c r="B2485" t="str">
        <x:v>PED-102484</x:v>
      </x:c>
      <x:c r="C2485" t="str">
        <x:v>Cliente 059</x:v>
      </x:c>
      <x:c r="D2485" t="str">
        <x:v>RS</x:v>
      </x:c>
      <x:c r="E2485" t="str">
        <x:v>Sul</x:v>
      </x:c>
      <x:c r="F2485" t="str">
        <x:v>Loja</x:v>
      </x:c>
      <x:c r="G2485" t="str">
        <x:v>Escritório</x:v>
      </x:c>
      <x:c r="H2485" t="str">
        <x:v>Mesa Ajustável</x:v>
      </x:c>
      <x:c r="I2485" t="str">
        <x:v>Ana</x:v>
      </x:c>
      <x:c r="J2485" s="53" t="n">
        <x:v>4</x:v>
      </x:c>
      <x:c r="K2485" s="54" t="n">
        <x:v>2665.53</x:v>
      </x:c>
      <x:c r="L2485" s="54" t="n">
        <x:v>1810.42</x:v>
      </x:c>
      <x:c r="M2485" s="55" t="n">
        <x:v>0</x:v>
      </x:c>
      <x:c r="N2485" s="54" t="n">
        <x:f>ROUND(J2485*K2485,2)</x:f>
        <x:v>10662.12</x:v>
      </x:c>
      <x:c r="O2485" s="54" t="n">
        <x:f>ROUND(N2485*(1-M2485),2)</x:f>
        <x:v>10662.12</x:v>
      </x:c>
      <x:c r="P2485" s="54" t="n">
        <x:f>ROUND(J2485*L2485,2)</x:f>
        <x:v>7241.68</x:v>
      </x:c>
      <x:c r="Q2485" s="54" t="n">
        <x:f>ROUND(O2485-P2485,2)</x:f>
        <x:v>3420.44</x:v>
      </x:c>
      <x:c r="R2485" s="55" t="n">
        <x:f>IF(O2485=0,0,ROUND(Q2485/O2485,4))</x:f>
        <x:v>0.3208</x:v>
      </x:c>
      <x:c r="S2485" s="53" t="n">
        <x:v>4</x:v>
      </x:c>
      <x:c r="T2485" t="str">
        <x:v>Entregue</x:v>
      </x:c>
      <x:c r="U2485" t="n">
        <x:v>3</x:v>
      </x:c>
      <x:c r="V2485" t="str"/>
    </x:row>
    <x:row r="2486">
      <x:c r="A2486" s="52" t="n">
        <x:v>46100</x:v>
      </x:c>
      <x:c r="B2486" t="str">
        <x:v>PED-102485</x:v>
      </x:c>
      <x:c r="C2486" t="str">
        <x:v>Cliente 049</x:v>
      </x:c>
      <x:c r="D2486" t="str">
        <x:v>DF</x:v>
      </x:c>
      <x:c r="E2486" t="str">
        <x:v>Centro-Oeste</x:v>
      </x:c>
      <x:c r="F2486" t="str">
        <x:v>Televendas</x:v>
      </x:c>
      <x:c r="G2486" t="str">
        <x:v>Tecnologia</x:v>
      </x:c>
      <x:c r="H2486" t="str">
        <x:v>Notebook Pro</x:v>
      </x:c>
      <x:c r="I2486" t="str">
        <x:v>Bruno</x:v>
      </x:c>
      <x:c r="J2486" s="53" t="n">
        <x:v>8</x:v>
      </x:c>
      <x:c r="K2486" s="54" t="n">
        <x:v>5724.74</x:v>
      </x:c>
      <x:c r="L2486" s="54" t="n">
        <x:v>4204.02</x:v>
      </x:c>
      <x:c r="M2486" s="55" t="n">
        <x:v>0.0097</x:v>
      </x:c>
      <x:c r="N2486" s="54" t="n">
        <x:f>ROUND(J2486*K2486,2)</x:f>
        <x:v>45797.92</x:v>
      </x:c>
      <x:c r="O2486" s="54" t="n">
        <x:f>ROUND(N2486*(1-M2486),2)</x:f>
        <x:v>45353.68</x:v>
      </x:c>
      <x:c r="P2486" s="54" t="n">
        <x:f>ROUND(J2486*L2486,2)</x:f>
        <x:v>33632.16</x:v>
      </x:c>
      <x:c r="Q2486" s="54" t="n">
        <x:f>ROUND(O2486-P2486,2)</x:f>
        <x:v>11721.52</x:v>
      </x:c>
      <x:c r="R2486" s="55" t="n">
        <x:f>IF(O2486=0,0,ROUND(Q2486/O2486,4))</x:f>
        <x:v>0.2584</x:v>
      </x:c>
      <x:c r="S2486" s="53" t="n">
        <x:v>12</x:v>
      </x:c>
      <x:c r="T2486" t="str">
        <x:v>Entregue com atraso</x:v>
      </x:c>
      <x:c r="U2486" t="n">
        <x:v>3</x:v>
      </x:c>
      <x:c r="V2486" t="str"/>
    </x:row>
    <x:row r="2487">
      <x:c r="A2487" s="52" t="n">
        <x:v>46149</x:v>
      </x:c>
      <x:c r="B2487" t="str">
        <x:v>PED-102486</x:v>
      </x:c>
      <x:c r="C2487" t="str">
        <x:v>Cliente 033</x:v>
      </x:c>
      <x:c r="D2487" t="str">
        <x:v>BA</x:v>
      </x:c>
      <x:c r="E2487" t="str">
        <x:v>Nordeste</x:v>
      </x:c>
      <x:c r="F2487" t="str">
        <x:v>Loja</x:v>
      </x:c>
      <x:c r="G2487" t="str">
        <x:v>Acessórios</x:v>
      </x:c>
      <x:c r="H2487" t="str">
        <x:v>Webcam HD</x:v>
      </x:c>
      <x:c r="I2487" t="str">
        <x:v>João</x:v>
      </x:c>
      <x:c r="J2487" s="53" t="n">
        <x:v>7</x:v>
      </x:c>
      <x:c r="K2487" s="54" t="n">
        <x:v>521.81</x:v>
      </x:c>
      <x:c r="L2487" s="54" t="n">
        <x:v>258.22</x:v>
      </x:c>
      <x:c r="M2487" s="55" t="n">
        <x:v>0</x:v>
      </x:c>
      <x:c r="N2487" s="54" t="n">
        <x:f>ROUND(J2487*K2487,2)</x:f>
        <x:v>3652.67</x:v>
      </x:c>
      <x:c r="O2487" s="54" t="n">
        <x:f>ROUND(N2487*(1-M2487),2)</x:f>
        <x:v>3652.67</x:v>
      </x:c>
      <x:c r="P2487" s="54" t="n">
        <x:f>ROUND(J2487*L2487,2)</x:f>
        <x:v>1807.54</x:v>
      </x:c>
      <x:c r="Q2487" s="54" t="n">
        <x:f>ROUND(O2487-P2487,2)</x:f>
        <x:v>1845.13</x:v>
      </x:c>
      <x:c r="R2487" s="55" t="n">
        <x:f>IF(O2487=0,0,ROUND(Q2487/O2487,4))</x:f>
        <x:v>0.5051</x:v>
      </x:c>
      <x:c r="S2487" s="53" t="n">
        <x:v>9</x:v>
      </x:c>
      <x:c r="T2487" t="str">
        <x:v>Entregue</x:v>
      </x:c>
      <x:c r="U2487" t="n">
        <x:v>3</x:v>
      </x:c>
      <x:c r="V2487" t="str"/>
    </x:row>
    <x:row r="2488">
      <x:c r="A2488" s="52" t="n">
        <x:v>46183</x:v>
      </x:c>
      <x:c r="B2488" t="str">
        <x:v>PED-102487</x:v>
      </x:c>
      <x:c r="C2488" t="str">
        <x:v>Cliente 022</x:v>
      </x:c>
      <x:c r="D2488" t="str">
        <x:v>BA</x:v>
      </x:c>
      <x:c r="E2488" t="str">
        <x:v>Nordeste</x:v>
      </x:c>
      <x:c r="F2488" t="str">
        <x:v>E-commerce</x:v>
      </x:c>
      <x:c r="G2488" t="str">
        <x:v>Tecnologia</x:v>
      </x:c>
      <x:c r="H2488" t="str">
        <x:v>Notebook Pro</x:v>
      </x:c>
      <x:c r="I2488" t="str">
        <x:v>Carla</x:v>
      </x:c>
      <x:c r="J2488" s="53" t="n">
        <x:v>8</x:v>
      </x:c>
      <x:c r="K2488" s="54" t="n">
        <x:v>5993.14</x:v>
      </x:c>
      <x:c r="L2488" s="54" t="n">
        <x:v>4678.7</x:v>
      </x:c>
      <x:c r="M2488" s="55" t="n">
        <x:v>0</x:v>
      </x:c>
      <x:c r="N2488" s="54" t="n">
        <x:f>ROUND(J2488*K2488,2)</x:f>
        <x:v>47945.12</x:v>
      </x:c>
      <x:c r="O2488" s="54" t="n">
        <x:f>ROUND(N2488*(1-M2488),2)</x:f>
        <x:v>47945.12</x:v>
      </x:c>
      <x:c r="P2488" s="54" t="n">
        <x:f>ROUND(J2488*L2488,2)</x:f>
        <x:v>37429.6</x:v>
      </x:c>
      <x:c r="Q2488" s="54" t="n">
        <x:f>ROUND(O2488-P2488,2)</x:f>
        <x:v>10515.52</x:v>
      </x:c>
      <x:c r="R2488" s="55" t="n">
        <x:f>IF(O2488=0,0,ROUND(Q2488/O2488,4))</x:f>
        <x:v>0.2193</x:v>
      </x:c>
      <x:c r="S2488" s="53" t="n">
        <x:v>6</x:v>
      </x:c>
      <x:c r="T2488" t="str">
        <x:v>Entregue</x:v>
      </x:c>
      <x:c r="U2488" t="n">
        <x:v>2</x:v>
      </x:c>
      <x:c r="V2488" t="str"/>
    </x:row>
    <x:row r="2489">
      <x:c r="A2489" s="52" t="n">
        <x:v>46059</x:v>
      </x:c>
      <x:c r="B2489" t="str">
        <x:v>PED-102488</x:v>
      </x:c>
      <x:c r="C2489" t="str">
        <x:v>Cliente 022</x:v>
      </x:c>
      <x:c r="D2489" t="str">
        <x:v>CE</x:v>
      </x:c>
      <x:c r="E2489" t="str">
        <x:v>Nordeste</x:v>
      </x:c>
      <x:c r="F2489" t="str">
        <x:v>Televendas</x:v>
      </x:c>
      <x:c r="G2489" t="str">
        <x:v>Acessórios</x:v>
      </x:c>
      <x:c r="H2489" t="str">
        <x:v>Webcam HD</x:v>
      </x:c>
      <x:c r="I2489" t="str">
        <x:v>João</x:v>
      </x:c>
      <x:c r="J2489" s="53" t="n">
        <x:v>8</x:v>
      </x:c>
      <x:c r="K2489" s="54" t="n">
        <x:v>508.31</x:v>
      </x:c>
      <x:c r="L2489" s="54" t="n">
        <x:v>259.78</x:v>
      </x:c>
      <x:c r="M2489" s="55" t="n">
        <x:v>0.0306</x:v>
      </x:c>
      <x:c r="N2489" s="54" t="n">
        <x:f>ROUND(J2489*K2489,2)</x:f>
        <x:v>4066.48</x:v>
      </x:c>
      <x:c r="O2489" s="54" t="n">
        <x:f>ROUND(N2489*(1-M2489),2)</x:f>
        <x:v>3942.05</x:v>
      </x:c>
      <x:c r="P2489" s="54" t="n">
        <x:f>ROUND(J2489*L2489,2)</x:f>
        <x:v>2078.24</x:v>
      </x:c>
      <x:c r="Q2489" s="54" t="n">
        <x:f>ROUND(O2489-P2489,2)</x:f>
        <x:v>1863.81</x:v>
      </x:c>
      <x:c r="R2489" s="55" t="n">
        <x:f>IF(O2489=0,0,ROUND(Q2489/O2489,4))</x:f>
        <x:v>0.4728</x:v>
      </x:c>
      <x:c r="S2489" s="53" t="n">
        <x:v>3</x:v>
      </x:c>
      <x:c r="T2489" t="str">
        <x:v>Entregue</x:v>
      </x:c>
      <x:c r="U2489" t="n">
        <x:v>5</x:v>
      </x:c>
      <x:c r="V2489" t="str"/>
    </x:row>
    <x:row r="2490">
      <x:c r="A2490" s="52" t="n">
        <x:v>46102</x:v>
      </x:c>
      <x:c r="B2490" t="str">
        <x:v>PED-101691</x:v>
      </x:c>
      <x:c r="C2490" t="str">
        <x:v>Cliente 086</x:v>
      </x:c>
      <x:c r="D2490" t="str">
        <x:v>DF</x:v>
      </x:c>
      <x:c r="E2490" t="str">
        <x:v>Centro-Oeste</x:v>
      </x:c>
      <x:c r="F2490" t="str">
        <x:v>Loja</x:v>
      </x:c>
      <x:c r="G2490" t="str">
        <x:v>Escritório</x:v>
      </x:c>
      <x:c r="H2490" t="str">
        <x:v>Cadeira Ergonômica</x:v>
      </x:c>
      <x:c r="I2490" t="str">
        <x:v>Diego</x:v>
      </x:c>
      <x:c r="J2490" s="53" t="n">
        <x:v>1</x:v>
      </x:c>
      <x:c r="K2490" s="54" t="n">
        <x:v>2241.33</x:v>
      </x:c>
      <x:c r="L2490" s="54" t="n">
        <x:v>1393.67</x:v>
      </x:c>
      <x:c r="M2490" s="55" t="n">
        <x:v>0</x:v>
      </x:c>
      <x:c r="N2490" s="54" t="n">
        <x:f>ROUND(J2490*K2490,2)</x:f>
        <x:v>2241.33</x:v>
      </x:c>
      <x:c r="O2490" s="54" t="n">
        <x:f>ROUND(N2490*(1-M2490),2)</x:f>
        <x:v>2241.33</x:v>
      </x:c>
      <x:c r="P2490" s="54" t="n">
        <x:f>ROUND(J2490*L2490,2)</x:f>
        <x:v>1393.67</x:v>
      </x:c>
      <x:c r="Q2490" s="54" t="n">
        <x:f>ROUND(O2490-P2490,2)</x:f>
        <x:v>847.66</x:v>
      </x:c>
      <x:c r="R2490" s="55" t="n">
        <x:f>IF(O2490=0,0,ROUND(Q2490/O2490,4))</x:f>
        <x:v>0.3782</x:v>
      </x:c>
      <x:c r="S2490" s="53" t="n">
        <x:v>2</x:v>
      </x:c>
      <x:c r="T2490" t="str">
        <x:v>Entregue</x:v>
      </x:c>
      <x:c r="U2490" t="n">
        <x:v>5</x:v>
      </x:c>
      <x:c r="V2490" t="str"/>
    </x:row>
    <x:row r="2491">
      <x:c r="A2491" s="52" t="n">
        <x:v>46086</x:v>
      </x:c>
      <x:c r="B2491" t="str">
        <x:v>PED-102490</x:v>
      </x:c>
      <x:c r="C2491" t="str">
        <x:v>Cliente 039</x:v>
      </x:c>
      <x:c r="D2491" t="str">
        <x:v>DF</x:v>
      </x:c>
      <x:c r="E2491" t="str">
        <x:v>Centro-Oeste</x:v>
      </x:c>
      <x:c r="F2491" t="str">
        <x:v>E-commerce</x:v>
      </x:c>
      <x:c r="G2491" t="str">
        <x:v>Acessórios</x:v>
      </x:c>
      <x:c r="H2491" t="str">
        <x:v>Mochila Executiva</x:v>
      </x:c>
      <x:c r="I2491" t="str">
        <x:v>Diego</x:v>
      </x:c>
      <x:c r="J2491" s="53" t="n">
        <x:v>2</x:v>
      </x:c>
      <x:c r="K2491" s="54" t="n">
        <x:v>445.74</x:v>
      </x:c>
      <x:c r="L2491" s="54" t="n">
        <x:v>199.46</x:v>
      </x:c>
      <x:c r="M2491" s="55" t="n">
        <x:v>0</x:v>
      </x:c>
      <x:c r="N2491" s="54" t="n">
        <x:f>ROUND(J2491*K2491,2)</x:f>
        <x:v>891.48</x:v>
      </x:c>
      <x:c r="O2491" s="54" t="n">
        <x:f>ROUND(N2491*(1-M2491),2)</x:f>
        <x:v>891.48</x:v>
      </x:c>
      <x:c r="P2491" s="54" t="n">
        <x:f>ROUND(J2491*L2491,2)</x:f>
        <x:v>398.92</x:v>
      </x:c>
      <x:c r="Q2491" s="54" t="n">
        <x:f>ROUND(O2491-P2491,2)</x:f>
        <x:v>492.56</x:v>
      </x:c>
      <x:c r="R2491" s="55" t="n">
        <x:f>IF(O2491=0,0,ROUND(Q2491/O2491,4))</x:f>
        <x:v>0.5525</x:v>
      </x:c>
      <x:c r="S2491" s="53" t="n">
        <x:v>5</x:v>
      </x:c>
      <x:c r="T2491" t="str">
        <x:v>Entregue</x:v>
      </x:c>
      <x:c r="U2491" t="n">
        <x:v>2</x:v>
      </x:c>
      <x:c r="V2491" t="str"/>
    </x:row>
    <x:row r="2492">
      <x:c r="A2492" s="52" t="n">
        <x:v>46191</x:v>
      </x:c>
      <x:c r="B2492" t="str">
        <x:v>PED-102491</x:v>
      </x:c>
      <x:c r="C2492" t="str">
        <x:v>Cliente 088</x:v>
      </x:c>
      <x:c r="D2492" t="str">
        <x:v>ES</x:v>
      </x:c>
      <x:c r="E2492" t="str">
        <x:v>Sudeste</x:v>
      </x:c>
      <x:c r="F2492" t="str">
        <x:v>E-commerce</x:v>
      </x:c>
      <x:c r="G2492" t="str">
        <x:v>Escritório</x:v>
      </x:c>
      <x:c r="H2492" t="str">
        <x:v>Mesa Ajustável</x:v>
      </x:c>
      <x:c r="I2492" t="str">
        <x:v>Henrique</x:v>
      </x:c>
      <x:c r="J2492" s="53" t="n">
        <x:v>2</x:v>
      </x:c>
      <x:c r="K2492" s="54" t="n">
        <x:v>2682.89</x:v>
      </x:c>
      <x:c r="L2492" s="54" t="n">
        <x:v>1802.77</x:v>
      </x:c>
      <x:c r="M2492" s="55" t="n">
        <x:v>0.0543</x:v>
      </x:c>
      <x:c r="N2492" s="54" t="n">
        <x:f>ROUND(J2492*K2492,2)</x:f>
        <x:v>5365.78</x:v>
      </x:c>
      <x:c r="O2492" s="54" t="n">
        <x:f>ROUND(N2492*(1-M2492),2)</x:f>
        <x:v>5074.42</x:v>
      </x:c>
      <x:c r="P2492" s="54" t="n">
        <x:f>ROUND(J2492*L2492,2)</x:f>
        <x:v>3605.54</x:v>
      </x:c>
      <x:c r="Q2492" s="54" t="n">
        <x:f>ROUND(O2492-P2492,2)</x:f>
        <x:v>1468.88</x:v>
      </x:c>
      <x:c r="R2492" s="55" t="n">
        <x:f>IF(O2492=0,0,ROUND(Q2492/O2492,4))</x:f>
        <x:v>0.2895</x:v>
      </x:c>
      <x:c r="S2492" s="53" t="n">
        <x:v>7</x:v>
      </x:c>
      <x:c r="T2492" t="str">
        <x:v>Entregue</x:v>
      </x:c>
      <x:c r="U2492" t="n">
        <x:v>4</x:v>
      </x:c>
      <x:c r="V2492" t="str"/>
    </x:row>
    <x:row r="2493">
      <x:c r="A2493" s="52" t="n">
        <x:v>46023</x:v>
      </x:c>
      <x:c r="B2493" t="str">
        <x:v>PED-102492</x:v>
      </x:c>
      <x:c r="C2493" t="str">
        <x:v>Cliente 079</x:v>
      </x:c>
      <x:c r="D2493" t="str">
        <x:v>SC</x:v>
      </x:c>
      <x:c r="E2493" t="str">
        <x:v>Sul</x:v>
      </x:c>
      <x:c r="F2493" t="str">
        <x:v>E-commerce</x:v>
      </x:c>
      <x:c r="G2493" t="str">
        <x:v>Casa</x:v>
      </x:c>
      <x:c r="H2493" t="str">
        <x:v>Aspirador Robô</x:v>
      </x:c>
      <x:c r="I2493" t="str">
        <x:v>Felipe</x:v>
      </x:c>
      <x:c r="J2493" s="53" t="n">
        <x:v>2</x:v>
      </x:c>
      <x:c r="K2493" s="54" t="n">
        <x:v>1847.44</x:v>
      </x:c>
      <x:c r="L2493" s="54" t="n">
        <x:v>1234.11</x:v>
      </x:c>
      <x:c r="M2493" s="55" t="n">
        <x:v>0</x:v>
      </x:c>
      <x:c r="N2493" s="54" t="n">
        <x:f>ROUND(J2493*K2493,2)</x:f>
        <x:v>3694.88</x:v>
      </x:c>
      <x:c r="O2493" s="54" t="n">
        <x:f>ROUND(N2493*(1-M2493),2)</x:f>
        <x:v>3694.88</x:v>
      </x:c>
      <x:c r="P2493" s="54" t="n">
        <x:f>ROUND(J2493*L2493,2)</x:f>
        <x:v>2468.22</x:v>
      </x:c>
      <x:c r="Q2493" s="54" t="n">
        <x:f>ROUND(O2493-P2493,2)</x:f>
        <x:v>1226.66</x:v>
      </x:c>
      <x:c r="R2493" s="55" t="n">
        <x:f>IF(O2493=0,0,ROUND(Q2493/O2493,4))</x:f>
        <x:v>0.332</x:v>
      </x:c>
      <x:c r="S2493" s="53" t="n">
        <x:v>7</x:v>
      </x:c>
      <x:c r="T2493" t="str">
        <x:v>Entregue</x:v>
      </x:c>
      <x:c r="U2493" t="n">
        <x:v>4</x:v>
      </x:c>
      <x:c r="V2493" t="str"/>
    </x:row>
    <x:row r="2494">
      <x:c r="A2494" s="52" t="n">
        <x:v>46165</x:v>
      </x:c>
      <x:c r="B2494" t="str">
        <x:v>PED-102493</x:v>
      </x:c>
      <x:c r="C2494" t="str">
        <x:v>Cliente 100</x:v>
      </x:c>
      <x:c r="D2494" t="str">
        <x:v>RJ</x:v>
      </x:c>
      <x:c r="E2494" t="str">
        <x:v>Sudeste</x:v>
      </x:c>
      <x:c r="F2494" t="str">
        <x:v>Televendas</x:v>
      </x:c>
      <x:c r="G2494" t="str">
        <x:v>Escritório</x:v>
      </x:c>
      <x:c r="H2494" t="str">
        <x:v>Mesa Ajustável</x:v>
      </x:c>
      <x:c r="I2494" t="str">
        <x:v>Ana</x:v>
      </x:c>
      <x:c r="J2494" s="53" t="n">
        <x:v>7</x:v>
      </x:c>
      <x:c r="K2494" s="54" t="n">
        <x:v>2636.79</x:v>
      </x:c>
      <x:c r="L2494" s="54" t="n">
        <x:v>1865.23</x:v>
      </x:c>
      <x:c r="M2494" s="55" t="n">
        <x:v>0</x:v>
      </x:c>
      <x:c r="N2494" s="54" t="n">
        <x:f>ROUND(J2494*K2494,2)</x:f>
        <x:v>18457.53</x:v>
      </x:c>
      <x:c r="O2494" s="54" t="n">
        <x:f>ROUND(N2494*(1-M2494),2)</x:f>
        <x:v>18457.53</x:v>
      </x:c>
      <x:c r="P2494" s="54" t="n">
        <x:f>ROUND(J2494*L2494,2)</x:f>
        <x:v>13056.61</x:v>
      </x:c>
      <x:c r="Q2494" s="54" t="n">
        <x:f>ROUND(O2494-P2494,2)</x:f>
        <x:v>5400.92</x:v>
      </x:c>
      <x:c r="R2494" s="55" t="n">
        <x:f>IF(O2494=0,0,ROUND(Q2494/O2494,4))</x:f>
        <x:v>0.2926</x:v>
      </x:c>
      <x:c r="S2494" s="53" t="n">
        <x:v>3</x:v>
      </x:c>
      <x:c r="T2494" t="str">
        <x:v>Entregue</x:v>
      </x:c>
      <x:c r="U2494" t="n">
        <x:v>2</x:v>
      </x:c>
      <x:c r="V2494" t="str"/>
    </x:row>
    <x:row r="2495">
      <x:c r="A2495" s="52" t="n">
        <x:v>46099</x:v>
      </x:c>
      <x:c r="B2495" t="str">
        <x:v>PED-102494</x:v>
      </x:c>
      <x:c r="C2495" t="str">
        <x:v>Cliente 064</x:v>
      </x:c>
      <x:c r="D2495" t="str">
        <x:v>MA</x:v>
      </x:c>
      <x:c r="E2495" t="str">
        <x:v>Nordeste</x:v>
      </x:c>
      <x:c r="F2495" t="str">
        <x:v>Marketplace</x:v>
      </x:c>
      <x:c r="G2495" t="str">
        <x:v>Acessórios</x:v>
      </x:c>
      <x:c r="H2495" t="str">
        <x:v>Webcam HD</x:v>
      </x:c>
      <x:c r="I2495" t="str">
        <x:v>Isabela</x:v>
      </x:c>
      <x:c r="J2495" s="53" t="n">
        <x:v>4</x:v>
      </x:c>
      <x:c r="K2495" s="54" t="n">
        <x:v>527.33</x:v>
      </x:c>
      <x:c r="L2495" s="54" t="n">
        <x:v>249.56</x:v>
      </x:c>
      <x:c r="M2495" s="55" t="n">
        <x:v>0.035</x:v>
      </x:c>
      <x:c r="N2495" s="54" t="n">
        <x:f>ROUND(J2495*K2495,2)</x:f>
        <x:v>2109.32</x:v>
      </x:c>
      <x:c r="O2495" s="54" t="n">
        <x:f>ROUND(N2495*(1-M2495),2)</x:f>
        <x:v>2035.49</x:v>
      </x:c>
      <x:c r="P2495" s="54" t="n">
        <x:f>ROUND(J2495*L2495,2)</x:f>
        <x:v>998.24</x:v>
      </x:c>
      <x:c r="Q2495" s="54" t="n">
        <x:f>ROUND(O2495-P2495,2)</x:f>
        <x:v>1037.25</x:v>
      </x:c>
      <x:c r="R2495" s="55" t="n">
        <x:f>IF(O2495=0,0,ROUND(Q2495/O2495,4))</x:f>
        <x:v>0.5096</x:v>
      </x:c>
      <x:c r="S2495" s="53" t="n">
        <x:v>5</x:v>
      </x:c>
      <x:c r="T2495" t="str">
        <x:v>Entregue</x:v>
      </x:c>
      <x:c r="U2495" t="n">
        <x:v>4</x:v>
      </x:c>
      <x:c r="V2495" t="str"/>
    </x:row>
    <x:row r="2496">
      <x:c r="A2496" s="52" t="n">
        <x:v>46124</x:v>
      </x:c>
      <x:c r="B2496" t="str">
        <x:v>PED-102495</x:v>
      </x:c>
      <x:c r="C2496" t="str">
        <x:v>Cliente 006</x:v>
      </x:c>
      <x:c r="D2496" t="str">
        <x:v>ES</x:v>
      </x:c>
      <x:c r="E2496" t="str">
        <x:v>Sudeste</x:v>
      </x:c>
      <x:c r="F2496" t="str">
        <x:v>E-commerce</x:v>
      </x:c>
      <x:c r="G2496" t="str">
        <x:v>Tecnologia</x:v>
      </x:c>
      <x:c r="H2496" t="str">
        <x:v>Notebook Pro</x:v>
      </x:c>
      <x:c r="I2496" t="str">
        <x:v>Felipe</x:v>
      </x:c>
      <x:c r="J2496" s="53" t="n">
        <x:v>4</x:v>
      </x:c>
      <x:c r="K2496" s="54" t="n">
        <x:v>5635.59</x:v>
      </x:c>
      <x:c r="L2496" s="54" t="n">
        <x:v>4253.22</x:v>
      </x:c>
      <x:c r="M2496" s="55" t="n">
        <x:v>0.0324</x:v>
      </x:c>
      <x:c r="N2496" s="54" t="n">
        <x:f>ROUND(J2496*K2496,2)</x:f>
        <x:v>22542.36</x:v>
      </x:c>
      <x:c r="O2496" s="54" t="n">
        <x:f>ROUND(N2496*(1-M2496),2)</x:f>
        <x:v>21811.99</x:v>
      </x:c>
      <x:c r="P2496" s="54" t="n">
        <x:f>ROUND(J2496*L2496,2)</x:f>
        <x:v>17012.88</x:v>
      </x:c>
      <x:c r="Q2496" s="54" t="n">
        <x:f>ROUND(O2496-P2496,2)</x:f>
        <x:v>4799.11</x:v>
      </x:c>
      <x:c r="R2496" s="55" t="n">
        <x:f>IF(O2496=0,0,ROUND(Q2496/O2496,4))</x:f>
        <x:v>0.22</x:v>
      </x:c>
      <x:c r="S2496" s="53" t="n">
        <x:v>2</x:v>
      </x:c>
      <x:c r="T2496" t="str">
        <x:v>Entregue</x:v>
      </x:c>
      <x:c r="U2496" t="n">
        <x:v>2</x:v>
      </x:c>
      <x:c r="V2496" t="str"/>
    </x:row>
    <x:row r="2497">
      <x:c r="A2497" s="52" t="n">
        <x:v>46069</x:v>
      </x:c>
      <x:c r="B2497" t="str">
        <x:v>PED-102496</x:v>
      </x:c>
      <x:c r="C2497" t="str">
        <x:v>Cliente 109</x:v>
      </x:c>
      <x:c r="D2497" t="str">
        <x:v>SC</x:v>
      </x:c>
      <x:c r="E2497" t="str">
        <x:v>Sul</x:v>
      </x:c>
      <x:c r="F2497" t="str">
        <x:v>Televendas</x:v>
      </x:c>
      <x:c r="G2497" t="str">
        <x:v>Tecnologia</x:v>
      </x:c>
      <x:c r="H2497" t="str">
        <x:v>Notebook Pro</x:v>
      </x:c>
      <x:c r="I2497" t="str">
        <x:v>Elaine</x:v>
      </x:c>
      <x:c r="J2497" s="53" t="n">
        <x:v>5</x:v>
      </x:c>
      <x:c r="K2497" s="54" t="n">
        <x:v>6022.74</x:v>
      </x:c>
      <x:c r="L2497" s="54" t="n">
        <x:v>4325.47</x:v>
      </x:c>
      <x:c r="M2497" s="55" t="n">
        <x:v>0</x:v>
      </x:c>
      <x:c r="N2497" s="54" t="n">
        <x:f>ROUND(J2497*K2497,2)</x:f>
        <x:v>30113.7</x:v>
      </x:c>
      <x:c r="O2497" s="54" t="n">
        <x:f>ROUND(N2497*(1-M2497),2)</x:f>
        <x:v>30113.7</x:v>
      </x:c>
      <x:c r="P2497" s="54" t="n">
        <x:f>ROUND(J2497*L2497,2)</x:f>
        <x:v>21627.35</x:v>
      </x:c>
      <x:c r="Q2497" s="54" t="n">
        <x:f>ROUND(O2497-P2497,2)</x:f>
        <x:v>8486.35</x:v>
      </x:c>
      <x:c r="R2497" s="55" t="n">
        <x:f>IF(O2497=0,0,ROUND(Q2497/O2497,4))</x:f>
        <x:v>0.2818</x:v>
      </x:c>
      <x:c r="S2497" s="53" t="n">
        <x:v>12</x:v>
      </x:c>
      <x:c r="T2497" t="str">
        <x:v>Entregue com atraso</x:v>
      </x:c>
      <x:c r="U2497" t="n">
        <x:v>4</x:v>
      </x:c>
      <x:c r="V2497" t="str"/>
    </x:row>
    <x:row r="2498">
      <x:c r="A2498" s="52" t="n">
        <x:v>46098</x:v>
      </x:c>
      <x:c r="B2498" t="str">
        <x:v>PED-102497</x:v>
      </x:c>
      <x:c r="C2498" t="str">
        <x:v>Cliente 084</x:v>
      </x:c>
      <x:c r="D2498" t="str">
        <x:v>MT</x:v>
      </x:c>
      <x:c r="E2498" t="str">
        <x:v>Centro-Oeste</x:v>
      </x:c>
      <x:c r="F2498" t="str">
        <x:v>Marketplace</x:v>
      </x:c>
      <x:c r="G2498" t="str">
        <x:v>Tecnologia</x:v>
      </x:c>
      <x:c r="H2498" t="str">
        <x:v>Monitor 27</x:v>
      </x:c>
      <x:c r="I2498" t="str">
        <x:v>Gabriela</x:v>
      </x:c>
      <x:c r="J2498" s="53" t="n">
        <x:v>2</x:v>
      </x:c>
      <x:c r="K2498" s="54" t="n">
        <x:v>1635.51</x:v>
      </x:c>
      <x:c r="L2498" s="54" t="n">
        <x:v>1107.37</x:v>
      </x:c>
      <x:c r="M2498" s="55" t="n">
        <x:v>0.035</x:v>
      </x:c>
      <x:c r="N2498" s="54" t="n">
        <x:f>ROUND(J2498*K2498,2)</x:f>
        <x:v>3271.02</x:v>
      </x:c>
      <x:c r="O2498" s="54" t="n">
        <x:f>ROUND(N2498*(1-M2498),2)</x:f>
        <x:v>3156.53</x:v>
      </x:c>
      <x:c r="P2498" s="54" t="n">
        <x:f>ROUND(J2498*L2498,2)</x:f>
        <x:v>2214.74</x:v>
      </x:c>
      <x:c r="Q2498" s="54" t="n">
        <x:f>ROUND(O2498-P2498,2)</x:f>
        <x:v>941.79</x:v>
      </x:c>
      <x:c r="R2498" s="55" t="n">
        <x:f>IF(O2498=0,0,ROUND(Q2498/O2498,4))</x:f>
        <x:v>0.2984</x:v>
      </x:c>
      <x:c r="S2498" s="53" t="n">
        <x:v>12</x:v>
      </x:c>
      <x:c r="T2498" t="str">
        <x:v>Entregue com atraso</x:v>
      </x:c>
      <x:c r="U2498" t="n">
        <x:v>3</x:v>
      </x:c>
      <x:c r="V2498" t="str"/>
    </x:row>
    <x:row r="2499">
      <x:c r="A2499" s="52" t="n">
        <x:v>46117</x:v>
      </x:c>
      <x:c r="B2499" t="str">
        <x:v>PED-102498</x:v>
      </x:c>
      <x:c r="C2499" t="str">
        <x:v>Cliente 027</x:v>
      </x:c>
      <x:c r="D2499" t="str">
        <x:v>DF</x:v>
      </x:c>
      <x:c r="E2499" t="str">
        <x:v>Centro-Oeste</x:v>
      </x:c>
      <x:c r="F2499" t="str">
        <x:v>Loja</x:v>
      </x:c>
      <x:c r="G2499" t="str">
        <x:v>Escritório</x:v>
      </x:c>
      <x:c r="H2499" t="str">
        <x:v>Luminária LED</x:v>
      </x:c>
      <x:c r="I2499" t="str">
        <x:v>Ana</x:v>
      </x:c>
      <x:c r="J2499" s="53" t="n">
        <x:v>1</x:v>
      </x:c>
      <x:c r="K2499" s="54" t="n">
        <x:v>257.72</x:v>
      </x:c>
      <x:c r="L2499" s="54" t="n">
        <x:v>120.9</x:v>
      </x:c>
      <x:c r="M2499" s="55" t="n">
        <x:v>0.0683</x:v>
      </x:c>
      <x:c r="N2499" s="54" t="n">
        <x:f>ROUND(J2499*K2499,2)</x:f>
        <x:v>257.72</x:v>
      </x:c>
      <x:c r="O2499" s="54" t="n">
        <x:f>ROUND(N2499*(1-M2499),2)</x:f>
        <x:v>240.12</x:v>
      </x:c>
      <x:c r="P2499" s="54" t="n">
        <x:f>ROUND(J2499*L2499,2)</x:f>
        <x:v>120.9</x:v>
      </x:c>
      <x:c r="Q2499" s="54" t="n">
        <x:f>ROUND(O2499-P2499,2)</x:f>
        <x:v>119.22</x:v>
      </x:c>
      <x:c r="R2499" s="55" t="n">
        <x:f>IF(O2499=0,0,ROUND(Q2499/O2499,4))</x:f>
        <x:v>0.4965</x:v>
      </x:c>
      <x:c r="S2499" s="53" t="n">
        <x:v>6</x:v>
      </x:c>
      <x:c r="T2499" t="str">
        <x:v>Entregue</x:v>
      </x:c>
      <x:c r="U2499" t="n">
        <x:v>2</x:v>
      </x:c>
      <x:c r="V2499" t="str"/>
    </x:row>
    <x:row r="2500">
      <x:c r="A2500" s="52" t="n">
        <x:v>46160</x:v>
      </x:c>
      <x:c r="B2500" t="str">
        <x:v>PED-102499</x:v>
      </x:c>
      <x:c r="C2500" t="str">
        <x:v>Cliente 097</x:v>
      </x:c>
      <x:c r="D2500" t="str">
        <x:v>BA</x:v>
      </x:c>
      <x:c r="E2500" t="str">
        <x:v>Nordeste</x:v>
      </x:c>
      <x:c r="F2500" t="str">
        <x:v>E-commerce</x:v>
      </x:c>
      <x:c r="G2500" t="str">
        <x:v>Tecnologia</x:v>
      </x:c>
      <x:c r="H2500" t="str">
        <x:v>Monitor 27</x:v>
      </x:c>
      <x:c r="I2500" t="str">
        <x:v>Carla</x:v>
      </x:c>
      <x:c r="J2500" s="53" t="n">
        <x:v>5</x:v>
      </x:c>
      <x:c r="K2500" s="54" t="n">
        <x:v>1712.56</x:v>
      </x:c>
      <x:c r="L2500" s="54" t="n">
        <x:v>1108.28</x:v>
      </x:c>
      <x:c r="M2500" s="55" t="n">
        <x:v>0.0577</x:v>
      </x:c>
      <x:c r="N2500" s="54" t="n">
        <x:f>ROUND(J2500*K2500,2)</x:f>
        <x:v>8562.8</x:v>
      </x:c>
      <x:c r="O2500" s="54" t="n">
        <x:f>ROUND(N2500*(1-M2500),2)</x:f>
        <x:v>8068.73</x:v>
      </x:c>
      <x:c r="P2500" s="54" t="n">
        <x:f>ROUND(J2500*L2500,2)</x:f>
        <x:v>5541.4</x:v>
      </x:c>
      <x:c r="Q2500" s="54" t="n">
        <x:f>ROUND(O2500-P2500,2)</x:f>
        <x:v>2527.33</x:v>
      </x:c>
      <x:c r="R2500" s="55" t="n">
        <x:f>IF(O2500=0,0,ROUND(Q2500/O2500,4))</x:f>
        <x:v>0.3132</x:v>
      </x:c>
      <x:c r="S2500" s="53" t="n">
        <x:v>12</x:v>
      </x:c>
      <x:c r="T2500" t="str">
        <x:v>Entregue com atraso</x:v>
      </x:c>
      <x:c r="U2500" t="n">
        <x:v>2</x:v>
      </x:c>
      <x:c r="V2500" t="str"/>
    </x:row>
    <x:row r="2501">
      <x:c r="A2501" s="52" t="n">
        <x:v>46097</x:v>
      </x:c>
      <x:c r="B2501" t="str">
        <x:v>PED-102500</x:v>
      </x:c>
      <x:c r="C2501" t="str">
        <x:v>Cliente 062</x:v>
      </x:c>
      <x:c r="D2501" t="str">
        <x:v>CE</x:v>
      </x:c>
      <x:c r="E2501" t="str">
        <x:v>Nordeste</x:v>
      </x:c>
      <x:c r="F2501" t="str">
        <x:v>Marketplace</x:v>
      </x:c>
      <x:c r="G2501" t="str">
        <x:v>Escritório</x:v>
      </x:c>
      <x:c r="H2501" t="str">
        <x:v>Mesa Ajustável</x:v>
      </x:c>
      <x:c r="I2501" t="str">
        <x:v>Carla</x:v>
      </x:c>
      <x:c r="J2501" s="53" t="n">
        <x:v>1</x:v>
      </x:c>
      <x:c r="K2501" s="54" t="n">
        <x:v>2808.95</x:v>
      </x:c>
      <x:c r="L2501" s="54" t="n">
        <x:v>1865.03</x:v>
      </x:c>
      <x:c r="M2501" s="55" t="n">
        <x:v>0.1007</x:v>
      </x:c>
      <x:c r="N2501" s="54" t="n">
        <x:f>ROUND(J2501*K2501,2)</x:f>
        <x:v>2808.95</x:v>
      </x:c>
      <x:c r="O2501" s="54" t="n">
        <x:f>ROUND(N2501*(1-M2501),2)</x:f>
        <x:v>2526.09</x:v>
      </x:c>
      <x:c r="P2501" s="54" t="n">
        <x:f>ROUND(J2501*L2501,2)</x:f>
        <x:v>1865.03</x:v>
      </x:c>
      <x:c r="Q2501" s="54" t="n">
        <x:f>ROUND(O2501-P2501,2)</x:f>
        <x:v>661.06</x:v>
      </x:c>
      <x:c r="R2501" s="55" t="n">
        <x:f>IF(O2501=0,0,ROUND(Q2501/O2501,4))</x:f>
        <x:v>0.2617</x:v>
      </x:c>
      <x:c r="S2501" s="53" t="n">
        <x:v>10</x:v>
      </x:c>
      <x:c r="T2501" t="str">
        <x:v>Entregue</x:v>
      </x:c>
      <x:c r="U2501" t="n">
        <x:v>3</x:v>
      </x:c>
      <x:c r="V2501" t="str"/>
    </x:row>
    <x:row r="2502">
      <x:c r="A2502" s="52" t="n">
        <x:v>46109</x:v>
      </x:c>
      <x:c r="B2502" t="str">
        <x:v>PED-102501</x:v>
      </x:c>
      <x:c r="C2502" t="str">
        <x:v>Cliente 078</x:v>
      </x:c>
      <x:c r="D2502" t="str">
        <x:v>PA</x:v>
      </x:c>
      <x:c r="E2502" t="str">
        <x:v>Norte</x:v>
      </x:c>
      <x:c r="F2502" t="str">
        <x:v>Televendas</x:v>
      </x:c>
      <x:c r="G2502" t="str">
        <x:v>Tecnologia</x:v>
      </x:c>
      <x:c r="H2502" t="str">
        <x:v>Notebook Pro</x:v>
      </x:c>
      <x:c r="I2502" t="str">
        <x:v>Gabriela</x:v>
      </x:c>
      <x:c r="J2502" s="53" t="n">
        <x:v>5</x:v>
      </x:c>
      <x:c r="K2502" s="54" t="n">
        <x:v>5994.43</x:v>
      </x:c>
      <x:c r="L2502" s="54" t="n">
        <x:v>4353.62</x:v>
      </x:c>
      <x:c r="M2502" s="55" t="n">
        <x:v>0</x:v>
      </x:c>
      <x:c r="N2502" s="54" t="n">
        <x:f>ROUND(J2502*K2502,2)</x:f>
        <x:v>29972.15</x:v>
      </x:c>
      <x:c r="O2502" s="54" t="n">
        <x:f>ROUND(N2502*(1-M2502),2)</x:f>
        <x:v>29972.15</x:v>
      </x:c>
      <x:c r="P2502" s="54" t="n">
        <x:f>ROUND(J2502*L2502,2)</x:f>
        <x:v>21768.1</x:v>
      </x:c>
      <x:c r="Q2502" s="54" t="n">
        <x:f>ROUND(O2502-P2502,2)</x:f>
        <x:v>8204.05</x:v>
      </x:c>
      <x:c r="R2502" s="55" t="n">
        <x:f>IF(O2502=0,0,ROUND(Q2502/O2502,4))</x:f>
        <x:v>0.2737</x:v>
      </x:c>
      <x:c r="S2502" s="53" t="n">
        <x:v>2</x:v>
      </x:c>
      <x:c r="T2502" t="str">
        <x:v>Entregue</x:v>
      </x:c>
      <x:c r="U2502" t="n">
        <x:v>3</x:v>
      </x:c>
      <x:c r="V2502" t="str"/>
    </x:row>
    <x:row r="2503">
      <x:c r="A2503" s="52" t="n">
        <x:v>46189</x:v>
      </x:c>
      <x:c r="B2503" t="str">
        <x:v>PED-102502</x:v>
      </x:c>
      <x:c r="C2503" t="str">
        <x:v>Cliente 106</x:v>
      </x:c>
      <x:c r="D2503" t="str">
        <x:v>CE</x:v>
      </x:c>
      <x:c r="E2503" t="str">
        <x:v>Nordeste</x:v>
      </x:c>
      <x:c r="F2503" t="str">
        <x:v>Loja</x:v>
      </x:c>
      <x:c r="G2503" t="str">
        <x:v>Casa</x:v>
      </x:c>
      <x:c r="H2503" t="str">
        <x:v>Aspirador Robô</x:v>
      </x:c>
      <x:c r="I2503" t="str">
        <x:v>Carla</x:v>
      </x:c>
      <x:c r="J2503" s="53" t="n">
        <x:v>2</x:v>
      </x:c>
      <x:c r="K2503" s="54" t="n">
        <x:v>1984.43</x:v>
      </x:c>
      <x:c r="L2503" s="54" t="n">
        <x:v>1290.58</x:v>
      </x:c>
      <x:c r="M2503" s="55" t="n">
        <x:v>0.0721</x:v>
      </x:c>
      <x:c r="N2503" s="54" t="n">
        <x:f>ROUND(J2503*K2503,2)</x:f>
        <x:v>3968.86</x:v>
      </x:c>
      <x:c r="O2503" s="54" t="n">
        <x:f>ROUND(N2503*(1-M2503),2)</x:f>
        <x:v>3682.71</x:v>
      </x:c>
      <x:c r="P2503" s="54" t="n">
        <x:f>ROUND(J2503*L2503,2)</x:f>
        <x:v>2581.16</x:v>
      </x:c>
      <x:c r="Q2503" s="54" t="n">
        <x:f>ROUND(O2503-P2503,2)</x:f>
        <x:v>1101.55</x:v>
      </x:c>
      <x:c r="R2503" s="55" t="n">
        <x:f>IF(O2503=0,0,ROUND(Q2503/O2503,4))</x:f>
        <x:v>0.2991</x:v>
      </x:c>
      <x:c r="S2503" s="53" t="n">
        <x:v>7</x:v>
      </x:c>
      <x:c r="T2503" t="str">
        <x:v>Entregue</x:v>
      </x:c>
      <x:c r="U2503" t="n">
        <x:v>3</x:v>
      </x:c>
      <x:c r="V2503" t="str"/>
    </x:row>
    <x:row r="2504">
      <x:c r="A2504" s="52" t="n">
        <x:v>46047</x:v>
      </x:c>
      <x:c r="B2504" t="str">
        <x:v>PED-102503</x:v>
      </x:c>
      <x:c r="C2504" t="str">
        <x:v>Cliente 115</x:v>
      </x:c>
      <x:c r="D2504" t="str">
        <x:v>DF</x:v>
      </x:c>
      <x:c r="E2504" t="str">
        <x:v>Centro-Oeste</x:v>
      </x:c>
      <x:c r="F2504" t="str">
        <x:v>Marketplace</x:v>
      </x:c>
      <x:c r="G2504" t="str">
        <x:v>Tecnologia</x:v>
      </x:c>
      <x:c r="H2504" t="str">
        <x:v>Notebook Pro</x:v>
      </x:c>
      <x:c r="I2504" t="str">
        <x:v>Gabriela</x:v>
      </x:c>
      <x:c r="J2504" s="53" t="n">
        <x:v>2</x:v>
      </x:c>
      <x:c r="K2504" s="54" t="n">
        <x:v>5878.08</x:v>
      </x:c>
      <x:c r="L2504" s="54" t="n">
        <x:v>4504.88</x:v>
      </x:c>
      <x:c r="M2504" s="55" t="n">
        <x:v>0.0782</x:v>
      </x:c>
      <x:c r="N2504" s="54" t="n">
        <x:f>ROUND(J2504*K2504,2)</x:f>
        <x:v>11756.16</x:v>
      </x:c>
      <x:c r="O2504" s="54" t="n">
        <x:f>ROUND(N2504*(1-M2504),2)</x:f>
        <x:v>10836.83</x:v>
      </x:c>
      <x:c r="P2504" s="54" t="n">
        <x:f>ROUND(J2504*L2504,2)</x:f>
        <x:v>9009.76</x:v>
      </x:c>
      <x:c r="Q2504" s="54" t="n">
        <x:f>ROUND(O2504-P2504,2)</x:f>
        <x:v>1827.07</x:v>
      </x:c>
      <x:c r="R2504" s="55" t="n">
        <x:f>IF(O2504=0,0,ROUND(Q2504/O2504,4))</x:f>
        <x:v>0.1686</x:v>
      </x:c>
      <x:c r="S2504" s="53" t="n">
        <x:v>10</x:v>
      </x:c>
      <x:c r="T2504" t="str">
        <x:v>Entregue</x:v>
      </x:c>
      <x:c r="U2504" t="n">
        <x:v>2</x:v>
      </x:c>
      <x:c r="V2504" t="str"/>
    </x:row>
    <x:row r="2505">
      <x:c r="A2505" s="52" t="n">
        <x:v>46055</x:v>
      </x:c>
      <x:c r="B2505" t="str">
        <x:v>PED-102504</x:v>
      </x:c>
      <x:c r="C2505" t="str">
        <x:v>Cliente 068</x:v>
      </x:c>
      <x:c r="D2505" t="str">
        <x:v>CE</x:v>
      </x:c>
      <x:c r="E2505" t="str">
        <x:v>Nordeste</x:v>
      </x:c>
      <x:c r="F2505" t="str">
        <x:v>E-commerce</x:v>
      </x:c>
      <x:c r="G2505" t="str">
        <x:v>Escritório</x:v>
      </x:c>
      <x:c r="H2505" t="str">
        <x:v>Mesa Ajustável</x:v>
      </x:c>
      <x:c r="I2505" t="str">
        <x:v>Carla</x:v>
      </x:c>
      <x:c r="J2505" s="53" t="n">
        <x:v>7</x:v>
      </x:c>
      <x:c r="K2505" s="54" t="n">
        <x:v>2844.5</x:v>
      </x:c>
      <x:c r="L2505" s="54" t="n">
        <x:v>1942.66</x:v>
      </x:c>
      <x:c r="M2505" s="55" t="n">
        <x:v>0</x:v>
      </x:c>
      <x:c r="N2505" s="54" t="n">
        <x:f>ROUND(J2505*K2505,2)</x:f>
        <x:v>19911.5</x:v>
      </x:c>
      <x:c r="O2505" s="54" t="n">
        <x:f>ROUND(N2505*(1-M2505),2)</x:f>
        <x:v>19911.5</x:v>
      </x:c>
      <x:c r="P2505" s="54" t="n">
        <x:f>ROUND(J2505*L2505,2)</x:f>
        <x:v>13598.62</x:v>
      </x:c>
      <x:c r="Q2505" s="54" t="n">
        <x:f>ROUND(O2505-P2505,2)</x:f>
        <x:v>6312.88</x:v>
      </x:c>
      <x:c r="R2505" s="55" t="n">
        <x:f>IF(O2505=0,0,ROUND(Q2505/O2505,4))</x:f>
        <x:v>0.317</x:v>
      </x:c>
      <x:c r="S2505" s="53" t="n">
        <x:v>5</x:v>
      </x:c>
      <x:c r="T2505" t="str">
        <x:v>Entregue</x:v>
      </x:c>
      <x:c r="U2505" t="n">
        <x:v>2</x:v>
      </x:c>
      <x:c r="V2505" t="str"/>
    </x:row>
    <x:row r="2506">
      <x:c r="A2506" s="52" t="n">
        <x:v>46158</x:v>
      </x:c>
      <x:c r="B2506" t="str">
        <x:v>PED-102505</x:v>
      </x:c>
      <x:c r="C2506" t="str">
        <x:v>Cliente 105</x:v>
      </x:c>
      <x:c r="D2506" t="str">
        <x:v>PR</x:v>
      </x:c>
      <x:c r="E2506" t="str">
        <x:v>Sul</x:v>
      </x:c>
      <x:c r="F2506" t="str">
        <x:v>Marketplace</x:v>
      </x:c>
      <x:c r="G2506" t="str">
        <x:v>Acessórios</x:v>
      </x:c>
      <x:c r="H2506" t="str">
        <x:v>Webcam HD</x:v>
      </x:c>
      <x:c r="I2506" t="str">
        <x:v>João</x:v>
      </x:c>
      <x:c r="J2506" s="53" t="n">
        <x:v>7</x:v>
      </x:c>
      <x:c r="K2506" s="54" t="n">
        <x:v>490.71</x:v>
      </x:c>
      <x:c r="L2506" s="54" t="n">
        <x:v>231.05</x:v>
      </x:c>
      <x:c r="M2506" s="55" t="n">
        <x:v>0.1236</x:v>
      </x:c>
      <x:c r="N2506" s="54" t="n">
        <x:f>ROUND(J2506*K2506,2)</x:f>
        <x:v>3434.97</x:v>
      </x:c>
      <x:c r="O2506" s="54" t="n">
        <x:f>ROUND(N2506*(1-M2506),2)</x:f>
        <x:v>3010.41</x:v>
      </x:c>
      <x:c r="P2506" s="54" t="n">
        <x:f>ROUND(J2506*L2506,2)</x:f>
        <x:v>1617.35</x:v>
      </x:c>
      <x:c r="Q2506" s="54" t="n">
        <x:f>ROUND(O2506-P2506,2)</x:f>
        <x:v>1393.06</x:v>
      </x:c>
      <x:c r="R2506" s="55" t="n">
        <x:f>IF(O2506=0,0,ROUND(Q2506/O2506,4))</x:f>
        <x:v>0.4627</x:v>
      </x:c>
      <x:c r="S2506" s="53" t="n">
        <x:v>13</x:v>
      </x:c>
      <x:c r="T2506" t="str">
        <x:v>Entregue com atraso</x:v>
      </x:c>
      <x:c r="U2506" t="n">
        <x:v>5</x:v>
      </x:c>
      <x:c r="V2506" t="str"/>
    </x:row>
    <x:row r="2507">
      <x:c r="A2507" s="52" t="n">
        <x:v>46031</x:v>
      </x:c>
      <x:c r="B2507" t="str">
        <x:v>PED-102506</x:v>
      </x:c>
      <x:c r="C2507" t="str">
        <x:v>Cliente 076</x:v>
      </x:c>
      <x:c r="D2507" t="str">
        <x:v>GO</x:v>
      </x:c>
      <x:c r="E2507" t="str">
        <x:v>Centro-Oeste</x:v>
      </x:c>
      <x:c r="F2507" t="str">
        <x:v>Marketplace</x:v>
      </x:c>
      <x:c r="G2507" t="str">
        <x:v>Tecnologia</x:v>
      </x:c>
      <x:c r="H2507" t="str">
        <x:v>Headset Office</x:v>
      </x:c>
      <x:c r="I2507" t="str">
        <x:v>Gabriela</x:v>
      </x:c>
      <x:c r="J2507" s="53" t="n">
        <x:v>8</x:v>
      </x:c>
      <x:c r="K2507" s="54" t="n">
        <x:v>367.67</x:v>
      </x:c>
      <x:c r="L2507" s="54" t="n">
        <x:v>213.73</x:v>
      </x:c>
      <x:c r="M2507" s="55" t="n">
        <x:v>0.097</x:v>
      </x:c>
      <x:c r="N2507" s="54" t="n">
        <x:f>ROUND(J2507*K2507,2)</x:f>
        <x:v>2941.36</x:v>
      </x:c>
      <x:c r="O2507" s="54" t="n">
        <x:f>ROUND(N2507*(1-M2507),2)</x:f>
        <x:v>2656.05</x:v>
      </x:c>
      <x:c r="P2507" s="54" t="n">
        <x:f>ROUND(J2507*L2507,2)</x:f>
        <x:v>1709.84</x:v>
      </x:c>
      <x:c r="Q2507" s="54" t="n">
        <x:f>ROUND(O2507-P2507,2)</x:f>
        <x:v>946.21</x:v>
      </x:c>
      <x:c r="R2507" s="55" t="n">
        <x:f>IF(O2507=0,0,ROUND(Q2507/O2507,4))</x:f>
        <x:v>0.3562</x:v>
      </x:c>
      <x:c r="S2507" s="53" t="n">
        <x:v>2</x:v>
      </x:c>
      <x:c r="T2507" t="str">
        <x:v>Entregue</x:v>
      </x:c>
      <x:c r="U2507" t="n">
        <x:v>4</x:v>
      </x:c>
      <x:c r="V2507" t="str"/>
    </x:row>
    <x:row r="2508">
      <x:c r="A2508" s="52" t="n">
        <x:v>46217</x:v>
      </x:c>
      <x:c r="B2508" t="str">
        <x:v>PED-102507</x:v>
      </x:c>
      <x:c r="C2508" t="str">
        <x:v>Cliente 073</x:v>
      </x:c>
      <x:c r="D2508" t="str">
        <x:v>SP</x:v>
      </x:c>
      <x:c r="E2508" t="str">
        <x:v>Sudeste</x:v>
      </x:c>
      <x:c r="F2508" t="str">
        <x:v>E-commerce</x:v>
      </x:c>
      <x:c r="G2508" t="str">
        <x:v>Acessórios</x:v>
      </x:c>
      <x:c r="H2508" t="str">
        <x:v>Hub USB-C</x:v>
      </x:c>
      <x:c r="I2508" t="str">
        <x:v>Gabriela</x:v>
      </x:c>
      <x:c r="J2508" s="53" t="n">
        <x:v>4</x:v>
      </x:c>
      <x:c r="K2508" s="54" t="n">
        <x:v>316.08</x:v>
      </x:c>
      <x:c r="L2508" s="54" t="n">
        <x:v>140.07</x:v>
      </x:c>
      <x:c r="M2508" s="55" t="n">
        <x:v>0</x:v>
      </x:c>
      <x:c r="N2508" s="54" t="n">
        <x:f>ROUND(J2508*K2508,2)</x:f>
        <x:v>1264.32</x:v>
      </x:c>
      <x:c r="O2508" s="54" t="n">
        <x:f>ROUND(N2508*(1-M2508),2)</x:f>
        <x:v>1264.32</x:v>
      </x:c>
      <x:c r="P2508" s="54" t="n">
        <x:f>ROUND(J2508*L2508,2)</x:f>
        <x:v>560.28</x:v>
      </x:c>
      <x:c r="Q2508" s="54" t="n">
        <x:f>ROUND(O2508-P2508,2)</x:f>
        <x:v>704.04</x:v>
      </x:c>
      <x:c r="R2508" s="55" t="n">
        <x:f>IF(O2508=0,0,ROUND(Q2508/O2508,4))</x:f>
        <x:v>0.5569</x:v>
      </x:c>
      <x:c r="S2508" s="53" t="n">
        <x:v>3</x:v>
      </x:c>
      <x:c r="T2508" t="str">
        <x:v>Entregue</x:v>
      </x:c>
      <x:c r="U2508" t="n">
        <x:v>4</x:v>
      </x:c>
      <x:c r="V2508" t="str"/>
    </x:row>
    <x:row r="2509">
      <x:c r="A2509" s="52" t="n">
        <x:v>46107</x:v>
      </x:c>
      <x:c r="B2509" t="str">
        <x:v>PED-102508</x:v>
      </x:c>
      <x:c r="C2509" t="str">
        <x:v>Cliente 119</x:v>
      </x:c>
      <x:c r="D2509" t="str">
        <x:v>SP</x:v>
      </x:c>
      <x:c r="E2509" t="str">
        <x:v>Sudeste</x:v>
      </x:c>
      <x:c r="F2509" t="str">
        <x:v>Marketplace</x:v>
      </x:c>
      <x:c r="G2509" t="str">
        <x:v>Acessórios</x:v>
      </x:c>
      <x:c r="H2509" t="str">
        <x:v>Hub USB-C</x:v>
      </x:c>
      <x:c r="I2509" t="str">
        <x:v>Gabriela</x:v>
      </x:c>
      <x:c r="J2509" s="53" t="n">
        <x:v>2</x:v>
      </x:c>
      <x:c r="K2509" s="54" t="n">
        <x:v>336.3</x:v>
      </x:c>
      <x:c r="L2509" s="54" t="n">
        <x:v>131.09</x:v>
      </x:c>
      <x:c r="M2509" s="55" t="n">
        <x:v>0.035</x:v>
      </x:c>
      <x:c r="N2509" s="54" t="n">
        <x:f>ROUND(J2509*K2509,2)</x:f>
        <x:v>672.6</x:v>
      </x:c>
      <x:c r="O2509" s="54" t="n">
        <x:f>ROUND(N2509*(1-M2509),2)</x:f>
        <x:v>649.06</x:v>
      </x:c>
      <x:c r="P2509" s="54" t="n">
        <x:f>ROUND(J2509*L2509,2)</x:f>
        <x:v>262.18</x:v>
      </x:c>
      <x:c r="Q2509" s="54" t="n">
        <x:f>ROUND(O2509-P2509,2)</x:f>
        <x:v>386.88</x:v>
      </x:c>
      <x:c r="R2509" s="55" t="n">
        <x:f>IF(O2509=0,0,ROUND(Q2509/O2509,4))</x:f>
        <x:v>0.5961</x:v>
      </x:c>
      <x:c r="S2509" s="53" t="n">
        <x:v>3</x:v>
      </x:c>
      <x:c r="T2509" t="str">
        <x:v>Entregue</x:v>
      </x:c>
      <x:c r="U2509" t="n">
        <x:v>5</x:v>
      </x:c>
      <x:c r="V2509" t="str"/>
    </x:row>
    <x:row r="2510">
      <x:c r="A2510" s="52" t="n">
        <x:v>46113</x:v>
      </x:c>
      <x:c r="B2510" t="str">
        <x:v>PED-102509</x:v>
      </x:c>
      <x:c r="C2510" t="str">
        <x:v>Cliente 010</x:v>
      </x:c>
      <x:c r="D2510" t="str">
        <x:v>ES</x:v>
      </x:c>
      <x:c r="E2510" t="str">
        <x:v>Sudeste</x:v>
      </x:c>
      <x:c r="F2510" t="str">
        <x:v>Televendas</x:v>
      </x:c>
      <x:c r="G2510" t="str">
        <x:v>Acessórios</x:v>
      </x:c>
      <x:c r="H2510" t="str">
        <x:v>Webcam HD</x:v>
      </x:c>
      <x:c r="I2510" t="str">
        <x:v>Diego</x:v>
      </x:c>
      <x:c r="J2510" s="53" t="n">
        <x:v>6</x:v>
      </x:c>
      <x:c r="K2510" s="54" t="n">
        <x:v>509.99</x:v>
      </x:c>
      <x:c r="L2510" s="54" t="n">
        <x:v>238.67</x:v>
      </x:c>
      <x:c r="M2510" s="55" t="n">
        <x:v>0</x:v>
      </x:c>
      <x:c r="N2510" s="54" t="n">
        <x:f>ROUND(J2510*K2510,2)</x:f>
        <x:v>3059.94</x:v>
      </x:c>
      <x:c r="O2510" s="54" t="n">
        <x:f>ROUND(N2510*(1-M2510),2)</x:f>
        <x:v>3059.94</x:v>
      </x:c>
      <x:c r="P2510" s="54" t="n">
        <x:f>ROUND(J2510*L2510,2)</x:f>
        <x:v>1432.02</x:v>
      </x:c>
      <x:c r="Q2510" s="54" t="n">
        <x:f>ROUND(O2510-P2510,2)</x:f>
        <x:v>1627.92</x:v>
      </x:c>
      <x:c r="R2510" s="55" t="n">
        <x:f>IF(O2510=0,0,ROUND(Q2510/O2510,4))</x:f>
        <x:v>0.532</x:v>
      </x:c>
      <x:c r="S2510" s="53" t="n">
        <x:v>2</x:v>
      </x:c>
      <x:c r="T2510" t="str">
        <x:v>Entregue</x:v>
      </x:c>
      <x:c r="U2510" t="n">
        <x:v>5</x:v>
      </x:c>
      <x:c r="V2510" t="str"/>
    </x:row>
    <x:row r="2511">
      <x:c r="A2511" s="52" t="n">
        <x:v>46031</x:v>
      </x:c>
      <x:c r="B2511" t="str">
        <x:v>PED-102510</x:v>
      </x:c>
      <x:c r="C2511" t="str">
        <x:v>Cliente 022</x:v>
      </x:c>
      <x:c r="D2511" t="str">
        <x:v>PR</x:v>
      </x:c>
      <x:c r="E2511" t="str">
        <x:v>Sul</x:v>
      </x:c>
      <x:c r="F2511" t="str">
        <x:v>E-commerce</x:v>
      </x:c>
      <x:c r="G2511" t="str">
        <x:v>Acessórios</x:v>
      </x:c>
      <x:c r="H2511" t="str">
        <x:v>Hub USB-C</x:v>
      </x:c>
      <x:c r="I2511" t="str">
        <x:v>Isabela</x:v>
      </x:c>
      <x:c r="J2511" s="53" t="n">
        <x:v>3</x:v>
      </x:c>
      <x:c r="K2511" s="54" t="n">
        <x:v>308.57</x:v>
      </x:c>
      <x:c r="L2511" s="54" t="n">
        <x:v>133.72</x:v>
      </x:c>
      <x:c r="M2511" s="55" t="n">
        <x:v>0</x:v>
      </x:c>
      <x:c r="N2511" s="54" t="n">
        <x:f>ROUND(J2511*K2511,2)</x:f>
        <x:v>925.71</x:v>
      </x:c>
      <x:c r="O2511" s="54" t="n">
        <x:f>ROUND(N2511*(1-M2511),2)</x:f>
        <x:v>925.71</x:v>
      </x:c>
      <x:c r="P2511" s="54" t="n">
        <x:f>ROUND(J2511*L2511,2)</x:f>
        <x:v>401.16</x:v>
      </x:c>
      <x:c r="Q2511" s="54" t="n">
        <x:f>ROUND(O2511-P2511,2)</x:f>
        <x:v>524.55</x:v>
      </x:c>
      <x:c r="R2511" s="55" t="n">
        <x:f>IF(O2511=0,0,ROUND(Q2511/O2511,4))</x:f>
        <x:v>0.5666</x:v>
      </x:c>
      <x:c r="S2511" s="53" t="n">
        <x:v>2</x:v>
      </x:c>
      <x:c r="T2511" t="str">
        <x:v>Entregue</x:v>
      </x:c>
      <x:c r="U2511" t="n">
        <x:v>2</x:v>
      </x:c>
      <x:c r="V2511" t="str"/>
    </x:row>
    <x:row r="2512">
      <x:c r="A2512" s="52" t="n">
        <x:v>46079</x:v>
      </x:c>
      <x:c r="B2512" t="str">
        <x:v>PED-102511</x:v>
      </x:c>
      <x:c r="C2512" t="str">
        <x:v>Cliente 083</x:v>
      </x:c>
      <x:c r="D2512" t="str">
        <x:v>PA</x:v>
      </x:c>
      <x:c r="E2512" t="str">
        <x:v>Norte</x:v>
      </x:c>
      <x:c r="F2512" t="str">
        <x:v>Loja</x:v>
      </x:c>
      <x:c r="G2512" t="str">
        <x:v>Acessórios</x:v>
      </x:c>
      <x:c r="H2512" t="str">
        <x:v>Mochila Executiva</x:v>
      </x:c>
      <x:c r="I2512" t="str">
        <x:v>Elaine</x:v>
      </x:c>
      <x:c r="J2512" s="53" t="n">
        <x:v>6</x:v>
      </x:c>
      <x:c r="K2512" s="54" t="n">
        <x:v>455.49</x:v>
      </x:c>
      <x:c r="L2512" s="54" t="n">
        <x:v>196.18</x:v>
      </x:c>
      <x:c r="M2512" s="55" t="n">
        <x:v>0.0062</x:v>
      </x:c>
      <x:c r="N2512" s="54" t="n">
        <x:f>ROUND(J2512*K2512,2)</x:f>
        <x:v>2732.94</x:v>
      </x:c>
      <x:c r="O2512" s="54" t="n">
        <x:f>ROUND(N2512*(1-M2512),2)</x:f>
        <x:v>2716</x:v>
      </x:c>
      <x:c r="P2512" s="54" t="n">
        <x:f>ROUND(J2512*L2512,2)</x:f>
        <x:v>1177.08</x:v>
      </x:c>
      <x:c r="Q2512" s="54" t="n">
        <x:f>ROUND(O2512-P2512,2)</x:f>
        <x:v>1538.92</x:v>
      </x:c>
      <x:c r="R2512" s="55" t="n">
        <x:f>IF(O2512=0,0,ROUND(Q2512/O2512,4))</x:f>
        <x:v>0.5666</x:v>
      </x:c>
      <x:c r="S2512" s="53" t="n">
        <x:v>3</x:v>
      </x:c>
      <x:c r="T2512" t="str">
        <x:v>Entregue</x:v>
      </x:c>
      <x:c r="U2512" t="n">
        <x:v>4</x:v>
      </x:c>
      <x:c r="V2512" t="str"/>
    </x:row>
    <x:row r="2513">
      <x:c r="A2513" s="52" t="n">
        <x:v>46058</x:v>
      </x:c>
      <x:c r="B2513" t="str">
        <x:v>PED-102512</x:v>
      </x:c>
      <x:c r="C2513" t="str">
        <x:v>Cliente 020</x:v>
      </x:c>
      <x:c r="D2513" t="str">
        <x:v>BA</x:v>
      </x:c>
      <x:c r="E2513" t="str">
        <x:v>Nordeste</x:v>
      </x:c>
      <x:c r="F2513" t="str">
        <x:v>Marketplace</x:v>
      </x:c>
      <x:c r="G2513" t="str">
        <x:v>Casa</x:v>
      </x:c>
      <x:c r="H2513" t="str">
        <x:v>Purificador</x:v>
      </x:c>
      <x:c r="I2513" t="str">
        <x:v>Diego</x:v>
      </x:c>
      <x:c r="J2513" s="53" t="n">
        <x:v>8</x:v>
      </x:c>
      <x:c r="K2513" s="54" t="n">
        <x:v>1231.14</x:v>
      </x:c>
      <x:c r="L2513" s="54" t="n">
        <x:v>802.87</x:v>
      </x:c>
      <x:c r="M2513" s="55" t="n">
        <x:v>0.1107</x:v>
      </x:c>
      <x:c r="N2513" s="54" t="n">
        <x:f>ROUND(J2513*K2513,2)</x:f>
        <x:v>9849.12</x:v>
      </x:c>
      <x:c r="O2513" s="54" t="n">
        <x:f>ROUND(N2513*(1-M2513),2)</x:f>
        <x:v>8758.82</x:v>
      </x:c>
      <x:c r="P2513" s="54" t="n">
        <x:f>ROUND(J2513*L2513,2)</x:f>
        <x:v>6422.96</x:v>
      </x:c>
      <x:c r="Q2513" s="54" t="n">
        <x:f>ROUND(O2513-P2513,2)</x:f>
        <x:v>2335.86</x:v>
      </x:c>
      <x:c r="R2513" s="55" t="n">
        <x:f>IF(O2513=0,0,ROUND(Q2513/O2513,4))</x:f>
        <x:v>0.2667</x:v>
      </x:c>
      <x:c r="S2513" s="53" t="n">
        <x:v>6</x:v>
      </x:c>
      <x:c r="T2513" t="str">
        <x:v>Entregue</x:v>
      </x:c>
      <x:c r="U2513" t="n">
        <x:v>2</x:v>
      </x:c>
      <x:c r="V2513" t="str"/>
    </x:row>
    <x:row r="2514">
      <x:c r="A2514" s="52" t="n">
        <x:v>46037</x:v>
      </x:c>
      <x:c r="B2514" t="str">
        <x:v>PED-102513</x:v>
      </x:c>
      <x:c r="C2514" t="str">
        <x:v>Cliente 063</x:v>
      </x:c>
      <x:c r="D2514" t="str">
        <x:v>AM</x:v>
      </x:c>
      <x:c r="E2514" t="str">
        <x:v>Norte</x:v>
      </x:c>
      <x:c r="F2514" t="str">
        <x:v>Marketplace</x:v>
      </x:c>
      <x:c r="G2514" t="str">
        <x:v>Casa</x:v>
      </x:c>
      <x:c r="H2514" t="str">
        <x:v>Cafeteira Smart</x:v>
      </x:c>
      <x:c r="I2514" t="str">
        <x:v>Isabela</x:v>
      </x:c>
      <x:c r="J2514" s="53" t="n">
        <x:v>4</x:v>
      </x:c>
      <x:c r="K2514" s="54" t="n">
        <x:v>834.73</x:v>
      </x:c>
      <x:c r="L2514" s="54" t="n">
        <x:v>487.63</x:v>
      </x:c>
      <x:c r="M2514" s="55" t="n">
        <x:v>0.1455</x:v>
      </x:c>
      <x:c r="N2514" s="54" t="n">
        <x:f>ROUND(J2514*K2514,2)</x:f>
        <x:v>3338.92</x:v>
      </x:c>
      <x:c r="O2514" s="54" t="n">
        <x:f>ROUND(N2514*(1-M2514),2)</x:f>
        <x:v>2853.11</x:v>
      </x:c>
      <x:c r="P2514" s="54" t="n">
        <x:f>ROUND(J2514*L2514,2)</x:f>
        <x:v>1950.52</x:v>
      </x:c>
      <x:c r="Q2514" s="54" t="n">
        <x:f>ROUND(O2514-P2514,2)</x:f>
        <x:v>902.59</x:v>
      </x:c>
      <x:c r="R2514" s="55" t="n">
        <x:f>IF(O2514=0,0,ROUND(Q2514/O2514,4))</x:f>
        <x:v>0.3164</x:v>
      </x:c>
      <x:c r="S2514" s="53" t="n">
        <x:v>11</x:v>
      </x:c>
      <x:c r="T2514" t="str">
        <x:v>Entregue com atraso</x:v>
      </x:c>
      <x:c r="U2514" t="n">
        <x:v>5</x:v>
      </x:c>
      <x:c r="V2514" t="str"/>
    </x:row>
    <x:row r="2515">
      <x:c r="A2515" s="52" t="n">
        <x:v>46048</x:v>
      </x:c>
      <x:c r="B2515" t="str">
        <x:v>PED-102514</x:v>
      </x:c>
      <x:c r="C2515" t="str">
        <x:v>Cliente 019</x:v>
      </x:c>
      <x:c r="D2515" t="str">
        <x:v>ES</x:v>
      </x:c>
      <x:c r="E2515" t="str">
        <x:v>Sudeste</x:v>
      </x:c>
      <x:c r="F2515" t="str">
        <x:v>E-commerce</x:v>
      </x:c>
      <x:c r="G2515" t="str">
        <x:v>Casa</x:v>
      </x:c>
      <x:c r="H2515" t="str">
        <x:v>Cafeteira Smart</x:v>
      </x:c>
      <x:c r="I2515" t="str">
        <x:v>Gabriela</x:v>
      </x:c>
      <x:c r="J2515" s="53" t="n">
        <x:v>5</x:v>
      </x:c>
      <x:c r="K2515" s="54" t="n">
        <x:v>753.71</x:v>
      </x:c>
      <x:c r="L2515" s="54" t="n">
        <x:v>455.8</x:v>
      </x:c>
      <x:c r="M2515" s="55" t="n">
        <x:v>0</x:v>
      </x:c>
      <x:c r="N2515" s="54" t="n">
        <x:f>ROUND(J2515*K2515,2)</x:f>
        <x:v>3768.55</x:v>
      </x:c>
      <x:c r="O2515" s="54" t="n">
        <x:f>ROUND(N2515*(1-M2515),2)</x:f>
        <x:v>3768.55</x:v>
      </x:c>
      <x:c r="P2515" s="54" t="n">
        <x:f>ROUND(J2515*L2515,2)</x:f>
        <x:v>2279</x:v>
      </x:c>
      <x:c r="Q2515" s="54" t="n">
        <x:f>ROUND(O2515-P2515,2)</x:f>
        <x:v>1489.55</x:v>
      </x:c>
      <x:c r="R2515" s="55" t="n">
        <x:f>IF(O2515=0,0,ROUND(Q2515/O2515,4))</x:f>
        <x:v>0.3953</x:v>
      </x:c>
      <x:c r="S2515" s="53" t="n">
        <x:v>12</x:v>
      </x:c>
      <x:c r="T2515" t="str">
        <x:v>Entregue com atraso</x:v>
      </x:c>
      <x:c r="U2515" t="n">
        <x:v>4</x:v>
      </x:c>
      <x:c r="V2515" t="str"/>
    </x:row>
    <x:row r="2516">
      <x:c r="A2516" s="52" t="n">
        <x:v>46199</x:v>
      </x:c>
      <x:c r="B2516" t="str">
        <x:v>PED-102515</x:v>
      </x:c>
      <x:c r="C2516" t="str">
        <x:v>Cliente 067</x:v>
      </x:c>
      <x:c r="D2516" t="str">
        <x:v>DF</x:v>
      </x:c>
      <x:c r="E2516" t="str">
        <x:v>Centro-Oeste</x:v>
      </x:c>
      <x:c r="F2516" t="str">
        <x:v>E-commerce</x:v>
      </x:c>
      <x:c r="G2516" t="str">
        <x:v>Escritório</x:v>
      </x:c>
      <x:c r="H2516" t="str">
        <x:v>Cadeira Ergonômica</x:v>
      </x:c>
      <x:c r="I2516" t="str">
        <x:v>João</x:v>
      </x:c>
      <x:c r="J2516" s="53" t="n">
        <x:v>7</x:v>
      </x:c>
      <x:c r="K2516" s="54" t="n">
        <x:v>2104.76</x:v>
      </x:c>
      <x:c r="L2516" s="54" t="n">
        <x:v>1452.55</x:v>
      </x:c>
      <x:c r="M2516" s="55" t="n">
        <x:v>0</x:v>
      </x:c>
      <x:c r="N2516" s="54" t="n">
        <x:f>ROUND(J2516*K2516,2)</x:f>
        <x:v>14733.32</x:v>
      </x:c>
      <x:c r="O2516" s="54" t="n">
        <x:f>ROUND(N2516*(1-M2516),2)</x:f>
        <x:v>14733.32</x:v>
      </x:c>
      <x:c r="P2516" s="54" t="n">
        <x:f>ROUND(J2516*L2516,2)</x:f>
        <x:v>10167.85</x:v>
      </x:c>
      <x:c r="Q2516" s="54" t="n">
        <x:f>ROUND(O2516-P2516,2)</x:f>
        <x:v>4565.47</x:v>
      </x:c>
      <x:c r="R2516" s="55" t="n">
        <x:f>IF(O2516=0,0,ROUND(Q2516/O2516,4))</x:f>
        <x:v>0.3099</x:v>
      </x:c>
      <x:c r="S2516" s="53" t="n">
        <x:v>8</x:v>
      </x:c>
      <x:c r="T2516" t="str">
        <x:v>Entregue</x:v>
      </x:c>
      <x:c r="U2516" t="n">
        <x:v>2</x:v>
      </x:c>
      <x:c r="V2516" t="str"/>
    </x:row>
    <x:row r="2517">
      <x:c r="A2517" s="52" t="n">
        <x:v>46175</x:v>
      </x:c>
      <x:c r="B2517" t="str">
        <x:v>PED-102516</x:v>
      </x:c>
      <x:c r="C2517" t="str">
        <x:v>Cliente 014</x:v>
      </x:c>
      <x:c r="D2517" t="str">
        <x:v>CE</x:v>
      </x:c>
      <x:c r="E2517" t="str">
        <x:v>Nordeste</x:v>
      </x:c>
      <x:c r="F2517" t="str">
        <x:v>Televendas</x:v>
      </x:c>
      <x:c r="G2517" t="str">
        <x:v>Casa</x:v>
      </x:c>
      <x:c r="H2517" t="str">
        <x:v>Purificador</x:v>
      </x:c>
      <x:c r="I2517" t="str">
        <x:v>Carla</x:v>
      </x:c>
      <x:c r="J2517" s="53" t="n">
        <x:v>7</x:v>
      </x:c>
      <x:c r="K2517" s="54" t="n">
        <x:v>1333.47</x:v>
      </x:c>
      <x:c r="L2517" s="54" t="n">
        <x:v>821.43</x:v>
      </x:c>
      <x:c r="M2517" s="55" t="n">
        <x:v>0</x:v>
      </x:c>
      <x:c r="N2517" s="54" t="n">
        <x:f>ROUND(J2517*K2517,2)</x:f>
        <x:v>9334.29</x:v>
      </x:c>
      <x:c r="O2517" s="54" t="n">
        <x:f>ROUND(N2517*(1-M2517),2)</x:f>
        <x:v>9334.29</x:v>
      </x:c>
      <x:c r="P2517" s="54" t="n">
        <x:f>ROUND(J2517*L2517,2)</x:f>
        <x:v>5750.01</x:v>
      </x:c>
      <x:c r="Q2517" s="54" t="n">
        <x:f>ROUND(O2517-P2517,2)</x:f>
        <x:v>3584.28</x:v>
      </x:c>
      <x:c r="R2517" s="55" t="n">
        <x:f>IF(O2517=0,0,ROUND(Q2517/O2517,4))</x:f>
        <x:v>0.384</x:v>
      </x:c>
      <x:c r="S2517" s="53" t="n">
        <x:v>14</x:v>
      </x:c>
      <x:c r="T2517" t="str">
        <x:v>Entregue com atraso</x:v>
      </x:c>
      <x:c r="U2517" t="n">
        <x:v>4</x:v>
      </x:c>
      <x:c r="V2517" t="str"/>
    </x:row>
    <x:row r="2518">
      <x:c r="A2518" s="52" t="n">
        <x:v>46190</x:v>
      </x:c>
      <x:c r="B2518" t="str">
        <x:v>PED-102517</x:v>
      </x:c>
      <x:c r="C2518" t="str">
        <x:v>Cliente 106</x:v>
      </x:c>
      <x:c r="D2518" t="str">
        <x:v>GO</x:v>
      </x:c>
      <x:c r="E2518" t="str">
        <x:v>Centro-Oeste</x:v>
      </x:c>
      <x:c r="F2518" t="str">
        <x:v>Marketplace</x:v>
      </x:c>
      <x:c r="G2518" t="str">
        <x:v>Tecnologia</x:v>
      </x:c>
      <x:c r="H2518" t="str">
        <x:v>Headset Office</x:v>
      </x:c>
      <x:c r="I2518" t="str">
        <x:v>Henrique</x:v>
      </x:c>
      <x:c r="J2518" s="53" t="n">
        <x:v>8</x:v>
      </x:c>
      <x:c r="K2518" s="54" t="n">
        <x:v>400.4</x:v>
      </x:c>
      <x:c r="L2518" s="54" t="n">
        <x:v>205.15</x:v>
      </x:c>
      <x:c r="M2518" s="55" t="n">
        <x:v>0.035</x:v>
      </x:c>
      <x:c r="N2518" s="54" t="n">
        <x:f>ROUND(J2518*K2518,2)</x:f>
        <x:v>3203.2</x:v>
      </x:c>
      <x:c r="O2518" s="54" t="n">
        <x:f>ROUND(N2518*(1-M2518),2)</x:f>
        <x:v>3091.09</x:v>
      </x:c>
      <x:c r="P2518" s="54" t="n">
        <x:f>ROUND(J2518*L2518,2)</x:f>
        <x:v>1641.2</x:v>
      </x:c>
      <x:c r="Q2518" s="54" t="n">
        <x:f>ROUND(O2518-P2518,2)</x:f>
        <x:v>1449.89</x:v>
      </x:c>
      <x:c r="R2518" s="55" t="n">
        <x:f>IF(O2518=0,0,ROUND(Q2518/O2518,4))</x:f>
        <x:v>0.4691</x:v>
      </x:c>
      <x:c r="S2518" s="53" t="n">
        <x:v>8</x:v>
      </x:c>
      <x:c r="T2518" t="str">
        <x:v>Entregue</x:v>
      </x:c>
      <x:c r="U2518" t="n">
        <x:v>5</x:v>
      </x:c>
      <x:c r="V2518" t="str"/>
    </x:row>
    <x:row r="2519">
      <x:c r="A2519" s="52" t="n">
        <x:v>46073</x:v>
      </x:c>
      <x:c r="B2519" t="str">
        <x:v>PED-102518</x:v>
      </x:c>
      <x:c r="C2519" t="str">
        <x:v>Cliente 113</x:v>
      </x:c>
      <x:c r="D2519" t="str">
        <x:v>PE</x:v>
      </x:c>
      <x:c r="E2519" t="str">
        <x:v>Nordeste</x:v>
      </x:c>
      <x:c r="F2519" t="str">
        <x:v>Televendas</x:v>
      </x:c>
      <x:c r="G2519" t="str">
        <x:v>Casa</x:v>
      </x:c>
      <x:c r="H2519" t="str">
        <x:v>Purificador</x:v>
      </x:c>
      <x:c r="I2519" t="str">
        <x:v>Diego</x:v>
      </x:c>
      <x:c r="J2519" s="53" t="n">
        <x:v>2</x:v>
      </x:c>
      <x:c r="K2519" s="54" t="n">
        <x:v>1293.31</x:v>
      </x:c>
      <x:c r="L2519" s="54" t="n">
        <x:v>812.13</x:v>
      </x:c>
      <x:c r="M2519" s="55" t="n">
        <x:v>0.056</x:v>
      </x:c>
      <x:c r="N2519" s="54" t="n">
        <x:f>ROUND(J2519*K2519,2)</x:f>
        <x:v>2586.62</x:v>
      </x:c>
      <x:c r="O2519" s="54" t="n">
        <x:f>ROUND(N2519*(1-M2519),2)</x:f>
        <x:v>2441.77</x:v>
      </x:c>
      <x:c r="P2519" s="54" t="n">
        <x:f>ROUND(J2519*L2519,2)</x:f>
        <x:v>1624.26</x:v>
      </x:c>
      <x:c r="Q2519" s="54" t="n">
        <x:f>ROUND(O2519-P2519,2)</x:f>
        <x:v>817.51</x:v>
      </x:c>
      <x:c r="R2519" s="55" t="n">
        <x:f>IF(O2519=0,0,ROUND(Q2519/O2519,4))</x:f>
        <x:v>0.3348</x:v>
      </x:c>
      <x:c r="S2519" s="53" t="n">
        <x:v>6</x:v>
      </x:c>
      <x:c r="T2519" t="str">
        <x:v>Entregue</x:v>
      </x:c>
      <x:c r="U2519" t="n">
        <x:v>3</x:v>
      </x:c>
      <x:c r="V2519" t="str"/>
    </x:row>
    <x:row r="2520">
      <x:c r="A2520" s="52" t="n">
        <x:v>46045</x:v>
      </x:c>
      <x:c r="B2520" t="str">
        <x:v>PED-102519</x:v>
      </x:c>
      <x:c r="C2520" t="str">
        <x:v>Cliente 108</x:v>
      </x:c>
      <x:c r="D2520" t="str">
        <x:v>MA</x:v>
      </x:c>
      <x:c r="E2520" t="str">
        <x:v>Nordeste</x:v>
      </x:c>
      <x:c r="F2520" t="str">
        <x:v>Televendas</x:v>
      </x:c>
      <x:c r="G2520" t="str">
        <x:v>Tecnologia</x:v>
      </x:c>
      <x:c r="H2520" t="str">
        <x:v>Notebook Pro</x:v>
      </x:c>
      <x:c r="I2520" t="str">
        <x:v>Isabela</x:v>
      </x:c>
      <x:c r="J2520" s="53" t="n">
        <x:v>1</x:v>
      </x:c>
      <x:c r="K2520" s="54" t="n">
        <x:v>5702.18</x:v>
      </x:c>
      <x:c r="L2520" s="54" t="n">
        <x:v>4344</x:v>
      </x:c>
      <x:c r="M2520" s="55" t="n">
        <x:v>0.1132</x:v>
      </x:c>
      <x:c r="N2520" s="54" t="n">
        <x:f>ROUND(J2520*K2520,2)</x:f>
        <x:v>5702.18</x:v>
      </x:c>
      <x:c r="O2520" s="54" t="n">
        <x:f>ROUND(N2520*(1-M2520),2)</x:f>
        <x:v>5056.69</x:v>
      </x:c>
      <x:c r="P2520" s="54" t="n">
        <x:f>ROUND(J2520*L2520,2)</x:f>
        <x:v>4344</x:v>
      </x:c>
      <x:c r="Q2520" s="54" t="n">
        <x:f>ROUND(O2520-P2520,2)</x:f>
        <x:v>712.69</x:v>
      </x:c>
      <x:c r="R2520" s="55" t="n">
        <x:f>IF(O2520=0,0,ROUND(Q2520/O2520,4))</x:f>
        <x:v>0.1409</x:v>
      </x:c>
      <x:c r="S2520" s="53" t="n">
        <x:v>6</x:v>
      </x:c>
      <x:c r="T2520" t="str">
        <x:v>Entregue</x:v>
      </x:c>
      <x:c r="U2520" t="n">
        <x:v>2</x:v>
      </x:c>
      <x:c r="V2520" t="str"/>
    </x:row>
    <x:row r="2521">
      <x:c r="A2521" s="52" t="n">
        <x:v>46065</x:v>
      </x:c>
      <x:c r="B2521" t="str">
        <x:v>PED-102520</x:v>
      </x:c>
      <x:c r="C2521" t="str">
        <x:v>Cliente 027</x:v>
      </x:c>
      <x:c r="D2521" t="str">
        <x:v>PR</x:v>
      </x:c>
      <x:c r="E2521" t="str">
        <x:v>Sul</x:v>
      </x:c>
      <x:c r="F2521" t="str">
        <x:v>Televendas</x:v>
      </x:c>
      <x:c r="G2521" t="str">
        <x:v>Tecnologia</x:v>
      </x:c>
      <x:c r="H2521" t="str">
        <x:v>Monitor 27</x:v>
      </x:c>
      <x:c r="I2521" t="str">
        <x:v>Felipe</x:v>
      </x:c>
      <x:c r="J2521" s="53" t="n">
        <x:v>3</x:v>
      </x:c>
      <x:c r="K2521" s="54" t="n">
        <x:v>1671.06</x:v>
      </x:c>
      <x:c r="L2521" s="54" t="n">
        <x:v>1069.03</x:v>
      </x:c>
      <x:c r="M2521" s="55" t="n">
        <x:v>0.0809</x:v>
      </x:c>
      <x:c r="N2521" s="54" t="n">
        <x:f>ROUND(J2521*K2521,2)</x:f>
        <x:v>5013.18</x:v>
      </x:c>
      <x:c r="O2521" s="54" t="n">
        <x:f>ROUND(N2521*(1-M2521),2)</x:f>
        <x:v>4607.61</x:v>
      </x:c>
      <x:c r="P2521" s="54" t="n">
        <x:f>ROUND(J2521*L2521,2)</x:f>
        <x:v>3207.09</x:v>
      </x:c>
      <x:c r="Q2521" s="54" t="n">
        <x:f>ROUND(O2521-P2521,2)</x:f>
        <x:v>1400.52</x:v>
      </x:c>
      <x:c r="R2521" s="55" t="n">
        <x:f>IF(O2521=0,0,ROUND(Q2521/O2521,4))</x:f>
        <x:v>0.304</x:v>
      </x:c>
      <x:c r="S2521" s="53" t="n">
        <x:v>10</x:v>
      </x:c>
      <x:c r="T2521" t="str">
        <x:v>Entregue</x:v>
      </x:c>
      <x:c r="U2521" t="n">
        <x:v>2</x:v>
      </x:c>
      <x:c r="V2521" t="str"/>
    </x:row>
    <x:row r="2522">
      <x:c r="A2522" s="52" t="n">
        <x:v>46029</x:v>
      </x:c>
      <x:c r="B2522" t="str">
        <x:v>PED-102521</x:v>
      </x:c>
      <x:c r="C2522" t="str">
        <x:v>Cliente 055</x:v>
      </x:c>
      <x:c r="D2522" t="str">
        <x:v>RJ</x:v>
      </x:c>
      <x:c r="E2522" t="str">
        <x:v>Sudeste</x:v>
      </x:c>
      <x:c r="F2522" t="str">
        <x:v>Televendas</x:v>
      </x:c>
      <x:c r="G2522" t="str">
        <x:v>Escritório</x:v>
      </x:c>
      <x:c r="H2522" t="str">
        <x:v>Luminária LED</x:v>
      </x:c>
      <x:c r="I2522" t="str">
        <x:v>João</x:v>
      </x:c>
      <x:c r="J2522" s="53" t="n">
        <x:v>3</x:v>
      </x:c>
      <x:c r="K2522" s="54" t="n">
        <x:v>244.7</x:v>
      </x:c>
      <x:c r="L2522" s="54" t="n">
        <x:v>114.34</x:v>
      </x:c>
      <x:c r="M2522" s="55" t="n">
        <x:v>0.1095</x:v>
      </x:c>
      <x:c r="N2522" s="54" t="n">
        <x:f>ROUND(J2522*K2522,2)</x:f>
        <x:v>734.1</x:v>
      </x:c>
      <x:c r="O2522" s="54" t="n">
        <x:f>ROUND(N2522*(1-M2522),2)</x:f>
        <x:v>653.72</x:v>
      </x:c>
      <x:c r="P2522" s="54" t="n">
        <x:f>ROUND(J2522*L2522,2)</x:f>
        <x:v>343.02</x:v>
      </x:c>
      <x:c r="Q2522" s="54" t="n">
        <x:f>ROUND(O2522-P2522,2)</x:f>
        <x:v>310.7</x:v>
      </x:c>
      <x:c r="R2522" s="55" t="n">
        <x:f>IF(O2522=0,0,ROUND(Q2522/O2522,4))</x:f>
        <x:v>0.4753</x:v>
      </x:c>
      <x:c r="S2522" s="53" t="n">
        <x:v>7</x:v>
      </x:c>
      <x:c r="T2522" t="str">
        <x:v>Entregue</x:v>
      </x:c>
      <x:c r="U2522" t="n">
        <x:v>2</x:v>
      </x:c>
      <x:c r="V2522" t="str"/>
    </x:row>
    <x:row r="2523">
      <x:c r="A2523" s="52" t="n">
        <x:v>46027</x:v>
      </x:c>
      <x:c r="B2523" t="str">
        <x:v>PED-102522</x:v>
      </x:c>
      <x:c r="C2523" t="str">
        <x:v>Cliente 065</x:v>
      </x:c>
      <x:c r="D2523" t="str">
        <x:v>GO</x:v>
      </x:c>
      <x:c r="E2523" t="str">
        <x:v>Centro-Oeste</x:v>
      </x:c>
      <x:c r="F2523" t="str">
        <x:v>Loja</x:v>
      </x:c>
      <x:c r="G2523" t="str">
        <x:v>Escritório</x:v>
      </x:c>
      <x:c r="H2523" t="str">
        <x:v>Luminária LED</x:v>
      </x:c>
      <x:c r="I2523" t="str">
        <x:v>Isabela</x:v>
      </x:c>
      <x:c r="J2523" s="53" t="n">
        <x:v>4</x:v>
      </x:c>
      <x:c r="K2523" s="54" t="n">
        <x:v>260.4</x:v>
      </x:c>
      <x:c r="L2523" s="54" t="n">
        <x:v>120.59</x:v>
      </x:c>
      <x:c r="M2523" s="55" t="n">
        <x:v>0</x:v>
      </x:c>
      <x:c r="N2523" s="54" t="n">
        <x:f>ROUND(J2523*K2523,2)</x:f>
        <x:v>1041.6</x:v>
      </x:c>
      <x:c r="O2523" s="54" t="n">
        <x:f>ROUND(N2523*(1-M2523),2)</x:f>
        <x:v>1041.6</x:v>
      </x:c>
      <x:c r="P2523" s="54" t="n">
        <x:f>ROUND(J2523*L2523,2)</x:f>
        <x:v>482.36</x:v>
      </x:c>
      <x:c r="Q2523" s="54" t="n">
        <x:f>ROUND(O2523-P2523,2)</x:f>
        <x:v>559.24</x:v>
      </x:c>
      <x:c r="R2523" s="55" t="n">
        <x:f>IF(O2523=0,0,ROUND(Q2523/O2523,4))</x:f>
        <x:v>0.5369</x:v>
      </x:c>
      <x:c r="S2523" s="53" t="n">
        <x:v>8</x:v>
      </x:c>
      <x:c r="T2523" t="str">
        <x:v>Entregue</x:v>
      </x:c>
      <x:c r="U2523" t="n">
        <x:v>3</x:v>
      </x:c>
      <x:c r="V2523" t="str"/>
    </x:row>
    <x:row r="2524">
      <x:c r="A2524" s="52" t="n">
        <x:v>46070</x:v>
      </x:c>
      <x:c r="B2524" t="str">
        <x:v>PED-102523</x:v>
      </x:c>
      <x:c r="C2524" t="str">
        <x:v>Cliente 103</x:v>
      </x:c>
      <x:c r="D2524" t="str">
        <x:v>GO</x:v>
      </x:c>
      <x:c r="E2524" t="str">
        <x:v>Centro-Oeste</x:v>
      </x:c>
      <x:c r="F2524" t="str">
        <x:v>Marketplace</x:v>
      </x:c>
      <x:c r="G2524" t="str">
        <x:v>Casa</x:v>
      </x:c>
      <x:c r="H2524" t="str">
        <x:v>Aspirador Robô</x:v>
      </x:c>
      <x:c r="I2524" t="str">
        <x:v>João</x:v>
      </x:c>
      <x:c r="J2524" s="53" t="n">
        <x:v>4</x:v>
      </x:c>
      <x:c r="K2524" s="54" t="n">
        <x:v>1785.29</x:v>
      </x:c>
      <x:c r="L2524" s="54" t="n">
        <x:v>1188.15</x:v>
      </x:c>
      <x:c r="M2524" s="55" t="n">
        <x:v>0.035</x:v>
      </x:c>
      <x:c r="N2524" s="54" t="n">
        <x:f>ROUND(J2524*K2524,2)</x:f>
        <x:v>7141.16</x:v>
      </x:c>
      <x:c r="O2524" s="54" t="n">
        <x:f>ROUND(N2524*(1-M2524),2)</x:f>
        <x:v>6891.22</x:v>
      </x:c>
      <x:c r="P2524" s="54" t="n">
        <x:f>ROUND(J2524*L2524,2)</x:f>
        <x:v>4752.6</x:v>
      </x:c>
      <x:c r="Q2524" s="54" t="n">
        <x:f>ROUND(O2524-P2524,2)</x:f>
        <x:v>2138.62</x:v>
      </x:c>
      <x:c r="R2524" s="55" t="n">
        <x:f>IF(O2524=0,0,ROUND(Q2524/O2524,4))</x:f>
        <x:v>0.3103</x:v>
      </x:c>
      <x:c r="S2524" s="53" t="n">
        <x:v>5</x:v>
      </x:c>
      <x:c r="T2524" t="str">
        <x:v>Entregue</x:v>
      </x:c>
      <x:c r="U2524" t="n">
        <x:v>5</x:v>
      </x:c>
      <x:c r="V2524" t="str"/>
    </x:row>
    <x:row r="2525">
      <x:c r="A2525" s="52" t="n">
        <x:v>46129</x:v>
      </x:c>
      <x:c r="B2525" t="str">
        <x:v>PED-102524</x:v>
      </x:c>
      <x:c r="C2525" t="str">
        <x:v>Cliente 001</x:v>
      </x:c>
      <x:c r="D2525" t="str">
        <x:v>MG</x:v>
      </x:c>
      <x:c r="E2525" t="str">
        <x:v>Sudeste</x:v>
      </x:c>
      <x:c r="F2525" t="str">
        <x:v>Televendas</x:v>
      </x:c>
      <x:c r="G2525" t="str">
        <x:v>Acessórios</x:v>
      </x:c>
      <x:c r="H2525" t="str">
        <x:v>Mochila Executiva</x:v>
      </x:c>
      <x:c r="I2525" t="str">
        <x:v>Felipe</x:v>
      </x:c>
      <x:c r="J2525" s="53" t="n">
        <x:v>5</x:v>
      </x:c>
      <x:c r="K2525" s="54" t="n">
        <x:v>404.39</x:v>
      </x:c>
      <x:c r="L2525" s="54" t="n">
        <x:v>186.14</x:v>
      </x:c>
      <x:c r="M2525" s="55" t="n">
        <x:v>0.12</x:v>
      </x:c>
      <x:c r="N2525" s="54" t="n">
        <x:f>ROUND(J2525*K2525,2)</x:f>
        <x:v>2021.95</x:v>
      </x:c>
      <x:c r="O2525" s="54" t="n">
        <x:f>ROUND(N2525*(1-M2525),2)</x:f>
        <x:v>1779.32</x:v>
      </x:c>
      <x:c r="P2525" s="54" t="n">
        <x:f>ROUND(J2525*L2525,2)</x:f>
        <x:v>930.7</x:v>
      </x:c>
      <x:c r="Q2525" s="54" t="n">
        <x:f>ROUND(O2525-P2525,2)</x:f>
        <x:v>848.62</x:v>
      </x:c>
      <x:c r="R2525" s="55" t="n">
        <x:f>IF(O2525=0,0,ROUND(Q2525/O2525,4))</x:f>
        <x:v>0.4769</x:v>
      </x:c>
      <x:c r="S2525" s="53" t="n">
        <x:v>13</x:v>
      </x:c>
      <x:c r="T2525" t="str">
        <x:v>Entregue com atraso</x:v>
      </x:c>
      <x:c r="U2525" t="n">
        <x:v>5</x:v>
      </x:c>
      <x:c r="V2525" t="str"/>
    </x:row>
    <x:row r="2526">
      <x:c r="A2526" s="52" t="n">
        <x:v>46207</x:v>
      </x:c>
      <x:c r="B2526" t="str">
        <x:v>PED-102525</x:v>
      </x:c>
      <x:c r="C2526" t="str">
        <x:v>Cliente 119</x:v>
      </x:c>
      <x:c r="D2526" t="str">
        <x:v>AM</x:v>
      </x:c>
      <x:c r="E2526" t="str">
        <x:v>Norte</x:v>
      </x:c>
      <x:c r="F2526" t="str">
        <x:v>Loja</x:v>
      </x:c>
      <x:c r="G2526" t="str">
        <x:v>Tecnologia</x:v>
      </x:c>
      <x:c r="H2526" t="str">
        <x:v>Notebook Pro</x:v>
      </x:c>
      <x:c r="I2526" t="str">
        <x:v>Carla</x:v>
      </x:c>
      <x:c r="J2526" s="53" t="n">
        <x:v>1</x:v>
      </x:c>
      <x:c r="K2526" s="54" t="n">
        <x:v>6089.91</x:v>
      </x:c>
      <x:c r="L2526" s="54" t="n">
        <x:v>4482.35</x:v>
      </x:c>
      <x:c r="M2526" s="55" t="n">
        <x:v>0</x:v>
      </x:c>
      <x:c r="N2526" s="54" t="n">
        <x:f>ROUND(J2526*K2526,2)</x:f>
        <x:v>6089.91</x:v>
      </x:c>
      <x:c r="O2526" s="54" t="n">
        <x:f>ROUND(N2526*(1-M2526),2)</x:f>
        <x:v>6089.91</x:v>
      </x:c>
      <x:c r="P2526" s="54" t="n">
        <x:f>ROUND(J2526*L2526,2)</x:f>
        <x:v>4482.35</x:v>
      </x:c>
      <x:c r="Q2526" s="54" t="n">
        <x:f>ROUND(O2526-P2526,2)</x:f>
        <x:v>1607.56</x:v>
      </x:c>
      <x:c r="R2526" s="55" t="n">
        <x:f>IF(O2526=0,0,ROUND(Q2526/O2526,4))</x:f>
        <x:v>0.264</x:v>
      </x:c>
      <x:c r="S2526" s="53" t="n">
        <x:v>12</x:v>
      </x:c>
      <x:c r="T2526" t="str">
        <x:v>Entregue com atraso</x:v>
      </x:c>
      <x:c r="U2526" t="n">
        <x:v>4</x:v>
      </x:c>
      <x:c r="V2526" t="str"/>
    </x:row>
    <x:row r="2527">
      <x:c r="A2527" s="52" t="n">
        <x:v>46170</x:v>
      </x:c>
      <x:c r="B2527" t="str">
        <x:v>PED-102526</x:v>
      </x:c>
      <x:c r="C2527" t="str">
        <x:v>Cliente 055</x:v>
      </x:c>
      <x:c r="D2527" t="str">
        <x:v>MG</x:v>
      </x:c>
      <x:c r="E2527" t="str">
        <x:v>Sudeste</x:v>
      </x:c>
      <x:c r="F2527" t="str">
        <x:v>E-commerce</x:v>
      </x:c>
      <x:c r="G2527" t="str">
        <x:v>Escritório</x:v>
      </x:c>
      <x:c r="H2527" t="str">
        <x:v>Luminária LED</x:v>
      </x:c>
      <x:c r="I2527" t="str">
        <x:v>Gabriela</x:v>
      </x:c>
      <x:c r="J2527" s="53" t="n">
        <x:v>3</x:v>
      </x:c>
      <x:c r="K2527" s="54" t="n">
        <x:v>263.46</x:v>
      </x:c>
      <x:c r="L2527" s="54" t="n">
        <x:v>119.08</x:v>
      </x:c>
      <x:c r="M2527" s="55" t="n">
        <x:v>0.0622</x:v>
      </x:c>
      <x:c r="N2527" s="54" t="n">
        <x:f>ROUND(J2527*K2527,2)</x:f>
        <x:v>790.38</x:v>
      </x:c>
      <x:c r="O2527" s="54" t="n">
        <x:f>ROUND(N2527*(1-M2527),2)</x:f>
        <x:v>741.22</x:v>
      </x:c>
      <x:c r="P2527" s="54" t="n">
        <x:f>ROUND(J2527*L2527,2)</x:f>
        <x:v>357.24</x:v>
      </x:c>
      <x:c r="Q2527" s="54" t="n">
        <x:f>ROUND(O2527-P2527,2)</x:f>
        <x:v>383.98</x:v>
      </x:c>
      <x:c r="R2527" s="55" t="n">
        <x:f>IF(O2527=0,0,ROUND(Q2527/O2527,4))</x:f>
        <x:v>0.518</x:v>
      </x:c>
      <x:c r="S2527" s="53" t="n">
        <x:v>6</x:v>
      </x:c>
      <x:c r="T2527" t="str">
        <x:v>Entregue</x:v>
      </x:c>
      <x:c r="U2527" t="n">
        <x:v>5</x:v>
      </x:c>
      <x:c r="V2527" t="str"/>
    </x:row>
    <x:row r="2528">
      <x:c r="A2528" s="52" t="n">
        <x:v>46173</x:v>
      </x:c>
      <x:c r="B2528" t="str">
        <x:v>PED-102527</x:v>
      </x:c>
      <x:c r="C2528" t="str">
        <x:v>Cliente 117</x:v>
      </x:c>
      <x:c r="D2528" t="str">
        <x:v>ES</x:v>
      </x:c>
      <x:c r="E2528" t="str">
        <x:v>Sudeste</x:v>
      </x:c>
      <x:c r="F2528" t="str">
        <x:v>Marketplace</x:v>
      </x:c>
      <x:c r="G2528" t="str">
        <x:v>Acessórios</x:v>
      </x:c>
      <x:c r="H2528" t="str">
        <x:v>Hub USB-C</x:v>
      </x:c>
      <x:c r="I2528" t="str">
        <x:v>Bruno</x:v>
      </x:c>
      <x:c r="J2528" s="53" t="n">
        <x:v>8</x:v>
      </x:c>
      <x:c r="K2528" s="54" t="n">
        <x:v>318.97</x:v>
      </x:c>
      <x:c r="L2528" s="54" t="n">
        <x:v>135.93</x:v>
      </x:c>
      <x:c r="M2528" s="55" t="n">
        <x:v>0.035</x:v>
      </x:c>
      <x:c r="N2528" s="54" t="n">
        <x:f>ROUND(J2528*K2528,2)</x:f>
        <x:v>2551.76</x:v>
      </x:c>
      <x:c r="O2528" s="54" t="n">
        <x:f>ROUND(N2528*(1-M2528),2)</x:f>
        <x:v>2462.45</x:v>
      </x:c>
      <x:c r="P2528" s="54" t="n">
        <x:f>ROUND(J2528*L2528,2)</x:f>
        <x:v>1087.44</x:v>
      </x:c>
      <x:c r="Q2528" s="54" t="n">
        <x:f>ROUND(O2528-P2528,2)</x:f>
        <x:v>1375.01</x:v>
      </x:c>
      <x:c r="R2528" s="55" t="n">
        <x:f>IF(O2528=0,0,ROUND(Q2528/O2528,4))</x:f>
        <x:v>0.5584</x:v>
      </x:c>
      <x:c r="S2528" s="53" t="n">
        <x:v>3</x:v>
      </x:c>
      <x:c r="T2528" t="str">
        <x:v>Entregue</x:v>
      </x:c>
      <x:c r="U2528" t="n">
        <x:v>5</x:v>
      </x:c>
      <x:c r="V2528" t="str"/>
    </x:row>
    <x:row r="2529">
      <x:c r="A2529" s="52" t="n">
        <x:v>46165</x:v>
      </x:c>
      <x:c r="B2529" t="str">
        <x:v>PED-102528</x:v>
      </x:c>
      <x:c r="C2529" t="str">
        <x:v>Cliente 047</x:v>
      </x:c>
      <x:c r="D2529" t="str">
        <x:v>DF</x:v>
      </x:c>
      <x:c r="E2529" t="str">
        <x:v>Centro-Oeste</x:v>
      </x:c>
      <x:c r="F2529" t="str">
        <x:v>Marketplace</x:v>
      </x:c>
      <x:c r="G2529" t="str">
        <x:v>Escritório</x:v>
      </x:c>
      <x:c r="H2529" t="str">
        <x:v>Luminária LED</x:v>
      </x:c>
      <x:c r="I2529" t="str">
        <x:v>Elaine</x:v>
      </x:c>
      <x:c r="J2529" s="53" t="n">
        <x:v>7</x:v>
      </x:c>
      <x:c r="K2529" s="54" t="n">
        <x:v>255.21</x:v>
      </x:c>
      <x:c r="L2529" s="54" t="n">
        <x:v>120.95</x:v>
      </x:c>
      <x:c r="M2529" s="55" t="n">
        <x:v>0.035</x:v>
      </x:c>
      <x:c r="N2529" s="54" t="n">
        <x:f>ROUND(J2529*K2529,2)</x:f>
        <x:v>1786.47</x:v>
      </x:c>
      <x:c r="O2529" s="54" t="n">
        <x:f>ROUND(N2529*(1-M2529),2)</x:f>
        <x:v>1723.94</x:v>
      </x:c>
      <x:c r="P2529" s="54" t="n">
        <x:f>ROUND(J2529*L2529,2)</x:f>
        <x:v>846.65</x:v>
      </x:c>
      <x:c r="Q2529" s="54" t="n">
        <x:f>ROUND(O2529-P2529,2)</x:f>
        <x:v>877.29</x:v>
      </x:c>
      <x:c r="R2529" s="55" t="n">
        <x:f>IF(O2529=0,0,ROUND(Q2529/O2529,4))</x:f>
        <x:v>0.5089</x:v>
      </x:c>
      <x:c r="S2529" s="53" t="n">
        <x:v>4</x:v>
      </x:c>
      <x:c r="T2529" t="str">
        <x:v>Entregue</x:v>
      </x:c>
      <x:c r="U2529" t="n">
        <x:v>2</x:v>
      </x:c>
      <x:c r="V2529" t="str"/>
    </x:row>
    <x:row r="2530">
      <x:c r="A2530" s="52" t="n">
        <x:v>46073</x:v>
      </x:c>
      <x:c r="B2530" t="str">
        <x:v>PED-102529</x:v>
      </x:c>
      <x:c r="C2530" t="str">
        <x:v>Cliente 105</x:v>
      </x:c>
      <x:c r="D2530" t="str">
        <x:v>AM</x:v>
      </x:c>
      <x:c r="E2530" t="str">
        <x:v>Norte</x:v>
      </x:c>
      <x:c r="F2530" t="str">
        <x:v>Marketplace</x:v>
      </x:c>
      <x:c r="G2530" t="str">
        <x:v>Escritório</x:v>
      </x:c>
      <x:c r="H2530" t="str">
        <x:v>Cadeira Ergonômica</x:v>
      </x:c>
      <x:c r="I2530" t="str">
        <x:v>Bruno</x:v>
      </x:c>
      <x:c r="J2530" s="53" t="n">
        <x:v>7</x:v>
      </x:c>
      <x:c r="K2530" s="54" t="n">
        <x:v>2067.76</x:v>
      </x:c>
      <x:c r="L2530" s="54" t="n">
        <x:v>1522.72</x:v>
      </x:c>
      <x:c r="M2530" s="55" t="n">
        <x:v>0.035</x:v>
      </x:c>
      <x:c r="N2530" s="54" t="n">
        <x:f>ROUND(J2530*K2530,2)</x:f>
        <x:v>14474.32</x:v>
      </x:c>
      <x:c r="O2530" s="54" t="n">
        <x:f>ROUND(N2530*(1-M2530),2)</x:f>
        <x:v>13967.72</x:v>
      </x:c>
      <x:c r="P2530" s="54" t="n">
        <x:f>ROUND(J2530*L2530,2)</x:f>
        <x:v>10659.04</x:v>
      </x:c>
      <x:c r="Q2530" s="54" t="n">
        <x:f>ROUND(O2530-P2530,2)</x:f>
        <x:v>3308.68</x:v>
      </x:c>
      <x:c r="R2530" s="55" t="n">
        <x:f>IF(O2530=0,0,ROUND(Q2530/O2530,4))</x:f>
        <x:v>0.2369</x:v>
      </x:c>
      <x:c r="S2530" s="53" t="n">
        <x:v>4</x:v>
      </x:c>
      <x:c r="T2530" t="str">
        <x:v>Entregue</x:v>
      </x:c>
      <x:c r="U2530" t="n">
        <x:v>2</x:v>
      </x:c>
      <x:c r="V2530" t="str"/>
    </x:row>
    <x:row r="2531">
      <x:c r="A2531" s="52" t="n">
        <x:v>46119</x:v>
      </x:c>
      <x:c r="B2531" t="str">
        <x:v>PED-102530</x:v>
      </x:c>
      <x:c r="C2531" t="str">
        <x:v>Cliente 102</x:v>
      </x:c>
      <x:c r="D2531" t="str">
        <x:v>PA</x:v>
      </x:c>
      <x:c r="E2531" t="str">
        <x:v>Norte</x:v>
      </x:c>
      <x:c r="F2531" t="str">
        <x:v>Loja</x:v>
      </x:c>
      <x:c r="G2531" t="str">
        <x:v>Tecnologia</x:v>
      </x:c>
      <x:c r="H2531" t="str">
        <x:v>Headset Office</x:v>
      </x:c>
      <x:c r="I2531" t="str">
        <x:v>Ana</x:v>
      </x:c>
      <x:c r="J2531" s="53" t="n">
        <x:v>7</x:v>
      </x:c>
      <x:c r="K2531" s="54" t="n">
        <x:v>384.16</x:v>
      </x:c>
      <x:c r="L2531" s="54" t="n">
        <x:v>223.19</x:v>
      </x:c>
      <x:c r="M2531" s="55" t="n">
        <x:v>0.0046</x:v>
      </x:c>
      <x:c r="N2531" s="54" t="n">
        <x:f>ROUND(J2531*K2531,2)</x:f>
        <x:v>2689.12</x:v>
      </x:c>
      <x:c r="O2531" s="54" t="n">
        <x:f>ROUND(N2531*(1-M2531),2)</x:f>
        <x:v>2676.75</x:v>
      </x:c>
      <x:c r="P2531" s="54" t="n">
        <x:f>ROUND(J2531*L2531,2)</x:f>
        <x:v>1562.33</x:v>
      </x:c>
      <x:c r="Q2531" s="54" t="n">
        <x:f>ROUND(O2531-P2531,2)</x:f>
        <x:v>1114.42</x:v>
      </x:c>
      <x:c r="R2531" s="55" t="n">
        <x:f>IF(O2531=0,0,ROUND(Q2531/O2531,4))</x:f>
        <x:v>0.4163</x:v>
      </x:c>
      <x:c r="S2531" s="53" t="n">
        <x:v>10</x:v>
      </x:c>
      <x:c r="T2531" t="str">
        <x:v>Entregue</x:v>
      </x:c>
      <x:c r="U2531" t="n">
        <x:v>5</x:v>
      </x:c>
      <x:c r="V2531" t="str"/>
    </x:row>
    <x:row r="2532">
      <x:c r="A2532" s="52" t="n">
        <x:v>46049</x:v>
      </x:c>
      <x:c r="B2532" t="str">
        <x:v>PED-102531</x:v>
      </x:c>
      <x:c r="C2532" t="str">
        <x:v>Cliente 113</x:v>
      </x:c>
      <x:c r="D2532" t="str">
        <x:v>PA</x:v>
      </x:c>
      <x:c r="E2532" t="str">
        <x:v>Norte</x:v>
      </x:c>
      <x:c r="F2532" t="str">
        <x:v>Marketplace</x:v>
      </x:c>
      <x:c r="G2532" t="str">
        <x:v>Acessórios</x:v>
      </x:c>
      <x:c r="H2532" t="str">
        <x:v>Webcam HD</x:v>
      </x:c>
      <x:c r="I2532" t="str">
        <x:v>Felipe</x:v>
      </x:c>
      <x:c r="J2532" s="53" t="n">
        <x:v>4</x:v>
      </x:c>
      <x:c r="K2532" s="54" t="n">
        <x:v>514.83</x:v>
      </x:c>
      <x:c r="L2532" s="54" t="n">
        <x:v>241.83</x:v>
      </x:c>
      <x:c r="M2532" s="55" t="n">
        <x:v>0.0749</x:v>
      </x:c>
      <x:c r="N2532" s="54" t="n">
        <x:f>ROUND(J2532*K2532,2)</x:f>
        <x:v>2059.32</x:v>
      </x:c>
      <x:c r="O2532" s="54" t="n">
        <x:f>ROUND(N2532*(1-M2532),2)</x:f>
        <x:v>1905.08</x:v>
      </x:c>
      <x:c r="P2532" s="54" t="n">
        <x:f>ROUND(J2532*L2532,2)</x:f>
        <x:v>967.32</x:v>
      </x:c>
      <x:c r="Q2532" s="54" t="n">
        <x:f>ROUND(O2532-P2532,2)</x:f>
        <x:v>937.76</x:v>
      </x:c>
      <x:c r="R2532" s="55" t="n">
        <x:f>IF(O2532=0,0,ROUND(Q2532/O2532,4))</x:f>
        <x:v>0.4922</x:v>
      </x:c>
      <x:c r="S2532" s="53" t="n">
        <x:v>9</x:v>
      </x:c>
      <x:c r="T2532" t="str">
        <x:v>Entregue</x:v>
      </x:c>
      <x:c r="U2532" t="n">
        <x:v>3</x:v>
      </x:c>
      <x:c r="V2532" t="str"/>
    </x:row>
    <x:row r="2533">
      <x:c r="A2533" s="52" t="n">
        <x:v>46170</x:v>
      </x:c>
      <x:c r="B2533" t="str">
        <x:v>PED-102532</x:v>
      </x:c>
      <x:c r="C2533" t="str">
        <x:v>Cliente 057</x:v>
      </x:c>
      <x:c r="D2533" t="str">
        <x:v>MG</x:v>
      </x:c>
      <x:c r="E2533" t="str">
        <x:v>Sudeste</x:v>
      </x:c>
      <x:c r="F2533" t="str">
        <x:v>E-commerce</x:v>
      </x:c>
      <x:c r="G2533" t="str">
        <x:v>Casa</x:v>
      </x:c>
      <x:c r="H2533" t="str">
        <x:v>Purificador</x:v>
      </x:c>
      <x:c r="I2533" t="str">
        <x:v>Ana</x:v>
      </x:c>
      <x:c r="J2533" s="53" t="n">
        <x:v>6</x:v>
      </x:c>
      <x:c r="K2533" s="54" t="n">
        <x:v>1295.05</x:v>
      </x:c>
      <x:c r="L2533" s="54" t="n">
        <x:v>748.43</x:v>
      </x:c>
      <x:c r="M2533" s="55" t="n">
        <x:v>0</x:v>
      </x:c>
      <x:c r="N2533" s="54" t="n">
        <x:f>ROUND(J2533*K2533,2)</x:f>
        <x:v>7770.3</x:v>
      </x:c>
      <x:c r="O2533" s="54" t="n">
        <x:f>ROUND(N2533*(1-M2533),2)</x:f>
        <x:v>7770.3</x:v>
      </x:c>
      <x:c r="P2533" s="54" t="n">
        <x:f>ROUND(J2533*L2533,2)</x:f>
        <x:v>4490.58</x:v>
      </x:c>
      <x:c r="Q2533" s="54" t="n">
        <x:f>ROUND(O2533-P2533,2)</x:f>
        <x:v>3279.72</x:v>
      </x:c>
      <x:c r="R2533" s="55" t="n">
        <x:f>IF(O2533=0,0,ROUND(Q2533/O2533,4))</x:f>
        <x:v>0.4221</x:v>
      </x:c>
      <x:c r="S2533" s="53" t="n">
        <x:v>13</x:v>
      </x:c>
      <x:c r="T2533" t="str">
        <x:v>Entregue com atraso</x:v>
      </x:c>
      <x:c r="U2533" t="n">
        <x:v>4</x:v>
      </x:c>
      <x:c r="V2533" t="str"/>
    </x:row>
    <x:row r="2534">
      <x:c r="A2534" s="52" t="n">
        <x:v>46117</x:v>
      </x:c>
      <x:c r="B2534" t="str">
        <x:v>PED-102533</x:v>
      </x:c>
      <x:c r="C2534" t="str">
        <x:v>Cliente 110</x:v>
      </x:c>
      <x:c r="D2534" t="str">
        <x:v>ES</x:v>
      </x:c>
      <x:c r="E2534" t="str">
        <x:v>Sudeste</x:v>
      </x:c>
      <x:c r="F2534" t="str">
        <x:v>Loja</x:v>
      </x:c>
      <x:c r="G2534" t="str">
        <x:v>Acessórios</x:v>
      </x:c>
      <x:c r="H2534" t="str">
        <x:v>Webcam HD</x:v>
      </x:c>
      <x:c r="I2534" t="str">
        <x:v>Isabela</x:v>
      </x:c>
      <x:c r="J2534" s="53" t="n">
        <x:v>2</x:v>
      </x:c>
      <x:c r="K2534" s="54" t="n">
        <x:v>503.01</x:v>
      </x:c>
      <x:c r="L2534" s="54" t="n">
        <x:v>535.54</x:v>
      </x:c>
      <x:c r="M2534" s="55" t="n">
        <x:v>0</x:v>
      </x:c>
      <x:c r="N2534" s="54" t="n">
        <x:f>ROUND(J2534*K2534,2)</x:f>
        <x:v>1006.02</x:v>
      </x:c>
      <x:c r="O2534" s="54" t="n">
        <x:f>ROUND(N2534*(1-M2534),2)</x:f>
        <x:v>1006.02</x:v>
      </x:c>
      <x:c r="P2534" s="54" t="n">
        <x:f>ROUND(J2534*L2534,2)</x:f>
        <x:v>1071.08</x:v>
      </x:c>
      <x:c r="Q2534" s="54" t="n">
        <x:f>ROUND(O2534-P2534,2)</x:f>
        <x:v>-65.06</x:v>
      </x:c>
      <x:c r="R2534" s="55" t="n">
        <x:f>IF(O2534=0,0,ROUND(Q2534/O2534,4))</x:f>
        <x:v>-0.0647</x:v>
      </x:c>
      <x:c r="S2534" s="53" t="n">
        <x:v>8</x:v>
      </x:c>
      <x:c r="T2534" t="str">
        <x:v>Entregue</x:v>
      </x:c>
      <x:c r="U2534" t="n">
        <x:v>5</x:v>
      </x:c>
      <x:c r="V2534" t="str">
        <x:v>Custo revisado após fechamento</x:v>
      </x:c>
    </x:row>
    <x:row r="2535">
      <x:c r="A2535" s="52" t="n">
        <x:v>46170</x:v>
      </x:c>
      <x:c r="B2535" t="str">
        <x:v>PED-102534</x:v>
      </x:c>
      <x:c r="C2535" t="str">
        <x:v>Cliente 099</x:v>
      </x:c>
      <x:c r="D2535" t="str">
        <x:v>SC</x:v>
      </x:c>
      <x:c r="E2535" t="str">
        <x:v>Sul</x:v>
      </x:c>
      <x:c r="F2535" t="str">
        <x:v>Marketplace</x:v>
      </x:c>
      <x:c r="G2535" t="str">
        <x:v>Casa</x:v>
      </x:c>
      <x:c r="H2535" t="str">
        <x:v>Aspirador Robô</x:v>
      </x:c>
      <x:c r="I2535" t="str">
        <x:v>Elaine</x:v>
      </x:c>
      <x:c r="J2535" s="53" t="n">
        <x:v>1</x:v>
      </x:c>
      <x:c r="K2535" s="54" t="n">
        <x:v>1922.94</x:v>
      </x:c>
      <x:c r="L2535" s="54" t="n">
        <x:v>1169.09</x:v>
      </x:c>
      <x:c r="M2535" s="55" t="n">
        <x:v>0.035</x:v>
      </x:c>
      <x:c r="N2535" s="54" t="n">
        <x:f>ROUND(J2535*K2535,2)</x:f>
        <x:v>1922.94</x:v>
      </x:c>
      <x:c r="O2535" s="54" t="n">
        <x:f>ROUND(N2535*(1-M2535),2)</x:f>
        <x:v>1855.64</x:v>
      </x:c>
      <x:c r="P2535" s="54" t="n">
        <x:f>ROUND(J2535*L2535,2)</x:f>
        <x:v>1169.09</x:v>
      </x:c>
      <x:c r="Q2535" s="54" t="n">
        <x:f>ROUND(O2535-P2535,2)</x:f>
        <x:v>686.55</x:v>
      </x:c>
      <x:c r="R2535" s="55" t="n">
        <x:f>IF(O2535=0,0,ROUND(Q2535/O2535,4))</x:f>
        <x:v>0.37</x:v>
      </x:c>
      <x:c r="S2535" s="53" t="n">
        <x:v>5</x:v>
      </x:c>
      <x:c r="T2535" t="str">
        <x:v>Entregue</x:v>
      </x:c>
      <x:c r="U2535" t="n">
        <x:v>3</x:v>
      </x:c>
      <x:c r="V2535" t="str"/>
    </x:row>
    <x:row r="2536">
      <x:c r="A2536" s="52" t="n">
        <x:v>46082</x:v>
      </x:c>
      <x:c r="B2536" t="str">
        <x:v>PED-102535</x:v>
      </x:c>
      <x:c r="C2536" t="str">
        <x:v>Cliente 074</x:v>
      </x:c>
      <x:c r="D2536" t="str">
        <x:v>MG</x:v>
      </x:c>
      <x:c r="E2536" t="str">
        <x:v>Sudeste</x:v>
      </x:c>
      <x:c r="F2536" t="str">
        <x:v>E-commerce</x:v>
      </x:c>
      <x:c r="G2536" t="str">
        <x:v>Tecnologia</x:v>
      </x:c>
      <x:c r="H2536" t="str">
        <x:v>Headset Office</x:v>
      </x:c>
      <x:c r="I2536" t="str">
        <x:v>Ana</x:v>
      </x:c>
      <x:c r="J2536" s="53" t="n">
        <x:v>1</x:v>
      </x:c>
      <x:c r="K2536" s="54" t="n">
        <x:v>387.56</x:v>
      </x:c>
      <x:c r="L2536" s="54" t="n">
        <x:v>215.91</x:v>
      </x:c>
      <x:c r="M2536" s="55" t="n">
        <x:v>0.1212</x:v>
      </x:c>
      <x:c r="N2536" s="54" t="n">
        <x:f>ROUND(J2536*K2536,2)</x:f>
        <x:v>387.56</x:v>
      </x:c>
      <x:c r="O2536" s="54" t="n">
        <x:f>ROUND(N2536*(1-M2536),2)</x:f>
        <x:v>340.59</x:v>
      </x:c>
      <x:c r="P2536" s="54" t="n">
        <x:f>ROUND(J2536*L2536,2)</x:f>
        <x:v>215.91</x:v>
      </x:c>
      <x:c r="Q2536" s="54" t="n">
        <x:f>ROUND(O2536-P2536,2)</x:f>
        <x:v>124.68</x:v>
      </x:c>
      <x:c r="R2536" s="55" t="n">
        <x:f>IF(O2536=0,0,ROUND(Q2536/O2536,4))</x:f>
        <x:v>0.3661</x:v>
      </x:c>
      <x:c r="S2536" s="53" t="n">
        <x:v>14</x:v>
      </x:c>
      <x:c r="T2536" t="str">
        <x:v>Entregue com atraso</x:v>
      </x:c>
      <x:c r="U2536" t="n">
        <x:v>3</x:v>
      </x:c>
      <x:c r="V2536" t="str"/>
    </x:row>
    <x:row r="2537">
      <x:c r="A2537" s="52" t="n">
        <x:v>46203</x:v>
      </x:c>
      <x:c r="B2537" t="str">
        <x:v>PED-102536</x:v>
      </x:c>
      <x:c r="C2537" t="str">
        <x:v>Cliente 026</x:v>
      </x:c>
      <x:c r="D2537" t="str">
        <x:v>ES</x:v>
      </x:c>
      <x:c r="E2537" t="str">
        <x:v>Sudeste</x:v>
      </x:c>
      <x:c r="F2537" t="str">
        <x:v>E-commerce</x:v>
      </x:c>
      <x:c r="G2537" t="str">
        <x:v>Casa</x:v>
      </x:c>
      <x:c r="H2537" t="str">
        <x:v>Cafeteira Smart</x:v>
      </x:c>
      <x:c r="I2537" t="str">
        <x:v>Felipe</x:v>
      </x:c>
      <x:c r="J2537" s="53" t="n">
        <x:v>6</x:v>
      </x:c>
      <x:c r="K2537" s="54" t="n">
        <x:v>748.45</x:v>
      </x:c>
      <x:c r="L2537" s="54" t="n">
        <x:v>458.58</x:v>
      </x:c>
      <x:c r="M2537" s="55" t="n">
        <x:v>0.0635</x:v>
      </x:c>
      <x:c r="N2537" s="54" t="n">
        <x:f>ROUND(J2537*K2537,2)</x:f>
        <x:v>4490.7</x:v>
      </x:c>
      <x:c r="O2537" s="54" t="n">
        <x:f>ROUND(N2537*(1-M2537),2)</x:f>
        <x:v>4205.54</x:v>
      </x:c>
      <x:c r="P2537" s="54" t="n">
        <x:f>ROUND(J2537*L2537,2)</x:f>
        <x:v>2751.48</x:v>
      </x:c>
      <x:c r="Q2537" s="54" t="n">
        <x:f>ROUND(O2537-P2537,2)</x:f>
        <x:v>1454.06</x:v>
      </x:c>
      <x:c r="R2537" s="55" t="n">
        <x:f>IF(O2537=0,0,ROUND(Q2537/O2537,4))</x:f>
        <x:v>0.3457</x:v>
      </x:c>
      <x:c r="S2537" s="53" t="n">
        <x:v>5</x:v>
      </x:c>
      <x:c r="T2537" t="str">
        <x:v>Entregue</x:v>
      </x:c>
      <x:c r="U2537" t="n">
        <x:v>3</x:v>
      </x:c>
      <x:c r="V2537" t="str"/>
    </x:row>
    <x:row r="2538">
      <x:c r="A2538" s="52" t="n">
        <x:v>46174</x:v>
      </x:c>
      <x:c r="B2538" t="str">
        <x:v>PED-102537</x:v>
      </x:c>
      <x:c r="C2538" t="str">
        <x:v>Cliente 001</x:v>
      </x:c>
      <x:c r="D2538" t="str">
        <x:v>PR</x:v>
      </x:c>
      <x:c r="E2538" t="str">
        <x:v>Sul</x:v>
      </x:c>
      <x:c r="F2538" t="str">
        <x:v>Televendas</x:v>
      </x:c>
      <x:c r="G2538" t="str">
        <x:v>Escritório</x:v>
      </x:c>
      <x:c r="H2538" t="str">
        <x:v>Luminária LED</x:v>
      </x:c>
      <x:c r="I2538" t="str">
        <x:v>Carla</x:v>
      </x:c>
      <x:c r="J2538" s="53" t="n">
        <x:v>7</x:v>
      </x:c>
      <x:c r="K2538" s="54" t="n">
        <x:v>272.93</x:v>
      </x:c>
      <x:c r="L2538" s="54" t="n">
        <x:v>116.54</x:v>
      </x:c>
      <x:c r="M2538" s="55" t="n">
        <x:v>0.0415</x:v>
      </x:c>
      <x:c r="N2538" s="54" t="n">
        <x:f>ROUND(J2538*K2538,2)</x:f>
        <x:v>1910.51</x:v>
      </x:c>
      <x:c r="O2538" s="54" t="n">
        <x:f>ROUND(N2538*(1-M2538),2)</x:f>
        <x:v>1831.22</x:v>
      </x:c>
      <x:c r="P2538" s="54" t="n">
        <x:f>ROUND(J2538*L2538,2)</x:f>
        <x:v>815.78</x:v>
      </x:c>
      <x:c r="Q2538" s="54" t="n">
        <x:f>ROUND(O2538-P2538,2)</x:f>
        <x:v>1015.44</x:v>
      </x:c>
      <x:c r="R2538" s="55" t="n">
        <x:f>IF(O2538=0,0,ROUND(Q2538/O2538,4))</x:f>
        <x:v>0.5545</x:v>
      </x:c>
      <x:c r="S2538" s="53" t="n">
        <x:v>12</x:v>
      </x:c>
      <x:c r="T2538" t="str">
        <x:v>Entregue com atraso</x:v>
      </x:c>
      <x:c r="U2538" t="n">
        <x:v>5</x:v>
      </x:c>
      <x:c r="V2538" t="str"/>
    </x:row>
    <x:row r="2539">
      <x:c r="A2539" s="52" t="n">
        <x:v>46159</x:v>
      </x:c>
      <x:c r="B2539" t="str">
        <x:v>PED-102538</x:v>
      </x:c>
      <x:c r="C2539" t="str">
        <x:v>Cliente 001</x:v>
      </x:c>
      <x:c r="D2539" t="str">
        <x:v>BA</x:v>
      </x:c>
      <x:c r="E2539" t="str">
        <x:v>Nordeste</x:v>
      </x:c>
      <x:c r="F2539" t="str">
        <x:v>E-commerce</x:v>
      </x:c>
      <x:c r="G2539" t="str">
        <x:v>Escritório</x:v>
      </x:c>
      <x:c r="H2539" t="str">
        <x:v>Cadeira Ergonômica</x:v>
      </x:c>
      <x:c r="I2539" t="str">
        <x:v>Ana</x:v>
      </x:c>
      <x:c r="J2539" s="53" t="n">
        <x:v>2</x:v>
      </x:c>
      <x:c r="K2539" s="54" t="n">
        <x:v>2140.34</x:v>
      </x:c>
      <x:c r="L2539" s="54" t="n">
        <x:v>1498.67</x:v>
      </x:c>
      <x:c r="M2539" s="55" t="n">
        <x:v>0</x:v>
      </x:c>
      <x:c r="N2539" s="54" t="n">
        <x:f>ROUND(J2539*K2539,2)</x:f>
        <x:v>4280.68</x:v>
      </x:c>
      <x:c r="O2539" s="54" t="n">
        <x:f>ROUND(N2539*(1-M2539),2)</x:f>
        <x:v>4280.68</x:v>
      </x:c>
      <x:c r="P2539" s="54" t="n">
        <x:f>ROUND(J2539*L2539,2)</x:f>
        <x:v>2997.34</x:v>
      </x:c>
      <x:c r="Q2539" s="54" t="n">
        <x:f>ROUND(O2539-P2539,2)</x:f>
        <x:v>1283.34</x:v>
      </x:c>
      <x:c r="R2539" s="55" t="n">
        <x:f>IF(O2539=0,0,ROUND(Q2539/O2539,4))</x:f>
        <x:v>0.2998</x:v>
      </x:c>
      <x:c r="S2539" s="53" t="n">
        <x:v>12</x:v>
      </x:c>
      <x:c r="T2539" t="str">
        <x:v>Entregue com atraso</x:v>
      </x:c>
      <x:c r="U2539" t="n">
        <x:v>4</x:v>
      </x:c>
      <x:c r="V2539" t="str"/>
    </x:row>
    <x:row r="2540">
      <x:c r="A2540" s="52" t="n">
        <x:v>46032</x:v>
      </x:c>
      <x:c r="B2540" t="str">
        <x:v>PED-102539</x:v>
      </x:c>
      <x:c r="C2540" t="str">
        <x:v>Cliente 041</x:v>
      </x:c>
      <x:c r="D2540" t="str">
        <x:v>RJ</x:v>
      </x:c>
      <x:c r="E2540" t="str">
        <x:v>Sudeste</x:v>
      </x:c>
      <x:c r="F2540" t="str">
        <x:v>Televendas</x:v>
      </x:c>
      <x:c r="G2540" t="str">
        <x:v>Tecnologia</x:v>
      </x:c>
      <x:c r="H2540" t="str">
        <x:v>Notebook Pro</x:v>
      </x:c>
      <x:c r="I2540" t="str">
        <x:v>Carla</x:v>
      </x:c>
      <x:c r="J2540" s="53" t="n">
        <x:v>2</x:v>
      </x:c>
      <x:c r="K2540" s="54" t="n">
        <x:v>5658.29</x:v>
      </x:c>
      <x:c r="L2540" s="54" t="n">
        <x:v>4242.08</x:v>
      </x:c>
      <x:c r="M2540" s="55" t="n">
        <x:v>0.1203</x:v>
      </x:c>
      <x:c r="N2540" s="54" t="n">
        <x:f>ROUND(J2540*K2540,2)</x:f>
        <x:v>11316.58</x:v>
      </x:c>
      <x:c r="O2540" s="54" t="n">
        <x:f>ROUND(N2540*(1-M2540),2)</x:f>
        <x:v>9955.2</x:v>
      </x:c>
      <x:c r="P2540" s="54" t="n">
        <x:f>ROUND(J2540*L2540,2)</x:f>
        <x:v>8484.16</x:v>
      </x:c>
      <x:c r="Q2540" s="54" t="n">
        <x:f>ROUND(O2540-P2540,2)</x:f>
        <x:v>1471.04</x:v>
      </x:c>
      <x:c r="R2540" s="55" t="n">
        <x:f>IF(O2540=0,0,ROUND(Q2540/O2540,4))</x:f>
        <x:v>0.1478</x:v>
      </x:c>
      <x:c r="S2540" s="53" t="n">
        <x:v>13</x:v>
      </x:c>
      <x:c r="T2540" t="str">
        <x:v>Entregue com atraso</x:v>
      </x:c>
      <x:c r="U2540" t="n">
        <x:v>4</x:v>
      </x:c>
      <x:c r="V2540" t="str"/>
    </x:row>
    <x:row r="2541">
      <x:c r="A2541" s="52" t="n">
        <x:v>46178</x:v>
      </x:c>
      <x:c r="B2541" t="str">
        <x:v>PED-102540</x:v>
      </x:c>
      <x:c r="C2541" t="str">
        <x:v>Cliente 029</x:v>
      </x:c>
      <x:c r="D2541" t="str">
        <x:v>SP</x:v>
      </x:c>
      <x:c r="E2541" t="str">
        <x:v>Sudeste</x:v>
      </x:c>
      <x:c r="F2541" t="str">
        <x:v>Televendas</x:v>
      </x:c>
      <x:c r="G2541" t="str">
        <x:v>Acessórios</x:v>
      </x:c>
      <x:c r="H2541" t="str">
        <x:v>Mochila Executiva</x:v>
      </x:c>
      <x:c r="I2541" t="str">
        <x:v>Carla</x:v>
      </x:c>
      <x:c r="J2541" s="53" t="n">
        <x:v>7</x:v>
      </x:c>
      <x:c r="K2541" s="54" t="n">
        <x:v>425.78</x:v>
      </x:c>
      <x:c r="L2541" s="54" t="n">
        <x:v>185.88</x:v>
      </x:c>
      <x:c r="M2541" s="55" t="n">
        <x:v>0</x:v>
      </x:c>
      <x:c r="N2541" s="54" t="n">
        <x:f>ROUND(J2541*K2541,2)</x:f>
        <x:v>2980.46</x:v>
      </x:c>
      <x:c r="O2541" s="54" t="n">
        <x:f>ROUND(N2541*(1-M2541),2)</x:f>
        <x:v>2980.46</x:v>
      </x:c>
      <x:c r="P2541" s="54" t="n">
        <x:f>ROUND(J2541*L2541,2)</x:f>
        <x:v>1301.16</x:v>
      </x:c>
      <x:c r="Q2541" s="54" t="n">
        <x:f>ROUND(O2541-P2541,2)</x:f>
        <x:v>1679.3</x:v>
      </x:c>
      <x:c r="R2541" s="55" t="n">
        <x:f>IF(O2541=0,0,ROUND(Q2541/O2541,4))</x:f>
        <x:v>0.5634</x:v>
      </x:c>
      <x:c r="S2541" s="53" t="n">
        <x:v>9</x:v>
      </x:c>
      <x:c r="T2541" t="str">
        <x:v>Entregue</x:v>
      </x:c>
      <x:c r="U2541" t="n">
        <x:v>2</x:v>
      </x:c>
      <x:c r="V2541" t="str"/>
    </x:row>
    <x:row r="2542">
      <x:c r="A2542" s="52" t="n">
        <x:v>46223</x:v>
      </x:c>
      <x:c r="B2542" t="str">
        <x:v>PED-102541</x:v>
      </x:c>
      <x:c r="C2542" t="str">
        <x:v>Cliente 117</x:v>
      </x:c>
      <x:c r="D2542" t="str">
        <x:v>MA</x:v>
      </x:c>
      <x:c r="E2542" t="str">
        <x:v>Nordeste</x:v>
      </x:c>
      <x:c r="F2542" t="str">
        <x:v>Televendas</x:v>
      </x:c>
      <x:c r="G2542" t="str">
        <x:v>Escritório</x:v>
      </x:c>
      <x:c r="H2542" t="str">
        <x:v>Cadeira Ergonômica</x:v>
      </x:c>
      <x:c r="I2542" t="str">
        <x:v>João</x:v>
      </x:c>
      <x:c r="J2542" s="53" t="n">
        <x:v>1</x:v>
      </x:c>
      <x:c r="K2542" s="54" t="n">
        <x:v>2306.8</x:v>
      </x:c>
      <x:c r="L2542" s="54" t="n">
        <x:v>1403.21</x:v>
      </x:c>
      <x:c r="M2542" s="55" t="n">
        <x:v>0</x:v>
      </x:c>
      <x:c r="N2542" s="54" t="n">
        <x:f>ROUND(J2542*K2542,2)</x:f>
        <x:v>2306.8</x:v>
      </x:c>
      <x:c r="O2542" s="54" t="n">
        <x:f>ROUND(N2542*(1-M2542),2)</x:f>
        <x:v>2306.8</x:v>
      </x:c>
      <x:c r="P2542" s="54" t="n">
        <x:f>ROUND(J2542*L2542,2)</x:f>
        <x:v>1403.21</x:v>
      </x:c>
      <x:c r="Q2542" s="54" t="n">
        <x:f>ROUND(O2542-P2542,2)</x:f>
        <x:v>903.59</x:v>
      </x:c>
      <x:c r="R2542" s="55" t="n">
        <x:f>IF(O2542=0,0,ROUND(Q2542/O2542,4))</x:f>
        <x:v>0.3917</x:v>
      </x:c>
      <x:c r="S2542" s="53" t="n">
        <x:v>13</x:v>
      </x:c>
      <x:c r="T2542" t="str">
        <x:v>Entregue com atraso</x:v>
      </x:c>
      <x:c r="U2542" t="n">
        <x:v>2</x:v>
      </x:c>
      <x:c r="V2542" t="str"/>
    </x:row>
    <x:row r="2543">
      <x:c r="A2543" s="52" t="n">
        <x:v>46219</x:v>
      </x:c>
      <x:c r="B2543" t="str">
        <x:v>PED-102542</x:v>
      </x:c>
      <x:c r="C2543" t="str">
        <x:v>Cliente 058</x:v>
      </x:c>
      <x:c r="D2543" t="str">
        <x:v>MG</x:v>
      </x:c>
      <x:c r="E2543" t="str">
        <x:v>Sudeste</x:v>
      </x:c>
      <x:c r="F2543" t="str">
        <x:v>Televendas</x:v>
      </x:c>
      <x:c r="G2543" t="str">
        <x:v>Tecnologia</x:v>
      </x:c>
      <x:c r="H2543" t="str">
        <x:v>Monitor 27</x:v>
      </x:c>
      <x:c r="I2543" t="str">
        <x:v>Isabela</x:v>
      </x:c>
      <x:c r="J2543" s="53" t="n">
        <x:v>4</x:v>
      </x:c>
      <x:c r="K2543" s="54" t="n">
        <x:v>1629.1</x:v>
      </x:c>
      <x:c r="L2543" s="54" t="n">
        <x:v>1124.73</x:v>
      </x:c>
      <x:c r="M2543" s="55" t="n">
        <x:v>0.0814</x:v>
      </x:c>
      <x:c r="N2543" s="54" t="n">
        <x:f>ROUND(J2543*K2543,2)</x:f>
        <x:v>6516.4</x:v>
      </x:c>
      <x:c r="O2543" s="54" t="n">
        <x:f>ROUND(N2543*(1-M2543),2)</x:f>
        <x:v>5985.97</x:v>
      </x:c>
      <x:c r="P2543" s="54" t="n">
        <x:f>ROUND(J2543*L2543,2)</x:f>
        <x:v>4498.92</x:v>
      </x:c>
      <x:c r="Q2543" s="54" t="n">
        <x:f>ROUND(O2543-P2543,2)</x:f>
        <x:v>1487.05</x:v>
      </x:c>
      <x:c r="R2543" s="55" t="n">
        <x:f>IF(O2543=0,0,ROUND(Q2543/O2543,4))</x:f>
        <x:v>0.2484</x:v>
      </x:c>
      <x:c r="S2543" s="53" t="n">
        <x:v>14</x:v>
      </x:c>
      <x:c r="T2543" t="str">
        <x:v>Entregue com atraso</x:v>
      </x:c>
      <x:c r="U2543" t="n">
        <x:v>3</x:v>
      </x:c>
      <x:c r="V2543" t="str"/>
    </x:row>
    <x:row r="2544">
      <x:c r="A2544" s="52" t="n">
        <x:v>46212</x:v>
      </x:c>
      <x:c r="B2544" t="str">
        <x:v>PED-102543</x:v>
      </x:c>
      <x:c r="C2544" t="str">
        <x:v>Cliente 023</x:v>
      </x:c>
      <x:c r="D2544" t="str">
        <x:v>SC</x:v>
      </x:c>
      <x:c r="E2544" t="str">
        <x:v>Sul</x:v>
      </x:c>
      <x:c r="F2544" t="str">
        <x:v>Loja</x:v>
      </x:c>
      <x:c r="G2544" t="str">
        <x:v>Escritório</x:v>
      </x:c>
      <x:c r="H2544" t="str">
        <x:v>Mesa Ajustável</x:v>
      </x:c>
      <x:c r="I2544" t="str">
        <x:v>Felipe</x:v>
      </x:c>
      <x:c r="J2544" s="53" t="n">
        <x:v>4</x:v>
      </x:c>
      <x:c r="K2544" s="54" t="n">
        <x:v>2794.49</x:v>
      </x:c>
      <x:c r="L2544" s="54" t="n">
        <x:v>1820.59</x:v>
      </x:c>
      <x:c r="M2544" s="55" t="n">
        <x:v>0</x:v>
      </x:c>
      <x:c r="N2544" s="54" t="n">
        <x:f>ROUND(J2544*K2544,2)</x:f>
        <x:v>11177.96</x:v>
      </x:c>
      <x:c r="O2544" s="54" t="n">
        <x:f>ROUND(N2544*(1-M2544),2)</x:f>
        <x:v>11177.96</x:v>
      </x:c>
      <x:c r="P2544" s="54" t="n">
        <x:f>ROUND(J2544*L2544,2)</x:f>
        <x:v>7282.36</x:v>
      </x:c>
      <x:c r="Q2544" s="54" t="n">
        <x:f>ROUND(O2544-P2544,2)</x:f>
        <x:v>3895.6</x:v>
      </x:c>
      <x:c r="R2544" s="55" t="n">
        <x:f>IF(O2544=0,0,ROUND(Q2544/O2544,4))</x:f>
        <x:v>0.3485</x:v>
      </x:c>
      <x:c r="S2544" s="53" t="n">
        <x:v>14</x:v>
      </x:c>
      <x:c r="T2544" t="str">
        <x:v>Entregue com atraso</x:v>
      </x:c>
      <x:c r="U2544" t="n">
        <x:v>2</x:v>
      </x:c>
      <x:c r="V2544" t="str"/>
    </x:row>
    <x:row r="2545">
      <x:c r="A2545" s="52" t="n">
        <x:v>46078</x:v>
      </x:c>
      <x:c r="B2545" t="str">
        <x:v>PED-102544</x:v>
      </x:c>
      <x:c r="C2545" t="str">
        <x:v>Cliente 044</x:v>
      </x:c>
      <x:c r="D2545" t="str">
        <x:v>AM</x:v>
      </x:c>
      <x:c r="E2545" t="str">
        <x:v>Norte</x:v>
      </x:c>
      <x:c r="F2545" t="str">
        <x:v>E-commerce</x:v>
      </x:c>
      <x:c r="G2545" t="str">
        <x:v>Acessórios</x:v>
      </x:c>
      <x:c r="H2545" t="str">
        <x:v>Hub USB-C</x:v>
      </x:c>
      <x:c r="I2545" t="str">
        <x:v>Ana</x:v>
      </x:c>
      <x:c r="J2545" s="53" t="n">
        <x:v>1</x:v>
      </x:c>
      <x:c r="K2545" s="54" t="n">
        <x:v>338.33</x:v>
      </x:c>
      <x:c r="L2545" s="54" t="n">
        <x:v>136.62</x:v>
      </x:c>
      <x:c r="M2545" s="55" t="n">
        <x:v>0.0469</x:v>
      </x:c>
      <x:c r="N2545" s="54" t="n">
        <x:f>ROUND(J2545*K2545,2)</x:f>
        <x:v>338.33</x:v>
      </x:c>
      <x:c r="O2545" s="54" t="n">
        <x:f>ROUND(N2545*(1-M2545),2)</x:f>
        <x:v>322.46</x:v>
      </x:c>
      <x:c r="P2545" s="54" t="n">
        <x:f>ROUND(J2545*L2545,2)</x:f>
        <x:v>136.62</x:v>
      </x:c>
      <x:c r="Q2545" s="54" t="n">
        <x:f>ROUND(O2545-P2545,2)</x:f>
        <x:v>185.84</x:v>
      </x:c>
      <x:c r="R2545" s="55" t="n">
        <x:f>IF(O2545=0,0,ROUND(Q2545/O2545,4))</x:f>
        <x:v>0.5763</x:v>
      </x:c>
      <x:c r="S2545" s="53" t="n">
        <x:v>9</x:v>
      </x:c>
      <x:c r="T2545" t="str">
        <x:v>Entregue</x:v>
      </x:c>
      <x:c r="U2545" t="n">
        <x:v>4</x:v>
      </x:c>
      <x:c r="V2545" t="str"/>
    </x:row>
    <x:row r="2546">
      <x:c r="A2546" s="52" t="n">
        <x:v>46023</x:v>
      </x:c>
      <x:c r="B2546" t="str">
        <x:v>PED-102545</x:v>
      </x:c>
      <x:c r="C2546" t="str">
        <x:v>Cliente 072</x:v>
      </x:c>
      <x:c r="D2546" t="str">
        <x:v>PA</x:v>
      </x:c>
      <x:c r="E2546" t="str">
        <x:v>Norte</x:v>
      </x:c>
      <x:c r="F2546" t="str">
        <x:v>E-commerce</x:v>
      </x:c>
      <x:c r="G2546" t="str">
        <x:v>Tecnologia</x:v>
      </x:c>
      <x:c r="H2546" t="str">
        <x:v>Notebook Pro</x:v>
      </x:c>
      <x:c r="I2546" t="str">
        <x:v>Elaine</x:v>
      </x:c>
      <x:c r="J2546" s="53" t="n">
        <x:v>3</x:v>
      </x:c>
      <x:c r="K2546" s="54" t="n">
        <x:v>6088.72</x:v>
      </x:c>
      <x:c r="L2546" s="54" t="n">
        <x:v>4345.74</x:v>
      </x:c>
      <x:c r="M2546" s="55" t="n">
        <x:v>0</x:v>
      </x:c>
      <x:c r="N2546" s="54" t="n">
        <x:f>ROUND(J2546*K2546,2)</x:f>
        <x:v>18266.16</x:v>
      </x:c>
      <x:c r="O2546" s="54" t="n">
        <x:f>ROUND(N2546*(1-M2546),2)</x:f>
        <x:v>18266.16</x:v>
      </x:c>
      <x:c r="P2546" s="54" t="n">
        <x:f>ROUND(J2546*L2546,2)</x:f>
        <x:v>13037.22</x:v>
      </x:c>
      <x:c r="Q2546" s="54" t="n">
        <x:f>ROUND(O2546-P2546,2)</x:f>
        <x:v>5228.94</x:v>
      </x:c>
      <x:c r="R2546" s="55" t="n">
        <x:f>IF(O2546=0,0,ROUND(Q2546/O2546,4))</x:f>
        <x:v>0.2863</x:v>
      </x:c>
      <x:c r="S2546" s="53" t="n">
        <x:v>12</x:v>
      </x:c>
      <x:c r="T2546" t="str">
        <x:v>Entregue com atraso</x:v>
      </x:c>
      <x:c r="U2546" t="n">
        <x:v>3</x:v>
      </x:c>
      <x:c r="V2546" t="str"/>
    </x:row>
    <x:row r="2547">
      <x:c r="A2547" s="52" t="n">
        <x:v>46127</x:v>
      </x:c>
      <x:c r="B2547" t="str">
        <x:v>PED-102546</x:v>
      </x:c>
      <x:c r="C2547" t="str">
        <x:v>Cliente 051</x:v>
      </x:c>
      <x:c r="D2547" t="str">
        <x:v>SP</x:v>
      </x:c>
      <x:c r="E2547" t="str">
        <x:v>Sudeste</x:v>
      </x:c>
      <x:c r="F2547" t="str">
        <x:v>Loja</x:v>
      </x:c>
      <x:c r="G2547" t="str">
        <x:v>Acessórios</x:v>
      </x:c>
      <x:c r="H2547" t="str">
        <x:v>Webcam HD</x:v>
      </x:c>
      <x:c r="I2547" t="str">
        <x:v>Felipe</x:v>
      </x:c>
      <x:c r="J2547" s="53" t="n">
        <x:v>6</x:v>
      </x:c>
      <x:c r="K2547" s="54" t="n">
        <x:v>487.42</x:v>
      </x:c>
      <x:c r="L2547" s="54" t="n">
        <x:v>233.09</x:v>
      </x:c>
      <x:c r="M2547" s="55" t="n">
        <x:v>0.0441</x:v>
      </x:c>
      <x:c r="N2547" s="54" t="n">
        <x:f>ROUND(J2547*K2547,2)</x:f>
        <x:v>2924.52</x:v>
      </x:c>
      <x:c r="O2547" s="54" t="n">
        <x:f>ROUND(N2547*(1-M2547),2)</x:f>
        <x:v>2795.55</x:v>
      </x:c>
      <x:c r="P2547" s="54" t="n">
        <x:f>ROUND(J2547*L2547,2)</x:f>
        <x:v>1398.54</x:v>
      </x:c>
      <x:c r="Q2547" s="54" t="n">
        <x:f>ROUND(O2547-P2547,2)</x:f>
        <x:v>1397.01</x:v>
      </x:c>
      <x:c r="R2547" s="55" t="n">
        <x:f>IF(O2547=0,0,ROUND(Q2547/O2547,4))</x:f>
        <x:v>0.4997</x:v>
      </x:c>
      <x:c r="S2547" s="53" t="n">
        <x:v>3</x:v>
      </x:c>
      <x:c r="T2547" t="str">
        <x:v>Entregue</x:v>
      </x:c>
      <x:c r="U2547" t="n">
        <x:v>2</x:v>
      </x:c>
      <x:c r="V2547" t="str"/>
    </x:row>
    <x:row r="2548">
      <x:c r="A2548" s="52" t="n">
        <x:v>46067</x:v>
      </x:c>
      <x:c r="B2548" t="str">
        <x:v>PED-102547</x:v>
      </x:c>
      <x:c r="C2548" t="str">
        <x:v>Cliente 100</x:v>
      </x:c>
      <x:c r="D2548" t="str">
        <x:v>DF</x:v>
      </x:c>
      <x:c r="E2548" t="str">
        <x:v>Centro-Oeste</x:v>
      </x:c>
      <x:c r="F2548" t="str">
        <x:v>Marketplace</x:v>
      </x:c>
      <x:c r="G2548" t="str">
        <x:v>Tecnologia</x:v>
      </x:c>
      <x:c r="H2548" t="str">
        <x:v>Monitor 27</x:v>
      </x:c>
      <x:c r="I2548" t="str">
        <x:v>Isabela</x:v>
      </x:c>
      <x:c r="J2548" s="53" t="n">
        <x:v>5</x:v>
      </x:c>
      <x:c r="K2548" s="54" t="n">
        <x:v>1636.68</x:v>
      </x:c>
      <x:c r="L2548" s="54" t="n">
        <x:v>1081.16</x:v>
      </x:c>
      <x:c r="M2548" s="55" t="n">
        <x:v>0.035</x:v>
      </x:c>
      <x:c r="N2548" s="54" t="n">
        <x:f>ROUND(J2548*K2548,2)</x:f>
        <x:v>8183.4</x:v>
      </x:c>
      <x:c r="O2548" s="54" t="n">
        <x:f>ROUND(N2548*(1-M2548),2)</x:f>
        <x:v>7896.98</x:v>
      </x:c>
      <x:c r="P2548" s="54" t="n">
        <x:f>ROUND(J2548*L2548,2)</x:f>
        <x:v>5405.8</x:v>
      </x:c>
      <x:c r="Q2548" s="54" t="n">
        <x:f>ROUND(O2548-P2548,2)</x:f>
        <x:v>2491.18</x:v>
      </x:c>
      <x:c r="R2548" s="55" t="n">
        <x:f>IF(O2548=0,0,ROUND(Q2548/O2548,4))</x:f>
        <x:v>0.3155</x:v>
      </x:c>
      <x:c r="S2548" s="53" t="n">
        <x:v>8</x:v>
      </x:c>
      <x:c r="T2548" t="str">
        <x:v>Entregue</x:v>
      </x:c>
      <x:c r="U2548" t="n">
        <x:v>3</x:v>
      </x:c>
      <x:c r="V2548" t="str"/>
    </x:row>
    <x:row r="2549">
      <x:c r="A2549" s="52" t="n">
        <x:v>46182</x:v>
      </x:c>
      <x:c r="B2549" t="str">
        <x:v>PED-102548</x:v>
      </x:c>
      <x:c r="C2549" t="str">
        <x:v>Cliente 025</x:v>
      </x:c>
      <x:c r="D2549" t="str">
        <x:v>RJ</x:v>
      </x:c>
      <x:c r="E2549" t="str">
        <x:v>Sudeste</x:v>
      </x:c>
      <x:c r="F2549" t="str">
        <x:v>Televendas</x:v>
      </x:c>
      <x:c r="G2549" t="str">
        <x:v>Acessórios</x:v>
      </x:c>
      <x:c r="H2549" t="str">
        <x:v>Hub USB-C</x:v>
      </x:c>
      <x:c r="I2549" t="str">
        <x:v>Felipe</x:v>
      </x:c>
      <x:c r="J2549" s="53" t="n">
        <x:v>7</x:v>
      </x:c>
      <x:c r="K2549" s="54" t="n">
        <x:v>310.89</x:v>
      </x:c>
      <x:c r="L2549" s="54" t="n">
        <x:v>137.62</x:v>
      </x:c>
      <x:c r="M2549" s="55" t="n">
        <x:v>0</x:v>
      </x:c>
      <x:c r="N2549" s="54" t="n">
        <x:f>ROUND(J2549*K2549,2)</x:f>
        <x:v>2176.23</x:v>
      </x:c>
      <x:c r="O2549" s="54" t="n">
        <x:f>ROUND(N2549*(1-M2549),2)</x:f>
        <x:v>2176.23</x:v>
      </x:c>
      <x:c r="P2549" s="54" t="n">
        <x:f>ROUND(J2549*L2549,2)</x:f>
        <x:v>963.34</x:v>
      </x:c>
      <x:c r="Q2549" s="54" t="n">
        <x:f>ROUND(O2549-P2549,2)</x:f>
        <x:v>1212.89</x:v>
      </x:c>
      <x:c r="R2549" s="55" t="n">
        <x:f>IF(O2549=0,0,ROUND(Q2549/O2549,4))</x:f>
        <x:v>0.5573</x:v>
      </x:c>
      <x:c r="S2549" s="53" t="n">
        <x:v>9</x:v>
      </x:c>
      <x:c r="T2549" t="str">
        <x:v>Entregue</x:v>
      </x:c>
      <x:c r="U2549" t="n">
        <x:v>4</x:v>
      </x:c>
      <x:c r="V2549" t="str"/>
    </x:row>
    <x:row r="2550">
      <x:c r="A2550" s="52" t="n">
        <x:v>46224</x:v>
      </x:c>
      <x:c r="B2550" t="str">
        <x:v>PED-102549</x:v>
      </x:c>
      <x:c r="C2550" t="str">
        <x:v>Cliente 009</x:v>
      </x:c>
      <x:c r="D2550" t="str">
        <x:v>RJ</x:v>
      </x:c>
      <x:c r="E2550" t="str">
        <x:v>Sudeste</x:v>
      </x:c>
      <x:c r="F2550" t="str">
        <x:v>Televendas</x:v>
      </x:c>
      <x:c r="G2550" t="str">
        <x:v>Acessórios</x:v>
      </x:c>
      <x:c r="H2550" t="str">
        <x:v>Hub USB-C</x:v>
      </x:c>
      <x:c r="I2550" t="str">
        <x:v>Felipe</x:v>
      </x:c>
      <x:c r="J2550" s="53" t="n">
        <x:v>7</x:v>
      </x:c>
      <x:c r="K2550" s="54" t="n">
        <x:v>324.7</x:v>
      </x:c>
      <x:c r="L2550" s="54" t="n">
        <x:v>136.17</x:v>
      </x:c>
      <x:c r="M2550" s="55" t="n">
        <x:v>0.1174</x:v>
      </x:c>
      <x:c r="N2550" s="54" t="n">
        <x:f>ROUND(J2550*K2550,2)</x:f>
        <x:v>2272.9</x:v>
      </x:c>
      <x:c r="O2550" s="54" t="n">
        <x:f>ROUND(N2550*(1-M2550),2)</x:f>
        <x:v>2006.06</x:v>
      </x:c>
      <x:c r="P2550" s="54" t="n">
        <x:f>ROUND(J2550*L2550,2)</x:f>
        <x:v>953.19</x:v>
      </x:c>
      <x:c r="Q2550" s="54" t="n">
        <x:f>ROUND(O2550-P2550,2)</x:f>
        <x:v>1052.87</x:v>
      </x:c>
      <x:c r="R2550" s="55" t="n">
        <x:f>IF(O2550=0,0,ROUND(Q2550/O2550,4))</x:f>
        <x:v>0.5248</x:v>
      </x:c>
      <x:c r="S2550" s="53" t="n">
        <x:v>2</x:v>
      </x:c>
      <x:c r="T2550" t="str">
        <x:v>Entregue</x:v>
      </x:c>
      <x:c r="U2550" t="n">
        <x:v>2</x:v>
      </x:c>
      <x:c r="V2550" t="str"/>
    </x:row>
    <x:row r="2551">
      <x:c r="A2551" s="52" t="n">
        <x:v>46138</x:v>
      </x:c>
      <x:c r="B2551" t="str">
        <x:v>PED-102550</x:v>
      </x:c>
      <x:c r="C2551" t="str">
        <x:v>Cliente 022</x:v>
      </x:c>
      <x:c r="D2551" t="str">
        <x:v>PA</x:v>
      </x:c>
      <x:c r="E2551" t="str">
        <x:v>Norte</x:v>
      </x:c>
      <x:c r="F2551" t="str">
        <x:v>Marketplace</x:v>
      </x:c>
      <x:c r="G2551" t="str">
        <x:v>Tecnologia</x:v>
      </x:c>
      <x:c r="H2551" t="str">
        <x:v>Notebook Pro</x:v>
      </x:c>
      <x:c r="I2551" t="str">
        <x:v>Isabela</x:v>
      </x:c>
      <x:c r="J2551" s="53" t="n">
        <x:v>4</x:v>
      </x:c>
      <x:c r="K2551" s="54" t="n">
        <x:v>5652.62</x:v>
      </x:c>
      <x:c r="L2551" s="54" t="n">
        <x:v>4485.24</x:v>
      </x:c>
      <x:c r="M2551" s="55" t="n">
        <x:v>0.1466</x:v>
      </x:c>
      <x:c r="N2551" s="54" t="n">
        <x:f>ROUND(J2551*K2551,2)</x:f>
        <x:v>22610.48</x:v>
      </x:c>
      <x:c r="O2551" s="54" t="n">
        <x:f>ROUND(N2551*(1-M2551),2)</x:f>
        <x:v>19295.78</x:v>
      </x:c>
      <x:c r="P2551" s="54" t="n">
        <x:f>ROUND(J2551*L2551,2)</x:f>
        <x:v>17940.96</x:v>
      </x:c>
      <x:c r="Q2551" s="54" t="n">
        <x:f>ROUND(O2551-P2551,2)</x:f>
        <x:v>1354.82</x:v>
      </x:c>
      <x:c r="R2551" s="55" t="n">
        <x:f>IF(O2551=0,0,ROUND(Q2551/O2551,4))</x:f>
        <x:v>0.0702</x:v>
      </x:c>
      <x:c r="S2551" s="53" t="n">
        <x:v>4</x:v>
      </x:c>
      <x:c r="T2551" t="str">
        <x:v>Entregue</x:v>
      </x:c>
      <x:c r="U2551" t="n">
        <x:v>5</x:v>
      </x:c>
      <x:c r="V2551" t="str"/>
    </x:row>
    <x:row r="2552">
      <x:c r="A2552" s="52" t="n">
        <x:v>46200</x:v>
      </x:c>
      <x:c r="B2552" t="str">
        <x:v>PED-102551</x:v>
      </x:c>
      <x:c r="C2552" t="str">
        <x:v>Cliente 061</x:v>
      </x:c>
      <x:c r="D2552" t="str">
        <x:v>SC</x:v>
      </x:c>
      <x:c r="E2552" t="str">
        <x:v>Sul</x:v>
      </x:c>
      <x:c r="F2552" t="str">
        <x:v>E-commerce</x:v>
      </x:c>
      <x:c r="G2552" t="str">
        <x:v>Escritório</x:v>
      </x:c>
      <x:c r="H2552" t="str">
        <x:v>Mesa Ajustável</x:v>
      </x:c>
      <x:c r="I2552" t="str">
        <x:v>Felipe</x:v>
      </x:c>
      <x:c r="J2552" s="53" t="n">
        <x:v>1</x:v>
      </x:c>
      <x:c r="K2552" s="54" t="n">
        <x:v>2769.52</x:v>
      </x:c>
      <x:c r="L2552" s="54" t="n">
        <x:v>1744.67</x:v>
      </x:c>
      <x:c r="M2552" s="55" t="n">
        <x:v>0.1291</x:v>
      </x:c>
      <x:c r="N2552" s="54" t="n">
        <x:f>ROUND(J2552*K2552,2)</x:f>
        <x:v>2769.52</x:v>
      </x:c>
      <x:c r="O2552" s="54" t="n">
        <x:f>ROUND(N2552*(1-M2552),2)</x:f>
        <x:v>2411.97</x:v>
      </x:c>
      <x:c r="P2552" s="54" t="n">
        <x:f>ROUND(J2552*L2552,2)</x:f>
        <x:v>1744.67</x:v>
      </x:c>
      <x:c r="Q2552" s="54" t="n">
        <x:f>ROUND(O2552-P2552,2)</x:f>
        <x:v>667.3</x:v>
      </x:c>
      <x:c r="R2552" s="55" t="n">
        <x:f>IF(O2552=0,0,ROUND(Q2552/O2552,4))</x:f>
        <x:v>0.2767</x:v>
      </x:c>
      <x:c r="S2552" s="53" t="n">
        <x:v>12</x:v>
      </x:c>
      <x:c r="T2552" t="str">
        <x:v>Entregue com atraso</x:v>
      </x:c>
      <x:c r="U2552" t="n">
        <x:v>5</x:v>
      </x:c>
      <x:c r="V2552" t="str"/>
    </x:row>
    <x:row r="2553">
      <x:c r="A2553" s="52" t="n">
        <x:v>46046</x:v>
      </x:c>
      <x:c r="B2553" t="str">
        <x:v>PED-102552</x:v>
      </x:c>
      <x:c r="C2553" t="str">
        <x:v>Cliente 026</x:v>
      </x:c>
      <x:c r="D2553" t="str">
        <x:v>PE</x:v>
      </x:c>
      <x:c r="E2553" t="str">
        <x:v>Nordeste</x:v>
      </x:c>
      <x:c r="F2553" t="str">
        <x:v>Loja</x:v>
      </x:c>
      <x:c r="G2553" t="str">
        <x:v>Tecnologia</x:v>
      </x:c>
      <x:c r="H2553" t="str">
        <x:v>Monitor 27</x:v>
      </x:c>
      <x:c r="I2553" t="str">
        <x:v>João</x:v>
      </x:c>
      <x:c r="J2553" s="53" t="n">
        <x:v>3</x:v>
      </x:c>
      <x:c r="K2553" s="54" t="n">
        <x:v>1646.77</x:v>
      </x:c>
      <x:c r="L2553" s="54" t="n">
        <x:v>1166.33</x:v>
      </x:c>
      <x:c r="M2553" s="55" t="n">
        <x:v>0.1162</x:v>
      </x:c>
      <x:c r="N2553" s="54" t="n">
        <x:f>ROUND(J2553*K2553,2)</x:f>
        <x:v>4940.31</x:v>
      </x:c>
      <x:c r="O2553" s="54" t="n">
        <x:f>ROUND(N2553*(1-M2553),2)</x:f>
        <x:v>4366.25</x:v>
      </x:c>
      <x:c r="P2553" s="54" t="n">
        <x:f>ROUND(J2553*L2553,2)</x:f>
        <x:v>3498.99</x:v>
      </x:c>
      <x:c r="Q2553" s="54" t="n">
        <x:f>ROUND(O2553-P2553,2)</x:f>
        <x:v>867.26</x:v>
      </x:c>
      <x:c r="R2553" s="55" t="n">
        <x:f>IF(O2553=0,0,ROUND(Q2553/O2553,4))</x:f>
        <x:v>0.1986</x:v>
      </x:c>
      <x:c r="S2553" s="53" t="n">
        <x:v>10</x:v>
      </x:c>
      <x:c r="T2553" t="str">
        <x:v>Entregue</x:v>
      </x:c>
      <x:c r="U2553" t="n">
        <x:v>4</x:v>
      </x:c>
      <x:c r="V2553" t="str"/>
    </x:row>
    <x:row r="2554">
      <x:c r="A2554" s="52" t="n">
        <x:v>46170</x:v>
      </x:c>
      <x:c r="B2554" t="str">
        <x:v>PED-102553</x:v>
      </x:c>
      <x:c r="C2554" t="str">
        <x:v>Cliente 063</x:v>
      </x:c>
      <x:c r="D2554" t="str">
        <x:v>MT</x:v>
      </x:c>
      <x:c r="E2554" t="str">
        <x:v>Centro-Oeste</x:v>
      </x:c>
      <x:c r="F2554" t="str">
        <x:v>E-commerce</x:v>
      </x:c>
      <x:c r="G2554" t="str">
        <x:v>Casa</x:v>
      </x:c>
      <x:c r="H2554" t="str">
        <x:v>Purificador</x:v>
      </x:c>
      <x:c r="I2554" t="str">
        <x:v>Henrique</x:v>
      </x:c>
      <x:c r="J2554" s="53" t="n">
        <x:v>2</x:v>
      </x:c>
      <x:c r="K2554" s="54" t="n">
        <x:v>1344.63</x:v>
      </x:c>
      <x:c r="L2554" s="54" t="n">
        <x:v>766.31</x:v>
      </x:c>
      <x:c r="M2554" s="55" t="n">
        <x:v>0</x:v>
      </x:c>
      <x:c r="N2554" s="54" t="n">
        <x:f>ROUND(J2554*K2554,2)</x:f>
        <x:v>2689.26</x:v>
      </x:c>
      <x:c r="O2554" s="54" t="n">
        <x:f>ROUND(N2554*(1-M2554),2)</x:f>
        <x:v>2689.26</x:v>
      </x:c>
      <x:c r="P2554" s="54" t="n">
        <x:f>ROUND(J2554*L2554,2)</x:f>
        <x:v>1532.62</x:v>
      </x:c>
      <x:c r="Q2554" s="54" t="n">
        <x:f>ROUND(O2554-P2554,2)</x:f>
        <x:v>1156.64</x:v>
      </x:c>
      <x:c r="R2554" s="55" t="n">
        <x:f>IF(O2554=0,0,ROUND(Q2554/O2554,4))</x:f>
        <x:v>0.4301</x:v>
      </x:c>
      <x:c r="S2554" s="53" t="n">
        <x:v>7</x:v>
      </x:c>
      <x:c r="T2554" t="str">
        <x:v>Entregue</x:v>
      </x:c>
      <x:c r="U2554" t="n">
        <x:v>2</x:v>
      </x:c>
      <x:c r="V2554" t="str"/>
    </x:row>
    <x:row r="2555">
      <x:c r="A2555" s="52" t="n">
        <x:v>46203</x:v>
      </x:c>
      <x:c r="B2555" t="str">
        <x:v>PED-102554</x:v>
      </x:c>
      <x:c r="C2555" t="str">
        <x:v>Cliente 008</x:v>
      </x:c>
      <x:c r="D2555" t="str">
        <x:v>MT</x:v>
      </x:c>
      <x:c r="E2555" t="str">
        <x:v>Centro-Oeste</x:v>
      </x:c>
      <x:c r="F2555" t="str">
        <x:v>Loja</x:v>
      </x:c>
      <x:c r="G2555" t="str">
        <x:v>Acessórios</x:v>
      </x:c>
      <x:c r="H2555" t="str">
        <x:v>Mochila Executiva</x:v>
      </x:c>
      <x:c r="I2555" t="str">
        <x:v>Elaine</x:v>
      </x:c>
      <x:c r="J2555" s="53" t="n">
        <x:v>1</x:v>
      </x:c>
      <x:c r="K2555" s="54" t="n">
        <x:v>427.69</x:v>
      </x:c>
      <x:c r="L2555" s="54" t="n">
        <x:v>184.25</x:v>
      </x:c>
      <x:c r="M2555" s="55" t="n">
        <x:v>0.0348</x:v>
      </x:c>
      <x:c r="N2555" s="54" t="n">
        <x:f>ROUND(J2555*K2555,2)</x:f>
        <x:v>427.69</x:v>
      </x:c>
      <x:c r="O2555" s="54" t="n">
        <x:f>ROUND(N2555*(1-M2555),2)</x:f>
        <x:v>412.81</x:v>
      </x:c>
      <x:c r="P2555" s="54" t="n">
        <x:f>ROUND(J2555*L2555,2)</x:f>
        <x:v>184.25</x:v>
      </x:c>
      <x:c r="Q2555" s="54" t="n">
        <x:f>ROUND(O2555-P2555,2)</x:f>
        <x:v>228.56</x:v>
      </x:c>
      <x:c r="R2555" s="55" t="n">
        <x:f>IF(O2555=0,0,ROUND(Q2555/O2555,4))</x:f>
        <x:v>0.5537</x:v>
      </x:c>
      <x:c r="S2555" s="53" t="n">
        <x:v>4</x:v>
      </x:c>
      <x:c r="T2555" t="str">
        <x:v>Entregue</x:v>
      </x:c>
      <x:c r="U2555" t="n">
        <x:v>4</x:v>
      </x:c>
      <x:c r="V2555" t="str"/>
    </x:row>
    <x:row r="2556">
      <x:c r="A2556" s="52" t="n">
        <x:v>46139</x:v>
      </x:c>
      <x:c r="B2556" t="str">
        <x:v>PED-102555</x:v>
      </x:c>
      <x:c r="C2556" t="str">
        <x:v>Cliente 002</x:v>
      </x:c>
      <x:c r="D2556" t="str">
        <x:v>DF</x:v>
      </x:c>
      <x:c r="E2556" t="str">
        <x:v>Centro-Oeste</x:v>
      </x:c>
      <x:c r="F2556" t="str">
        <x:v>E-commerce</x:v>
      </x:c>
      <x:c r="G2556" t="str">
        <x:v>Tecnologia</x:v>
      </x:c>
      <x:c r="H2556" t="str">
        <x:v>Notebook Pro</x:v>
      </x:c>
      <x:c r="I2556" t="str">
        <x:v>Diego</x:v>
      </x:c>
      <x:c r="J2556" s="53" t="n">
        <x:v>3</x:v>
      </x:c>
      <x:c r="K2556" s="54" t="n">
        <x:v>5763.44</x:v>
      </x:c>
      <x:c r="L2556" s="54" t="n">
        <x:v>4289.78</x:v>
      </x:c>
      <x:c r="M2556" s="55" t="n">
        <x:v>0</x:v>
      </x:c>
      <x:c r="N2556" s="54" t="n">
        <x:f>ROUND(J2556*K2556,2)</x:f>
        <x:v>17290.32</x:v>
      </x:c>
      <x:c r="O2556" s="54" t="n">
        <x:f>ROUND(N2556*(1-M2556),2)</x:f>
        <x:v>17290.32</x:v>
      </x:c>
      <x:c r="P2556" s="54" t="n">
        <x:f>ROUND(J2556*L2556,2)</x:f>
        <x:v>12869.34</x:v>
      </x:c>
      <x:c r="Q2556" s="54" t="n">
        <x:f>ROUND(O2556-P2556,2)</x:f>
        <x:v>4420.98</x:v>
      </x:c>
      <x:c r="R2556" s="55" t="n">
        <x:f>IF(O2556=0,0,ROUND(Q2556/O2556,4))</x:f>
        <x:v>0.2557</x:v>
      </x:c>
      <x:c r="S2556" s="53" t="n">
        <x:v>13</x:v>
      </x:c>
      <x:c r="T2556" t="str">
        <x:v>Entregue com atraso</x:v>
      </x:c>
      <x:c r="U2556" t="n">
        <x:v>3</x:v>
      </x:c>
      <x:c r="V2556" t="str"/>
    </x:row>
    <x:row r="2557">
      <x:c r="A2557" s="52" t="n">
        <x:v>46160</x:v>
      </x:c>
      <x:c r="B2557" t="str">
        <x:v>PED-102556</x:v>
      </x:c>
      <x:c r="C2557" t="str">
        <x:v>Cliente 075</x:v>
      </x:c>
      <x:c r="D2557" t="str">
        <x:v>RJ</x:v>
      </x:c>
      <x:c r="E2557" t="str">
        <x:v>Sudeste</x:v>
      </x:c>
      <x:c r="F2557" t="str">
        <x:v>Loja</x:v>
      </x:c>
      <x:c r="G2557" t="str">
        <x:v>Acessórios</x:v>
      </x:c>
      <x:c r="H2557" t="str">
        <x:v>Webcam HD</x:v>
      </x:c>
      <x:c r="I2557" t="str">
        <x:v>Diego</x:v>
      </x:c>
      <x:c r="J2557" s="53" t="n">
        <x:v>1</x:v>
      </x:c>
      <x:c r="K2557" s="54" t="n">
        <x:v>485.45</x:v>
      </x:c>
      <x:c r="L2557" s="54" t="n">
        <x:v>241.52</x:v>
      </x:c>
      <x:c r="M2557" s="55" t="n">
        <x:v>0.0249</x:v>
      </x:c>
      <x:c r="N2557" s="54" t="n">
        <x:f>ROUND(J2557*K2557,2)</x:f>
        <x:v>485.45</x:v>
      </x:c>
      <x:c r="O2557" s="54" t="n">
        <x:f>ROUND(N2557*(1-M2557),2)</x:f>
        <x:v>473.36</x:v>
      </x:c>
      <x:c r="P2557" s="54" t="n">
        <x:f>ROUND(J2557*L2557,2)</x:f>
        <x:v>241.52</x:v>
      </x:c>
      <x:c r="Q2557" s="54" t="n">
        <x:f>ROUND(O2557-P2557,2)</x:f>
        <x:v>231.84</x:v>
      </x:c>
      <x:c r="R2557" s="55" t="n">
        <x:f>IF(O2557=0,0,ROUND(Q2557/O2557,4))</x:f>
        <x:v>0.4898</x:v>
      </x:c>
      <x:c r="S2557" s="53" t="n">
        <x:v>18</x:v>
      </x:c>
      <x:c r="T2557" t="str">
        <x:v>Entregue com atraso</x:v>
      </x:c>
      <x:c r="U2557" t="n">
        <x:v>1</x:v>
      </x:c>
      <x:c r="V2557" t="str">
        <x:v>Ocorrência logística</x:v>
      </x:c>
    </x:row>
    <x:row r="2558">
      <x:c r="A2558" s="52" t="n">
        <x:v>46199</x:v>
      </x:c>
      <x:c r="B2558" t="str">
        <x:v>PED-102557</x:v>
      </x:c>
      <x:c r="C2558" t="str">
        <x:v>Cliente 065</x:v>
      </x:c>
      <x:c r="D2558" t="str">
        <x:v>MT</x:v>
      </x:c>
      <x:c r="E2558" t="str">
        <x:v>Centro-Oeste</x:v>
      </x:c>
      <x:c r="F2558" t="str">
        <x:v>Loja</x:v>
      </x:c>
      <x:c r="G2558" t="str">
        <x:v>Acessórios</x:v>
      </x:c>
      <x:c r="H2558" t="str">
        <x:v>Webcam HD</x:v>
      </x:c>
      <x:c r="I2558" t="str">
        <x:v>Ana</x:v>
      </x:c>
      <x:c r="J2558" s="53" t="n">
        <x:v>7</x:v>
      </x:c>
      <x:c r="K2558" s="54" t="n">
        <x:v>499.38</x:v>
      </x:c>
      <x:c r="L2558" s="54" t="n">
        <x:v>242.97</x:v>
      </x:c>
      <x:c r="M2558" s="55" t="n">
        <x:v>0</x:v>
      </x:c>
      <x:c r="N2558" s="54" t="n">
        <x:f>ROUND(J2558*K2558,2)</x:f>
        <x:v>3495.66</x:v>
      </x:c>
      <x:c r="O2558" s="54" t="n">
        <x:f>ROUND(N2558*(1-M2558),2)</x:f>
        <x:v>3495.66</x:v>
      </x:c>
      <x:c r="P2558" s="54" t="n">
        <x:f>ROUND(J2558*L2558,2)</x:f>
        <x:v>1700.79</x:v>
      </x:c>
      <x:c r="Q2558" s="54" t="n">
        <x:f>ROUND(O2558-P2558,2)</x:f>
        <x:v>1794.87</x:v>
      </x:c>
      <x:c r="R2558" s="55" t="n">
        <x:f>IF(O2558=0,0,ROUND(Q2558/O2558,4))</x:f>
        <x:v>0.5135</x:v>
      </x:c>
      <x:c r="S2558" s="53" t="n">
        <x:v>3</x:v>
      </x:c>
      <x:c r="T2558" t="str">
        <x:v>Entregue</x:v>
      </x:c>
      <x:c r="U2558" t="n">
        <x:v>3</x:v>
      </x:c>
      <x:c r="V2558" t="str"/>
    </x:row>
    <x:row r="2559">
      <x:c r="A2559" s="52" t="n">
        <x:v>46219</x:v>
      </x:c>
      <x:c r="B2559" t="str">
        <x:v>PED-102558</x:v>
      </x:c>
      <x:c r="C2559" t="str">
        <x:v>Cliente 060</x:v>
      </x:c>
      <x:c r="D2559" t="str">
        <x:v>RJ</x:v>
      </x:c>
      <x:c r="E2559" t="str">
        <x:v>Sudeste</x:v>
      </x:c>
      <x:c r="F2559" t="str">
        <x:v>E-commerce</x:v>
      </x:c>
      <x:c r="G2559" t="str">
        <x:v>Tecnologia</x:v>
      </x:c>
      <x:c r="H2559" t="str">
        <x:v>Monitor 27</x:v>
      </x:c>
      <x:c r="I2559" t="str">
        <x:v>Ana</x:v>
      </x:c>
      <x:c r="J2559" s="53" t="n">
        <x:v>5</x:v>
      </x:c>
      <x:c r="K2559" s="54" t="n">
        <x:v>1763.76</x:v>
      </x:c>
      <x:c r="L2559" s="54" t="n">
        <x:v>1111.82</x:v>
      </x:c>
      <x:c r="M2559" s="55" t="n">
        <x:v>0.0996</x:v>
      </x:c>
      <x:c r="N2559" s="54" t="n">
        <x:f>ROUND(J2559*K2559,2)</x:f>
        <x:v>8818.8</x:v>
      </x:c>
      <x:c r="O2559" s="54" t="n">
        <x:f>ROUND(N2559*(1-M2559),2)</x:f>
        <x:v>7940.45</x:v>
      </x:c>
      <x:c r="P2559" s="54" t="n">
        <x:f>ROUND(J2559*L2559,2)</x:f>
        <x:v>5559.1</x:v>
      </x:c>
      <x:c r="Q2559" s="54" t="n">
        <x:f>ROUND(O2559-P2559,2)</x:f>
        <x:v>2381.35</x:v>
      </x:c>
      <x:c r="R2559" s="55" t="n">
        <x:f>IF(O2559=0,0,ROUND(Q2559/O2559,4))</x:f>
        <x:v>0.2999</x:v>
      </x:c>
      <x:c r="S2559" s="53" t="n">
        <x:v>8</x:v>
      </x:c>
      <x:c r="T2559" t="str">
        <x:v>Entregue</x:v>
      </x:c>
      <x:c r="U2559" t="n">
        <x:v>3</x:v>
      </x:c>
      <x:c r="V2559" t="str"/>
    </x:row>
    <x:row r="2560">
      <x:c r="A2560" s="52" t="n">
        <x:v>46159</x:v>
      </x:c>
      <x:c r="B2560" t="str">
        <x:v>PED-102559</x:v>
      </x:c>
      <x:c r="C2560" t="str">
        <x:v>Cliente 086</x:v>
      </x:c>
      <x:c r="D2560" t="str">
        <x:v>MT</x:v>
      </x:c>
      <x:c r="E2560" t="str">
        <x:v>Centro-Oeste</x:v>
      </x:c>
      <x:c r="F2560" t="str">
        <x:v>Loja</x:v>
      </x:c>
      <x:c r="G2560" t="str">
        <x:v>Acessórios</x:v>
      </x:c>
      <x:c r="H2560" t="str">
        <x:v>Mochila Executiva</x:v>
      </x:c>
      <x:c r="I2560" t="str">
        <x:v>Carla</x:v>
      </x:c>
      <x:c r="J2560" s="53" t="n">
        <x:v>5</x:v>
      </x:c>
      <x:c r="K2560" s="54" t="n">
        <x:v>420.18</x:v>
      </x:c>
      <x:c r="L2560" s="54" t="n">
        <x:v>191.49</x:v>
      </x:c>
      <x:c r="M2560" s="55" t="n">
        <x:v>0</x:v>
      </x:c>
      <x:c r="N2560" s="54" t="n">
        <x:f>ROUND(J2560*K2560,2)</x:f>
        <x:v>2100.9</x:v>
      </x:c>
      <x:c r="O2560" s="54" t="n">
        <x:f>ROUND(N2560*(1-M2560),2)</x:f>
        <x:v>2100.9</x:v>
      </x:c>
      <x:c r="P2560" s="54" t="n">
        <x:f>ROUND(J2560*L2560,2)</x:f>
        <x:v>957.45</x:v>
      </x:c>
      <x:c r="Q2560" s="54" t="n">
        <x:f>ROUND(O2560-P2560,2)</x:f>
        <x:v>1143.45</x:v>
      </x:c>
      <x:c r="R2560" s="55" t="n">
        <x:f>IF(O2560=0,0,ROUND(Q2560/O2560,4))</x:f>
        <x:v>0.5443</x:v>
      </x:c>
      <x:c r="S2560" s="53" t="n">
        <x:v>13</x:v>
      </x:c>
      <x:c r="T2560" t="str">
        <x:v>Entregue com atraso</x:v>
      </x:c>
      <x:c r="U2560" t="n">
        <x:v>3</x:v>
      </x:c>
      <x:c r="V2560" t="str"/>
    </x:row>
    <x:row r="2561">
      <x:c r="A2561" s="52" t="n">
        <x:v>46066</x:v>
      </x:c>
      <x:c r="B2561" t="str">
        <x:v>PED-102560</x:v>
      </x:c>
      <x:c r="C2561" t="str">
        <x:v>Cliente 011</x:v>
      </x:c>
      <x:c r="D2561" t="str">
        <x:v>MG</x:v>
      </x:c>
      <x:c r="E2561" t="str">
        <x:v>Sudeste</x:v>
      </x:c>
      <x:c r="F2561" t="str">
        <x:v>E-commerce</x:v>
      </x:c>
      <x:c r="G2561" t="str">
        <x:v>Tecnologia</x:v>
      </x:c>
      <x:c r="H2561" t="str">
        <x:v>Notebook Pro</x:v>
      </x:c>
      <x:c r="I2561" t="str">
        <x:v>Ana</x:v>
      </x:c>
      <x:c r="J2561" s="53" t="n">
        <x:v>3</x:v>
      </x:c>
      <x:c r="K2561" s="54" t="n">
        <x:v>5745.31</x:v>
      </x:c>
      <x:c r="L2561" s="54" t="n">
        <x:v>4221.92</x:v>
      </x:c>
      <x:c r="M2561" s="55" t="n">
        <x:v>0</x:v>
      </x:c>
      <x:c r="N2561" s="54" t="n">
        <x:f>ROUND(J2561*K2561,2)</x:f>
        <x:v>17235.93</x:v>
      </x:c>
      <x:c r="O2561" s="54" t="n">
        <x:f>ROUND(N2561*(1-M2561),2)</x:f>
        <x:v>17235.93</x:v>
      </x:c>
      <x:c r="P2561" s="54" t="n">
        <x:f>ROUND(J2561*L2561,2)</x:f>
        <x:v>12665.76</x:v>
      </x:c>
      <x:c r="Q2561" s="54" t="n">
        <x:f>ROUND(O2561-P2561,2)</x:f>
        <x:v>4570.17</x:v>
      </x:c>
      <x:c r="R2561" s="55" t="n">
        <x:f>IF(O2561=0,0,ROUND(Q2561/O2561,4))</x:f>
        <x:v>0.2652</x:v>
      </x:c>
      <x:c r="S2561" s="53" t="n">
        <x:v>5</x:v>
      </x:c>
      <x:c r="T2561" t="str">
        <x:v>Entregue</x:v>
      </x:c>
      <x:c r="U2561" t="n">
        <x:v>2</x:v>
      </x:c>
      <x:c r="V2561" t="str"/>
    </x:row>
    <x:row r="2562">
      <x:c r="A2562" s="52" t="n">
        <x:v>46039</x:v>
      </x:c>
      <x:c r="B2562" t="str">
        <x:v>PED-102561</x:v>
      </x:c>
      <x:c r="C2562" t="str">
        <x:v>Cliente 066</x:v>
      </x:c>
      <x:c r="D2562" t="str">
        <x:v>PE</x:v>
      </x:c>
      <x:c r="E2562" t="str">
        <x:v>Nordeste</x:v>
      </x:c>
      <x:c r="F2562" t="str">
        <x:v>Televendas</x:v>
      </x:c>
      <x:c r="G2562" t="str">
        <x:v>Casa</x:v>
      </x:c>
      <x:c r="H2562" t="str">
        <x:v>Purificador</x:v>
      </x:c>
      <x:c r="I2562" t="str">
        <x:v>Isabela</x:v>
      </x:c>
      <x:c r="J2562" s="53" t="n">
        <x:v>3</x:v>
      </x:c>
      <x:c r="K2562" s="54" t="n">
        <x:v>1289.1</x:v>
      </x:c>
      <x:c r="L2562" s="54" t="n">
        <x:v>808.52</x:v>
      </x:c>
      <x:c r="M2562" s="55" t="n">
        <x:v>0</x:v>
      </x:c>
      <x:c r="N2562" s="54" t="n">
        <x:f>ROUND(J2562*K2562,2)</x:f>
        <x:v>3867.3</x:v>
      </x:c>
      <x:c r="O2562" s="54" t="n">
        <x:f>ROUND(N2562*(1-M2562),2)</x:f>
        <x:v>3867.3</x:v>
      </x:c>
      <x:c r="P2562" s="54" t="n">
        <x:f>ROUND(J2562*L2562,2)</x:f>
        <x:v>2425.56</x:v>
      </x:c>
      <x:c r="Q2562" s="54" t="n">
        <x:f>ROUND(O2562-P2562,2)</x:f>
        <x:v>1441.74</x:v>
      </x:c>
      <x:c r="R2562" s="55" t="n">
        <x:f>IF(O2562=0,0,ROUND(Q2562/O2562,4))</x:f>
        <x:v>0.3728</x:v>
      </x:c>
      <x:c r="S2562" s="53" t="n">
        <x:v>5</x:v>
      </x:c>
      <x:c r="T2562" t="str">
        <x:v>Entregue</x:v>
      </x:c>
      <x:c r="U2562" t="n">
        <x:v>4</x:v>
      </x:c>
      <x:c r="V2562" t="str"/>
    </x:row>
    <x:row r="2563">
      <x:c r="A2563" s="52" t="n">
        <x:v>46206</x:v>
      </x:c>
      <x:c r="B2563" t="str">
        <x:v>PED-102562</x:v>
      </x:c>
      <x:c r="C2563" t="str">
        <x:v>Cliente 102</x:v>
      </x:c>
      <x:c r="D2563" t="str">
        <x:v>DF</x:v>
      </x:c>
      <x:c r="E2563" t="str">
        <x:v>Centro-Oeste</x:v>
      </x:c>
      <x:c r="F2563" t="str">
        <x:v>Loja</x:v>
      </x:c>
      <x:c r="G2563" t="str">
        <x:v>Tecnologia</x:v>
      </x:c>
      <x:c r="H2563" t="str">
        <x:v>Headset Office</x:v>
      </x:c>
      <x:c r="I2563" t="str">
        <x:v>Diego</x:v>
      </x:c>
      <x:c r="J2563" s="53" t="n">
        <x:v>4</x:v>
      </x:c>
      <x:c r="K2563" s="54" t="n">
        <x:v>394.03</x:v>
      </x:c>
      <x:c r="L2563" s="54" t="n">
        <x:v>203.13</x:v>
      </x:c>
      <x:c r="M2563" s="55" t="n">
        <x:v>0.4178</x:v>
      </x:c>
      <x:c r="N2563" s="54" t="n">
        <x:f>ROUND(J2563*K2563,2)</x:f>
        <x:v>1576.12</x:v>
      </x:c>
      <x:c r="O2563" s="54" t="n">
        <x:f>ROUND(N2563*(1-M2563),2)</x:f>
        <x:v>917.62</x:v>
      </x:c>
      <x:c r="P2563" s="54" t="n">
        <x:f>ROUND(J2563*L2563,2)</x:f>
        <x:v>812.52</x:v>
      </x:c>
      <x:c r="Q2563" s="54" t="n">
        <x:f>ROUND(O2563-P2563,2)</x:f>
        <x:v>105.1</x:v>
      </x:c>
      <x:c r="R2563" s="55" t="n">
        <x:f>IF(O2563=0,0,ROUND(Q2563/O2563,4))</x:f>
        <x:v>0.1145</x:v>
      </x:c>
      <x:c r="S2563" s="53" t="n">
        <x:v>12</x:v>
      </x:c>
      <x:c r="T2563" t="str">
        <x:v>Entregue com atraso</x:v>
      </x:c>
      <x:c r="U2563" t="n">
        <x:v>4</x:v>
      </x:c>
      <x:c r="V2563" t="str">
        <x:v>Desconto autorizado fora da campanha</x:v>
      </x:c>
    </x:row>
    <x:row r="2564">
      <x:c r="A2564" s="52" t="n">
        <x:v>46042</x:v>
      </x:c>
      <x:c r="B2564" t="str">
        <x:v>PED-102563</x:v>
      </x:c>
      <x:c r="C2564" t="str">
        <x:v>Cliente 118</x:v>
      </x:c>
      <x:c r="D2564" t="str">
        <x:v>PR</x:v>
      </x:c>
      <x:c r="E2564" t="str">
        <x:v>Sul</x:v>
      </x:c>
      <x:c r="F2564" t="str">
        <x:v>Televendas</x:v>
      </x:c>
      <x:c r="G2564" t="str">
        <x:v>Acessórios</x:v>
      </x:c>
      <x:c r="H2564" t="str">
        <x:v>Webcam HD</x:v>
      </x:c>
      <x:c r="I2564" t="str">
        <x:v>Henrique</x:v>
      </x:c>
      <x:c r="J2564" s="53" t="n">
        <x:v>3</x:v>
      </x:c>
      <x:c r="K2564" s="54" t="n">
        <x:v>504.71</x:v>
      </x:c>
      <x:c r="L2564" s="54" t="n">
        <x:v>241.15</x:v>
      </x:c>
      <x:c r="M2564" s="55" t="n">
        <x:v>0.0336</x:v>
      </x:c>
      <x:c r="N2564" s="54" t="n">
        <x:f>ROUND(J2564*K2564,2)</x:f>
        <x:v>1514.13</x:v>
      </x:c>
      <x:c r="O2564" s="54" t="n">
        <x:f>ROUND(N2564*(1-M2564),2)</x:f>
        <x:v>1463.26</x:v>
      </x:c>
      <x:c r="P2564" s="54" t="n">
        <x:f>ROUND(J2564*L2564,2)</x:f>
        <x:v>723.45</x:v>
      </x:c>
      <x:c r="Q2564" s="54" t="n">
        <x:f>ROUND(O2564-P2564,2)</x:f>
        <x:v>739.81</x:v>
      </x:c>
      <x:c r="R2564" s="55" t="n">
        <x:f>IF(O2564=0,0,ROUND(Q2564/O2564,4))</x:f>
        <x:v>0.5056</x:v>
      </x:c>
      <x:c r="S2564" s="53" t="n">
        <x:v>11</x:v>
      </x:c>
      <x:c r="T2564" t="str">
        <x:v>Entregue com atraso</x:v>
      </x:c>
      <x:c r="U2564" t="n">
        <x:v>5</x:v>
      </x:c>
      <x:c r="V2564" t="str"/>
    </x:row>
    <x:row r="2565">
      <x:c r="A2565" s="52" t="n">
        <x:v>46120</x:v>
      </x:c>
      <x:c r="B2565" t="str">
        <x:v>PED-102564</x:v>
      </x:c>
      <x:c r="C2565" t="str">
        <x:v>Cliente 114</x:v>
      </x:c>
      <x:c r="D2565" t="str">
        <x:v>PR</x:v>
      </x:c>
      <x:c r="E2565" t="str">
        <x:v>Sul</x:v>
      </x:c>
      <x:c r="F2565" t="str">
        <x:v>Loja</x:v>
      </x:c>
      <x:c r="G2565" t="str">
        <x:v>Acessórios</x:v>
      </x:c>
      <x:c r="H2565" t="str">
        <x:v>Hub USB-C</x:v>
      </x:c>
      <x:c r="I2565" t="str">
        <x:v>Bruno</x:v>
      </x:c>
      <x:c r="J2565" s="53" t="n">
        <x:v>6</x:v>
      </x:c>
      <x:c r="K2565" s="54" t="n">
        <x:v>333.06</x:v>
      </x:c>
      <x:c r="L2565" s="54" t="n">
        <x:v>135.29</x:v>
      </x:c>
      <x:c r="M2565" s="55" t="n">
        <x:v>0</x:v>
      </x:c>
      <x:c r="N2565" s="54" t="n">
        <x:f>ROUND(J2565*K2565,2)</x:f>
        <x:v>1998.36</x:v>
      </x:c>
      <x:c r="O2565" s="54" t="n">
        <x:f>ROUND(N2565*(1-M2565),2)</x:f>
        <x:v>1998.36</x:v>
      </x:c>
      <x:c r="P2565" s="54" t="n">
        <x:f>ROUND(J2565*L2565,2)</x:f>
        <x:v>811.74</x:v>
      </x:c>
      <x:c r="Q2565" s="54" t="n">
        <x:f>ROUND(O2565-P2565,2)</x:f>
        <x:v>1186.62</x:v>
      </x:c>
      <x:c r="R2565" s="55" t="n">
        <x:f>IF(O2565=0,0,ROUND(Q2565/O2565,4))</x:f>
        <x:v>0.5938</x:v>
      </x:c>
      <x:c r="S2565" s="53" t="n">
        <x:v>6</x:v>
      </x:c>
      <x:c r="T2565" t="str">
        <x:v>Entregue</x:v>
      </x:c>
      <x:c r="U2565" t="n">
        <x:v>4</x:v>
      </x:c>
      <x:c r="V2565" t="str"/>
    </x:row>
    <x:row r="2566">
      <x:c r="A2566" s="52" t="n">
        <x:v>46188</x:v>
      </x:c>
      <x:c r="B2566" t="str">
        <x:v>PED-102565</x:v>
      </x:c>
      <x:c r="C2566" t="str">
        <x:v>Cliente 056</x:v>
      </x:c>
      <x:c r="D2566" t="str">
        <x:v>CE</x:v>
      </x:c>
      <x:c r="E2566" t="str">
        <x:v>Nordeste</x:v>
      </x:c>
      <x:c r="F2566" t="str">
        <x:v>Televendas</x:v>
      </x:c>
      <x:c r="G2566" t="str">
        <x:v>Acessórios</x:v>
      </x:c>
      <x:c r="H2566" t="str">
        <x:v>Webcam HD</x:v>
      </x:c>
      <x:c r="I2566" t="str">
        <x:v>Bruno</x:v>
      </x:c>
      <x:c r="J2566" s="53" t="n">
        <x:v>8</x:v>
      </x:c>
      <x:c r="K2566" s="54" t="n">
        <x:v>525.23</x:v>
      </x:c>
      <x:c r="L2566" s="54" t="n">
        <x:v>252.35</x:v>
      </x:c>
      <x:c r="M2566" s="55" t="n">
        <x:v>0.0476</x:v>
      </x:c>
      <x:c r="N2566" s="54" t="n">
        <x:f>ROUND(J2566*K2566,2)</x:f>
        <x:v>4201.84</x:v>
      </x:c>
      <x:c r="O2566" s="54" t="n">
        <x:f>ROUND(N2566*(1-M2566),2)</x:f>
        <x:v>4001.83</x:v>
      </x:c>
      <x:c r="P2566" s="54" t="n">
        <x:f>ROUND(J2566*L2566,2)</x:f>
        <x:v>2018.8</x:v>
      </x:c>
      <x:c r="Q2566" s="54" t="n">
        <x:f>ROUND(O2566-P2566,2)</x:f>
        <x:v>1983.03</x:v>
      </x:c>
      <x:c r="R2566" s="55" t="n">
        <x:f>IF(O2566=0,0,ROUND(Q2566/O2566,4))</x:f>
        <x:v>0.4955</x:v>
      </x:c>
      <x:c r="S2566" s="53" t="n">
        <x:v>4</x:v>
      </x:c>
      <x:c r="T2566" t="str">
        <x:v>Entregue</x:v>
      </x:c>
      <x:c r="U2566" t="n">
        <x:v>2</x:v>
      </x:c>
      <x:c r="V2566" t="str"/>
    </x:row>
    <x:row r="2567">
      <x:c r="A2567" s="52" t="n">
        <x:v>46032</x:v>
      </x:c>
      <x:c r="B2567" t="str">
        <x:v>PED-102566</x:v>
      </x:c>
      <x:c r="C2567" t="str">
        <x:v>Cliente 004</x:v>
      </x:c>
      <x:c r="D2567" t="str">
        <x:v>MG</x:v>
      </x:c>
      <x:c r="E2567" t="str">
        <x:v>Sudeste</x:v>
      </x:c>
      <x:c r="F2567" t="str">
        <x:v>E-commerce</x:v>
      </x:c>
      <x:c r="G2567" t="str">
        <x:v>Casa</x:v>
      </x:c>
      <x:c r="H2567" t="str">
        <x:v>Purificador</x:v>
      </x:c>
      <x:c r="I2567" t="str">
        <x:v>Gabriela</x:v>
      </x:c>
      <x:c r="J2567" s="53" t="n">
        <x:v>5</x:v>
      </x:c>
      <x:c r="K2567" s="54" t="n">
        <x:v>1274.41</x:v>
      </x:c>
      <x:c r="L2567" s="54" t="n">
        <x:v>769.18</x:v>
      </x:c>
      <x:c r="M2567" s="55" t="n">
        <x:v>0</x:v>
      </x:c>
      <x:c r="N2567" s="54" t="n">
        <x:f>ROUND(J2567*K2567,2)</x:f>
        <x:v>6372.05</x:v>
      </x:c>
      <x:c r="O2567" s="54" t="n">
        <x:f>ROUND(N2567*(1-M2567),2)</x:f>
        <x:v>6372.05</x:v>
      </x:c>
      <x:c r="P2567" s="54" t="n">
        <x:f>ROUND(J2567*L2567,2)</x:f>
        <x:v>3845.9</x:v>
      </x:c>
      <x:c r="Q2567" s="54" t="n">
        <x:f>ROUND(O2567-P2567,2)</x:f>
        <x:v>2526.15</x:v>
      </x:c>
      <x:c r="R2567" s="55" t="n">
        <x:f>IF(O2567=0,0,ROUND(Q2567/O2567,4))</x:f>
        <x:v>0.3964</x:v>
      </x:c>
      <x:c r="S2567" s="53" t="n">
        <x:v>7</x:v>
      </x:c>
      <x:c r="T2567" t="str">
        <x:v>Entregue</x:v>
      </x:c>
      <x:c r="U2567" t="n">
        <x:v>3</x:v>
      </x:c>
      <x:c r="V2567" t="str"/>
    </x:row>
    <x:row r="2568">
      <x:c r="A2568" s="52" t="n">
        <x:v>46078</x:v>
      </x:c>
      <x:c r="B2568" t="str">
        <x:v>PED-102567</x:v>
      </x:c>
      <x:c r="C2568" t="str">
        <x:v>Cliente 065</x:v>
      </x:c>
      <x:c r="D2568" t="str">
        <x:v>DF</x:v>
      </x:c>
      <x:c r="E2568" t="str">
        <x:v>Centro-Oeste</x:v>
      </x:c>
      <x:c r="F2568" t="str">
        <x:v>Marketplace</x:v>
      </x:c>
      <x:c r="G2568" t="str">
        <x:v>Casa</x:v>
      </x:c>
      <x:c r="H2568" t="str">
        <x:v>Aspirador Robô</x:v>
      </x:c>
      <x:c r="I2568" t="str">
        <x:v>Carla</x:v>
      </x:c>
      <x:c r="J2568" s="53" t="n">
        <x:v>7</x:v>
      </x:c>
      <x:c r="K2568" s="54" t="n">
        <x:v>1866.55</x:v>
      </x:c>
      <x:c r="L2568" s="54" t="n">
        <x:v>1211.42</x:v>
      </x:c>
      <x:c r="M2568" s="55" t="n">
        <x:v>0.035</x:v>
      </x:c>
      <x:c r="N2568" s="54" t="n">
        <x:f>ROUND(J2568*K2568,2)</x:f>
        <x:v>13065.85</x:v>
      </x:c>
      <x:c r="O2568" s="54" t="n">
        <x:f>ROUND(N2568*(1-M2568),2)</x:f>
        <x:v>12608.55</x:v>
      </x:c>
      <x:c r="P2568" s="54" t="n">
        <x:f>ROUND(J2568*L2568,2)</x:f>
        <x:v>8479.94</x:v>
      </x:c>
      <x:c r="Q2568" s="54" t="n">
        <x:f>ROUND(O2568-P2568,2)</x:f>
        <x:v>4128.61</x:v>
      </x:c>
      <x:c r="R2568" s="55" t="n">
        <x:f>IF(O2568=0,0,ROUND(Q2568/O2568,4))</x:f>
        <x:v>0.3274</x:v>
      </x:c>
      <x:c r="S2568" s="53" t="n">
        <x:v>4</x:v>
      </x:c>
      <x:c r="T2568" t="str">
        <x:v>Entregue</x:v>
      </x:c>
      <x:c r="U2568" t="n">
        <x:v>4</x:v>
      </x:c>
      <x:c r="V2568" t="str"/>
    </x:row>
    <x:row r="2569">
      <x:c r="A2569" s="52" t="n">
        <x:v>46167</x:v>
      </x:c>
      <x:c r="B2569" t="str">
        <x:v>PED-102568</x:v>
      </x:c>
      <x:c r="C2569" t="str">
        <x:v>Cliente 009</x:v>
      </x:c>
      <x:c r="D2569" t="str">
        <x:v>SP</x:v>
      </x:c>
      <x:c r="E2569" t="str">
        <x:v>Sudeste</x:v>
      </x:c>
      <x:c r="F2569" t="str">
        <x:v>Televendas</x:v>
      </x:c>
      <x:c r="G2569" t="str">
        <x:v>Casa</x:v>
      </x:c>
      <x:c r="H2569" t="str">
        <x:v>Aspirador Robô</x:v>
      </x:c>
      <x:c r="I2569" t="str">
        <x:v>João</x:v>
      </x:c>
      <x:c r="J2569" s="53" t="n">
        <x:v>1</x:v>
      </x:c>
      <x:c r="K2569" s="54" t="n">
        <x:v>1842.65</x:v>
      </x:c>
      <x:c r="L2569" s="54" t="n">
        <x:v>1205.76</x:v>
      </x:c>
      <x:c r="M2569" s="55" t="n">
        <x:v>0.0234</x:v>
      </x:c>
      <x:c r="N2569" s="54" t="n">
        <x:f>ROUND(J2569*K2569,2)</x:f>
        <x:v>1842.65</x:v>
      </x:c>
      <x:c r="O2569" s="54" t="n">
        <x:f>ROUND(N2569*(1-M2569),2)</x:f>
        <x:v>1799.53</x:v>
      </x:c>
      <x:c r="P2569" s="54" t="n">
        <x:f>ROUND(J2569*L2569,2)</x:f>
        <x:v>1205.76</x:v>
      </x:c>
      <x:c r="Q2569" s="54" t="n">
        <x:f>ROUND(O2569-P2569,2)</x:f>
        <x:v>593.77</x:v>
      </x:c>
      <x:c r="R2569" s="55" t="n">
        <x:f>IF(O2569=0,0,ROUND(Q2569/O2569,4))</x:f>
        <x:v>0.33</x:v>
      </x:c>
      <x:c r="S2569" s="53" t="n">
        <x:v>2</x:v>
      </x:c>
      <x:c r="T2569" t="str">
        <x:v>Entregue</x:v>
      </x:c>
      <x:c r="U2569" t="n">
        <x:v>2</x:v>
      </x:c>
      <x:c r="V2569" t="str"/>
    </x:row>
    <x:row r="2570">
      <x:c r="A2570" s="52" t="n">
        <x:v>46137</x:v>
      </x:c>
      <x:c r="B2570" t="str">
        <x:v>PED-102569</x:v>
      </x:c>
      <x:c r="C2570" t="str">
        <x:v>Cliente 094</x:v>
      </x:c>
      <x:c r="D2570" t="str">
        <x:v>PE</x:v>
      </x:c>
      <x:c r="E2570" t="str">
        <x:v>Nordeste</x:v>
      </x:c>
      <x:c r="F2570" t="str">
        <x:v>Televendas</x:v>
      </x:c>
      <x:c r="G2570" t="str">
        <x:v>Escritório</x:v>
      </x:c>
      <x:c r="H2570" t="str">
        <x:v>Cadeira Ergonômica</x:v>
      </x:c>
      <x:c r="I2570" t="str">
        <x:v>Henrique</x:v>
      </x:c>
      <x:c r="J2570" s="53" t="n">
        <x:v>2</x:v>
      </x:c>
      <x:c r="K2570" s="54" t="n">
        <x:v>2075.52</x:v>
      </x:c>
      <x:c r="L2570" s="54" t="n">
        <x:v>1447.43</x:v>
      </x:c>
      <x:c r="M2570" s="55" t="n">
        <x:v>0</x:v>
      </x:c>
      <x:c r="N2570" s="54" t="n">
        <x:f>ROUND(J2570*K2570,2)</x:f>
        <x:v>4151.04</x:v>
      </x:c>
      <x:c r="O2570" s="54" t="n">
        <x:f>ROUND(N2570*(1-M2570),2)</x:f>
        <x:v>4151.04</x:v>
      </x:c>
      <x:c r="P2570" s="54" t="n">
        <x:f>ROUND(J2570*L2570,2)</x:f>
        <x:v>2894.86</x:v>
      </x:c>
      <x:c r="Q2570" s="54" t="n">
        <x:f>ROUND(O2570-P2570,2)</x:f>
        <x:v>1256.18</x:v>
      </x:c>
      <x:c r="R2570" s="55" t="n">
        <x:f>IF(O2570=0,0,ROUND(Q2570/O2570,4))</x:f>
        <x:v>0.3026</x:v>
      </x:c>
      <x:c r="S2570" s="53" t="n">
        <x:v>7</x:v>
      </x:c>
      <x:c r="T2570" t="str">
        <x:v>Entregue</x:v>
      </x:c>
      <x:c r="U2570" t="n">
        <x:v>2</x:v>
      </x:c>
      <x:c r="V2570" t="str"/>
    </x:row>
    <x:row r="2571">
      <x:c r="A2571" s="52" t="n">
        <x:v>46202</x:v>
      </x:c>
      <x:c r="B2571" t="str">
        <x:v>PED-102570</x:v>
      </x:c>
      <x:c r="C2571" t="str">
        <x:v>Cliente 090</x:v>
      </x:c>
      <x:c r="D2571" t="str">
        <x:v>GO</x:v>
      </x:c>
      <x:c r="E2571" t="str">
        <x:v>Centro-Oeste</x:v>
      </x:c>
      <x:c r="F2571" t="str">
        <x:v>Loja</x:v>
      </x:c>
      <x:c r="G2571" t="str">
        <x:v>Tecnologia</x:v>
      </x:c>
      <x:c r="H2571" t="str">
        <x:v>Monitor 27</x:v>
      </x:c>
      <x:c r="I2571" t="str">
        <x:v>João</x:v>
      </x:c>
      <x:c r="J2571" s="53" t="n">
        <x:v>6</x:v>
      </x:c>
      <x:c r="K2571" s="54" t="n">
        <x:v>1718.39</x:v>
      </x:c>
      <x:c r="L2571" s="54" t="n">
        <x:v>1047.67</x:v>
      </x:c>
      <x:c r="M2571" s="55" t="n">
        <x:v>0.1027</x:v>
      </x:c>
      <x:c r="N2571" s="54" t="n">
        <x:f>ROUND(J2571*K2571,2)</x:f>
        <x:v>10310.34</x:v>
      </x:c>
      <x:c r="O2571" s="54" t="n">
        <x:f>ROUND(N2571*(1-M2571),2)</x:f>
        <x:v>9251.47</x:v>
      </x:c>
      <x:c r="P2571" s="54" t="n">
        <x:f>ROUND(J2571*L2571,2)</x:f>
        <x:v>6286.02</x:v>
      </x:c>
      <x:c r="Q2571" s="54" t="n">
        <x:f>ROUND(O2571-P2571,2)</x:f>
        <x:v>2965.45</x:v>
      </x:c>
      <x:c r="R2571" s="55" t="n">
        <x:f>IF(O2571=0,0,ROUND(Q2571/O2571,4))</x:f>
        <x:v>0.3205</x:v>
      </x:c>
      <x:c r="S2571" s="53" t="n">
        <x:v>5</x:v>
      </x:c>
      <x:c r="T2571" t="str">
        <x:v>Entregue</x:v>
      </x:c>
      <x:c r="U2571" t="n">
        <x:v>2</x:v>
      </x:c>
      <x:c r="V2571" t="str"/>
    </x:row>
    <x:row r="2572">
      <x:c r="A2572" s="52" t="n">
        <x:v>46057</x:v>
      </x:c>
      <x:c r="B2572" t="str">
        <x:v>PED-102571</x:v>
      </x:c>
      <x:c r="C2572" t="str">
        <x:v>Cliente 115</x:v>
      </x:c>
      <x:c r="D2572" t="str">
        <x:v>PR</x:v>
      </x:c>
      <x:c r="E2572" t="str">
        <x:v>Sul</x:v>
      </x:c>
      <x:c r="F2572" t="str">
        <x:v>Televendas</x:v>
      </x:c>
      <x:c r="G2572" t="str">
        <x:v>Tecnologia</x:v>
      </x:c>
      <x:c r="H2572" t="str">
        <x:v>Headset Office</x:v>
      </x:c>
      <x:c r="I2572" t="str">
        <x:v>Gabriela</x:v>
      </x:c>
      <x:c r="J2572" s="53" t="n">
        <x:v>3</x:v>
      </x:c>
      <x:c r="K2572" s="54" t="n">
        <x:v>392.95</x:v>
      </x:c>
      <x:c r="L2572" s="54" t="n">
        <x:v>205.4</x:v>
      </x:c>
      <x:c r="M2572" s="55" t="n">
        <x:v>0</x:v>
      </x:c>
      <x:c r="N2572" s="54" t="n">
        <x:f>ROUND(J2572*K2572,2)</x:f>
        <x:v>1178.85</x:v>
      </x:c>
      <x:c r="O2572" s="54" t="n">
        <x:f>ROUND(N2572*(1-M2572),2)</x:f>
        <x:v>1178.85</x:v>
      </x:c>
      <x:c r="P2572" s="54" t="n">
        <x:f>ROUND(J2572*L2572,2)</x:f>
        <x:v>616.2</x:v>
      </x:c>
      <x:c r="Q2572" s="54" t="n">
        <x:f>ROUND(O2572-P2572,2)</x:f>
        <x:v>562.65</x:v>
      </x:c>
      <x:c r="R2572" s="55" t="n">
        <x:f>IF(O2572=0,0,ROUND(Q2572/O2572,4))</x:f>
        <x:v>0.4773</x:v>
      </x:c>
      <x:c r="S2572" s="53" t="n">
        <x:v>8</x:v>
      </x:c>
      <x:c r="T2572" t="str">
        <x:v>Entregue</x:v>
      </x:c>
      <x:c r="U2572" t="n">
        <x:v>2</x:v>
      </x:c>
      <x:c r="V2572" t="str"/>
    </x:row>
    <x:row r="2573">
      <x:c r="A2573" s="52" t="n">
        <x:v>46076</x:v>
      </x:c>
      <x:c r="B2573" t="str">
        <x:v>PED-102572</x:v>
      </x:c>
      <x:c r="C2573" t="str">
        <x:v>Cliente 120</x:v>
      </x:c>
      <x:c r="D2573" t="str">
        <x:v>MG</x:v>
      </x:c>
      <x:c r="E2573" t="str">
        <x:v>Sudeste</x:v>
      </x:c>
      <x:c r="F2573" t="str">
        <x:v>E-commerce</x:v>
      </x:c>
      <x:c r="G2573" t="str">
        <x:v>Casa</x:v>
      </x:c>
      <x:c r="H2573" t="str">
        <x:v>Aspirador Robô</x:v>
      </x:c>
      <x:c r="I2573" t="str">
        <x:v>Gabriela</x:v>
      </x:c>
      <x:c r="J2573" s="53" t="n">
        <x:v>4</x:v>
      </x:c>
      <x:c r="K2573" s="54" t="n">
        <x:v>1948.51</x:v>
      </x:c>
      <x:c r="L2573" s="54" t="n">
        <x:v>1159.85</x:v>
      </x:c>
      <x:c r="M2573" s="55" t="n">
        <x:v>0.0911</x:v>
      </x:c>
      <x:c r="N2573" s="54" t="n">
        <x:f>ROUND(J2573*K2573,2)</x:f>
        <x:v>7794.04</x:v>
      </x:c>
      <x:c r="O2573" s="54" t="n">
        <x:f>ROUND(N2573*(1-M2573),2)</x:f>
        <x:v>7084</x:v>
      </x:c>
      <x:c r="P2573" s="54" t="n">
        <x:f>ROUND(J2573*L2573,2)</x:f>
        <x:v>4639.4</x:v>
      </x:c>
      <x:c r="Q2573" s="54" t="n">
        <x:f>ROUND(O2573-P2573,2)</x:f>
        <x:v>2444.6</x:v>
      </x:c>
      <x:c r="R2573" s="55" t="n">
        <x:f>IF(O2573=0,0,ROUND(Q2573/O2573,4))</x:f>
        <x:v>0.3451</x:v>
      </x:c>
      <x:c r="S2573" s="53" t="n">
        <x:v>5</x:v>
      </x:c>
      <x:c r="T2573" t="str">
        <x:v>Entregue</x:v>
      </x:c>
      <x:c r="U2573" t="n">
        <x:v>4</x:v>
      </x:c>
      <x:c r="V2573" t="str"/>
    </x:row>
    <x:row r="2574">
      <x:c r="A2574" s="52" t="n">
        <x:v>46232</x:v>
      </x:c>
      <x:c r="B2574" t="str">
        <x:v>PED-102573</x:v>
      </x:c>
      <x:c r="C2574" t="str">
        <x:v>Cliente 089</x:v>
      </x:c>
      <x:c r="D2574" t="str">
        <x:v>SC</x:v>
      </x:c>
      <x:c r="E2574" t="str">
        <x:v>Sul</x:v>
      </x:c>
      <x:c r="F2574" t="str">
        <x:v>Marketplace</x:v>
      </x:c>
      <x:c r="G2574" t="str">
        <x:v>Casa</x:v>
      </x:c>
      <x:c r="H2574" t="str">
        <x:v>Purificador</x:v>
      </x:c>
      <x:c r="I2574" t="str">
        <x:v>Felipe</x:v>
      </x:c>
      <x:c r="J2574" s="53" t="n">
        <x:v>4</x:v>
      </x:c>
      <x:c r="K2574" s="54" t="n">
        <x:v>1298.1</x:v>
      </x:c>
      <x:c r="L2574" s="54" t="n">
        <x:v>751.35</x:v>
      </x:c>
      <x:c r="M2574" s="55" t="n">
        <x:v>0.035</x:v>
      </x:c>
      <x:c r="N2574" s="54" t="n">
        <x:f>ROUND(J2574*K2574,2)</x:f>
        <x:v>5192.4</x:v>
      </x:c>
      <x:c r="O2574" s="54" t="n">
        <x:f>ROUND(N2574*(1-M2574),2)</x:f>
        <x:v>5010.67</x:v>
      </x:c>
      <x:c r="P2574" s="54" t="n">
        <x:f>ROUND(J2574*L2574,2)</x:f>
        <x:v>3005.4</x:v>
      </x:c>
      <x:c r="Q2574" s="54" t="n">
        <x:f>ROUND(O2574-P2574,2)</x:f>
        <x:v>2005.27</x:v>
      </x:c>
      <x:c r="R2574" s="55" t="n">
        <x:f>IF(O2574=0,0,ROUND(Q2574/O2574,4))</x:f>
        <x:v>0.4002</x:v>
      </x:c>
      <x:c r="S2574" s="53" t="n">
        <x:v>2</x:v>
      </x:c>
      <x:c r="T2574" t="str">
        <x:v>Entregue</x:v>
      </x:c>
      <x:c r="U2574" t="n">
        <x:v>4</x:v>
      </x:c>
      <x:c r="V2574" t="str"/>
    </x:row>
    <x:row r="2575">
      <x:c r="A2575" s="52" t="n">
        <x:v>46116</x:v>
      </x:c>
      <x:c r="B2575" t="str">
        <x:v>PED-102574</x:v>
      </x:c>
      <x:c r="C2575" t="str">
        <x:v>Cliente 050</x:v>
      </x:c>
      <x:c r="D2575" t="str">
        <x:v>RS</x:v>
      </x:c>
      <x:c r="E2575" t="str">
        <x:v>Sul</x:v>
      </x:c>
      <x:c r="F2575" t="str">
        <x:v>E-commerce</x:v>
      </x:c>
      <x:c r="G2575" t="str">
        <x:v>Casa</x:v>
      </x:c>
      <x:c r="H2575" t="str">
        <x:v>Aspirador Robô</x:v>
      </x:c>
      <x:c r="I2575" t="str">
        <x:v>João</x:v>
      </x:c>
      <x:c r="J2575" s="53" t="n">
        <x:v>7</x:v>
      </x:c>
      <x:c r="K2575" s="54" t="n">
        <x:v>1927.74</x:v>
      </x:c>
      <x:c r="L2575" s="54" t="n">
        <x:v>1151.46</x:v>
      </x:c>
      <x:c r="M2575" s="55" t="n">
        <x:v>0.0168</x:v>
      </x:c>
      <x:c r="N2575" s="54" t="n">
        <x:f>ROUND(J2575*K2575,2)</x:f>
        <x:v>13494.18</x:v>
      </x:c>
      <x:c r="O2575" s="54" t="n">
        <x:f>ROUND(N2575*(1-M2575),2)</x:f>
        <x:v>13267.48</x:v>
      </x:c>
      <x:c r="P2575" s="54" t="n">
        <x:f>ROUND(J2575*L2575,2)</x:f>
        <x:v>8060.22</x:v>
      </x:c>
      <x:c r="Q2575" s="54" t="n">
        <x:f>ROUND(O2575-P2575,2)</x:f>
        <x:v>5207.26</x:v>
      </x:c>
      <x:c r="R2575" s="55" t="n">
        <x:f>IF(O2575=0,0,ROUND(Q2575/O2575,4))</x:f>
        <x:v>0.3925</x:v>
      </x:c>
      <x:c r="S2575" s="53" t="n">
        <x:v>14</x:v>
      </x:c>
      <x:c r="T2575" t="str">
        <x:v>Cancelado</x:v>
      </x:c>
      <x:c r="U2575"/>
      <x:c r="V2575" t="str"/>
    </x:row>
    <x:row r="2576">
      <x:c r="A2576" s="52" t="n">
        <x:v>46062</x:v>
      </x:c>
      <x:c r="B2576" t="str">
        <x:v>PED-102575</x:v>
      </x:c>
      <x:c r="C2576" t="str">
        <x:v>Cliente 102</x:v>
      </x:c>
      <x:c r="D2576" t="str">
        <x:v>CE</x:v>
      </x:c>
      <x:c r="E2576" t="str">
        <x:v>Nordeste</x:v>
      </x:c>
      <x:c r="F2576" t="str">
        <x:v>Televendas</x:v>
      </x:c>
      <x:c r="G2576" t="str">
        <x:v>Tecnologia</x:v>
      </x:c>
      <x:c r="H2576" t="str">
        <x:v>Monitor 27</x:v>
      </x:c>
      <x:c r="I2576" t="str">
        <x:v>Diego</x:v>
      </x:c>
      <x:c r="J2576" s="53" t="n">
        <x:v>1</x:v>
      </x:c>
      <x:c r="K2576" s="54" t="n">
        <x:v>1626.48</x:v>
      </x:c>
      <x:c r="L2576" s="54" t="n">
        <x:v>1100.91</x:v>
      </x:c>
      <x:c r="M2576" s="55" t="n">
        <x:v>0.0754</x:v>
      </x:c>
      <x:c r="N2576" s="54" t="n">
        <x:f>ROUND(J2576*K2576,2)</x:f>
        <x:v>1626.48</x:v>
      </x:c>
      <x:c r="O2576" s="54" t="n">
        <x:f>ROUND(N2576*(1-M2576),2)</x:f>
        <x:v>1503.84</x:v>
      </x:c>
      <x:c r="P2576" s="54" t="n">
        <x:f>ROUND(J2576*L2576,2)</x:f>
        <x:v>1100.91</x:v>
      </x:c>
      <x:c r="Q2576" s="54" t="n">
        <x:f>ROUND(O2576-P2576,2)</x:f>
        <x:v>402.93</x:v>
      </x:c>
      <x:c r="R2576" s="55" t="n">
        <x:f>IF(O2576=0,0,ROUND(Q2576/O2576,4))</x:f>
        <x:v>0.2679</x:v>
      </x:c>
      <x:c r="S2576" s="53" t="n">
        <x:v>12</x:v>
      </x:c>
      <x:c r="T2576" t="str">
        <x:v>Entregue com atraso</x:v>
      </x:c>
      <x:c r="U2576" t="n">
        <x:v>4</x:v>
      </x:c>
      <x:c r="V2576" t="str"/>
    </x:row>
    <x:row r="2577">
      <x:c r="A2577" s="52" t="n">
        <x:v>46114</x:v>
      </x:c>
      <x:c r="B2577" t="str">
        <x:v>PED-102576</x:v>
      </x:c>
      <x:c r="C2577" t="str">
        <x:v>Cliente 026</x:v>
      </x:c>
      <x:c r="D2577" t="str">
        <x:v>RS</x:v>
      </x:c>
      <x:c r="E2577" t="str">
        <x:v>Sul</x:v>
      </x:c>
      <x:c r="F2577" t="str">
        <x:v>Televendas</x:v>
      </x:c>
      <x:c r="G2577" t="str">
        <x:v>Casa</x:v>
      </x:c>
      <x:c r="H2577" t="str">
        <x:v>Aspirador Robô</x:v>
      </x:c>
      <x:c r="I2577" t="str">
        <x:v>Diego</x:v>
      </x:c>
      <x:c r="J2577" s="53" t="n">
        <x:v>1</x:v>
      </x:c>
      <x:c r="K2577" s="54" t="n">
        <x:v>1888.34</x:v>
      </x:c>
      <x:c r="L2577" s="54" t="n">
        <x:v>1244.56</x:v>
      </x:c>
      <x:c r="M2577" s="55" t="n">
        <x:v>0.1197</x:v>
      </x:c>
      <x:c r="N2577" s="54" t="n">
        <x:f>ROUND(J2577*K2577,2)</x:f>
        <x:v>1888.34</x:v>
      </x:c>
      <x:c r="O2577" s="54" t="n">
        <x:f>ROUND(N2577*(1-M2577),2)</x:f>
        <x:v>1662.31</x:v>
      </x:c>
      <x:c r="P2577" s="54" t="n">
        <x:f>ROUND(J2577*L2577,2)</x:f>
        <x:v>1244.56</x:v>
      </x:c>
      <x:c r="Q2577" s="54" t="n">
        <x:f>ROUND(O2577-P2577,2)</x:f>
        <x:v>417.75</x:v>
      </x:c>
      <x:c r="R2577" s="55" t="n">
        <x:f>IF(O2577=0,0,ROUND(Q2577/O2577,4))</x:f>
        <x:v>0.2513</x:v>
      </x:c>
      <x:c r="S2577" s="53" t="n">
        <x:v>4</x:v>
      </x:c>
      <x:c r="T2577" t="str">
        <x:v>Cancelado</x:v>
      </x:c>
      <x:c r="U2577"/>
      <x:c r="V2577" t="str"/>
    </x:row>
    <x:row r="2578">
      <x:c r="A2578" s="52" t="n">
        <x:v>46069</x:v>
      </x:c>
      <x:c r="B2578" t="str">
        <x:v>PED-102577</x:v>
      </x:c>
      <x:c r="C2578" t="str">
        <x:v>Cliente 076</x:v>
      </x:c>
      <x:c r="D2578" t="str">
        <x:v>AM</x:v>
      </x:c>
      <x:c r="E2578" t="str">
        <x:v>Norte</x:v>
      </x:c>
      <x:c r="F2578" t="str">
        <x:v>Loja</x:v>
      </x:c>
      <x:c r="G2578" t="str">
        <x:v>Casa</x:v>
      </x:c>
      <x:c r="H2578" t="str">
        <x:v>Purificador</x:v>
      </x:c>
      <x:c r="I2578" t="str">
        <x:v>Gabriela</x:v>
      </x:c>
      <x:c r="J2578" s="53" t="n">
        <x:v>8</x:v>
      </x:c>
      <x:c r="K2578" s="54" t="n">
        <x:v>1237.49</x:v>
      </x:c>
      <x:c r="L2578" s="54" t="n">
        <x:v>787.42</x:v>
      </x:c>
      <x:c r="M2578" s="55" t="n">
        <x:v>0</x:v>
      </x:c>
      <x:c r="N2578" s="54" t="n">
        <x:f>ROUND(J2578*K2578,2)</x:f>
        <x:v>9899.92</x:v>
      </x:c>
      <x:c r="O2578" s="54" t="n">
        <x:f>ROUND(N2578*(1-M2578),2)</x:f>
        <x:v>9899.92</x:v>
      </x:c>
      <x:c r="P2578" s="54" t="n">
        <x:f>ROUND(J2578*L2578,2)</x:f>
        <x:v>6299.36</x:v>
      </x:c>
      <x:c r="Q2578" s="54" t="n">
        <x:f>ROUND(O2578-P2578,2)</x:f>
        <x:v>3600.56</x:v>
      </x:c>
      <x:c r="R2578" s="55" t="n">
        <x:f>IF(O2578=0,0,ROUND(Q2578/O2578,4))</x:f>
        <x:v>0.3637</x:v>
      </x:c>
      <x:c r="S2578" s="53" t="n">
        <x:v>13</x:v>
      </x:c>
      <x:c r="T2578" t="str">
        <x:v>Entregue com atraso</x:v>
      </x:c>
      <x:c r="U2578" t="n">
        <x:v>3</x:v>
      </x:c>
      <x:c r="V2578" t="str"/>
    </x:row>
    <x:row r="2579">
      <x:c r="A2579" s="52" t="n">
        <x:v>46057</x:v>
      </x:c>
      <x:c r="B2579" t="str">
        <x:v>PED-102578</x:v>
      </x:c>
      <x:c r="C2579" t="str">
        <x:v>Cliente 007</x:v>
      </x:c>
      <x:c r="D2579" t="str">
        <x:v>RS</x:v>
      </x:c>
      <x:c r="E2579" t="str">
        <x:v>Sul</x:v>
      </x:c>
      <x:c r="F2579" t="str">
        <x:v>Marketplace</x:v>
      </x:c>
      <x:c r="G2579" t="str">
        <x:v>Tecnologia</x:v>
      </x:c>
      <x:c r="H2579" t="str">
        <x:v>Notebook Pro</x:v>
      </x:c>
      <x:c r="I2579" t="str">
        <x:v>Elaine</x:v>
      </x:c>
      <x:c r="J2579" s="53" t="n">
        <x:v>2</x:v>
      </x:c>
      <x:c r="K2579" s="54" t="n">
        <x:v>5962.18</x:v>
      </x:c>
      <x:c r="L2579" s="54" t="n">
        <x:v>4476.73</x:v>
      </x:c>
      <x:c r="M2579" s="55" t="n">
        <x:v>0.035</x:v>
      </x:c>
      <x:c r="N2579" s="54" t="n">
        <x:f>ROUND(J2579*K2579,2)</x:f>
        <x:v>11924.36</x:v>
      </x:c>
      <x:c r="O2579" s="54" t="n">
        <x:f>ROUND(N2579*(1-M2579),2)</x:f>
        <x:v>11507.01</x:v>
      </x:c>
      <x:c r="P2579" s="54" t="n">
        <x:f>ROUND(J2579*L2579,2)</x:f>
        <x:v>8953.46</x:v>
      </x:c>
      <x:c r="Q2579" s="54" t="n">
        <x:f>ROUND(O2579-P2579,2)</x:f>
        <x:v>2553.55</x:v>
      </x:c>
      <x:c r="R2579" s="55" t="n">
        <x:f>IF(O2579=0,0,ROUND(Q2579/O2579,4))</x:f>
        <x:v>0.2219</x:v>
      </x:c>
      <x:c r="S2579" s="53" t="n">
        <x:v>3</x:v>
      </x:c>
      <x:c r="T2579" t="str">
        <x:v>Entregue</x:v>
      </x:c>
      <x:c r="U2579" t="n">
        <x:v>3</x:v>
      </x:c>
      <x:c r="V2579" t="str"/>
    </x:row>
    <x:row r="2580">
      <x:c r="A2580" s="52" t="n">
        <x:v>46151</x:v>
      </x:c>
      <x:c r="B2580" t="str">
        <x:v>PED-102579</x:v>
      </x:c>
      <x:c r="C2580" t="str">
        <x:v>Cliente 070</x:v>
      </x:c>
      <x:c r="D2580" t="str">
        <x:v>PA</x:v>
      </x:c>
      <x:c r="E2580" t="str">
        <x:v>Norte</x:v>
      </x:c>
      <x:c r="F2580" t="str">
        <x:v>Televendas</x:v>
      </x:c>
      <x:c r="G2580" t="str">
        <x:v>Tecnologia</x:v>
      </x:c>
      <x:c r="H2580" t="str">
        <x:v>Monitor 27</x:v>
      </x:c>
      <x:c r="I2580" t="str">
        <x:v>Gabriela</x:v>
      </x:c>
      <x:c r="J2580" s="53" t="n">
        <x:v>6</x:v>
      </x:c>
      <x:c r="K2580" s="54" t="n">
        <x:v>1668.38</x:v>
      </x:c>
      <x:c r="L2580" s="54" t="n">
        <x:v>1156.89</x:v>
      </x:c>
      <x:c r="M2580" s="55" t="n">
        <x:v>0.0937</x:v>
      </x:c>
      <x:c r="N2580" s="54" t="n">
        <x:f>ROUND(J2580*K2580,2)</x:f>
        <x:v>10010.28</x:v>
      </x:c>
      <x:c r="O2580" s="54" t="n">
        <x:f>ROUND(N2580*(1-M2580),2)</x:f>
        <x:v>9072.32</x:v>
      </x:c>
      <x:c r="P2580" s="54" t="n">
        <x:f>ROUND(J2580*L2580,2)</x:f>
        <x:v>6941.34</x:v>
      </x:c>
      <x:c r="Q2580" s="54" t="n">
        <x:f>ROUND(O2580-P2580,2)</x:f>
        <x:v>2130.98</x:v>
      </x:c>
      <x:c r="R2580" s="55" t="n">
        <x:f>IF(O2580=0,0,ROUND(Q2580/O2580,4))</x:f>
        <x:v>0.2349</x:v>
      </x:c>
      <x:c r="S2580" s="53" t="n">
        <x:v>7</x:v>
      </x:c>
      <x:c r="T2580" t="str">
        <x:v>Entregue</x:v>
      </x:c>
      <x:c r="U2580" t="n">
        <x:v>2</x:v>
      </x:c>
      <x:c r="V2580" t="str"/>
    </x:row>
    <x:row r="2581">
      <x:c r="A2581" s="52" t="n">
        <x:v>46047</x:v>
      </x:c>
      <x:c r="B2581" t="str">
        <x:v>PED-102580</x:v>
      </x:c>
      <x:c r="C2581" t="str">
        <x:v>Cliente 010</x:v>
      </x:c>
      <x:c r="D2581" t="str">
        <x:v>ES</x:v>
      </x:c>
      <x:c r="E2581" t="str">
        <x:v>Sudeste</x:v>
      </x:c>
      <x:c r="F2581" t="str">
        <x:v>Marketplace</x:v>
      </x:c>
      <x:c r="G2581" t="str">
        <x:v>Casa</x:v>
      </x:c>
      <x:c r="H2581" t="str">
        <x:v>Aspirador Robô</x:v>
      </x:c>
      <x:c r="I2581" t="str">
        <x:v>Diego</x:v>
      </x:c>
      <x:c r="J2581" s="53" t="n">
        <x:v>8</x:v>
      </x:c>
      <x:c r="K2581" s="54" t="n">
        <x:v>1804.03</x:v>
      </x:c>
      <x:c r="L2581" s="54" t="n">
        <x:v>1207.08</x:v>
      </x:c>
      <x:c r="M2581" s="55" t="n">
        <x:v>0.049</x:v>
      </x:c>
      <x:c r="N2581" s="54" t="n">
        <x:f>ROUND(J2581*K2581,2)</x:f>
        <x:v>14432.24</x:v>
      </x:c>
      <x:c r="O2581" s="54" t="n">
        <x:f>ROUND(N2581*(1-M2581),2)</x:f>
        <x:v>13725.06</x:v>
      </x:c>
      <x:c r="P2581" s="54" t="n">
        <x:f>ROUND(J2581*L2581,2)</x:f>
        <x:v>9656.64</x:v>
      </x:c>
      <x:c r="Q2581" s="54" t="n">
        <x:f>ROUND(O2581-P2581,2)</x:f>
        <x:v>4068.42</x:v>
      </x:c>
      <x:c r="R2581" s="55" t="n">
        <x:f>IF(O2581=0,0,ROUND(Q2581/O2581,4))</x:f>
        <x:v>0.2964</x:v>
      </x:c>
      <x:c r="S2581" s="53" t="n">
        <x:v>14</x:v>
      </x:c>
      <x:c r="T2581" t="str">
        <x:v>Entregue com atraso</x:v>
      </x:c>
      <x:c r="U2581" t="n">
        <x:v>4</x:v>
      </x:c>
      <x:c r="V2581" t="str"/>
    </x:row>
    <x:row r="2582">
      <x:c r="A2582" s="52" t="n">
        <x:v>46182</x:v>
      </x:c>
      <x:c r="B2582" t="str">
        <x:v>PED-102581</x:v>
      </x:c>
      <x:c r="C2582" t="str">
        <x:v>Cliente 118</x:v>
      </x:c>
      <x:c r="D2582" t="str">
        <x:v>AM</x:v>
      </x:c>
      <x:c r="E2582" t="str">
        <x:v>Norte</x:v>
      </x:c>
      <x:c r="F2582" t="str">
        <x:v>Televendas</x:v>
      </x:c>
      <x:c r="G2582" t="str">
        <x:v>Acessórios</x:v>
      </x:c>
      <x:c r="H2582" t="str">
        <x:v>Mochila Executiva</x:v>
      </x:c>
      <x:c r="I2582" t="str">
        <x:v>Felipe</x:v>
      </x:c>
      <x:c r="J2582" s="53" t="n">
        <x:v>1</x:v>
      </x:c>
      <x:c r="K2582" s="54" t="n">
        <x:v>440.14</x:v>
      </x:c>
      <x:c r="L2582" s="54" t="n">
        <x:v>203.13</x:v>
      </x:c>
      <x:c r="M2582" s="55" t="n">
        <x:v>0</x:v>
      </x:c>
      <x:c r="N2582" s="54" t="n">
        <x:f>ROUND(J2582*K2582,2)</x:f>
        <x:v>440.14</x:v>
      </x:c>
      <x:c r="O2582" s="54" t="n">
        <x:f>ROUND(N2582*(1-M2582),2)</x:f>
        <x:v>440.14</x:v>
      </x:c>
      <x:c r="P2582" s="54" t="n">
        <x:f>ROUND(J2582*L2582,2)</x:f>
        <x:v>203.13</x:v>
      </x:c>
      <x:c r="Q2582" s="54" t="n">
        <x:f>ROUND(O2582-P2582,2)</x:f>
        <x:v>237.01</x:v>
      </x:c>
      <x:c r="R2582" s="55" t="n">
        <x:f>IF(O2582=0,0,ROUND(Q2582/O2582,4))</x:f>
        <x:v>0.5385</x:v>
      </x:c>
      <x:c r="S2582" s="53" t="n">
        <x:v>8</x:v>
      </x:c>
      <x:c r="T2582" t="str">
        <x:v>Entregue</x:v>
      </x:c>
      <x:c r="U2582" t="n">
        <x:v>4</x:v>
      </x:c>
      <x:c r="V2582" t="str"/>
    </x:row>
    <x:row r="2583">
      <x:c r="A2583" s="52" t="n">
        <x:v>46048</x:v>
      </x:c>
      <x:c r="B2583" t="str">
        <x:v>PED-102582</x:v>
      </x:c>
      <x:c r="C2583" t="str">
        <x:v>Cliente 071</x:v>
      </x:c>
      <x:c r="D2583" t="str">
        <x:v>BA</x:v>
      </x:c>
      <x:c r="E2583" t="str">
        <x:v>Nordeste</x:v>
      </x:c>
      <x:c r="F2583" t="str">
        <x:v>Loja</x:v>
      </x:c>
      <x:c r="G2583" t="str">
        <x:v>Casa</x:v>
      </x:c>
      <x:c r="H2583" t="str">
        <x:v>Aspirador Robô</x:v>
      </x:c>
      <x:c r="I2583" t="str">
        <x:v>João</x:v>
      </x:c>
      <x:c r="J2583" s="53" t="n">
        <x:v>6</x:v>
      </x:c>
      <x:c r="K2583" s="54" t="n">
        <x:v>1784.29</x:v>
      </x:c>
      <x:c r="L2583" s="54" t="n">
        <x:v>1229.33</x:v>
      </x:c>
      <x:c r="M2583" s="55" t="n">
        <x:v>0</x:v>
      </x:c>
      <x:c r="N2583" s="54" t="n">
        <x:f>ROUND(J2583*K2583,2)</x:f>
        <x:v>10705.74</x:v>
      </x:c>
      <x:c r="O2583" s="54" t="n">
        <x:f>ROUND(N2583*(1-M2583),2)</x:f>
        <x:v>10705.74</x:v>
      </x:c>
      <x:c r="P2583" s="54" t="n">
        <x:f>ROUND(J2583*L2583,2)</x:f>
        <x:v>7375.98</x:v>
      </x:c>
      <x:c r="Q2583" s="54" t="n">
        <x:f>ROUND(O2583-P2583,2)</x:f>
        <x:v>3329.76</x:v>
      </x:c>
      <x:c r="R2583" s="55" t="n">
        <x:f>IF(O2583=0,0,ROUND(Q2583/O2583,4))</x:f>
        <x:v>0.311</x:v>
      </x:c>
      <x:c r="S2583" s="53" t="n">
        <x:v>10</x:v>
      </x:c>
      <x:c r="T2583" t="str">
        <x:v>Entregue</x:v>
      </x:c>
      <x:c r="U2583" t="n">
        <x:v>2</x:v>
      </x:c>
      <x:c r="V2583" t="str"/>
    </x:row>
    <x:row r="2584">
      <x:c r="A2584" s="52" t="n">
        <x:v>46094</x:v>
      </x:c>
      <x:c r="B2584" t="str">
        <x:v>PED-102583</x:v>
      </x:c>
      <x:c r="C2584" t="str">
        <x:v>Cliente 106</x:v>
      </x:c>
      <x:c r="D2584" t="str">
        <x:v>MT</x:v>
      </x:c>
      <x:c r="E2584" t="str">
        <x:v>Centro-Oeste</x:v>
      </x:c>
      <x:c r="F2584" t="str">
        <x:v>E-commerce</x:v>
      </x:c>
      <x:c r="G2584" t="str">
        <x:v>Tecnologia</x:v>
      </x:c>
      <x:c r="H2584" t="str">
        <x:v>Notebook Pro</x:v>
      </x:c>
      <x:c r="I2584" t="str">
        <x:v>Diego</x:v>
      </x:c>
      <x:c r="J2584" s="53" t="n">
        <x:v>1</x:v>
      </x:c>
      <x:c r="K2584" s="54" t="n">
        <x:v>6051.69</x:v>
      </x:c>
      <x:c r="L2584" s="54" t="n">
        <x:v>4507.91</x:v>
      </x:c>
      <x:c r="M2584" s="55" t="n">
        <x:v>0</x:v>
      </x:c>
      <x:c r="N2584" s="54" t="n">
        <x:f>ROUND(J2584*K2584,2)</x:f>
        <x:v>6051.69</x:v>
      </x:c>
      <x:c r="O2584" s="54" t="n">
        <x:f>ROUND(N2584*(1-M2584),2)</x:f>
        <x:v>6051.69</x:v>
      </x:c>
      <x:c r="P2584" s="54" t="n">
        <x:f>ROUND(J2584*L2584,2)</x:f>
        <x:v>4507.91</x:v>
      </x:c>
      <x:c r="Q2584" s="54" t="n">
        <x:f>ROUND(O2584-P2584,2)</x:f>
        <x:v>1543.78</x:v>
      </x:c>
      <x:c r="R2584" s="55" t="n">
        <x:f>IF(O2584=0,0,ROUND(Q2584/O2584,4))</x:f>
        <x:v>0.2551</x:v>
      </x:c>
      <x:c r="S2584" s="53" t="n">
        <x:v>3</x:v>
      </x:c>
      <x:c r="T2584" t="str">
        <x:v>Entregue</x:v>
      </x:c>
      <x:c r="U2584" t="n">
        <x:v>3</x:v>
      </x:c>
      <x:c r="V2584" t="str"/>
    </x:row>
    <x:row r="2585">
      <x:c r="A2585" s="52" t="n">
        <x:v>46049</x:v>
      </x:c>
      <x:c r="B2585" t="str">
        <x:v>PED-102584</x:v>
      </x:c>
      <x:c r="C2585" t="str">
        <x:v>Cliente 045</x:v>
      </x:c>
      <x:c r="D2585" t="str">
        <x:v>MG</x:v>
      </x:c>
      <x:c r="E2585" t="str">
        <x:v>Sudeste</x:v>
      </x:c>
      <x:c r="F2585" t="str">
        <x:v>Loja</x:v>
      </x:c>
      <x:c r="G2585" t="str">
        <x:v>Escritório</x:v>
      </x:c>
      <x:c r="H2585" t="str">
        <x:v>Luminária LED</x:v>
      </x:c>
      <x:c r="I2585" t="str">
        <x:v>João</x:v>
      </x:c>
      <x:c r="J2585" s="53" t="n">
        <x:v>3</x:v>
      </x:c>
      <x:c r="K2585" s="54" t="n">
        <x:v>256.64</x:v>
      </x:c>
      <x:c r="L2585" s="54" t="n">
        <x:v>116.17</x:v>
      </x:c>
      <x:c r="M2585" s="55" t="n">
        <x:v>0.0405</x:v>
      </x:c>
      <x:c r="N2585" s="54" t="n">
        <x:f>ROUND(J2585*K2585,2)</x:f>
        <x:v>769.92</x:v>
      </x:c>
      <x:c r="O2585" s="54" t="n">
        <x:f>ROUND(N2585*(1-M2585),2)</x:f>
        <x:v>738.74</x:v>
      </x:c>
      <x:c r="P2585" s="54" t="n">
        <x:f>ROUND(J2585*L2585,2)</x:f>
        <x:v>348.51</x:v>
      </x:c>
      <x:c r="Q2585" s="54" t="n">
        <x:f>ROUND(O2585-P2585,2)</x:f>
        <x:v>390.23</x:v>
      </x:c>
      <x:c r="R2585" s="55" t="n">
        <x:f>IF(O2585=0,0,ROUND(Q2585/O2585,4))</x:f>
        <x:v>0.5282</x:v>
      </x:c>
      <x:c r="S2585" s="53" t="n">
        <x:v>8</x:v>
      </x:c>
      <x:c r="T2585" t="str">
        <x:v>Entregue</x:v>
      </x:c>
      <x:c r="U2585" t="n">
        <x:v>3</x:v>
      </x:c>
      <x:c r="V2585" t="str"/>
    </x:row>
    <x:row r="2586">
      <x:c r="A2586" s="52" t="n">
        <x:v>46123</x:v>
      </x:c>
      <x:c r="B2586" t="str">
        <x:v>PED-102585</x:v>
      </x:c>
      <x:c r="C2586" t="str">
        <x:v>Cliente 101</x:v>
      </x:c>
      <x:c r="D2586" t="str">
        <x:v>CE</x:v>
      </x:c>
      <x:c r="E2586" t="str">
        <x:v>Nordeste</x:v>
      </x:c>
      <x:c r="F2586" t="str">
        <x:v>E-commerce</x:v>
      </x:c>
      <x:c r="G2586" t="str">
        <x:v>Casa</x:v>
      </x:c>
      <x:c r="H2586" t="str">
        <x:v>Cafeteira Smart</x:v>
      </x:c>
      <x:c r="I2586" t="str">
        <x:v>Elaine</x:v>
      </x:c>
      <x:c r="J2586" s="53" t="n">
        <x:v>4</x:v>
      </x:c>
      <x:c r="K2586" s="54" t="n">
        <x:v>812.64</x:v>
      </x:c>
      <x:c r="L2586" s="54" t="n">
        <x:v>465.61</x:v>
      </x:c>
      <x:c r="M2586" s="55" t="n">
        <x:v>0.0218</x:v>
      </x:c>
      <x:c r="N2586" s="54" t="n">
        <x:f>ROUND(J2586*K2586,2)</x:f>
        <x:v>3250.56</x:v>
      </x:c>
      <x:c r="O2586" s="54" t="n">
        <x:f>ROUND(N2586*(1-M2586),2)</x:f>
        <x:v>3179.7</x:v>
      </x:c>
      <x:c r="P2586" s="54" t="n">
        <x:f>ROUND(J2586*L2586,2)</x:f>
        <x:v>1862.44</x:v>
      </x:c>
      <x:c r="Q2586" s="54" t="n">
        <x:f>ROUND(O2586-P2586,2)</x:f>
        <x:v>1317.26</x:v>
      </x:c>
      <x:c r="R2586" s="55" t="n">
        <x:f>IF(O2586=0,0,ROUND(Q2586/O2586,4))</x:f>
        <x:v>0.4143</x:v>
      </x:c>
      <x:c r="S2586" s="53" t="n">
        <x:v>4</x:v>
      </x:c>
      <x:c r="T2586" t="str">
        <x:v>Entregue</x:v>
      </x:c>
      <x:c r="U2586" t="n">
        <x:v>3</x:v>
      </x:c>
      <x:c r="V2586" t="str"/>
    </x:row>
    <x:row r="2587">
      <x:c r="A2587" s="52" t="n">
        <x:v>46190</x:v>
      </x:c>
      <x:c r="B2587" t="str">
        <x:v>PED-102586</x:v>
      </x:c>
      <x:c r="C2587" t="str">
        <x:v>Cliente 057</x:v>
      </x:c>
      <x:c r="D2587" t="str">
        <x:v>MA</x:v>
      </x:c>
      <x:c r="E2587" t="str">
        <x:v>Nordeste</x:v>
      </x:c>
      <x:c r="F2587" t="str">
        <x:v>E-commerce</x:v>
      </x:c>
      <x:c r="G2587" t="str">
        <x:v>Tecnologia</x:v>
      </x:c>
      <x:c r="H2587" t="str">
        <x:v>Headset Office</x:v>
      </x:c>
      <x:c r="I2587" t="str">
        <x:v>Elaine</x:v>
      </x:c>
      <x:c r="J2587" s="53" t="n">
        <x:v>1</x:v>
      </x:c>
      <x:c r="K2587" s="54" t="n">
        <x:v>402.93</x:v>
      </x:c>
      <x:c r="L2587" s="54" t="n">
        <x:v>212.73</x:v>
      </x:c>
      <x:c r="M2587" s="55" t="n">
        <x:v>0</x:v>
      </x:c>
      <x:c r="N2587" s="54" t="n">
        <x:f>ROUND(J2587*K2587,2)</x:f>
        <x:v>402.93</x:v>
      </x:c>
      <x:c r="O2587" s="54" t="n">
        <x:f>ROUND(N2587*(1-M2587),2)</x:f>
        <x:v>402.93</x:v>
      </x:c>
      <x:c r="P2587" s="54" t="n">
        <x:f>ROUND(J2587*L2587,2)</x:f>
        <x:v>212.73</x:v>
      </x:c>
      <x:c r="Q2587" s="54" t="n">
        <x:f>ROUND(O2587-P2587,2)</x:f>
        <x:v>190.2</x:v>
      </x:c>
      <x:c r="R2587" s="55" t="n">
        <x:f>IF(O2587=0,0,ROUND(Q2587/O2587,4))</x:f>
        <x:v>0.472</x:v>
      </x:c>
      <x:c r="S2587" s="53" t="n">
        <x:v>7</x:v>
      </x:c>
      <x:c r="T2587" t="str">
        <x:v>Entregue</x:v>
      </x:c>
      <x:c r="U2587" t="n">
        <x:v>2</x:v>
      </x:c>
      <x:c r="V2587" t="str"/>
    </x:row>
    <x:row r="2588">
      <x:c r="A2588" s="52" t="n">
        <x:v>46225</x:v>
      </x:c>
      <x:c r="B2588" t="str">
        <x:v>PED-102587</x:v>
      </x:c>
      <x:c r="C2588" t="str">
        <x:v>Cliente 019</x:v>
      </x:c>
      <x:c r="D2588" t="str">
        <x:v>PA</x:v>
      </x:c>
      <x:c r="E2588" t="str">
        <x:v>Norte</x:v>
      </x:c>
      <x:c r="F2588" t="str">
        <x:v>E-commerce</x:v>
      </x:c>
      <x:c r="G2588" t="str">
        <x:v>Tecnologia</x:v>
      </x:c>
      <x:c r="H2588" t="str">
        <x:v>Monitor 27</x:v>
      </x:c>
      <x:c r="I2588" t="str">
        <x:v>Bruno</x:v>
      </x:c>
      <x:c r="J2588" s="53" t="n">
        <x:v>4</x:v>
      </x:c>
      <x:c r="K2588" s="54" t="n">
        <x:v>1745.96</x:v>
      </x:c>
      <x:c r="L2588" s="54" t="n">
        <x:v>1128.94</x:v>
      </x:c>
      <x:c r="M2588" s="55" t="n">
        <x:v>0</x:v>
      </x:c>
      <x:c r="N2588" s="54" t="n">
        <x:f>ROUND(J2588*K2588,2)</x:f>
        <x:v>6983.84</x:v>
      </x:c>
      <x:c r="O2588" s="54" t="n">
        <x:f>ROUND(N2588*(1-M2588),2)</x:f>
        <x:v>6983.84</x:v>
      </x:c>
      <x:c r="P2588" s="54" t="n">
        <x:f>ROUND(J2588*L2588,2)</x:f>
        <x:v>4515.76</x:v>
      </x:c>
      <x:c r="Q2588" s="54" t="n">
        <x:f>ROUND(O2588-P2588,2)</x:f>
        <x:v>2468.08</x:v>
      </x:c>
      <x:c r="R2588" s="55" t="n">
        <x:f>IF(O2588=0,0,ROUND(Q2588/O2588,4))</x:f>
        <x:v>0.3534</x:v>
      </x:c>
      <x:c r="S2588" s="53" t="n">
        <x:v>11</x:v>
      </x:c>
      <x:c r="T2588" t="str">
        <x:v>Entregue com atraso</x:v>
      </x:c>
      <x:c r="U2588" t="n">
        <x:v>2</x:v>
      </x:c>
      <x:c r="V2588" t="str"/>
    </x:row>
    <x:row r="2589">
      <x:c r="A2589" s="52" t="n">
        <x:v>46135</x:v>
      </x:c>
      <x:c r="B2589" t="str">
        <x:v>PED-102588</x:v>
      </x:c>
      <x:c r="C2589" t="str">
        <x:v>Cliente 006</x:v>
      </x:c>
      <x:c r="D2589" t="str">
        <x:v>PA</x:v>
      </x:c>
      <x:c r="E2589" t="str">
        <x:v>Norte</x:v>
      </x:c>
      <x:c r="F2589" t="str">
        <x:v>Loja</x:v>
      </x:c>
      <x:c r="G2589" t="str">
        <x:v>Escritório</x:v>
      </x:c>
      <x:c r="H2589" t="str">
        <x:v>Mesa Ajustável</x:v>
      </x:c>
      <x:c r="I2589" t="str">
        <x:v>Gabriela</x:v>
      </x:c>
      <x:c r="J2589" s="53" t="n">
        <x:v>2</x:v>
      </x:c>
      <x:c r="K2589" s="54" t="n">
        <x:v>2636.92</x:v>
      </x:c>
      <x:c r="L2589" s="54" t="n">
        <x:v>1923.09</x:v>
      </x:c>
      <x:c r="M2589" s="55" t="n">
        <x:v>0.0526</x:v>
      </x:c>
      <x:c r="N2589" s="54" t="n">
        <x:f>ROUND(J2589*K2589,2)</x:f>
        <x:v>5273.84</x:v>
      </x:c>
      <x:c r="O2589" s="54" t="n">
        <x:f>ROUND(N2589*(1-M2589),2)</x:f>
        <x:v>4996.44</x:v>
      </x:c>
      <x:c r="P2589" s="54" t="n">
        <x:f>ROUND(J2589*L2589,2)</x:f>
        <x:v>3846.18</x:v>
      </x:c>
      <x:c r="Q2589" s="54" t="n">
        <x:f>ROUND(O2589-P2589,2)</x:f>
        <x:v>1150.26</x:v>
      </x:c>
      <x:c r="R2589" s="55" t="n">
        <x:f>IF(O2589=0,0,ROUND(Q2589/O2589,4))</x:f>
        <x:v>0.2302</x:v>
      </x:c>
      <x:c r="S2589" s="53" t="n">
        <x:v>6</x:v>
      </x:c>
      <x:c r="T2589" t="str">
        <x:v>Entregue</x:v>
      </x:c>
      <x:c r="U2589" t="n">
        <x:v>5</x:v>
      </x:c>
      <x:c r="V2589" t="str"/>
    </x:row>
    <x:row r="2590">
      <x:c r="A2590" s="52" t="n">
        <x:v>46148</x:v>
      </x:c>
      <x:c r="B2590" t="str">
        <x:v>PED-102589</x:v>
      </x:c>
      <x:c r="C2590" t="str">
        <x:v>Cliente 067</x:v>
      </x:c>
      <x:c r="D2590" t="str">
        <x:v>MG</x:v>
      </x:c>
      <x:c r="E2590" t="str">
        <x:v>Sudeste</x:v>
      </x:c>
      <x:c r="F2590" t="str">
        <x:v>Marketplace</x:v>
      </x:c>
      <x:c r="G2590" t="str">
        <x:v>Escritório</x:v>
      </x:c>
      <x:c r="H2590" t="str">
        <x:v>Luminária LED</x:v>
      </x:c>
      <x:c r="I2590" t="str">
        <x:v>Henrique</x:v>
      </x:c>
      <x:c r="J2590" s="53" t="n">
        <x:v>4</x:v>
      </x:c>
      <x:c r="K2590" s="54" t="n">
        <x:v>255.55</x:v>
      </x:c>
      <x:c r="L2590" s="54" t="n">
        <x:v>115.52</x:v>
      </x:c>
      <x:c r="M2590" s="55" t="n">
        <x:v>0.035</x:v>
      </x:c>
      <x:c r="N2590" s="54" t="n">
        <x:f>ROUND(J2590*K2590,2)</x:f>
        <x:v>1022.2</x:v>
      </x:c>
      <x:c r="O2590" s="54" t="n">
        <x:f>ROUND(N2590*(1-M2590),2)</x:f>
        <x:v>986.42</x:v>
      </x:c>
      <x:c r="P2590" s="54" t="n">
        <x:f>ROUND(J2590*L2590,2)</x:f>
        <x:v>462.08</x:v>
      </x:c>
      <x:c r="Q2590" s="54" t="n">
        <x:f>ROUND(O2590-P2590,2)</x:f>
        <x:v>524.34</x:v>
      </x:c>
      <x:c r="R2590" s="55" t="n">
        <x:f>IF(O2590=0,0,ROUND(Q2590/O2590,4))</x:f>
        <x:v>0.5316</x:v>
      </x:c>
      <x:c r="S2590" s="53" t="n">
        <x:v>3</x:v>
      </x:c>
      <x:c r="T2590" t="str">
        <x:v>Entregue</x:v>
      </x:c>
      <x:c r="U2590" t="n">
        <x:v>5</x:v>
      </x:c>
      <x:c r="V2590" t="str"/>
    </x:row>
    <x:row r="2591">
      <x:c r="A2591" s="52" t="n">
        <x:v>46230</x:v>
      </x:c>
      <x:c r="B2591" t="str">
        <x:v>PED-102590</x:v>
      </x:c>
      <x:c r="C2591" t="str">
        <x:v>Cliente 009</x:v>
      </x:c>
      <x:c r="D2591" t="str">
        <x:v>AM</x:v>
      </x:c>
      <x:c r="E2591" t="str">
        <x:v>Norte</x:v>
      </x:c>
      <x:c r="F2591" t="str">
        <x:v>Marketplace</x:v>
      </x:c>
      <x:c r="G2591" t="str">
        <x:v>Casa</x:v>
      </x:c>
      <x:c r="H2591" t="str">
        <x:v>Aspirador Robô</x:v>
      </x:c>
      <x:c r="I2591" t="str">
        <x:v>Isabela</x:v>
      </x:c>
      <x:c r="J2591" s="53" t="n">
        <x:v>7</x:v>
      </x:c>
      <x:c r="K2591" s="54" t="n">
        <x:v>1791.98</x:v>
      </x:c>
      <x:c r="L2591" s="54" t="n">
        <x:v>1270.69</x:v>
      </x:c>
      <x:c r="M2591" s="55" t="n">
        <x:v>0.0775</x:v>
      </x:c>
      <x:c r="N2591" s="54" t="n">
        <x:f>ROUND(J2591*K2591,2)</x:f>
        <x:v>12543.86</x:v>
      </x:c>
      <x:c r="O2591" s="54" t="n">
        <x:f>ROUND(N2591*(1-M2591),2)</x:f>
        <x:v>11571.71</x:v>
      </x:c>
      <x:c r="P2591" s="54" t="n">
        <x:f>ROUND(J2591*L2591,2)</x:f>
        <x:v>8894.83</x:v>
      </x:c>
      <x:c r="Q2591" s="54" t="n">
        <x:f>ROUND(O2591-P2591,2)</x:f>
        <x:v>2676.88</x:v>
      </x:c>
      <x:c r="R2591" s="55" t="n">
        <x:f>IF(O2591=0,0,ROUND(Q2591/O2591,4))</x:f>
        <x:v>0.2313</x:v>
      </x:c>
      <x:c r="S2591" s="53" t="n">
        <x:v>9</x:v>
      </x:c>
      <x:c r="T2591" t="str">
        <x:v>Entregue</x:v>
      </x:c>
      <x:c r="U2591" t="n">
        <x:v>4</x:v>
      </x:c>
      <x:c r="V2591" t="str"/>
    </x:row>
    <x:row r="2592">
      <x:c r="A2592" s="52" t="n">
        <x:v>46041</x:v>
      </x:c>
      <x:c r="B2592" t="str">
        <x:v>PED-102591</x:v>
      </x:c>
      <x:c r="C2592" t="str">
        <x:v>Cliente 108</x:v>
      </x:c>
      <x:c r="D2592" t="str">
        <x:v>PA</x:v>
      </x:c>
      <x:c r="E2592" t="str">
        <x:v>Norte</x:v>
      </x:c>
      <x:c r="F2592" t="str">
        <x:v>Televendas</x:v>
      </x:c>
      <x:c r="G2592" t="str">
        <x:v>Tecnologia</x:v>
      </x:c>
      <x:c r="H2592" t="str">
        <x:v>Monitor 27</x:v>
      </x:c>
      <x:c r="I2592" t="str">
        <x:v>Felipe</x:v>
      </x:c>
      <x:c r="J2592" s="53" t="n">
        <x:v>3</x:v>
      </x:c>
      <x:c r="K2592" s="54" t="n">
        <x:v>1608.33</x:v>
      </x:c>
      <x:c r="L2592" s="54" t="n">
        <x:v>1094.83</x:v>
      </x:c>
      <x:c r="M2592" s="55" t="n">
        <x:v>0.0099</x:v>
      </x:c>
      <x:c r="N2592" s="54" t="n">
        <x:f>ROUND(J2592*K2592,2)</x:f>
        <x:v>4824.99</x:v>
      </x:c>
      <x:c r="O2592" s="54" t="n">
        <x:f>ROUND(N2592*(1-M2592),2)</x:f>
        <x:v>4777.22</x:v>
      </x:c>
      <x:c r="P2592" s="54" t="n">
        <x:f>ROUND(J2592*L2592,2)</x:f>
        <x:v>3284.49</x:v>
      </x:c>
      <x:c r="Q2592" s="54" t="n">
        <x:f>ROUND(O2592-P2592,2)</x:f>
        <x:v>1492.73</x:v>
      </x:c>
      <x:c r="R2592" s="55" t="n">
        <x:f>IF(O2592=0,0,ROUND(Q2592/O2592,4))</x:f>
        <x:v>0.3125</x:v>
      </x:c>
      <x:c r="S2592" s="53" t="n">
        <x:v>3</x:v>
      </x:c>
      <x:c r="T2592" t="str">
        <x:v>Entregue</x:v>
      </x:c>
      <x:c r="U2592" t="n">
        <x:v>3</x:v>
      </x:c>
      <x:c r="V2592" t="str"/>
    </x:row>
    <x:row r="2593">
      <x:c r="A2593" s="52" t="n">
        <x:v>46150</x:v>
      </x:c>
      <x:c r="B2593" t="str">
        <x:v>PED-102592</x:v>
      </x:c>
      <x:c r="C2593" t="str">
        <x:v>Cliente 024</x:v>
      </x:c>
      <x:c r="D2593" t="str">
        <x:v>SP</x:v>
      </x:c>
      <x:c r="E2593" t="str">
        <x:v>Sudeste</x:v>
      </x:c>
      <x:c r="F2593" t="str">
        <x:v>Marketplace</x:v>
      </x:c>
      <x:c r="G2593" t="str">
        <x:v>Casa</x:v>
      </x:c>
      <x:c r="H2593" t="str">
        <x:v>Aspirador Robô</x:v>
      </x:c>
      <x:c r="I2593" t="str">
        <x:v>Isabela</x:v>
      </x:c>
      <x:c r="J2593" s="53" t="n">
        <x:v>6</x:v>
      </x:c>
      <x:c r="K2593" s="54" t="n">
        <x:v>1912.26</x:v>
      </x:c>
      <x:c r="L2593" s="54" t="n">
        <x:v>1223.12</x:v>
      </x:c>
      <x:c r="M2593" s="55" t="n">
        <x:v>0.0656</x:v>
      </x:c>
      <x:c r="N2593" s="54" t="n">
        <x:f>ROUND(J2593*K2593,2)</x:f>
        <x:v>11473.56</x:v>
      </x:c>
      <x:c r="O2593" s="54" t="n">
        <x:f>ROUND(N2593*(1-M2593),2)</x:f>
        <x:v>10720.89</x:v>
      </x:c>
      <x:c r="P2593" s="54" t="n">
        <x:f>ROUND(J2593*L2593,2)</x:f>
        <x:v>7338.72</x:v>
      </x:c>
      <x:c r="Q2593" s="54" t="n">
        <x:f>ROUND(O2593-P2593,2)</x:f>
        <x:v>3382.17</x:v>
      </x:c>
      <x:c r="R2593" s="55" t="n">
        <x:f>IF(O2593=0,0,ROUND(Q2593/O2593,4))</x:f>
        <x:v>0.3155</x:v>
      </x:c>
      <x:c r="S2593" s="53" t="n">
        <x:v>5</x:v>
      </x:c>
      <x:c r="T2593" t="str">
        <x:v>Entregue</x:v>
      </x:c>
      <x:c r="U2593" t="n">
        <x:v>5</x:v>
      </x:c>
      <x:c r="V2593" t="str"/>
    </x:row>
    <x:row r="2594">
      <x:c r="A2594" s="52" t="n">
        <x:v>46121</x:v>
      </x:c>
      <x:c r="B2594" t="str">
        <x:v>PED-102593</x:v>
      </x:c>
      <x:c r="C2594" t="str">
        <x:v>Cliente 068</x:v>
      </x:c>
      <x:c r="D2594" t="str">
        <x:v>AM</x:v>
      </x:c>
      <x:c r="E2594" t="str">
        <x:v>Norte</x:v>
      </x:c>
      <x:c r="F2594" t="str">
        <x:v>Loja</x:v>
      </x:c>
      <x:c r="G2594" t="str">
        <x:v>Acessórios</x:v>
      </x:c>
      <x:c r="H2594" t="str">
        <x:v>Mochila Executiva</x:v>
      </x:c>
      <x:c r="I2594" t="str">
        <x:v>Henrique</x:v>
      </x:c>
      <x:c r="J2594" s="53" t="n">
        <x:v>8</x:v>
      </x:c>
      <x:c r="K2594" s="54" t="n">
        <x:v>439.05</x:v>
      </x:c>
      <x:c r="L2594" s="54" t="n">
        <x:v>204.81</x:v>
      </x:c>
      <x:c r="M2594" s="55" t="n">
        <x:v>0.0737</x:v>
      </x:c>
      <x:c r="N2594" s="54" t="n">
        <x:f>ROUND(J2594*K2594,2)</x:f>
        <x:v>3512.4</x:v>
      </x:c>
      <x:c r="O2594" s="54" t="n">
        <x:f>ROUND(N2594*(1-M2594),2)</x:f>
        <x:v>3253.54</x:v>
      </x:c>
      <x:c r="P2594" s="54" t="n">
        <x:f>ROUND(J2594*L2594,2)</x:f>
        <x:v>1638.48</x:v>
      </x:c>
      <x:c r="Q2594" s="54" t="n">
        <x:f>ROUND(O2594-P2594,2)</x:f>
        <x:v>1615.06</x:v>
      </x:c>
      <x:c r="R2594" s="55" t="n">
        <x:f>IF(O2594=0,0,ROUND(Q2594/O2594,4))</x:f>
        <x:v>0.4964</x:v>
      </x:c>
      <x:c r="S2594" s="53" t="n">
        <x:v>4</x:v>
      </x:c>
      <x:c r="T2594" t="str">
        <x:v>Entregue</x:v>
      </x:c>
      <x:c r="U2594" t="n">
        <x:v>4</x:v>
      </x:c>
      <x:c r="V2594" t="str"/>
    </x:row>
    <x:row r="2595">
      <x:c r="A2595" s="52" t="n">
        <x:v>46093</x:v>
      </x:c>
      <x:c r="B2595" t="str">
        <x:v>PED-102594</x:v>
      </x:c>
      <x:c r="C2595" t="str">
        <x:v>Cliente 120</x:v>
      </x:c>
      <x:c r="D2595" t="str">
        <x:v>ES</x:v>
      </x:c>
      <x:c r="E2595" t="str">
        <x:v>Sudeste</x:v>
      </x:c>
      <x:c r="F2595" t="str">
        <x:v>Loja</x:v>
      </x:c>
      <x:c r="G2595" t="str">
        <x:v>Casa</x:v>
      </x:c>
      <x:c r="H2595" t="str">
        <x:v>Cafeteira Smart</x:v>
      </x:c>
      <x:c r="I2595" t="str">
        <x:v>Gabriela</x:v>
      </x:c>
      <x:c r="J2595" s="53" t="n">
        <x:v>8</x:v>
      </x:c>
      <x:c r="K2595" s="54" t="n">
        <x:v>790.91</x:v>
      </x:c>
      <x:c r="L2595" s="54" t="n">
        <x:v>463.27</x:v>
      </x:c>
      <x:c r="M2595" s="55" t="n">
        <x:v>0</x:v>
      </x:c>
      <x:c r="N2595" s="54" t="n">
        <x:f>ROUND(J2595*K2595,2)</x:f>
        <x:v>6327.28</x:v>
      </x:c>
      <x:c r="O2595" s="54" t="n">
        <x:f>ROUND(N2595*(1-M2595),2)</x:f>
        <x:v>6327.28</x:v>
      </x:c>
      <x:c r="P2595" s="54" t="n">
        <x:f>ROUND(J2595*L2595,2)</x:f>
        <x:v>3706.16</x:v>
      </x:c>
      <x:c r="Q2595" s="54" t="n">
        <x:f>ROUND(O2595-P2595,2)</x:f>
        <x:v>2621.12</x:v>
      </x:c>
      <x:c r="R2595" s="55" t="n">
        <x:f>IF(O2595=0,0,ROUND(Q2595/O2595,4))</x:f>
        <x:v>0.4143</x:v>
      </x:c>
      <x:c r="S2595" s="53" t="n">
        <x:v>4</x:v>
      </x:c>
      <x:c r="T2595" t="str">
        <x:v>Entregue</x:v>
      </x:c>
      <x:c r="U2595" t="n">
        <x:v>2</x:v>
      </x:c>
      <x:c r="V2595" t="str"/>
    </x:row>
    <x:row r="2596">
      <x:c r="A2596" s="52" t="n">
        <x:v>46082</x:v>
      </x:c>
      <x:c r="B2596" t="str">
        <x:v>PED-102595</x:v>
      </x:c>
      <x:c r="C2596" t="str">
        <x:v>Cliente 020</x:v>
      </x:c>
      <x:c r="D2596" t="str">
        <x:v>MA</x:v>
      </x:c>
      <x:c r="E2596" t="str">
        <x:v>Nordeste</x:v>
      </x:c>
      <x:c r="F2596" t="str">
        <x:v>Televendas</x:v>
      </x:c>
      <x:c r="G2596" t="str">
        <x:v>Tecnologia</x:v>
      </x:c>
      <x:c r="H2596" t="str">
        <x:v>Notebook Pro</x:v>
      </x:c>
      <x:c r="I2596" t="str">
        <x:v>Ana</x:v>
      </x:c>
      <x:c r="J2596" s="53" t="n">
        <x:v>6</x:v>
      </x:c>
      <x:c r="K2596" s="54" t="n">
        <x:v>5866.83</x:v>
      </x:c>
      <x:c r="L2596" s="54" t="n">
        <x:v>4477.15</x:v>
      </x:c>
      <x:c r="M2596" s="55" t="n">
        <x:v>0</x:v>
      </x:c>
      <x:c r="N2596" s="54" t="n">
        <x:f>ROUND(J2596*K2596,2)</x:f>
        <x:v>35200.98</x:v>
      </x:c>
      <x:c r="O2596" s="54" t="n">
        <x:f>ROUND(N2596*(1-M2596),2)</x:f>
        <x:v>35200.98</x:v>
      </x:c>
      <x:c r="P2596" s="54" t="n">
        <x:f>ROUND(J2596*L2596,2)</x:f>
        <x:v>26862.9</x:v>
      </x:c>
      <x:c r="Q2596" s="54" t="n">
        <x:f>ROUND(O2596-P2596,2)</x:f>
        <x:v>8338.08</x:v>
      </x:c>
      <x:c r="R2596" s="55" t="n">
        <x:f>IF(O2596=0,0,ROUND(Q2596/O2596,4))</x:f>
        <x:v>0.2369</x:v>
      </x:c>
      <x:c r="S2596" s="53" t="n">
        <x:v>2</x:v>
      </x:c>
      <x:c r="T2596" t="str">
        <x:v>Entregue</x:v>
      </x:c>
      <x:c r="U2596" t="n">
        <x:v>3</x:v>
      </x:c>
      <x:c r="V2596" t="str"/>
    </x:row>
    <x:row r="2597">
      <x:c r="A2597" s="52" t="n">
        <x:v>46034</x:v>
      </x:c>
      <x:c r="B2597" t="str">
        <x:v>PED-102596</x:v>
      </x:c>
      <x:c r="C2597" t="str">
        <x:v>Cliente 068</x:v>
      </x:c>
      <x:c r="D2597" t="str">
        <x:v>RS</x:v>
      </x:c>
      <x:c r="E2597" t="str">
        <x:v>Sul</x:v>
      </x:c>
      <x:c r="F2597" t="str">
        <x:v>Televendas</x:v>
      </x:c>
      <x:c r="G2597" t="str">
        <x:v>Escritório</x:v>
      </x:c>
      <x:c r="H2597" t="str">
        <x:v>Mesa Ajustável</x:v>
      </x:c>
      <x:c r="I2597" t="str">
        <x:v>Henrique</x:v>
      </x:c>
      <x:c r="J2597" s="53" t="n">
        <x:v>6</x:v>
      </x:c>
      <x:c r="K2597" s="54" t="n">
        <x:v>2866.16</x:v>
      </x:c>
      <x:c r="L2597" s="54" t="n">
        <x:v>1811.01</x:v>
      </x:c>
      <x:c r="M2597" s="55" t="n">
        <x:v>0.1052</x:v>
      </x:c>
      <x:c r="N2597" s="54" t="n">
        <x:f>ROUND(J2597*K2597,2)</x:f>
        <x:v>17196.96</x:v>
      </x:c>
      <x:c r="O2597" s="54" t="n">
        <x:f>ROUND(N2597*(1-M2597),2)</x:f>
        <x:v>15387.84</x:v>
      </x:c>
      <x:c r="P2597" s="54" t="n">
        <x:f>ROUND(J2597*L2597,2)</x:f>
        <x:v>10866.06</x:v>
      </x:c>
      <x:c r="Q2597" s="54" t="n">
        <x:f>ROUND(O2597-P2597,2)</x:f>
        <x:v>4521.78</x:v>
      </x:c>
      <x:c r="R2597" s="55" t="n">
        <x:f>IF(O2597=0,0,ROUND(Q2597/O2597,4))</x:f>
        <x:v>0.2939</x:v>
      </x:c>
      <x:c r="S2597" s="53" t="n">
        <x:v>4</x:v>
      </x:c>
      <x:c r="T2597" t="str">
        <x:v>Entregue</x:v>
      </x:c>
      <x:c r="U2597" t="n">
        <x:v>5</x:v>
      </x:c>
      <x:c r="V2597" t="str"/>
    </x:row>
    <x:row r="2598">
      <x:c r="A2598" s="52" t="n">
        <x:v>46112</x:v>
      </x:c>
      <x:c r="B2598" t="str">
        <x:v>PED-102597</x:v>
      </x:c>
      <x:c r="C2598" t="str">
        <x:v>Cliente 080</x:v>
      </x:c>
      <x:c r="D2598" t="str">
        <x:v>PE</x:v>
      </x:c>
      <x:c r="E2598" t="str">
        <x:v>Nordeste</x:v>
      </x:c>
      <x:c r="F2598" t="str">
        <x:v>E-commerce</x:v>
      </x:c>
      <x:c r="G2598" t="str">
        <x:v>Tecnologia</x:v>
      </x:c>
      <x:c r="H2598" t="str">
        <x:v>Notebook Pro</x:v>
      </x:c>
      <x:c r="I2598" t="str">
        <x:v>Diego</x:v>
      </x:c>
      <x:c r="J2598" s="53" t="n">
        <x:v>7</x:v>
      </x:c>
      <x:c r="K2598" s="54" t="n">
        <x:v>5712.56</x:v>
      </x:c>
      <x:c r="L2598" s="54" t="n">
        <x:v>4689.02</x:v>
      </x:c>
      <x:c r="M2598" s="55" t="n">
        <x:v>0</x:v>
      </x:c>
      <x:c r="N2598" s="54" t="n">
        <x:f>ROUND(J2598*K2598,2)</x:f>
        <x:v>39987.92</x:v>
      </x:c>
      <x:c r="O2598" s="54" t="n">
        <x:f>ROUND(N2598*(1-M2598),2)</x:f>
        <x:v>39987.92</x:v>
      </x:c>
      <x:c r="P2598" s="54" t="n">
        <x:f>ROUND(J2598*L2598,2)</x:f>
        <x:v>32823.14</x:v>
      </x:c>
      <x:c r="Q2598" s="54" t="n">
        <x:f>ROUND(O2598-P2598,2)</x:f>
        <x:v>7164.78</x:v>
      </x:c>
      <x:c r="R2598" s="55" t="n">
        <x:f>IF(O2598=0,0,ROUND(Q2598/O2598,4))</x:f>
        <x:v>0.1792</x:v>
      </x:c>
      <x:c r="S2598" s="53" t="n">
        <x:v>3</x:v>
      </x:c>
      <x:c r="T2598" t="str">
        <x:v>Entregue</x:v>
      </x:c>
      <x:c r="U2598" t="n">
        <x:v>3</x:v>
      </x:c>
      <x:c r="V2598" t="str"/>
    </x:row>
    <x:row r="2599">
      <x:c r="A2599" s="52" t="n">
        <x:v>46024</x:v>
      </x:c>
      <x:c r="B2599" t="str">
        <x:v>PED-102598</x:v>
      </x:c>
      <x:c r="C2599" t="str">
        <x:v>Cliente 089</x:v>
      </x:c>
      <x:c r="D2599" t="str">
        <x:v>DF</x:v>
      </x:c>
      <x:c r="E2599" t="str">
        <x:v>Centro-Oeste</x:v>
      </x:c>
      <x:c r="F2599" t="str">
        <x:v>Televendas</x:v>
      </x:c>
      <x:c r="G2599" t="str">
        <x:v>Casa</x:v>
      </x:c>
      <x:c r="H2599" t="str">
        <x:v>Aspirador Robô</x:v>
      </x:c>
      <x:c r="I2599" t="str">
        <x:v>Carla</x:v>
      </x:c>
      <x:c r="J2599" s="53" t="n">
        <x:v>6</x:v>
      </x:c>
      <x:c r="K2599" s="54" t="n">
        <x:v>1865.87</x:v>
      </x:c>
      <x:c r="L2599" s="54" t="n">
        <x:v>1165.34</x:v>
      </x:c>
      <x:c r="M2599" s="55" t="n">
        <x:v>0.1187</x:v>
      </x:c>
      <x:c r="N2599" s="54" t="n">
        <x:f>ROUND(J2599*K2599,2)</x:f>
        <x:v>11195.22</x:v>
      </x:c>
      <x:c r="O2599" s="54" t="n">
        <x:f>ROUND(N2599*(1-M2599),2)</x:f>
        <x:v>9866.35</x:v>
      </x:c>
      <x:c r="P2599" s="54" t="n">
        <x:f>ROUND(J2599*L2599,2)</x:f>
        <x:v>6992.04</x:v>
      </x:c>
      <x:c r="Q2599" s="54" t="n">
        <x:f>ROUND(O2599-P2599,2)</x:f>
        <x:v>2874.31</x:v>
      </x:c>
      <x:c r="R2599" s="55" t="n">
        <x:f>IF(O2599=0,0,ROUND(Q2599/O2599,4))</x:f>
        <x:v>0.2913</x:v>
      </x:c>
      <x:c r="S2599" s="53" t="n">
        <x:v>14</x:v>
      </x:c>
      <x:c r="T2599" t="str">
        <x:v>Entregue com atraso</x:v>
      </x:c>
      <x:c r="U2599" t="n">
        <x:v>4</x:v>
      </x:c>
      <x:c r="V2599" t="str"/>
    </x:row>
    <x:row r="2600">
      <x:c r="A2600" s="52" t="n">
        <x:v>46024</x:v>
      </x:c>
      <x:c r="B2600" t="str">
        <x:v>PED-102599</x:v>
      </x:c>
      <x:c r="C2600" t="str">
        <x:v>Cliente 010</x:v>
      </x:c>
      <x:c r="D2600" t="str">
        <x:v>MG</x:v>
      </x:c>
      <x:c r="E2600" t="str">
        <x:v>Sudeste</x:v>
      </x:c>
      <x:c r="F2600" t="str">
        <x:v>Loja</x:v>
      </x:c>
      <x:c r="G2600" t="str">
        <x:v>Tecnologia</x:v>
      </x:c>
      <x:c r="H2600" t="str">
        <x:v>Monitor 27</x:v>
      </x:c>
      <x:c r="I2600" t="str">
        <x:v>Carla</x:v>
      </x:c>
      <x:c r="J2600" s="53" t="n">
        <x:v>8</x:v>
      </x:c>
      <x:c r="K2600" s="54" t="n">
        <x:v>1780.67</x:v>
      </x:c>
      <x:c r="L2600" s="54" t="n">
        <x:v>1040.27</x:v>
      </x:c>
      <x:c r="M2600" s="55" t="n">
        <x:v>0.1215</x:v>
      </x:c>
      <x:c r="N2600" s="54" t="n">
        <x:f>ROUND(J2600*K2600,2)</x:f>
        <x:v>14245.36</x:v>
      </x:c>
      <x:c r="O2600" s="54" t="n">
        <x:f>ROUND(N2600*(1-M2600),2)</x:f>
        <x:v>12514.55</x:v>
      </x:c>
      <x:c r="P2600" s="54" t="n">
        <x:f>ROUND(J2600*L2600,2)</x:f>
        <x:v>8322.16</x:v>
      </x:c>
      <x:c r="Q2600" s="54" t="n">
        <x:f>ROUND(O2600-P2600,2)</x:f>
        <x:v>4192.39</x:v>
      </x:c>
      <x:c r="R2600" s="55" t="n">
        <x:f>IF(O2600=0,0,ROUND(Q2600/O2600,4))</x:f>
        <x:v>0.335</x:v>
      </x:c>
      <x:c r="S2600" s="53" t="n">
        <x:v>3</x:v>
      </x:c>
      <x:c r="T2600" t="str">
        <x:v>Entregue</x:v>
      </x:c>
      <x:c r="U2600" t="n">
        <x:v>3</x:v>
      </x:c>
      <x:c r="V2600" t="str"/>
    </x:row>
    <x:row r="2601">
      <x:c r="A2601" s="52" t="n">
        <x:v>46168</x:v>
      </x:c>
      <x:c r="B2601" t="str">
        <x:v>PED-102600</x:v>
      </x:c>
      <x:c r="C2601" t="str">
        <x:v>Cliente 089</x:v>
      </x:c>
      <x:c r="D2601" t="str">
        <x:v>MG</x:v>
      </x:c>
      <x:c r="E2601" t="str">
        <x:v>Sudeste</x:v>
      </x:c>
      <x:c r="F2601" t="str">
        <x:v>Loja</x:v>
      </x:c>
      <x:c r="G2601" t="str">
        <x:v>Acessórios</x:v>
      </x:c>
      <x:c r="H2601" t="str">
        <x:v>Mochila Executiva</x:v>
      </x:c>
      <x:c r="I2601" t="str">
        <x:v>João</x:v>
      </x:c>
      <x:c r="J2601" s="53" t="n">
        <x:v>8</x:v>
      </x:c>
      <x:c r="K2601" s="54" t="n">
        <x:v>439.41</x:v>
      </x:c>
      <x:c r="L2601" s="54" t="n">
        <x:v>191.03</x:v>
      </x:c>
      <x:c r="M2601" s="55" t="n">
        <x:v>0</x:v>
      </x:c>
      <x:c r="N2601" s="54" t="n">
        <x:f>ROUND(J2601*K2601,2)</x:f>
        <x:v>3515.28</x:v>
      </x:c>
      <x:c r="O2601" s="54" t="n">
        <x:f>ROUND(N2601*(1-M2601),2)</x:f>
        <x:v>3515.28</x:v>
      </x:c>
      <x:c r="P2601" s="54" t="n">
        <x:f>ROUND(J2601*L2601,2)</x:f>
        <x:v>1528.24</x:v>
      </x:c>
      <x:c r="Q2601" s="54" t="n">
        <x:f>ROUND(O2601-P2601,2)</x:f>
        <x:v>1987.04</x:v>
      </x:c>
      <x:c r="R2601" s="55" t="n">
        <x:f>IF(O2601=0,0,ROUND(Q2601/O2601,4))</x:f>
        <x:v>0.5653</x:v>
      </x:c>
      <x:c r="S2601" s="53" t="n">
        <x:v>14</x:v>
      </x:c>
      <x:c r="T2601" t="str">
        <x:v>Entregue com atraso</x:v>
      </x:c>
      <x:c r="U2601" t="n">
        <x:v>2</x:v>
      </x:c>
      <x:c r="V2601" t="str"/>
    </x:row>
    <x:row r="2602">
      <x:c r="A2602" s="52" t="n">
        <x:v>46229</x:v>
      </x:c>
      <x:c r="B2602" t="str">
        <x:v>PED-102601</x:v>
      </x:c>
      <x:c r="C2602" t="str">
        <x:v>Cliente 116</x:v>
      </x:c>
      <x:c r="D2602" t="str">
        <x:v>RJ</x:v>
      </x:c>
      <x:c r="E2602" t="str">
        <x:v>Sudeste</x:v>
      </x:c>
      <x:c r="F2602" t="str">
        <x:v>Loja</x:v>
      </x:c>
      <x:c r="G2602" t="str">
        <x:v>Escritório</x:v>
      </x:c>
      <x:c r="H2602" t="str">
        <x:v>Cadeira Ergonômica</x:v>
      </x:c>
      <x:c r="I2602" t="str">
        <x:v>João</x:v>
      </x:c>
      <x:c r="J2602" s="53" t="n">
        <x:v>3</x:v>
      </x:c>
      <x:c r="K2602" s="54" t="n">
        <x:v>2180.51</x:v>
      </x:c>
      <x:c r="L2602" s="54" t="n">
        <x:v>1360.21</x:v>
      </x:c>
      <x:c r="M2602" s="55" t="n">
        <x:v>0.0436</x:v>
      </x:c>
      <x:c r="N2602" s="54" t="n">
        <x:f>ROUND(J2602*K2602,2)</x:f>
        <x:v>6541.53</x:v>
      </x:c>
      <x:c r="O2602" s="54" t="n">
        <x:f>ROUND(N2602*(1-M2602),2)</x:f>
        <x:v>6256.32</x:v>
      </x:c>
      <x:c r="P2602" s="54" t="n">
        <x:f>ROUND(J2602*L2602,2)</x:f>
        <x:v>4080.63</x:v>
      </x:c>
      <x:c r="Q2602" s="54" t="n">
        <x:f>ROUND(O2602-P2602,2)</x:f>
        <x:v>2175.69</x:v>
      </x:c>
      <x:c r="R2602" s="55" t="n">
        <x:f>IF(O2602=0,0,ROUND(Q2602/O2602,4))</x:f>
        <x:v>0.3478</x:v>
      </x:c>
      <x:c r="S2602" s="53" t="n">
        <x:v>4</x:v>
      </x:c>
      <x:c r="T2602" t="str">
        <x:v>Entregue</x:v>
      </x:c>
      <x:c r="U2602" t="n">
        <x:v>4</x:v>
      </x:c>
      <x:c r="V2602" t="str"/>
    </x:row>
    <x:row r="2603">
      <x:c r="A2603" s="52" t="n">
        <x:v>46198</x:v>
      </x:c>
      <x:c r="B2603" t="str">
        <x:v>PED-102602</x:v>
      </x:c>
      <x:c r="C2603" t="str">
        <x:v>Cliente 046</x:v>
      </x:c>
      <x:c r="D2603" t="str">
        <x:v>PR</x:v>
      </x:c>
      <x:c r="E2603" t="str">
        <x:v>Sul</x:v>
      </x:c>
      <x:c r="F2603" t="str">
        <x:v>Televendas</x:v>
      </x:c>
      <x:c r="G2603" t="str">
        <x:v>Acessórios</x:v>
      </x:c>
      <x:c r="H2603" t="str">
        <x:v>Mochila Executiva</x:v>
      </x:c>
      <x:c r="I2603" t="str">
        <x:v>Bruno</x:v>
      </x:c>
      <x:c r="J2603" s="53" t="n">
        <x:v>8</x:v>
      </x:c>
      <x:c r="K2603" s="54" t="n">
        <x:v>431.42</x:v>
      </x:c>
      <x:c r="L2603" s="54" t="n">
        <x:v>191.82</x:v>
      </x:c>
      <x:c r="M2603" s="55" t="n">
        <x:v>0.0282</x:v>
      </x:c>
      <x:c r="N2603" s="54" t="n">
        <x:f>ROUND(J2603*K2603,2)</x:f>
        <x:v>3451.36</x:v>
      </x:c>
      <x:c r="O2603" s="54" t="n">
        <x:f>ROUND(N2603*(1-M2603),2)</x:f>
        <x:v>3354.03</x:v>
      </x:c>
      <x:c r="P2603" s="54" t="n">
        <x:f>ROUND(J2603*L2603,2)</x:f>
        <x:v>1534.56</x:v>
      </x:c>
      <x:c r="Q2603" s="54" t="n">
        <x:f>ROUND(O2603-P2603,2)</x:f>
        <x:v>1819.47</x:v>
      </x:c>
      <x:c r="R2603" s="55" t="n">
        <x:f>IF(O2603=0,0,ROUND(Q2603/O2603,4))</x:f>
        <x:v>0.5425</x:v>
      </x:c>
      <x:c r="S2603" s="53" t="n">
        <x:v>11</x:v>
      </x:c>
      <x:c r="T2603" t="str">
        <x:v>Entregue com atraso</x:v>
      </x:c>
      <x:c r="U2603" t="n">
        <x:v>2</x:v>
      </x:c>
      <x:c r="V2603" t="str"/>
    </x:row>
    <x:row r="2604">
      <x:c r="A2604" s="52" t="n">
        <x:v>46177</x:v>
      </x:c>
      <x:c r="B2604" t="str">
        <x:v>PED-102603</x:v>
      </x:c>
      <x:c r="C2604" t="str">
        <x:v>Cliente 070</x:v>
      </x:c>
      <x:c r="D2604" t="str">
        <x:v>SP</x:v>
      </x:c>
      <x:c r="E2604" t="str">
        <x:v>Sudeste</x:v>
      </x:c>
      <x:c r="F2604" t="str">
        <x:v>E-commerce</x:v>
      </x:c>
      <x:c r="G2604" t="str">
        <x:v>Escritório</x:v>
      </x:c>
      <x:c r="H2604" t="str">
        <x:v>Mesa Ajustável</x:v>
      </x:c>
      <x:c r="I2604" t="str">
        <x:v>Gabriela</x:v>
      </x:c>
      <x:c r="J2604" s="53" t="n">
        <x:v>1</x:v>
      </x:c>
      <x:c r="K2604" s="54" t="n">
        <x:v>2635.36</x:v>
      </x:c>
      <x:c r="L2604" s="54" t="n">
        <x:v>1754.64</x:v>
      </x:c>
      <x:c r="M2604" s="55" t="n">
        <x:v>0.0775</x:v>
      </x:c>
      <x:c r="N2604" s="54" t="n">
        <x:f>ROUND(J2604*K2604,2)</x:f>
        <x:v>2635.36</x:v>
      </x:c>
      <x:c r="O2604" s="54" t="n">
        <x:f>ROUND(N2604*(1-M2604),2)</x:f>
        <x:v>2431.12</x:v>
      </x:c>
      <x:c r="P2604" s="54" t="n">
        <x:f>ROUND(J2604*L2604,2)</x:f>
        <x:v>1754.64</x:v>
      </x:c>
      <x:c r="Q2604" s="54" t="n">
        <x:f>ROUND(O2604-P2604,2)</x:f>
        <x:v>676.48</x:v>
      </x:c>
      <x:c r="R2604" s="55" t="n">
        <x:f>IF(O2604=0,0,ROUND(Q2604/O2604,4))</x:f>
        <x:v>0.2783</x:v>
      </x:c>
      <x:c r="S2604" s="53" t="n">
        <x:v>4</x:v>
      </x:c>
      <x:c r="T2604" t="str">
        <x:v>Entregue</x:v>
      </x:c>
      <x:c r="U2604" t="n">
        <x:v>3</x:v>
      </x:c>
      <x:c r="V2604" t="str"/>
    </x:row>
    <x:row r="2605">
      <x:c r="A2605" s="52" t="n">
        <x:v>46058</x:v>
      </x:c>
      <x:c r="B2605" t="str">
        <x:v>PED-102604</x:v>
      </x:c>
      <x:c r="C2605" t="str">
        <x:v>Cliente 025</x:v>
      </x:c>
      <x:c r="D2605" t="str">
        <x:v>CE</x:v>
      </x:c>
      <x:c r="E2605" t="str">
        <x:v>Nordeste</x:v>
      </x:c>
      <x:c r="F2605" t="str">
        <x:v>Marketplace</x:v>
      </x:c>
      <x:c r="G2605" t="str">
        <x:v>Tecnologia</x:v>
      </x:c>
      <x:c r="H2605" t="str">
        <x:v>Notebook Pro</x:v>
      </x:c>
      <x:c r="I2605" t="str">
        <x:v>Felipe</x:v>
      </x:c>
      <x:c r="J2605" s="53" t="n">
        <x:v>4</x:v>
      </x:c>
      <x:c r="K2605" s="54" t="n">
        <x:v>5728.26</x:v>
      </x:c>
      <x:c r="L2605" s="54" t="n">
        <x:v>4301.82</x:v>
      </x:c>
      <x:c r="M2605" s="55" t="n">
        <x:v>0.0574</x:v>
      </x:c>
      <x:c r="N2605" s="54" t="n">
        <x:f>ROUND(J2605*K2605,2)</x:f>
        <x:v>22913.04</x:v>
      </x:c>
      <x:c r="O2605" s="54" t="n">
        <x:f>ROUND(N2605*(1-M2605),2)</x:f>
        <x:v>21597.83</x:v>
      </x:c>
      <x:c r="P2605" s="54" t="n">
        <x:f>ROUND(J2605*L2605,2)</x:f>
        <x:v>17207.28</x:v>
      </x:c>
      <x:c r="Q2605" s="54" t="n">
        <x:f>ROUND(O2605-P2605,2)</x:f>
        <x:v>4390.55</x:v>
      </x:c>
      <x:c r="R2605" s="55" t="n">
        <x:f>IF(O2605=0,0,ROUND(Q2605/O2605,4))</x:f>
        <x:v>0.2033</x:v>
      </x:c>
      <x:c r="S2605" s="53" t="n">
        <x:v>8</x:v>
      </x:c>
      <x:c r="T2605" t="str">
        <x:v>Entregue</x:v>
      </x:c>
      <x:c r="U2605" t="n">
        <x:v>3</x:v>
      </x:c>
      <x:c r="V2605" t="str"/>
    </x:row>
    <x:row r="2606">
      <x:c r="A2606" s="52" t="n">
        <x:v>46081</x:v>
      </x:c>
      <x:c r="B2606" t="str">
        <x:v>PED-102605</x:v>
      </x:c>
      <x:c r="C2606" t="str">
        <x:v>Cliente 081</x:v>
      </x:c>
      <x:c r="D2606" t="str">
        <x:v>PA</x:v>
      </x:c>
      <x:c r="E2606" t="str">
        <x:v>Norte</x:v>
      </x:c>
      <x:c r="F2606" t="str">
        <x:v>Loja</x:v>
      </x:c>
      <x:c r="G2606" t="str">
        <x:v>Casa</x:v>
      </x:c>
      <x:c r="H2606" t="str">
        <x:v>Purificador</x:v>
      </x:c>
      <x:c r="I2606" t="str">
        <x:v>Carla</x:v>
      </x:c>
      <x:c r="J2606" s="53" t="n">
        <x:v>1</x:v>
      </x:c>
      <x:c r="K2606" s="54" t="n">
        <x:v>1275.45</x:v>
      </x:c>
      <x:c r="L2606" s="54" t="n">
        <x:v>798.82</x:v>
      </x:c>
      <x:c r="M2606" s="55" t="n">
        <x:v>0.0229</x:v>
      </x:c>
      <x:c r="N2606" s="54" t="n">
        <x:f>ROUND(J2606*K2606,2)</x:f>
        <x:v>1275.45</x:v>
      </x:c>
      <x:c r="O2606" s="54" t="n">
        <x:f>ROUND(N2606*(1-M2606),2)</x:f>
        <x:v>1246.24</x:v>
      </x:c>
      <x:c r="P2606" s="54" t="n">
        <x:f>ROUND(J2606*L2606,2)</x:f>
        <x:v>798.82</x:v>
      </x:c>
      <x:c r="Q2606" s="54" t="n">
        <x:f>ROUND(O2606-P2606,2)</x:f>
        <x:v>447.42</x:v>
      </x:c>
      <x:c r="R2606" s="55" t="n">
        <x:f>IF(O2606=0,0,ROUND(Q2606/O2606,4))</x:f>
        <x:v>0.359</x:v>
      </x:c>
      <x:c r="S2606" s="53" t="n">
        <x:v>2</x:v>
      </x:c>
      <x:c r="T2606" t="str">
        <x:v>Entregue</x:v>
      </x:c>
      <x:c r="U2606" t="n">
        <x:v>2</x:v>
      </x:c>
      <x:c r="V2606" t="str"/>
    </x:row>
    <x:row r="2607">
      <x:c r="A2607" s="52" t="n">
        <x:v>46194</x:v>
      </x:c>
      <x:c r="B2607" t="str">
        <x:v>PED-102606</x:v>
      </x:c>
      <x:c r="C2607" t="str">
        <x:v>Cliente 042</x:v>
      </x:c>
      <x:c r="D2607" t="str">
        <x:v>RS</x:v>
      </x:c>
      <x:c r="E2607" t="str">
        <x:v>Sul</x:v>
      </x:c>
      <x:c r="F2607" t="str">
        <x:v>Marketplace</x:v>
      </x:c>
      <x:c r="G2607" t="str">
        <x:v>Casa</x:v>
      </x:c>
      <x:c r="H2607" t="str">
        <x:v>Aspirador Robô</x:v>
      </x:c>
      <x:c r="I2607" t="str">
        <x:v>Felipe</x:v>
      </x:c>
      <x:c r="J2607" s="53" t="n">
        <x:v>4</x:v>
      </x:c>
      <x:c r="K2607" s="54" t="n">
        <x:v>1872.7</x:v>
      </x:c>
      <x:c r="L2607" s="54" t="n">
        <x:v>1233.46</x:v>
      </x:c>
      <x:c r="M2607" s="55" t="n">
        <x:v>0.1326</x:v>
      </x:c>
      <x:c r="N2607" s="54" t="n">
        <x:f>ROUND(J2607*K2607,2)</x:f>
        <x:v>7490.8</x:v>
      </x:c>
      <x:c r="O2607" s="54" t="n">
        <x:f>ROUND(N2607*(1-M2607),2)</x:f>
        <x:v>6497.52</x:v>
      </x:c>
      <x:c r="P2607" s="54" t="n">
        <x:f>ROUND(J2607*L2607,2)</x:f>
        <x:v>4933.84</x:v>
      </x:c>
      <x:c r="Q2607" s="54" t="n">
        <x:f>ROUND(O2607-P2607,2)</x:f>
        <x:v>1563.68</x:v>
      </x:c>
      <x:c r="R2607" s="55" t="n">
        <x:f>IF(O2607=0,0,ROUND(Q2607/O2607,4))</x:f>
        <x:v>0.2407</x:v>
      </x:c>
      <x:c r="S2607" s="53" t="n">
        <x:v>5</x:v>
      </x:c>
      <x:c r="T2607" t="str">
        <x:v>Entregue</x:v>
      </x:c>
      <x:c r="U2607" t="n">
        <x:v>5</x:v>
      </x:c>
      <x:c r="V2607" t="str"/>
    </x:row>
    <x:row r="2608">
      <x:c r="A2608" s="52" t="n">
        <x:v>46174</x:v>
      </x:c>
      <x:c r="B2608" t="str">
        <x:v>PED-102607</x:v>
      </x:c>
      <x:c r="C2608" t="str">
        <x:v>Cliente 029</x:v>
      </x:c>
      <x:c r="D2608" t="str">
        <x:v>DF</x:v>
      </x:c>
      <x:c r="E2608" t="str">
        <x:v>Centro-Oeste</x:v>
      </x:c>
      <x:c r="F2608" t="str">
        <x:v>Loja</x:v>
      </x:c>
      <x:c r="G2608" t="str">
        <x:v>Acessórios</x:v>
      </x:c>
      <x:c r="H2608" t="str">
        <x:v>Webcam HD</x:v>
      </x:c>
      <x:c r="I2608" t="str">
        <x:v>Henrique</x:v>
      </x:c>
      <x:c r="J2608" s="53" t="n">
        <x:v>7</x:v>
      </x:c>
      <x:c r="K2608" s="54" t="n">
        <x:v>526.58</x:v>
      </x:c>
      <x:c r="L2608" s="54" t="n">
        <x:v>244.3</x:v>
      </x:c>
      <x:c r="M2608" s="55" t="n">
        <x:v>0.0235</x:v>
      </x:c>
      <x:c r="N2608" s="54" t="n">
        <x:f>ROUND(J2608*K2608,2)</x:f>
        <x:v>3686.06</x:v>
      </x:c>
      <x:c r="O2608" s="54" t="n">
        <x:f>ROUND(N2608*(1-M2608),2)</x:f>
        <x:v>3599.44</x:v>
      </x:c>
      <x:c r="P2608" s="54" t="n">
        <x:f>ROUND(J2608*L2608,2)</x:f>
        <x:v>1710.1</x:v>
      </x:c>
      <x:c r="Q2608" s="54" t="n">
        <x:f>ROUND(O2608-P2608,2)</x:f>
        <x:v>1889.34</x:v>
      </x:c>
      <x:c r="R2608" s="55" t="n">
        <x:f>IF(O2608=0,0,ROUND(Q2608/O2608,4))</x:f>
        <x:v>0.5249</x:v>
      </x:c>
      <x:c r="S2608" s="53" t="n">
        <x:v>7</x:v>
      </x:c>
      <x:c r="T2608" t="str">
        <x:v>Entregue</x:v>
      </x:c>
      <x:c r="U2608" t="n">
        <x:v>2</x:v>
      </x:c>
      <x:c r="V2608" t="str"/>
    </x:row>
    <x:row r="2609">
      <x:c r="A2609" s="52" t="n">
        <x:v>46065</x:v>
      </x:c>
      <x:c r="B2609" t="str">
        <x:v>PED-102608</x:v>
      </x:c>
      <x:c r="C2609" t="str">
        <x:v>Cliente 041</x:v>
      </x:c>
      <x:c r="D2609" t="str">
        <x:v>RS</x:v>
      </x:c>
      <x:c r="E2609" t="str">
        <x:v>Sul</x:v>
      </x:c>
      <x:c r="F2609" t="str">
        <x:v>Marketplace</x:v>
      </x:c>
      <x:c r="G2609" t="str">
        <x:v>Escritório</x:v>
      </x:c>
      <x:c r="H2609" t="str">
        <x:v>Cadeira Ergonômica</x:v>
      </x:c>
      <x:c r="I2609" t="str">
        <x:v>Elaine</x:v>
      </x:c>
      <x:c r="J2609" s="53" t="n">
        <x:v>3</x:v>
      </x:c>
      <x:c r="K2609" s="54" t="n">
        <x:v>2246.74</x:v>
      </x:c>
      <x:c r="L2609" s="54" t="n">
        <x:v>1453.4</x:v>
      </x:c>
      <x:c r="M2609" s="55" t="n">
        <x:v>0.035</x:v>
      </x:c>
      <x:c r="N2609" s="54" t="n">
        <x:f>ROUND(J2609*K2609,2)</x:f>
        <x:v>6740.22</x:v>
      </x:c>
      <x:c r="O2609" s="54" t="n">
        <x:f>ROUND(N2609*(1-M2609),2)</x:f>
        <x:v>6504.31</x:v>
      </x:c>
      <x:c r="P2609" s="54" t="n">
        <x:f>ROUND(J2609*L2609,2)</x:f>
        <x:v>4360.2</x:v>
      </x:c>
      <x:c r="Q2609" s="54" t="n">
        <x:f>ROUND(O2609-P2609,2)</x:f>
        <x:v>2144.11</x:v>
      </x:c>
      <x:c r="R2609" s="55" t="n">
        <x:f>IF(O2609=0,0,ROUND(Q2609/O2609,4))</x:f>
        <x:v>0.3296</x:v>
      </x:c>
      <x:c r="S2609" s="53" t="n">
        <x:v>8</x:v>
      </x:c>
      <x:c r="T2609" t="str">
        <x:v>Entregue</x:v>
      </x:c>
      <x:c r="U2609" t="n">
        <x:v>2</x:v>
      </x:c>
      <x:c r="V2609" t="str"/>
    </x:row>
    <x:row r="2610">
      <x:c r="A2610" s="52" t="n">
        <x:v>46119</x:v>
      </x:c>
      <x:c r="B2610" t="str">
        <x:v>PED-102609</x:v>
      </x:c>
      <x:c r="C2610" t="str">
        <x:v>Cliente 094</x:v>
      </x:c>
      <x:c r="D2610" t="str">
        <x:v>GO</x:v>
      </x:c>
      <x:c r="E2610" t="str">
        <x:v>Centro-Oeste</x:v>
      </x:c>
      <x:c r="F2610" t="str">
        <x:v>Marketplace</x:v>
      </x:c>
      <x:c r="G2610" t="str">
        <x:v>Casa</x:v>
      </x:c>
      <x:c r="H2610" t="str">
        <x:v>Purificador</x:v>
      </x:c>
      <x:c r="I2610" t="str">
        <x:v>Diego</x:v>
      </x:c>
      <x:c r="J2610" s="53" t="n">
        <x:v>3</x:v>
      </x:c>
      <x:c r="K2610" s="54" t="n">
        <x:v>1345.1</x:v>
      </x:c>
      <x:c r="L2610" s="54" t="n">
        <x:v>743.93</x:v>
      </x:c>
      <x:c r="M2610" s="55" t="n">
        <x:v>0.1239</x:v>
      </x:c>
      <x:c r="N2610" s="54" t="n">
        <x:f>ROUND(J2610*K2610,2)</x:f>
        <x:v>4035.3</x:v>
      </x:c>
      <x:c r="O2610" s="54" t="n">
        <x:f>ROUND(N2610*(1-M2610),2)</x:f>
        <x:v>3535.33</x:v>
      </x:c>
      <x:c r="P2610" s="54" t="n">
        <x:f>ROUND(J2610*L2610,2)</x:f>
        <x:v>2231.79</x:v>
      </x:c>
      <x:c r="Q2610" s="54" t="n">
        <x:f>ROUND(O2610-P2610,2)</x:f>
        <x:v>1303.54</x:v>
      </x:c>
      <x:c r="R2610" s="55" t="n">
        <x:f>IF(O2610=0,0,ROUND(Q2610/O2610,4))</x:f>
        <x:v>0.3687</x:v>
      </x:c>
      <x:c r="S2610" s="53" t="n">
        <x:v>8</x:v>
      </x:c>
      <x:c r="T2610" t="str">
        <x:v>Entregue</x:v>
      </x:c>
      <x:c r="U2610" t="n">
        <x:v>2</x:v>
      </x:c>
      <x:c r="V2610" t="str"/>
    </x:row>
    <x:row r="2611">
      <x:c r="A2611" s="52" t="n">
        <x:v>46228</x:v>
      </x:c>
      <x:c r="B2611" t="str">
        <x:v>PED-102610</x:v>
      </x:c>
      <x:c r="C2611" t="str">
        <x:v>Cliente 028</x:v>
      </x:c>
      <x:c r="D2611" t="str">
        <x:v>PA</x:v>
      </x:c>
      <x:c r="E2611" t="str">
        <x:v>Norte</x:v>
      </x:c>
      <x:c r="F2611" t="str">
        <x:v>E-commerce</x:v>
      </x:c>
      <x:c r="G2611" t="str">
        <x:v>Acessórios</x:v>
      </x:c>
      <x:c r="H2611" t="str">
        <x:v>Mochila Executiva</x:v>
      </x:c>
      <x:c r="I2611" t="str">
        <x:v>Elaine</x:v>
      </x:c>
      <x:c r="J2611" s="53" t="n">
        <x:v>1</x:v>
      </x:c>
      <x:c r="K2611" s="54" t="n">
        <x:v>441.97</x:v>
      </x:c>
      <x:c r="L2611" s="54" t="n">
        <x:v>190.63</x:v>
      </x:c>
      <x:c r="M2611" s="55" t="n">
        <x:v>0.1231</x:v>
      </x:c>
      <x:c r="N2611" s="54" t="n">
        <x:f>ROUND(J2611*K2611,2)</x:f>
        <x:v>441.97</x:v>
      </x:c>
      <x:c r="O2611" s="54" t="n">
        <x:f>ROUND(N2611*(1-M2611),2)</x:f>
        <x:v>387.56</x:v>
      </x:c>
      <x:c r="P2611" s="54" t="n">
        <x:f>ROUND(J2611*L2611,2)</x:f>
        <x:v>190.63</x:v>
      </x:c>
      <x:c r="Q2611" s="54" t="n">
        <x:f>ROUND(O2611-P2611,2)</x:f>
        <x:v>196.93</x:v>
      </x:c>
      <x:c r="R2611" s="55" t="n">
        <x:f>IF(O2611=0,0,ROUND(Q2611/O2611,4))</x:f>
        <x:v>0.5081</x:v>
      </x:c>
      <x:c r="S2611" s="53" t="n">
        <x:v>7</x:v>
      </x:c>
      <x:c r="T2611" t="str">
        <x:v>Entregue</x:v>
      </x:c>
      <x:c r="U2611" t="n">
        <x:v>3</x:v>
      </x:c>
      <x:c r="V2611" t="str"/>
    </x:row>
    <x:row r="2612">
      <x:c r="A2612" s="52" t="n">
        <x:v>46163</x:v>
      </x:c>
      <x:c r="B2612" t="str">
        <x:v>PED-102611</x:v>
      </x:c>
      <x:c r="C2612" t="str">
        <x:v>Cliente 044</x:v>
      </x:c>
      <x:c r="D2612" t="str">
        <x:v>GO</x:v>
      </x:c>
      <x:c r="E2612" t="str">
        <x:v>Centro-Oeste</x:v>
      </x:c>
      <x:c r="F2612" t="str">
        <x:v>Televendas</x:v>
      </x:c>
      <x:c r="G2612" t="str">
        <x:v>Escritório</x:v>
      </x:c>
      <x:c r="H2612" t="str">
        <x:v>Cadeira Ergonômica</x:v>
      </x:c>
      <x:c r="I2612" t="str">
        <x:v>Henrique</x:v>
      </x:c>
      <x:c r="J2612" s="53" t="n">
        <x:v>6</x:v>
      </x:c>
      <x:c r="K2612" s="54" t="n">
        <x:v>2247.13</x:v>
      </x:c>
      <x:c r="L2612" s="54" t="n">
        <x:v>1405.22</x:v>
      </x:c>
      <x:c r="M2612" s="55" t="n">
        <x:v>0.0034</x:v>
      </x:c>
      <x:c r="N2612" s="54" t="n">
        <x:f>ROUND(J2612*K2612,2)</x:f>
        <x:v>13482.78</x:v>
      </x:c>
      <x:c r="O2612" s="54" t="n">
        <x:f>ROUND(N2612*(1-M2612),2)</x:f>
        <x:v>13436.94</x:v>
      </x:c>
      <x:c r="P2612" s="54" t="n">
        <x:f>ROUND(J2612*L2612,2)</x:f>
        <x:v>8431.32</x:v>
      </x:c>
      <x:c r="Q2612" s="54" t="n">
        <x:f>ROUND(O2612-P2612,2)</x:f>
        <x:v>5005.62</x:v>
      </x:c>
      <x:c r="R2612" s="55" t="n">
        <x:f>IF(O2612=0,0,ROUND(Q2612/O2612,4))</x:f>
        <x:v>0.3725</x:v>
      </x:c>
      <x:c r="S2612" s="53" t="n">
        <x:v>13</x:v>
      </x:c>
      <x:c r="T2612" t="str">
        <x:v>Entregue com atraso</x:v>
      </x:c>
      <x:c r="U2612" t="n">
        <x:v>5</x:v>
      </x:c>
      <x:c r="V2612" t="str"/>
    </x:row>
    <x:row r="2613">
      <x:c r="A2613" s="52" t="n">
        <x:v>46098</x:v>
      </x:c>
      <x:c r="B2613" t="str">
        <x:v>PED-102612</x:v>
      </x:c>
      <x:c r="C2613" t="str">
        <x:v>Cliente 009</x:v>
      </x:c>
      <x:c r="D2613" t="str">
        <x:v>AM</x:v>
      </x:c>
      <x:c r="E2613" t="str">
        <x:v>Norte</x:v>
      </x:c>
      <x:c r="F2613" t="str">
        <x:v>Televendas</x:v>
      </x:c>
      <x:c r="G2613" t="str">
        <x:v>Casa</x:v>
      </x:c>
      <x:c r="H2613" t="str">
        <x:v>Cafeteira Smart</x:v>
      </x:c>
      <x:c r="I2613" t="str">
        <x:v>Carla</x:v>
      </x:c>
      <x:c r="J2613" s="53" t="n">
        <x:v>3</x:v>
      </x:c>
      <x:c r="K2613" s="54" t="n">
        <x:v>787.16</x:v>
      </x:c>
      <x:c r="L2613" s="54" t="n">
        <x:v>475.04</x:v>
      </x:c>
      <x:c r="M2613" s="55" t="n">
        <x:v>0.0811</x:v>
      </x:c>
      <x:c r="N2613" s="54" t="n">
        <x:f>ROUND(J2613*K2613,2)</x:f>
        <x:v>2361.48</x:v>
      </x:c>
      <x:c r="O2613" s="54" t="n">
        <x:f>ROUND(N2613*(1-M2613),2)</x:f>
        <x:v>2169.96</x:v>
      </x:c>
      <x:c r="P2613" s="54" t="n">
        <x:f>ROUND(J2613*L2613,2)</x:f>
        <x:v>1425.12</x:v>
      </x:c>
      <x:c r="Q2613" s="54" t="n">
        <x:f>ROUND(O2613-P2613,2)</x:f>
        <x:v>744.84</x:v>
      </x:c>
      <x:c r="R2613" s="55" t="n">
        <x:f>IF(O2613=0,0,ROUND(Q2613/O2613,4))</x:f>
        <x:v>0.3433</x:v>
      </x:c>
      <x:c r="S2613" s="53" t="n">
        <x:v>10</x:v>
      </x:c>
      <x:c r="T2613" t="str">
        <x:v>Entregue</x:v>
      </x:c>
      <x:c r="U2613" t="n">
        <x:v>5</x:v>
      </x:c>
      <x:c r="V2613" t="str"/>
    </x:row>
    <x:row r="2614">
      <x:c r="A2614" s="52" t="n">
        <x:v>46210</x:v>
      </x:c>
      <x:c r="B2614" t="str">
        <x:v>PED-102613</x:v>
      </x:c>
      <x:c r="C2614" t="str">
        <x:v>Cliente 098</x:v>
      </x:c>
      <x:c r="D2614" t="str">
        <x:v>PR</x:v>
      </x:c>
      <x:c r="E2614" t="str">
        <x:v>Sul</x:v>
      </x:c>
      <x:c r="F2614" t="str">
        <x:v>E-commerce</x:v>
      </x:c>
      <x:c r="G2614" t="str">
        <x:v>Casa</x:v>
      </x:c>
      <x:c r="H2614" t="str">
        <x:v>Purificador</x:v>
      </x:c>
      <x:c r="I2614" t="str">
        <x:v>Henrique</x:v>
      </x:c>
      <x:c r="J2614" s="53" t="n">
        <x:v>5</x:v>
      </x:c>
      <x:c r="K2614" s="54" t="n">
        <x:v>1341.46</x:v>
      </x:c>
      <x:c r="L2614" s="54" t="n">
        <x:v>768.41</x:v>
      </x:c>
      <x:c r="M2614" s="55" t="n">
        <x:v>0.0669</x:v>
      </x:c>
      <x:c r="N2614" s="54" t="n">
        <x:f>ROUND(J2614*K2614,2)</x:f>
        <x:v>6707.3</x:v>
      </x:c>
      <x:c r="O2614" s="54" t="n">
        <x:f>ROUND(N2614*(1-M2614),2)</x:f>
        <x:v>6258.58</x:v>
      </x:c>
      <x:c r="P2614" s="54" t="n">
        <x:f>ROUND(J2614*L2614,2)</x:f>
        <x:v>3842.05</x:v>
      </x:c>
      <x:c r="Q2614" s="54" t="n">
        <x:f>ROUND(O2614-P2614,2)</x:f>
        <x:v>2416.53</x:v>
      </x:c>
      <x:c r="R2614" s="55" t="n">
        <x:f>IF(O2614=0,0,ROUND(Q2614/O2614,4))</x:f>
        <x:v>0.3861</x:v>
      </x:c>
      <x:c r="S2614" s="53" t="n">
        <x:v>14</x:v>
      </x:c>
      <x:c r="T2614" t="str">
        <x:v>Entregue com atraso</x:v>
      </x:c>
      <x:c r="U2614" t="n">
        <x:v>5</x:v>
      </x:c>
      <x:c r="V2614" t="str"/>
    </x:row>
    <x:row r="2615">
      <x:c r="A2615" s="52" t="n">
        <x:v>46091</x:v>
      </x:c>
      <x:c r="B2615" t="str">
        <x:v>PED-102614</x:v>
      </x:c>
      <x:c r="C2615" t="str">
        <x:v>Cliente 014</x:v>
      </x:c>
      <x:c r="D2615" t="str">
        <x:v>SC</x:v>
      </x:c>
      <x:c r="E2615" t="str">
        <x:v>Sul</x:v>
      </x:c>
      <x:c r="F2615" t="str">
        <x:v>Marketplace</x:v>
      </x:c>
      <x:c r="G2615" t="str">
        <x:v>Escritório</x:v>
      </x:c>
      <x:c r="H2615" t="str">
        <x:v>Cadeira Ergonômica</x:v>
      </x:c>
      <x:c r="I2615" t="str">
        <x:v>Ana</x:v>
      </x:c>
      <x:c r="J2615" s="53" t="n">
        <x:v>3</x:v>
      </x:c>
      <x:c r="K2615" s="54" t="n">
        <x:v>2254.29</x:v>
      </x:c>
      <x:c r="L2615" s="54" t="n">
        <x:v>1374.47</x:v>
      </x:c>
      <x:c r="M2615" s="55" t="n">
        <x:v>0.035</x:v>
      </x:c>
      <x:c r="N2615" s="54" t="n">
        <x:f>ROUND(J2615*K2615,2)</x:f>
        <x:v>6762.87</x:v>
      </x:c>
      <x:c r="O2615" s="54" t="n">
        <x:f>ROUND(N2615*(1-M2615),2)</x:f>
        <x:v>6526.17</x:v>
      </x:c>
      <x:c r="P2615" s="54" t="n">
        <x:f>ROUND(J2615*L2615,2)</x:f>
        <x:v>4123.41</x:v>
      </x:c>
      <x:c r="Q2615" s="54" t="n">
        <x:f>ROUND(O2615-P2615,2)</x:f>
        <x:v>2402.76</x:v>
      </x:c>
      <x:c r="R2615" s="55" t="n">
        <x:f>IF(O2615=0,0,ROUND(Q2615/O2615,4))</x:f>
        <x:v>0.3682</x:v>
      </x:c>
      <x:c r="S2615" s="53" t="n">
        <x:v>14</x:v>
      </x:c>
      <x:c r="T2615" t="str">
        <x:v>Entregue com atraso</x:v>
      </x:c>
      <x:c r="U2615" t="n">
        <x:v>3</x:v>
      </x:c>
      <x:c r="V2615" t="str"/>
    </x:row>
    <x:row r="2616">
      <x:c r="A2616" s="52" t="n">
        <x:v>46217</x:v>
      </x:c>
      <x:c r="B2616" t="str">
        <x:v>PED-102615</x:v>
      </x:c>
      <x:c r="C2616" t="str">
        <x:v>Cliente 088</x:v>
      </x:c>
      <x:c r="D2616" t="str">
        <x:v>PR</x:v>
      </x:c>
      <x:c r="E2616" t="str">
        <x:v>Sul</x:v>
      </x:c>
      <x:c r="F2616" t="str">
        <x:v>Televendas</x:v>
      </x:c>
      <x:c r="G2616" t="str">
        <x:v>Acessórios</x:v>
      </x:c>
      <x:c r="H2616" t="str">
        <x:v>Mochila Executiva</x:v>
      </x:c>
      <x:c r="I2616" t="str">
        <x:v>Elaine</x:v>
      </x:c>
      <x:c r="J2616" s="53" t="n">
        <x:v>4</x:v>
      </x:c>
      <x:c r="K2616" s="54" t="n">
        <x:v>452.85</x:v>
      </x:c>
      <x:c r="L2616" s="54" t="n">
        <x:v>191.26</x:v>
      </x:c>
      <x:c r="M2616" s="55" t="n">
        <x:v>0.1211</x:v>
      </x:c>
      <x:c r="N2616" s="54" t="n">
        <x:f>ROUND(J2616*K2616,2)</x:f>
        <x:v>1811.4</x:v>
      </x:c>
      <x:c r="O2616" s="54" t="n">
        <x:f>ROUND(N2616*(1-M2616),2)</x:f>
        <x:v>1592.04</x:v>
      </x:c>
      <x:c r="P2616" s="54" t="n">
        <x:f>ROUND(J2616*L2616,2)</x:f>
        <x:v>765.04</x:v>
      </x:c>
      <x:c r="Q2616" s="54" t="n">
        <x:f>ROUND(O2616-P2616,2)</x:f>
        <x:v>827</x:v>
      </x:c>
      <x:c r="R2616" s="55" t="n">
        <x:f>IF(O2616=0,0,ROUND(Q2616/O2616,4))</x:f>
        <x:v>0.5195</x:v>
      </x:c>
      <x:c r="S2616" s="53" t="n">
        <x:v>10</x:v>
      </x:c>
      <x:c r="T2616" t="str">
        <x:v>Entregue</x:v>
      </x:c>
      <x:c r="U2616" t="n">
        <x:v>2</x:v>
      </x:c>
      <x:c r="V2616" t="str"/>
    </x:row>
    <x:row r="2617">
      <x:c r="A2617" s="52" t="n">
        <x:v>46149</x:v>
      </x:c>
      <x:c r="B2617" t="str">
        <x:v>PED-102616</x:v>
      </x:c>
      <x:c r="C2617" t="str">
        <x:v>Cliente 087</x:v>
      </x:c>
      <x:c r="D2617" t="str">
        <x:v>MT</x:v>
      </x:c>
      <x:c r="E2617" t="str">
        <x:v>Centro-Oeste</x:v>
      </x:c>
      <x:c r="F2617" t="str">
        <x:v>E-commerce</x:v>
      </x:c>
      <x:c r="G2617" t="str">
        <x:v>Tecnologia</x:v>
      </x:c>
      <x:c r="H2617" t="str">
        <x:v>Headset Office</x:v>
      </x:c>
      <x:c r="I2617" t="str">
        <x:v>Gabriela</x:v>
      </x:c>
      <x:c r="J2617" s="53" t="n">
        <x:v>3</x:v>
      </x:c>
      <x:c r="K2617" s="54" t="n">
        <x:v>398.88</x:v>
      </x:c>
      <x:c r="L2617" s="54" t="n">
        <x:v>214.14</x:v>
      </x:c>
      <x:c r="M2617" s="55" t="n">
        <x:v>0.1228</x:v>
      </x:c>
      <x:c r="N2617" s="54" t="n">
        <x:f>ROUND(J2617*K2617,2)</x:f>
        <x:v>1196.64</x:v>
      </x:c>
      <x:c r="O2617" s="54" t="n">
        <x:f>ROUND(N2617*(1-M2617),2)</x:f>
        <x:v>1049.69</x:v>
      </x:c>
      <x:c r="P2617" s="54" t="n">
        <x:f>ROUND(J2617*L2617,2)</x:f>
        <x:v>642.42</x:v>
      </x:c>
      <x:c r="Q2617" s="54" t="n">
        <x:f>ROUND(O2617-P2617,2)</x:f>
        <x:v>407.27</x:v>
      </x:c>
      <x:c r="R2617" s="55" t="n">
        <x:f>IF(O2617=0,0,ROUND(Q2617/O2617,4))</x:f>
        <x:v>0.388</x:v>
      </x:c>
      <x:c r="S2617" s="53" t="n">
        <x:v>13</x:v>
      </x:c>
      <x:c r="T2617" t="str">
        <x:v>Entregue com atraso</x:v>
      </x:c>
      <x:c r="U2617" t="n">
        <x:v>2</x:v>
      </x:c>
      <x:c r="V2617" t="str"/>
    </x:row>
    <x:row r="2618">
      <x:c r="A2618" s="52" t="n">
        <x:v>46035</x:v>
      </x:c>
      <x:c r="B2618" t="str">
        <x:v>PED-102617</x:v>
      </x:c>
      <x:c r="C2618" t="str">
        <x:v>Cliente 065</x:v>
      </x:c>
      <x:c r="D2618" t="str">
        <x:v>CE</x:v>
      </x:c>
      <x:c r="E2618" t="str">
        <x:v>Nordeste</x:v>
      </x:c>
      <x:c r="F2618" t="str">
        <x:v>E-commerce</x:v>
      </x:c>
      <x:c r="G2618" t="str">
        <x:v>Acessórios</x:v>
      </x:c>
      <x:c r="H2618" t="str">
        <x:v>Hub USB-C</x:v>
      </x:c>
      <x:c r="I2618" t="str">
        <x:v>Ana</x:v>
      </x:c>
      <x:c r="J2618" s="53" t="n">
        <x:v>3</x:v>
      </x:c>
      <x:c r="K2618" s="54" t="n">
        <x:v>317.3</x:v>
      </x:c>
      <x:c r="L2618" s="54" t="n">
        <x:v>143.13</x:v>
      </x:c>
      <x:c r="M2618" s="55" t="n">
        <x:v>0</x:v>
      </x:c>
      <x:c r="N2618" s="54" t="n">
        <x:f>ROUND(J2618*K2618,2)</x:f>
        <x:v>951.9</x:v>
      </x:c>
      <x:c r="O2618" s="54" t="n">
        <x:f>ROUND(N2618*(1-M2618),2)</x:f>
        <x:v>951.9</x:v>
      </x:c>
      <x:c r="P2618" s="54" t="n">
        <x:f>ROUND(J2618*L2618,2)</x:f>
        <x:v>429.39</x:v>
      </x:c>
      <x:c r="Q2618" s="54" t="n">
        <x:f>ROUND(O2618-P2618,2)</x:f>
        <x:v>522.51</x:v>
      </x:c>
      <x:c r="R2618" s="55" t="n">
        <x:f>IF(O2618=0,0,ROUND(Q2618/O2618,4))</x:f>
        <x:v>0.5489</x:v>
      </x:c>
      <x:c r="S2618" s="53" t="n">
        <x:v>8</x:v>
      </x:c>
      <x:c r="T2618" t="str">
        <x:v>Entregue</x:v>
      </x:c>
      <x:c r="U2618" t="n">
        <x:v>5</x:v>
      </x:c>
      <x:c r="V2618" t="str"/>
    </x:row>
    <x:row r="2619">
      <x:c r="A2619" s="52" t="n">
        <x:v>46068</x:v>
      </x:c>
      <x:c r="B2619" t="str">
        <x:v>PED-102618</x:v>
      </x:c>
      <x:c r="C2619" t="str">
        <x:v>Cliente 064</x:v>
      </x:c>
      <x:c r="D2619" t="str">
        <x:v>AM</x:v>
      </x:c>
      <x:c r="E2619" t="str">
        <x:v>Norte</x:v>
      </x:c>
      <x:c r="F2619" t="str">
        <x:v>Marketplace</x:v>
      </x:c>
      <x:c r="G2619" t="str">
        <x:v>Casa</x:v>
      </x:c>
      <x:c r="H2619" t="str">
        <x:v>Aspirador Robô</x:v>
      </x:c>
      <x:c r="I2619" t="str">
        <x:v>Henrique</x:v>
      </x:c>
      <x:c r="J2619" s="53" t="n">
        <x:v>8</x:v>
      </x:c>
      <x:c r="K2619" s="54" t="n">
        <x:v>1816.96</x:v>
      </x:c>
      <x:c r="L2619" s="54" t="n">
        <x:v>1253.48</x:v>
      </x:c>
      <x:c r="M2619" s="55" t="n">
        <x:v>0.105</x:v>
      </x:c>
      <x:c r="N2619" s="54" t="n">
        <x:f>ROUND(J2619*K2619,2)</x:f>
        <x:v>14535.68</x:v>
      </x:c>
      <x:c r="O2619" s="54" t="n">
        <x:f>ROUND(N2619*(1-M2619),2)</x:f>
        <x:v>13009.43</x:v>
      </x:c>
      <x:c r="P2619" s="54" t="n">
        <x:f>ROUND(J2619*L2619,2)</x:f>
        <x:v>10027.84</x:v>
      </x:c>
      <x:c r="Q2619" s="54" t="n">
        <x:f>ROUND(O2619-P2619,2)</x:f>
        <x:v>2981.59</x:v>
      </x:c>
      <x:c r="R2619" s="55" t="n">
        <x:f>IF(O2619=0,0,ROUND(Q2619/O2619,4))</x:f>
        <x:v>0.2292</x:v>
      </x:c>
      <x:c r="S2619" s="53" t="n">
        <x:v>7</x:v>
      </x:c>
      <x:c r="T2619" t="str">
        <x:v>Entregue</x:v>
      </x:c>
      <x:c r="U2619" t="n">
        <x:v>3</x:v>
      </x:c>
      <x:c r="V2619" t="str"/>
    </x:row>
    <x:row r="2620">
      <x:c r="A2620" s="52" t="n">
        <x:v>46162</x:v>
      </x:c>
      <x:c r="B2620" t="str">
        <x:v>PED-102619</x:v>
      </x:c>
      <x:c r="C2620" t="str">
        <x:v>Cliente 094</x:v>
      </x:c>
      <x:c r="D2620" t="str">
        <x:v>RJ</x:v>
      </x:c>
      <x:c r="E2620" t="str">
        <x:v>Sudeste</x:v>
      </x:c>
      <x:c r="F2620" t="str">
        <x:v>Televendas</x:v>
      </x:c>
      <x:c r="G2620" t="str">
        <x:v>Tecnologia</x:v>
      </x:c>
      <x:c r="H2620" t="str">
        <x:v>Monitor 27</x:v>
      </x:c>
      <x:c r="I2620" t="str">
        <x:v>Elaine</x:v>
      </x:c>
      <x:c r="J2620" s="53" t="n">
        <x:v>8</x:v>
      </x:c>
      <x:c r="K2620" s="54" t="n">
        <x:v>1623.85</x:v>
      </x:c>
      <x:c r="L2620" s="54" t="n">
        <x:v>1073.44</x:v>
      </x:c>
      <x:c r="M2620" s="55" t="n">
        <x:v>0.0652</x:v>
      </x:c>
      <x:c r="N2620" s="54" t="n">
        <x:f>ROUND(J2620*K2620,2)</x:f>
        <x:v>12990.8</x:v>
      </x:c>
      <x:c r="O2620" s="54" t="n">
        <x:f>ROUND(N2620*(1-M2620),2)</x:f>
        <x:v>12143.8</x:v>
      </x:c>
      <x:c r="P2620" s="54" t="n">
        <x:f>ROUND(J2620*L2620,2)</x:f>
        <x:v>8587.52</x:v>
      </x:c>
      <x:c r="Q2620" s="54" t="n">
        <x:f>ROUND(O2620-P2620,2)</x:f>
        <x:v>3556.28</x:v>
      </x:c>
      <x:c r="R2620" s="55" t="n">
        <x:f>IF(O2620=0,0,ROUND(Q2620/O2620,4))</x:f>
        <x:v>0.2928</x:v>
      </x:c>
      <x:c r="S2620" s="53" t="n">
        <x:v>5</x:v>
      </x:c>
      <x:c r="T2620" t="str">
        <x:v>Entregue</x:v>
      </x:c>
      <x:c r="U2620" t="n">
        <x:v>5</x:v>
      </x:c>
      <x:c r="V2620" t="str"/>
    </x:row>
    <x:row r="2621">
      <x:c r="A2621" s="52" t="n">
        <x:v>46164</x:v>
      </x:c>
      <x:c r="B2621" t="str">
        <x:v>PED-102620</x:v>
      </x:c>
      <x:c r="C2621" t="str">
        <x:v>Cliente 002</x:v>
      </x:c>
      <x:c r="D2621" t="str">
        <x:v>RS</x:v>
      </x:c>
      <x:c r="E2621" t="str">
        <x:v>Sul</x:v>
      </x:c>
      <x:c r="F2621" t="str">
        <x:v>E-commerce</x:v>
      </x:c>
      <x:c r="G2621" t="str">
        <x:v>Escritório</x:v>
      </x:c>
      <x:c r="H2621" t="str">
        <x:v>Mesa Ajustável</x:v>
      </x:c>
      <x:c r="I2621" t="str">
        <x:v>Ana</x:v>
      </x:c>
      <x:c r="J2621" s="53" t="n">
        <x:v>8</x:v>
      </x:c>
      <x:c r="K2621" s="54" t="n">
        <x:v>2907.58</x:v>
      </x:c>
      <x:c r="L2621" s="54" t="n">
        <x:v>1842.29</x:v>
      </x:c>
      <x:c r="M2621" s="55" t="n">
        <x:v>0</x:v>
      </x:c>
      <x:c r="N2621" s="54" t="n">
        <x:f>ROUND(J2621*K2621,2)</x:f>
        <x:v>23260.64</x:v>
      </x:c>
      <x:c r="O2621" s="54" t="n">
        <x:f>ROUND(N2621*(1-M2621),2)</x:f>
        <x:v>23260.64</x:v>
      </x:c>
      <x:c r="P2621" s="54" t="n">
        <x:f>ROUND(J2621*L2621,2)</x:f>
        <x:v>14738.32</x:v>
      </x:c>
      <x:c r="Q2621" s="54" t="n">
        <x:f>ROUND(O2621-P2621,2)</x:f>
        <x:v>8522.32</x:v>
      </x:c>
      <x:c r="R2621" s="55" t="n">
        <x:f>IF(O2621=0,0,ROUND(Q2621/O2621,4))</x:f>
        <x:v>0.3664</x:v>
      </x:c>
      <x:c r="S2621" s="53" t="n">
        <x:v>9</x:v>
      </x:c>
      <x:c r="T2621" t="str">
        <x:v>Entregue</x:v>
      </x:c>
      <x:c r="U2621" t="n">
        <x:v>4</x:v>
      </x:c>
      <x:c r="V2621" t="str"/>
    </x:row>
    <x:row r="2622">
      <x:c r="A2622" s="52" t="n">
        <x:v>46217</x:v>
      </x:c>
      <x:c r="B2622" t="str">
        <x:v>PED-102621</x:v>
      </x:c>
      <x:c r="C2622" t="str">
        <x:v>Cliente 002</x:v>
      </x:c>
      <x:c r="D2622" t="str">
        <x:v>BA</x:v>
      </x:c>
      <x:c r="E2622" t="str">
        <x:v>Nordeste</x:v>
      </x:c>
      <x:c r="F2622" t="str">
        <x:v>Marketplace</x:v>
      </x:c>
      <x:c r="G2622" t="str">
        <x:v>Acessórios</x:v>
      </x:c>
      <x:c r="H2622" t="str">
        <x:v>Webcam HD</x:v>
      </x:c>
      <x:c r="I2622" t="str">
        <x:v>João</x:v>
      </x:c>
      <x:c r="J2622" s="53" t="n">
        <x:v>2</x:v>
      </x:c>
      <x:c r="K2622" s="54" t="n">
        <x:v>540.19</x:v>
      </x:c>
      <x:c r="L2622" s="54" t="n">
        <x:v>255.17</x:v>
      </x:c>
      <x:c r="M2622" s="55" t="n">
        <x:v>0.035</x:v>
      </x:c>
      <x:c r="N2622" s="54" t="n">
        <x:f>ROUND(J2622*K2622,2)</x:f>
        <x:v>1080.38</x:v>
      </x:c>
      <x:c r="O2622" s="54" t="n">
        <x:f>ROUND(N2622*(1-M2622),2)</x:f>
        <x:v>1042.57</x:v>
      </x:c>
      <x:c r="P2622" s="54" t="n">
        <x:f>ROUND(J2622*L2622,2)</x:f>
        <x:v>510.34</x:v>
      </x:c>
      <x:c r="Q2622" s="54" t="n">
        <x:f>ROUND(O2622-P2622,2)</x:f>
        <x:v>532.23</x:v>
      </x:c>
      <x:c r="R2622" s="55" t="n">
        <x:f>IF(O2622=0,0,ROUND(Q2622/O2622,4))</x:f>
        <x:v>0.5105</x:v>
      </x:c>
      <x:c r="S2622" s="53" t="n">
        <x:v>2</x:v>
      </x:c>
      <x:c r="T2622" t="str">
        <x:v>Entregue</x:v>
      </x:c>
      <x:c r="U2622" t="n">
        <x:v>4</x:v>
      </x:c>
      <x:c r="V2622" t="str"/>
    </x:row>
    <x:row r="2623">
      <x:c r="A2623" s="52" t="n">
        <x:v>46147</x:v>
      </x:c>
      <x:c r="B2623" t="str">
        <x:v>PED-102622</x:v>
      </x:c>
      <x:c r="C2623" t="str">
        <x:v>Cliente 060</x:v>
      </x:c>
      <x:c r="D2623" t="str">
        <x:v>MG</x:v>
      </x:c>
      <x:c r="E2623" t="str">
        <x:v>Sudeste</x:v>
      </x:c>
      <x:c r="F2623" t="str">
        <x:v>Marketplace</x:v>
      </x:c>
      <x:c r="G2623" t="str">
        <x:v>Tecnologia</x:v>
      </x:c>
      <x:c r="H2623" t="str">
        <x:v>Headset Office</x:v>
      </x:c>
      <x:c r="I2623" t="str">
        <x:v>Gabriela</x:v>
      </x:c>
      <x:c r="J2623" s="53" t="n">
        <x:v>8</x:v>
      </x:c>
      <x:c r="K2623" s="54" t="n">
        <x:v>369.05</x:v>
      </x:c>
      <x:c r="L2623" s="54" t="n">
        <x:v>207.65</x:v>
      </x:c>
      <x:c r="M2623" s="55" t="n">
        <x:v>0.1421</x:v>
      </x:c>
      <x:c r="N2623" s="54" t="n">
        <x:f>ROUND(J2623*K2623,2)</x:f>
        <x:v>2952.4</x:v>
      </x:c>
      <x:c r="O2623" s="54" t="n">
        <x:f>ROUND(N2623*(1-M2623),2)</x:f>
        <x:v>2532.86</x:v>
      </x:c>
      <x:c r="P2623" s="54" t="n">
        <x:f>ROUND(J2623*L2623,2)</x:f>
        <x:v>1661.2</x:v>
      </x:c>
      <x:c r="Q2623" s="54" t="n">
        <x:f>ROUND(O2623-P2623,2)</x:f>
        <x:v>871.66</x:v>
      </x:c>
      <x:c r="R2623" s="55" t="n">
        <x:f>IF(O2623=0,0,ROUND(Q2623/O2623,4))</x:f>
        <x:v>0.3441</x:v>
      </x:c>
      <x:c r="S2623" s="53" t="n">
        <x:v>11</x:v>
      </x:c>
      <x:c r="T2623" t="str">
        <x:v>Entregue com atraso</x:v>
      </x:c>
      <x:c r="U2623" t="n">
        <x:v>2</x:v>
      </x:c>
      <x:c r="V2623" t="str"/>
    </x:row>
    <x:row r="2624">
      <x:c r="A2624" s="52" t="n">
        <x:v>46195</x:v>
      </x:c>
      <x:c r="B2624" t="str">
        <x:v>PED-102623</x:v>
      </x:c>
      <x:c r="C2624" t="str">
        <x:v>Cliente 053</x:v>
      </x:c>
      <x:c r="D2624" t="str">
        <x:v>RS</x:v>
      </x:c>
      <x:c r="E2624" t="str">
        <x:v>Sul</x:v>
      </x:c>
      <x:c r="F2624" t="str">
        <x:v>Marketplace</x:v>
      </x:c>
      <x:c r="G2624" t="str">
        <x:v>Escritório</x:v>
      </x:c>
      <x:c r="H2624" t="str">
        <x:v>Luminária LED</x:v>
      </x:c>
      <x:c r="I2624" t="str">
        <x:v>Felipe</x:v>
      </x:c>
      <x:c r="J2624" s="53" t="n">
        <x:v>2</x:v>
      </x:c>
      <x:c r="K2624" s="54" t="n">
        <x:v>251</x:v>
      </x:c>
      <x:c r="L2624" s="54" t="n">
        <x:v>116.18</x:v>
      </x:c>
      <x:c r="M2624" s="55" t="n">
        <x:v>0.035</x:v>
      </x:c>
      <x:c r="N2624" s="54" t="n">
        <x:f>ROUND(J2624*K2624,2)</x:f>
        <x:v>502</x:v>
      </x:c>
      <x:c r="O2624" s="54" t="n">
        <x:f>ROUND(N2624*(1-M2624),2)</x:f>
        <x:v>484.43</x:v>
      </x:c>
      <x:c r="P2624" s="54" t="n">
        <x:f>ROUND(J2624*L2624,2)</x:f>
        <x:v>232.36</x:v>
      </x:c>
      <x:c r="Q2624" s="54" t="n">
        <x:f>ROUND(O2624-P2624,2)</x:f>
        <x:v>252.07</x:v>
      </x:c>
      <x:c r="R2624" s="55" t="n">
        <x:f>IF(O2624=0,0,ROUND(Q2624/O2624,4))</x:f>
        <x:v>0.5203</x:v>
      </x:c>
      <x:c r="S2624" s="53" t="n">
        <x:v>12</x:v>
      </x:c>
      <x:c r="T2624" t="str">
        <x:v>Entregue com atraso</x:v>
      </x:c>
      <x:c r="U2624" t="n">
        <x:v>3</x:v>
      </x:c>
      <x:c r="V2624" t="str"/>
    </x:row>
    <x:row r="2625">
      <x:c r="A2625" s="52" t="n">
        <x:v>46030</x:v>
      </x:c>
      <x:c r="B2625" t="str">
        <x:v>PED-102624</x:v>
      </x:c>
      <x:c r="C2625" t="str">
        <x:v>Cliente 040</x:v>
      </x:c>
      <x:c r="D2625" t="str">
        <x:v>CE</x:v>
      </x:c>
      <x:c r="E2625" t="str">
        <x:v>Nordeste</x:v>
      </x:c>
      <x:c r="F2625" t="str">
        <x:v>E-commerce</x:v>
      </x:c>
      <x:c r="G2625" t="str">
        <x:v>Casa</x:v>
      </x:c>
      <x:c r="H2625" t="str">
        <x:v>Aspirador Robô</x:v>
      </x:c>
      <x:c r="I2625" t="str">
        <x:v>João</x:v>
      </x:c>
      <x:c r="J2625" s="53" t="n">
        <x:v>4</x:v>
      </x:c>
      <x:c r="K2625" s="54" t="n">
        <x:v>1917.1</x:v>
      </x:c>
      <x:c r="L2625" s="54" t="n">
        <x:v>1256.3</x:v>
      </x:c>
      <x:c r="M2625" s="55" t="n">
        <x:v>0</x:v>
      </x:c>
      <x:c r="N2625" s="54" t="n">
        <x:f>ROUND(J2625*K2625,2)</x:f>
        <x:v>7668.4</x:v>
      </x:c>
      <x:c r="O2625" s="54" t="n">
        <x:f>ROUND(N2625*(1-M2625),2)</x:f>
        <x:v>7668.4</x:v>
      </x:c>
      <x:c r="P2625" s="54" t="n">
        <x:f>ROUND(J2625*L2625,2)</x:f>
        <x:v>5025.2</x:v>
      </x:c>
      <x:c r="Q2625" s="54" t="n">
        <x:f>ROUND(O2625-P2625,2)</x:f>
        <x:v>2643.2</x:v>
      </x:c>
      <x:c r="R2625" s="55" t="n">
        <x:f>IF(O2625=0,0,ROUND(Q2625/O2625,4))</x:f>
        <x:v>0.3447</x:v>
      </x:c>
      <x:c r="S2625" s="53" t="n">
        <x:v>4</x:v>
      </x:c>
      <x:c r="T2625" t="str">
        <x:v>Entregue</x:v>
      </x:c>
      <x:c r="U2625" t="n">
        <x:v>2</x:v>
      </x:c>
      <x:c r="V2625" t="str"/>
    </x:row>
    <x:row r="2626">
      <x:c r="A2626" s="52" t="n">
        <x:v>46040</x:v>
      </x:c>
      <x:c r="B2626" t="str">
        <x:v>PED-102625</x:v>
      </x:c>
      <x:c r="C2626" t="str">
        <x:v>Cliente 021</x:v>
      </x:c>
      <x:c r="D2626" t="str">
        <x:v>BA</x:v>
      </x:c>
      <x:c r="E2626" t="str">
        <x:v>Nordeste</x:v>
      </x:c>
      <x:c r="F2626" t="str">
        <x:v>Marketplace</x:v>
      </x:c>
      <x:c r="G2626" t="str">
        <x:v>Casa</x:v>
      </x:c>
      <x:c r="H2626" t="str">
        <x:v>Aspirador Robô</x:v>
      </x:c>
      <x:c r="I2626" t="str">
        <x:v>Diego</x:v>
      </x:c>
      <x:c r="J2626" s="53" t="n">
        <x:v>4</x:v>
      </x:c>
      <x:c r="K2626" s="54" t="n">
        <x:v>1805.32</x:v>
      </x:c>
      <x:c r="L2626" s="54" t="n">
        <x:v>1190.19</x:v>
      </x:c>
      <x:c r="M2626" s="55" t="n">
        <x:v>0.0648</x:v>
      </x:c>
      <x:c r="N2626" s="54" t="n">
        <x:f>ROUND(J2626*K2626,2)</x:f>
        <x:v>7221.28</x:v>
      </x:c>
      <x:c r="O2626" s="54" t="n">
        <x:f>ROUND(N2626*(1-M2626),2)</x:f>
        <x:v>6753.34</x:v>
      </x:c>
      <x:c r="P2626" s="54" t="n">
        <x:f>ROUND(J2626*L2626,2)</x:f>
        <x:v>4760.76</x:v>
      </x:c>
      <x:c r="Q2626" s="54" t="n">
        <x:f>ROUND(O2626-P2626,2)</x:f>
        <x:v>1992.58</x:v>
      </x:c>
      <x:c r="R2626" s="55" t="n">
        <x:f>IF(O2626=0,0,ROUND(Q2626/O2626,4))</x:f>
        <x:v>0.2951</x:v>
      </x:c>
      <x:c r="S2626" s="53" t="n">
        <x:v>2</x:v>
      </x:c>
      <x:c r="T2626" t="str">
        <x:v>Entregue</x:v>
      </x:c>
      <x:c r="U2626" t="n">
        <x:v>5</x:v>
      </x:c>
      <x:c r="V2626" t="str"/>
    </x:row>
    <x:row r="2627">
      <x:c r="A2627" s="52" t="n">
        <x:v>46118</x:v>
      </x:c>
      <x:c r="B2627" t="str">
        <x:v>PED-102626</x:v>
      </x:c>
      <x:c r="C2627" t="str">
        <x:v>Cliente 080</x:v>
      </x:c>
      <x:c r="D2627" t="str">
        <x:v>PE</x:v>
      </x:c>
      <x:c r="E2627" t="str">
        <x:v>Nordeste</x:v>
      </x:c>
      <x:c r="F2627" t="str">
        <x:v>E-commerce</x:v>
      </x:c>
      <x:c r="G2627" t="str">
        <x:v>Acessórios</x:v>
      </x:c>
      <x:c r="H2627" t="str">
        <x:v>Hub USB-C</x:v>
      </x:c>
      <x:c r="I2627" t="str">
        <x:v>João</x:v>
      </x:c>
      <x:c r="J2627" s="53" t="n">
        <x:v>7</x:v>
      </x:c>
      <x:c r="K2627" s="54" t="n">
        <x:v>324.52</x:v>
      </x:c>
      <x:c r="L2627" s="54" t="n">
        <x:v>134.43</x:v>
      </x:c>
      <x:c r="M2627" s="55" t="n">
        <x:v>0</x:v>
      </x:c>
      <x:c r="N2627" s="54" t="n">
        <x:f>ROUND(J2627*K2627,2)</x:f>
        <x:v>2271.64</x:v>
      </x:c>
      <x:c r="O2627" s="54" t="n">
        <x:f>ROUND(N2627*(1-M2627),2)</x:f>
        <x:v>2271.64</x:v>
      </x:c>
      <x:c r="P2627" s="54" t="n">
        <x:f>ROUND(J2627*L2627,2)</x:f>
        <x:v>941.01</x:v>
      </x:c>
      <x:c r="Q2627" s="54" t="n">
        <x:f>ROUND(O2627-P2627,2)</x:f>
        <x:v>1330.63</x:v>
      </x:c>
      <x:c r="R2627" s="55" t="n">
        <x:f>IF(O2627=0,0,ROUND(Q2627/O2627,4))</x:f>
        <x:v>0.5858</x:v>
      </x:c>
      <x:c r="S2627" s="53" t="n">
        <x:v>12</x:v>
      </x:c>
      <x:c r="T2627" t="str">
        <x:v>Entregue com atraso</x:v>
      </x:c>
      <x:c r="U2627" t="n">
        <x:v>4</x:v>
      </x:c>
      <x:c r="V2627" t="str"/>
    </x:row>
    <x:row r="2628">
      <x:c r="A2628" s="52" t="n">
        <x:v>46092</x:v>
      </x:c>
      <x:c r="B2628" t="str">
        <x:v>PED-102627</x:v>
      </x:c>
      <x:c r="C2628" t="str">
        <x:v>Cliente 036</x:v>
      </x:c>
      <x:c r="D2628" t="str">
        <x:v>SC</x:v>
      </x:c>
      <x:c r="E2628" t="str">
        <x:v>Sul</x:v>
      </x:c>
      <x:c r="F2628" t="str">
        <x:v>Marketplace</x:v>
      </x:c>
      <x:c r="G2628" t="str">
        <x:v>Escritório</x:v>
      </x:c>
      <x:c r="H2628" t="str">
        <x:v>Mesa Ajustável</x:v>
      </x:c>
      <x:c r="I2628" t="str">
        <x:v>Elaine</x:v>
      </x:c>
      <x:c r="J2628" s="53" t="n">
        <x:v>2</x:v>
      </x:c>
      <x:c r="K2628" s="54" t="n">
        <x:v>2698.55</x:v>
      </x:c>
      <x:c r="L2628" s="54" t="n">
        <x:v>1828.24</x:v>
      </x:c>
      <x:c r="M2628" s="55" t="n">
        <x:v>0.035</x:v>
      </x:c>
      <x:c r="N2628" s="54" t="n">
        <x:f>ROUND(J2628*K2628,2)</x:f>
        <x:v>5397.1</x:v>
      </x:c>
      <x:c r="O2628" s="54" t="n">
        <x:f>ROUND(N2628*(1-M2628),2)</x:f>
        <x:v>5208.2</x:v>
      </x:c>
      <x:c r="P2628" s="54" t="n">
        <x:f>ROUND(J2628*L2628,2)</x:f>
        <x:v>3656.48</x:v>
      </x:c>
      <x:c r="Q2628" s="54" t="n">
        <x:f>ROUND(O2628-P2628,2)</x:f>
        <x:v>1551.72</x:v>
      </x:c>
      <x:c r="R2628" s="55" t="n">
        <x:f>IF(O2628=0,0,ROUND(Q2628/O2628,4))</x:f>
        <x:v>0.2979</x:v>
      </x:c>
      <x:c r="S2628" s="53" t="n">
        <x:v>10</x:v>
      </x:c>
      <x:c r="T2628" t="str">
        <x:v>Entregue</x:v>
      </x:c>
      <x:c r="U2628" t="n">
        <x:v>2</x:v>
      </x:c>
      <x:c r="V2628" t="str"/>
    </x:row>
    <x:row r="2629">
      <x:c r="A2629" s="52" t="n">
        <x:v>46103</x:v>
      </x:c>
      <x:c r="B2629" t="str">
        <x:v>PED-102628</x:v>
      </x:c>
      <x:c r="C2629" t="str">
        <x:v>Cliente 056</x:v>
      </x:c>
      <x:c r="D2629" t="str">
        <x:v>BA</x:v>
      </x:c>
      <x:c r="E2629" t="str">
        <x:v>Nordeste</x:v>
      </x:c>
      <x:c r="F2629" t="str">
        <x:v>Marketplace</x:v>
      </x:c>
      <x:c r="G2629" t="str">
        <x:v>Tecnologia</x:v>
      </x:c>
      <x:c r="H2629" t="str">
        <x:v>Monitor 27</x:v>
      </x:c>
      <x:c r="I2629" t="str">
        <x:v>Elaine</x:v>
      </x:c>
      <x:c r="J2629" s="53" t="n">
        <x:v>6</x:v>
      </x:c>
      <x:c r="K2629" s="54" t="n">
        <x:v>1773.62</x:v>
      </x:c>
      <x:c r="L2629" s="54" t="n">
        <x:v>1077.2</x:v>
      </x:c>
      <x:c r="M2629" s="55" t="n">
        <x:v>0.035</x:v>
      </x:c>
      <x:c r="N2629" s="54" t="n">
        <x:f>ROUND(J2629*K2629,2)</x:f>
        <x:v>10641.72</x:v>
      </x:c>
      <x:c r="O2629" s="54" t="n">
        <x:f>ROUND(N2629*(1-M2629),2)</x:f>
        <x:v>10269.26</x:v>
      </x:c>
      <x:c r="P2629" s="54" t="n">
        <x:f>ROUND(J2629*L2629,2)</x:f>
        <x:v>6463.2</x:v>
      </x:c>
      <x:c r="Q2629" s="54" t="n">
        <x:f>ROUND(O2629-P2629,2)</x:f>
        <x:v>3806.06</x:v>
      </x:c>
      <x:c r="R2629" s="55" t="n">
        <x:f>IF(O2629=0,0,ROUND(Q2629/O2629,4))</x:f>
        <x:v>0.3706</x:v>
      </x:c>
      <x:c r="S2629" s="53" t="n">
        <x:v>13</x:v>
      </x:c>
      <x:c r="T2629" t="str">
        <x:v>Entregue com atraso</x:v>
      </x:c>
      <x:c r="U2629" t="n">
        <x:v>5</x:v>
      </x:c>
      <x:c r="V2629" t="str"/>
    </x:row>
    <x:row r="2630">
      <x:c r="A2630" s="52" t="n">
        <x:v>46085</x:v>
      </x:c>
      <x:c r="B2630" t="str">
        <x:v>PED-102629</x:v>
      </x:c>
      <x:c r="C2630" t="str">
        <x:v>Cliente 028</x:v>
      </x:c>
      <x:c r="D2630" t="str">
        <x:v>ES</x:v>
      </x:c>
      <x:c r="E2630" t="str">
        <x:v>Sudeste</x:v>
      </x:c>
      <x:c r="F2630" t="str">
        <x:v>Marketplace</x:v>
      </x:c>
      <x:c r="G2630" t="str">
        <x:v>Acessórios</x:v>
      </x:c>
      <x:c r="H2630" t="str">
        <x:v>Hub USB-C</x:v>
      </x:c>
      <x:c r="I2630" t="str">
        <x:v>Carla</x:v>
      </x:c>
      <x:c r="J2630" s="53" t="n">
        <x:v>2</x:v>
      </x:c>
      <x:c r="K2630" s="54" t="n">
        <x:v>307.92</x:v>
      </x:c>
      <x:c r="L2630" s="54" t="n">
        <x:v>131.47</x:v>
      </x:c>
      <x:c r="M2630" s="55" t="n">
        <x:v>0.035</x:v>
      </x:c>
      <x:c r="N2630" s="54" t="n">
        <x:f>ROUND(J2630*K2630,2)</x:f>
        <x:v>615.84</x:v>
      </x:c>
      <x:c r="O2630" s="54" t="n">
        <x:f>ROUND(N2630*(1-M2630),2)</x:f>
        <x:v>594.29</x:v>
      </x:c>
      <x:c r="P2630" s="54" t="n">
        <x:f>ROUND(J2630*L2630,2)</x:f>
        <x:v>262.94</x:v>
      </x:c>
      <x:c r="Q2630" s="54" t="n">
        <x:f>ROUND(O2630-P2630,2)</x:f>
        <x:v>331.35</x:v>
      </x:c>
      <x:c r="R2630" s="55" t="n">
        <x:f>IF(O2630=0,0,ROUND(Q2630/O2630,4))</x:f>
        <x:v>0.5576</x:v>
      </x:c>
      <x:c r="S2630" s="53" t="n">
        <x:v>33</x:v>
      </x:c>
      <x:c r="T2630" t="str">
        <x:v>Entregue com atraso</x:v>
      </x:c>
      <x:c r="U2630" t="n">
        <x:v>1</x:v>
      </x:c>
      <x:c r="V2630" t="str">
        <x:v>Ocorrência logística</x:v>
      </x:c>
    </x:row>
    <x:row r="2631">
      <x:c r="A2631" s="52" t="n">
        <x:v>46126</x:v>
      </x:c>
      <x:c r="B2631" t="str">
        <x:v>PED-102630</x:v>
      </x:c>
      <x:c r="C2631" t="str">
        <x:v>Cliente 023</x:v>
      </x:c>
      <x:c r="D2631" t="str">
        <x:v>RJ</x:v>
      </x:c>
      <x:c r="E2631" t="str">
        <x:v>Sudeste</x:v>
      </x:c>
      <x:c r="F2631" t="str">
        <x:v>Loja</x:v>
      </x:c>
      <x:c r="G2631" t="str">
        <x:v>Escritório</x:v>
      </x:c>
      <x:c r="H2631" t="str">
        <x:v>Cadeira Ergonômica</x:v>
      </x:c>
      <x:c r="I2631" t="str">
        <x:v>Felipe</x:v>
      </x:c>
      <x:c r="J2631" s="53" t="n">
        <x:v>2</x:v>
      </x:c>
      <x:c r="K2631" s="54" t="n">
        <x:v>2309.64</x:v>
      </x:c>
      <x:c r="L2631" s="54" t="n">
        <x:v>1428.98</x:v>
      </x:c>
      <x:c r="M2631" s="55" t="n">
        <x:v>0.1269</x:v>
      </x:c>
      <x:c r="N2631" s="54" t="n">
        <x:f>ROUND(J2631*K2631,2)</x:f>
        <x:v>4619.28</x:v>
      </x:c>
      <x:c r="O2631" s="54" t="n">
        <x:f>ROUND(N2631*(1-M2631),2)</x:f>
        <x:v>4033.09</x:v>
      </x:c>
      <x:c r="P2631" s="54" t="n">
        <x:f>ROUND(J2631*L2631,2)</x:f>
        <x:v>2857.96</x:v>
      </x:c>
      <x:c r="Q2631" s="54" t="n">
        <x:f>ROUND(O2631-P2631,2)</x:f>
        <x:v>1175.13</x:v>
      </x:c>
      <x:c r="R2631" s="55" t="n">
        <x:f>IF(O2631=0,0,ROUND(Q2631/O2631,4))</x:f>
        <x:v>0.2914</x:v>
      </x:c>
      <x:c r="S2631" s="53" t="n">
        <x:v>3</x:v>
      </x:c>
      <x:c r="T2631" t="str">
        <x:v>Entregue</x:v>
      </x:c>
      <x:c r="U2631" t="n">
        <x:v>4</x:v>
      </x:c>
      <x:c r="V2631" t="str"/>
    </x:row>
    <x:row r="2632">
      <x:c r="A2632" s="52" t="n">
        <x:v>46062</x:v>
      </x:c>
      <x:c r="B2632" t="str">
        <x:v>PED-102631</x:v>
      </x:c>
      <x:c r="C2632" t="str">
        <x:v>Cliente 097</x:v>
      </x:c>
      <x:c r="D2632" t="str">
        <x:v>PR</x:v>
      </x:c>
      <x:c r="E2632" t="str">
        <x:v>Sul</x:v>
      </x:c>
      <x:c r="F2632" t="str">
        <x:v>Marketplace</x:v>
      </x:c>
      <x:c r="G2632" t="str">
        <x:v>Acessórios</x:v>
      </x:c>
      <x:c r="H2632" t="str">
        <x:v>Mochila Executiva</x:v>
      </x:c>
      <x:c r="I2632" t="str">
        <x:v>Felipe</x:v>
      </x:c>
      <x:c r="J2632" s="53" t="n">
        <x:v>6</x:v>
      </x:c>
      <x:c r="K2632" s="54" t="n">
        <x:v>410.5</x:v>
      </x:c>
      <x:c r="L2632" s="54" t="n">
        <x:v>197.51</x:v>
      </x:c>
      <x:c r="M2632" s="55" t="n">
        <x:v>0.035</x:v>
      </x:c>
      <x:c r="N2632" s="54" t="n">
        <x:f>ROUND(J2632*K2632,2)</x:f>
        <x:v>2463</x:v>
      </x:c>
      <x:c r="O2632" s="54" t="n">
        <x:f>ROUND(N2632*(1-M2632),2)</x:f>
        <x:v>2376.8</x:v>
      </x:c>
      <x:c r="P2632" s="54" t="n">
        <x:f>ROUND(J2632*L2632,2)</x:f>
        <x:v>1185.06</x:v>
      </x:c>
      <x:c r="Q2632" s="54" t="n">
        <x:f>ROUND(O2632-P2632,2)</x:f>
        <x:v>1191.74</x:v>
      </x:c>
      <x:c r="R2632" s="55" t="n">
        <x:f>IF(O2632=0,0,ROUND(Q2632/O2632,4))</x:f>
        <x:v>0.5014</x:v>
      </x:c>
      <x:c r="S2632" s="53" t="n">
        <x:v>4</x:v>
      </x:c>
      <x:c r="T2632" t="str">
        <x:v>Entregue</x:v>
      </x:c>
      <x:c r="U2632" t="n">
        <x:v>5</x:v>
      </x:c>
      <x:c r="V2632" t="str"/>
    </x:row>
    <x:row r="2633">
      <x:c r="A2633" s="52" t="n">
        <x:v>46060</x:v>
      </x:c>
      <x:c r="B2633" t="str">
        <x:v>PED-101889</x:v>
      </x:c>
      <x:c r="C2633" t="str">
        <x:v>Cliente 026</x:v>
      </x:c>
      <x:c r="D2633" t="str">
        <x:v>DF</x:v>
      </x:c>
      <x:c r="E2633" t="str">
        <x:v>Centro-Oeste</x:v>
      </x:c>
      <x:c r="F2633" t="str">
        <x:v>Marketplace</x:v>
      </x:c>
      <x:c r="G2633" t="str">
        <x:v>Tecnologia</x:v>
      </x:c>
      <x:c r="H2633" t="str">
        <x:v>Monitor 27</x:v>
      </x:c>
      <x:c r="I2633" t="str">
        <x:v>Bruno</x:v>
      </x:c>
      <x:c r="J2633" s="53" t="n">
        <x:v>6</x:v>
      </x:c>
      <x:c r="K2633" s="54" t="n">
        <x:v>1702.12</x:v>
      </x:c>
      <x:c r="L2633" s="54" t="n">
        <x:v>1040.61</x:v>
      </x:c>
      <x:c r="M2633" s="55" t="n">
        <x:v>0.035</x:v>
      </x:c>
      <x:c r="N2633" s="54" t="n">
        <x:f>ROUND(J2633*K2633,2)</x:f>
        <x:v>10212.72</x:v>
      </x:c>
      <x:c r="O2633" s="54" t="n">
        <x:f>ROUND(N2633*(1-M2633),2)</x:f>
        <x:v>9855.27</x:v>
      </x:c>
      <x:c r="P2633" s="54" t="n">
        <x:f>ROUND(J2633*L2633,2)</x:f>
        <x:v>6243.66</x:v>
      </x:c>
      <x:c r="Q2633" s="54" t="n">
        <x:f>ROUND(O2633-P2633,2)</x:f>
        <x:v>3611.61</x:v>
      </x:c>
      <x:c r="R2633" s="55" t="n">
        <x:f>IF(O2633=0,0,ROUND(Q2633/O2633,4))</x:f>
        <x:v>0.3665</x:v>
      </x:c>
      <x:c r="S2633" s="53" t="n">
        <x:v>11</x:v>
      </x:c>
      <x:c r="T2633" t="str">
        <x:v>Entregue com atraso</x:v>
      </x:c>
      <x:c r="U2633" t="n">
        <x:v>4</x:v>
      </x:c>
      <x:c r="V2633" t="str"/>
    </x:row>
    <x:row r="2634">
      <x:c r="A2634" s="52" t="n">
        <x:v>46072</x:v>
      </x:c>
      <x:c r="B2634" t="str">
        <x:v>PED-102633</x:v>
      </x:c>
      <x:c r="C2634" t="str">
        <x:v>Cliente 044</x:v>
      </x:c>
      <x:c r="D2634" t="str">
        <x:v>RS</x:v>
      </x:c>
      <x:c r="E2634" t="str">
        <x:v>Sul</x:v>
      </x:c>
      <x:c r="F2634" t="str">
        <x:v>Loja</x:v>
      </x:c>
      <x:c r="G2634" t="str">
        <x:v>Acessórios</x:v>
      </x:c>
      <x:c r="H2634" t="str">
        <x:v>Hub USB-C</x:v>
      </x:c>
      <x:c r="I2634" t="str">
        <x:v>Henrique</x:v>
      </x:c>
      <x:c r="J2634" s="53" t="n">
        <x:v>5</x:v>
      </x:c>
      <x:c r="K2634" s="54" t="n">
        <x:v>309.9</x:v>
      </x:c>
      <x:c r="L2634" s="54" t="n">
        <x:v>141.73</x:v>
      </x:c>
      <x:c r="M2634" s="55" t="n">
        <x:v>0.0245</x:v>
      </x:c>
      <x:c r="N2634" s="54" t="n">
        <x:f>ROUND(J2634*K2634,2)</x:f>
        <x:v>1549.5</x:v>
      </x:c>
      <x:c r="O2634" s="54" t="n">
        <x:f>ROUND(N2634*(1-M2634),2)</x:f>
        <x:v>1511.54</x:v>
      </x:c>
      <x:c r="P2634" s="54" t="n">
        <x:f>ROUND(J2634*L2634,2)</x:f>
        <x:v>708.65</x:v>
      </x:c>
      <x:c r="Q2634" s="54" t="n">
        <x:f>ROUND(O2634-P2634,2)</x:f>
        <x:v>802.89</x:v>
      </x:c>
      <x:c r="R2634" s="55" t="n">
        <x:f>IF(O2634=0,0,ROUND(Q2634/O2634,4))</x:f>
        <x:v>0.5312</x:v>
      </x:c>
      <x:c r="S2634" s="53" t="n">
        <x:v>8</x:v>
      </x:c>
      <x:c r="T2634" t="str">
        <x:v>Entregue</x:v>
      </x:c>
      <x:c r="U2634" t="n">
        <x:v>5</x:v>
      </x:c>
      <x:c r="V2634" t="str"/>
    </x:row>
    <x:row r="2635">
      <x:c r="A2635" s="52" t="n">
        <x:v>46041</x:v>
      </x:c>
      <x:c r="B2635" t="str">
        <x:v>PED-102634</x:v>
      </x:c>
      <x:c r="C2635" t="str">
        <x:v>Cliente 053</x:v>
      </x:c>
      <x:c r="D2635" t="str">
        <x:v>BA</x:v>
      </x:c>
      <x:c r="E2635" t="str">
        <x:v>Nordeste</x:v>
      </x:c>
      <x:c r="F2635" t="str">
        <x:v>Televendas</x:v>
      </x:c>
      <x:c r="G2635" t="str">
        <x:v>Tecnologia</x:v>
      </x:c>
      <x:c r="H2635" t="str">
        <x:v>Headset Office</x:v>
      </x:c>
      <x:c r="I2635" t="str">
        <x:v>Henrique</x:v>
      </x:c>
      <x:c r="J2635" s="53" t="n">
        <x:v>2</x:v>
      </x:c>
      <x:c r="K2635" s="54" t="n">
        <x:v>404.39</x:v>
      </x:c>
      <x:c r="L2635" s="54" t="n">
        <x:v>211.45</x:v>
      </x:c>
      <x:c r="M2635" s="55" t="n">
        <x:v>0</x:v>
      </x:c>
      <x:c r="N2635" s="54" t="n">
        <x:f>ROUND(J2635*K2635,2)</x:f>
        <x:v>808.78</x:v>
      </x:c>
      <x:c r="O2635" s="54" t="n">
        <x:f>ROUND(N2635*(1-M2635),2)</x:f>
        <x:v>808.78</x:v>
      </x:c>
      <x:c r="P2635" s="54" t="n">
        <x:f>ROUND(J2635*L2635,2)</x:f>
        <x:v>422.9</x:v>
      </x:c>
      <x:c r="Q2635" s="54" t="n">
        <x:f>ROUND(O2635-P2635,2)</x:f>
        <x:v>385.88</x:v>
      </x:c>
      <x:c r="R2635" s="55" t="n">
        <x:f>IF(O2635=0,0,ROUND(Q2635/O2635,4))</x:f>
        <x:v>0.4771</x:v>
      </x:c>
      <x:c r="S2635" s="53" t="n">
        <x:v>4</x:v>
      </x:c>
      <x:c r="T2635" t="str">
        <x:v>Entregue</x:v>
      </x:c>
      <x:c r="U2635" t="n">
        <x:v>5</x:v>
      </x:c>
      <x:c r="V2635" t="str"/>
    </x:row>
    <x:row r="2636">
      <x:c r="A2636" s="52" t="n">
        <x:v>46193</x:v>
      </x:c>
      <x:c r="B2636" t="str">
        <x:v>PED-102635</x:v>
      </x:c>
      <x:c r="C2636" t="str">
        <x:v>Cliente 018</x:v>
      </x:c>
      <x:c r="D2636" t="str">
        <x:v>PR</x:v>
      </x:c>
      <x:c r="E2636" t="str">
        <x:v>Sul</x:v>
      </x:c>
      <x:c r="F2636" t="str">
        <x:v>E-commerce</x:v>
      </x:c>
      <x:c r="G2636" t="str">
        <x:v>Casa</x:v>
      </x:c>
      <x:c r="H2636" t="str">
        <x:v>Aspirador Robô</x:v>
      </x:c>
      <x:c r="I2636" t="str">
        <x:v>Elaine</x:v>
      </x:c>
      <x:c r="J2636" s="53" t="n">
        <x:v>4</x:v>
      </x:c>
      <x:c r="K2636" s="54" t="n">
        <x:v>1936.48</x:v>
      </x:c>
      <x:c r="L2636" s="54" t="n">
        <x:v>1222.91</x:v>
      </x:c>
      <x:c r="M2636" s="55" t="n">
        <x:v>0.0188</x:v>
      </x:c>
      <x:c r="N2636" s="54" t="n">
        <x:f>ROUND(J2636*K2636,2)</x:f>
        <x:v>7745.92</x:v>
      </x:c>
      <x:c r="O2636" s="54" t="n">
        <x:f>ROUND(N2636*(1-M2636),2)</x:f>
        <x:v>7600.3</x:v>
      </x:c>
      <x:c r="P2636" s="54" t="n">
        <x:f>ROUND(J2636*L2636,2)</x:f>
        <x:v>4891.64</x:v>
      </x:c>
      <x:c r="Q2636" s="54" t="n">
        <x:f>ROUND(O2636-P2636,2)</x:f>
        <x:v>2708.66</x:v>
      </x:c>
      <x:c r="R2636" s="55" t="n">
        <x:f>IF(O2636=0,0,ROUND(Q2636/O2636,4))</x:f>
        <x:v>0.3564</x:v>
      </x:c>
      <x:c r="S2636" s="53" t="n">
        <x:v>2</x:v>
      </x:c>
      <x:c r="T2636" t="str">
        <x:v>Entregue</x:v>
      </x:c>
      <x:c r="U2636" t="n">
        <x:v>4</x:v>
      </x:c>
      <x:c r="V2636" t="str"/>
    </x:row>
    <x:row r="2637">
      <x:c r="A2637" s="52" t="n">
        <x:v>46215</x:v>
      </x:c>
      <x:c r="B2637" t="str">
        <x:v>PED-102636</x:v>
      </x:c>
      <x:c r="C2637" t="str">
        <x:v>Cliente 038</x:v>
      </x:c>
      <x:c r="D2637" t="str">
        <x:v>GO</x:v>
      </x:c>
      <x:c r="E2637" t="str">
        <x:v>Centro-Oeste</x:v>
      </x:c>
      <x:c r="F2637" t="str">
        <x:v>Loja</x:v>
      </x:c>
      <x:c r="G2637" t="str">
        <x:v>Casa</x:v>
      </x:c>
      <x:c r="H2637" t="str">
        <x:v>Aspirador Robô</x:v>
      </x:c>
      <x:c r="I2637" t="str">
        <x:v>Henrique</x:v>
      </x:c>
      <x:c r="J2637" s="53" t="n">
        <x:v>3</x:v>
      </x:c>
      <x:c r="K2637" s="54" t="n">
        <x:v>1938.75</x:v>
      </x:c>
      <x:c r="L2637" s="54" t="n">
        <x:v>1193.14</x:v>
      </x:c>
      <x:c r="M2637" s="55" t="n">
        <x:v>0</x:v>
      </x:c>
      <x:c r="N2637" s="54" t="n">
        <x:f>ROUND(J2637*K2637,2)</x:f>
        <x:v>5816.25</x:v>
      </x:c>
      <x:c r="O2637" s="54" t="n">
        <x:f>ROUND(N2637*(1-M2637),2)</x:f>
        <x:v>5816.25</x:v>
      </x:c>
      <x:c r="P2637" s="54" t="n">
        <x:f>ROUND(J2637*L2637,2)</x:f>
        <x:v>3579.42</x:v>
      </x:c>
      <x:c r="Q2637" s="54" t="n">
        <x:f>ROUND(O2637-P2637,2)</x:f>
        <x:v>2236.83</x:v>
      </x:c>
      <x:c r="R2637" s="55" t="n">
        <x:f>IF(O2637=0,0,ROUND(Q2637/O2637,4))</x:f>
        <x:v>0.3846</x:v>
      </x:c>
      <x:c r="S2637" s="53" t="n">
        <x:v>14</x:v>
      </x:c>
      <x:c r="T2637" t="str">
        <x:v>Entregue com atraso</x:v>
      </x:c>
      <x:c r="U2637" t="n">
        <x:v>5</x:v>
      </x:c>
      <x:c r="V2637" t="str"/>
    </x:row>
    <x:row r="2638">
      <x:c r="A2638" s="52" t="n">
        <x:v>46142</x:v>
      </x:c>
      <x:c r="B2638" t="str">
        <x:v>PED-102637</x:v>
      </x:c>
      <x:c r="C2638" t="str">
        <x:v>Cliente 031</x:v>
      </x:c>
      <x:c r="D2638" t="str">
        <x:v>BA</x:v>
      </x:c>
      <x:c r="E2638" t="str">
        <x:v>Nordeste</x:v>
      </x:c>
      <x:c r="F2638" t="str">
        <x:v>Loja</x:v>
      </x:c>
      <x:c r="G2638" t="str">
        <x:v>Tecnologia</x:v>
      </x:c>
      <x:c r="H2638" t="str">
        <x:v>Monitor 27</x:v>
      </x:c>
      <x:c r="I2638" t="str">
        <x:v>Gabriela</x:v>
      </x:c>
      <x:c r="J2638" s="53" t="n">
        <x:v>4</x:v>
      </x:c>
      <x:c r="K2638" s="54" t="n">
        <x:v>1777.09</x:v>
      </x:c>
      <x:c r="L2638" s="54" t="n">
        <x:v>1095.65</x:v>
      </x:c>
      <x:c r="M2638" s="55" t="n">
        <x:v>0.0608</x:v>
      </x:c>
      <x:c r="N2638" s="54" t="n">
        <x:f>ROUND(J2638*K2638,2)</x:f>
        <x:v>7108.36</x:v>
      </x:c>
      <x:c r="O2638" s="54" t="n">
        <x:f>ROUND(N2638*(1-M2638),2)</x:f>
        <x:v>6676.17</x:v>
      </x:c>
      <x:c r="P2638" s="54" t="n">
        <x:f>ROUND(J2638*L2638,2)</x:f>
        <x:v>4382.6</x:v>
      </x:c>
      <x:c r="Q2638" s="54" t="n">
        <x:f>ROUND(O2638-P2638,2)</x:f>
        <x:v>2293.57</x:v>
      </x:c>
      <x:c r="R2638" s="55" t="n">
        <x:f>IF(O2638=0,0,ROUND(Q2638/O2638,4))</x:f>
        <x:v>0.3435</x:v>
      </x:c>
      <x:c r="S2638" s="53" t="n">
        <x:v>7</x:v>
      </x:c>
      <x:c r="T2638" t="str">
        <x:v>Entregue</x:v>
      </x:c>
      <x:c r="U2638" t="n">
        <x:v>4</x:v>
      </x:c>
      <x:c r="V2638" t="str"/>
    </x:row>
    <x:row r="2639">
      <x:c r="A2639" s="52" t="n">
        <x:v>46044</x:v>
      </x:c>
      <x:c r="B2639" t="str">
        <x:v>PED-102638</x:v>
      </x:c>
      <x:c r="C2639" t="str">
        <x:v>Cliente 120</x:v>
      </x:c>
      <x:c r="D2639" t="str">
        <x:v>RS</x:v>
      </x:c>
      <x:c r="E2639" t="str">
        <x:v>Sul</x:v>
      </x:c>
      <x:c r="F2639" t="str">
        <x:v>Marketplace</x:v>
      </x:c>
      <x:c r="G2639" t="str">
        <x:v>Casa</x:v>
      </x:c>
      <x:c r="H2639" t="str">
        <x:v>Purificador</x:v>
      </x:c>
      <x:c r="I2639" t="str">
        <x:v>João</x:v>
      </x:c>
      <x:c r="J2639" s="53" t="n">
        <x:v>5</x:v>
      </x:c>
      <x:c r="K2639" s="54" t="n">
        <x:v>1261.47</x:v>
      </x:c>
      <x:c r="L2639" s="54" t="n">
        <x:v>790.43</x:v>
      </x:c>
      <x:c r="M2639" s="55" t="n">
        <x:v>0.0539</x:v>
      </x:c>
      <x:c r="N2639" s="54" t="n">
        <x:f>ROUND(J2639*K2639,2)</x:f>
        <x:v>6307.35</x:v>
      </x:c>
      <x:c r="O2639" s="54" t="n">
        <x:f>ROUND(N2639*(1-M2639),2)</x:f>
        <x:v>5967.38</x:v>
      </x:c>
      <x:c r="P2639" s="54" t="n">
        <x:f>ROUND(J2639*L2639,2)</x:f>
        <x:v>3952.15</x:v>
      </x:c>
      <x:c r="Q2639" s="54" t="n">
        <x:f>ROUND(O2639-P2639,2)</x:f>
        <x:v>2015.23</x:v>
      </x:c>
      <x:c r="R2639" s="55" t="n">
        <x:f>IF(O2639=0,0,ROUND(Q2639/O2639,4))</x:f>
        <x:v>0.3377</x:v>
      </x:c>
      <x:c r="S2639" s="53" t="n">
        <x:v>8</x:v>
      </x:c>
      <x:c r="T2639" t="str">
        <x:v>Entregue</x:v>
      </x:c>
      <x:c r="U2639" t="n">
        <x:v>2</x:v>
      </x:c>
      <x:c r="V2639" t="str"/>
    </x:row>
    <x:row r="2640">
      <x:c r="A2640" s="52" t="n">
        <x:v>46076</x:v>
      </x:c>
      <x:c r="B2640" t="str">
        <x:v>PED-102639</x:v>
      </x:c>
      <x:c r="C2640" t="str">
        <x:v>Cliente 106</x:v>
      </x:c>
      <x:c r="D2640" t="str">
        <x:v>PR</x:v>
      </x:c>
      <x:c r="E2640" t="str">
        <x:v>Sul</x:v>
      </x:c>
      <x:c r="F2640" t="str">
        <x:v>Marketplace</x:v>
      </x:c>
      <x:c r="G2640" t="str">
        <x:v>Escritório</x:v>
      </x:c>
      <x:c r="H2640" t="str">
        <x:v>Mesa Ajustável</x:v>
      </x:c>
      <x:c r="I2640" t="str">
        <x:v>Diego</x:v>
      </x:c>
      <x:c r="J2640" s="53" t="n">
        <x:v>1</x:v>
      </x:c>
      <x:c r="K2640" s="54" t="n">
        <x:v>2810.43</x:v>
      </x:c>
      <x:c r="L2640" s="54" t="n">
        <x:v>1840.26</x:v>
      </x:c>
      <x:c r="M2640" s="55" t="n">
        <x:v>0.035</x:v>
      </x:c>
      <x:c r="N2640" s="54" t="n">
        <x:f>ROUND(J2640*K2640,2)</x:f>
        <x:v>2810.43</x:v>
      </x:c>
      <x:c r="O2640" s="54" t="n">
        <x:f>ROUND(N2640*(1-M2640),2)</x:f>
        <x:v>2712.06</x:v>
      </x:c>
      <x:c r="P2640" s="54" t="n">
        <x:f>ROUND(J2640*L2640,2)</x:f>
        <x:v>1840.26</x:v>
      </x:c>
      <x:c r="Q2640" s="54" t="n">
        <x:f>ROUND(O2640-P2640,2)</x:f>
        <x:v>871.8</x:v>
      </x:c>
      <x:c r="R2640" s="55" t="n">
        <x:f>IF(O2640=0,0,ROUND(Q2640/O2640,4))</x:f>
        <x:v>0.3215</x:v>
      </x:c>
      <x:c r="S2640" s="53" t="n">
        <x:v>3</x:v>
      </x:c>
      <x:c r="T2640" t="str">
        <x:v>Entregue</x:v>
      </x:c>
      <x:c r="U2640" t="n">
        <x:v>5</x:v>
      </x:c>
      <x:c r="V2640" t="str"/>
    </x:row>
    <x:row r="2641">
      <x:c r="A2641" s="52" t="n">
        <x:v>46049</x:v>
      </x:c>
      <x:c r="B2641" t="str">
        <x:v>PED-102640</x:v>
      </x:c>
      <x:c r="C2641" t="str">
        <x:v>Cliente 115</x:v>
      </x:c>
      <x:c r="D2641" t="str">
        <x:v>PE</x:v>
      </x:c>
      <x:c r="E2641" t="str">
        <x:v>Nordeste</x:v>
      </x:c>
      <x:c r="F2641" t="str">
        <x:v>Marketplace</x:v>
      </x:c>
      <x:c r="G2641" t="str">
        <x:v>Escritório</x:v>
      </x:c>
      <x:c r="H2641" t="str">
        <x:v>Luminária LED</x:v>
      </x:c>
      <x:c r="I2641" t="str">
        <x:v>Gabriela</x:v>
      </x:c>
      <x:c r="J2641" s="53" t="n">
        <x:v>5</x:v>
      </x:c>
      <x:c r="K2641" s="54" t="n">
        <x:v>253.14</x:v>
      </x:c>
      <x:c r="L2641" s="54" t="n">
        <x:v>121.83</x:v>
      </x:c>
      <x:c r="M2641" s="55" t="n">
        <x:v>0.035</x:v>
      </x:c>
      <x:c r="N2641" s="54" t="n">
        <x:f>ROUND(J2641*K2641,2)</x:f>
        <x:v>1265.7</x:v>
      </x:c>
      <x:c r="O2641" s="54" t="n">
        <x:f>ROUND(N2641*(1-M2641),2)</x:f>
        <x:v>1221.4</x:v>
      </x:c>
      <x:c r="P2641" s="54" t="n">
        <x:f>ROUND(J2641*L2641,2)</x:f>
        <x:v>609.15</x:v>
      </x:c>
      <x:c r="Q2641" s="54" t="n">
        <x:f>ROUND(O2641-P2641,2)</x:f>
        <x:v>612.25</x:v>
      </x:c>
      <x:c r="R2641" s="55" t="n">
        <x:f>IF(O2641=0,0,ROUND(Q2641/O2641,4))</x:f>
        <x:v>0.5013</x:v>
      </x:c>
      <x:c r="S2641" s="53" t="n">
        <x:v>4</x:v>
      </x:c>
      <x:c r="T2641" t="str">
        <x:v>Entregue</x:v>
      </x:c>
      <x:c r="U2641" t="n">
        <x:v>5</x:v>
      </x:c>
      <x:c r="V2641" t="str"/>
    </x:row>
    <x:row r="2642">
      <x:c r="A2642" s="52" t="n">
        <x:v>46059</x:v>
      </x:c>
      <x:c r="B2642" t="str">
        <x:v>PED-102641</x:v>
      </x:c>
      <x:c r="C2642" t="str">
        <x:v>Cliente 030</x:v>
      </x:c>
      <x:c r="D2642" t="str">
        <x:v>MT</x:v>
      </x:c>
      <x:c r="E2642" t="str">
        <x:v>Centro-Oeste</x:v>
      </x:c>
      <x:c r="F2642" t="str">
        <x:v>Loja</x:v>
      </x:c>
      <x:c r="G2642" t="str">
        <x:v>Tecnologia</x:v>
      </x:c>
      <x:c r="H2642" t="str">
        <x:v>Monitor 27</x:v>
      </x:c>
      <x:c r="I2642" t="str">
        <x:v>Elaine</x:v>
      </x:c>
      <x:c r="J2642" s="53" t="n">
        <x:v>6</x:v>
      </x:c>
      <x:c r="K2642" s="54" t="n">
        <x:v>1595.95</x:v>
      </x:c>
      <x:c r="L2642" s="54" t="n">
        <x:v>1068.33</x:v>
      </x:c>
      <x:c r="M2642" s="55" t="n">
        <x:v>0.006</x:v>
      </x:c>
      <x:c r="N2642" s="54" t="n">
        <x:f>ROUND(J2642*K2642,2)</x:f>
        <x:v>9575.7</x:v>
      </x:c>
      <x:c r="O2642" s="54" t="n">
        <x:f>ROUND(N2642*(1-M2642),2)</x:f>
        <x:v>9518.25</x:v>
      </x:c>
      <x:c r="P2642" s="54" t="n">
        <x:f>ROUND(J2642*L2642,2)</x:f>
        <x:v>6409.98</x:v>
      </x:c>
      <x:c r="Q2642" s="54" t="n">
        <x:f>ROUND(O2642-P2642,2)</x:f>
        <x:v>3108.27</x:v>
      </x:c>
      <x:c r="R2642" s="55" t="n">
        <x:f>IF(O2642=0,0,ROUND(Q2642/O2642,4))</x:f>
        <x:v>0.3266</x:v>
      </x:c>
      <x:c r="S2642" s="53" t="n">
        <x:v>14</x:v>
      </x:c>
      <x:c r="T2642" t="str">
        <x:v>Entregue com atraso</x:v>
      </x:c>
      <x:c r="U2642" t="n">
        <x:v>3</x:v>
      </x:c>
      <x:c r="V2642" t="str"/>
    </x:row>
    <x:row r="2643">
      <x:c r="A2643" s="52" t="n">
        <x:v>46059</x:v>
      </x:c>
      <x:c r="B2643" t="str">
        <x:v>PED-102642</x:v>
      </x:c>
      <x:c r="C2643" t="str">
        <x:v>Cliente 012</x:v>
      </x:c>
      <x:c r="D2643" t="str">
        <x:v>DF</x:v>
      </x:c>
      <x:c r="E2643" t="str">
        <x:v>Centro-Oeste</x:v>
      </x:c>
      <x:c r="F2643" t="str">
        <x:v>Televendas</x:v>
      </x:c>
      <x:c r="G2643" t="str">
        <x:v>Casa</x:v>
      </x:c>
      <x:c r="H2643" t="str">
        <x:v>Aspirador Robô</x:v>
      </x:c>
      <x:c r="I2643" t="str">
        <x:v>Isabela</x:v>
      </x:c>
      <x:c r="J2643" s="53" t="n">
        <x:v>1</x:v>
      </x:c>
      <x:c r="K2643" s="54" t="n">
        <x:v>1957.97</x:v>
      </x:c>
      <x:c r="L2643" s="54" t="n">
        <x:v>1147.2</x:v>
      </x:c>
      <x:c r="M2643" s="55" t="n">
        <x:v>0.0498</x:v>
      </x:c>
      <x:c r="N2643" s="54" t="n">
        <x:f>ROUND(J2643*K2643,2)</x:f>
        <x:v>1957.97</x:v>
      </x:c>
      <x:c r="O2643" s="54" t="n">
        <x:f>ROUND(N2643*(1-M2643),2)</x:f>
        <x:v>1860.46</x:v>
      </x:c>
      <x:c r="P2643" s="54" t="n">
        <x:f>ROUND(J2643*L2643,2)</x:f>
        <x:v>1147.2</x:v>
      </x:c>
      <x:c r="Q2643" s="54" t="n">
        <x:f>ROUND(O2643-P2643,2)</x:f>
        <x:v>713.26</x:v>
      </x:c>
      <x:c r="R2643" s="55" t="n">
        <x:f>IF(O2643=0,0,ROUND(Q2643/O2643,4))</x:f>
        <x:v>0.3834</x:v>
      </x:c>
      <x:c r="S2643" s="53" t="n">
        <x:v>2</x:v>
      </x:c>
      <x:c r="T2643" t="str">
        <x:v>Entregue</x:v>
      </x:c>
      <x:c r="U2643" t="n">
        <x:v>4</x:v>
      </x:c>
      <x:c r="V2643" t="str"/>
    </x:row>
    <x:row r="2644">
      <x:c r="A2644" s="52" t="n">
        <x:v>46052</x:v>
      </x:c>
      <x:c r="B2644" t="str">
        <x:v>PED-102643</x:v>
      </x:c>
      <x:c r="C2644" t="str">
        <x:v>Cliente 061</x:v>
      </x:c>
      <x:c r="D2644" t="str">
        <x:v>MG</x:v>
      </x:c>
      <x:c r="E2644" t="str">
        <x:v>Sudeste</x:v>
      </x:c>
      <x:c r="F2644" t="str">
        <x:v>E-commerce</x:v>
      </x:c>
      <x:c r="G2644" t="str">
        <x:v>Tecnologia</x:v>
      </x:c>
      <x:c r="H2644" t="str">
        <x:v>Headset Office</x:v>
      </x:c>
      <x:c r="I2644" t="str">
        <x:v>Ana</x:v>
      </x:c>
      <x:c r="J2644" s="53" t="n">
        <x:v>7</x:v>
      </x:c>
      <x:c r="K2644" s="54" t="n">
        <x:v>378.08</x:v>
      </x:c>
      <x:c r="L2644" s="54" t="n">
        <x:v>220.49</x:v>
      </x:c>
      <x:c r="M2644" s="55" t="n">
        <x:v>0</x:v>
      </x:c>
      <x:c r="N2644" s="54" t="n">
        <x:f>ROUND(J2644*K2644,2)</x:f>
        <x:v>2646.56</x:v>
      </x:c>
      <x:c r="O2644" s="54" t="n">
        <x:f>ROUND(N2644*(1-M2644),2)</x:f>
        <x:v>2646.56</x:v>
      </x:c>
      <x:c r="P2644" s="54" t="n">
        <x:f>ROUND(J2644*L2644,2)</x:f>
        <x:v>1543.43</x:v>
      </x:c>
      <x:c r="Q2644" s="54" t="n">
        <x:f>ROUND(O2644-P2644,2)</x:f>
        <x:v>1103.13</x:v>
      </x:c>
      <x:c r="R2644" s="55" t="n">
        <x:f>IF(O2644=0,0,ROUND(Q2644/O2644,4))</x:f>
        <x:v>0.4168</x:v>
      </x:c>
      <x:c r="S2644" s="53" t="n">
        <x:v>11</x:v>
      </x:c>
      <x:c r="T2644" t="str">
        <x:v>Entregue com atraso</x:v>
      </x:c>
      <x:c r="U2644" t="n">
        <x:v>4</x:v>
      </x:c>
      <x:c r="V2644" t="str"/>
    </x:row>
    <x:row r="2645">
      <x:c r="A2645" s="52" t="n">
        <x:v>46186</x:v>
      </x:c>
      <x:c r="B2645" t="str">
        <x:v>PED-102644</x:v>
      </x:c>
      <x:c r="C2645" t="str">
        <x:v>Cliente 041</x:v>
      </x:c>
      <x:c r="D2645" t="str">
        <x:v>PA</x:v>
      </x:c>
      <x:c r="E2645" t="str">
        <x:v>Norte</x:v>
      </x:c>
      <x:c r="F2645" t="str">
        <x:v>Marketplace</x:v>
      </x:c>
      <x:c r="G2645" t="str">
        <x:v>Acessórios</x:v>
      </x:c>
      <x:c r="H2645" t="str">
        <x:v>Hub USB-C</x:v>
      </x:c>
      <x:c r="I2645" t="str">
        <x:v>João</x:v>
      </x:c>
      <x:c r="J2645" s="53" t="n">
        <x:v>7</x:v>
      </x:c>
      <x:c r="K2645" s="54" t="n">
        <x:v>305.23</x:v>
      </x:c>
      <x:c r="L2645" s="54" t="n">
        <x:v>144.24</x:v>
      </x:c>
      <x:c r="M2645" s="55" t="n">
        <x:v>0.0448</x:v>
      </x:c>
      <x:c r="N2645" s="54" t="n">
        <x:f>ROUND(J2645*K2645,2)</x:f>
        <x:v>2136.61</x:v>
      </x:c>
      <x:c r="O2645" s="54" t="n">
        <x:f>ROUND(N2645*(1-M2645),2)</x:f>
        <x:v>2040.89</x:v>
      </x:c>
      <x:c r="P2645" s="54" t="n">
        <x:f>ROUND(J2645*L2645,2)</x:f>
        <x:v>1009.68</x:v>
      </x:c>
      <x:c r="Q2645" s="54" t="n">
        <x:f>ROUND(O2645-P2645,2)</x:f>
        <x:v>1031.21</x:v>
      </x:c>
      <x:c r="R2645" s="55" t="n">
        <x:f>IF(O2645=0,0,ROUND(Q2645/O2645,4))</x:f>
        <x:v>0.5053</x:v>
      </x:c>
      <x:c r="S2645" s="53" t="n">
        <x:v>7</x:v>
      </x:c>
      <x:c r="T2645" t="str">
        <x:v>Entregue</x:v>
      </x:c>
      <x:c r="U2645" t="n">
        <x:v>2</x:v>
      </x:c>
      <x:c r="V2645" t="str"/>
    </x:row>
    <x:row r="2646">
      <x:c r="A2646" s="52" t="n">
        <x:v>46212</x:v>
      </x:c>
      <x:c r="B2646" t="str">
        <x:v>PED-102645</x:v>
      </x:c>
      <x:c r="C2646" t="str">
        <x:v>Cliente 087</x:v>
      </x:c>
      <x:c r="D2646" t="str">
        <x:v>BA</x:v>
      </x:c>
      <x:c r="E2646" t="str">
        <x:v>Nordeste</x:v>
      </x:c>
      <x:c r="F2646" t="str">
        <x:v>Loja</x:v>
      </x:c>
      <x:c r="G2646" t="str">
        <x:v>Escritório</x:v>
      </x:c>
      <x:c r="H2646" t="str">
        <x:v>Luminária LED</x:v>
      </x:c>
      <x:c r="I2646" t="str">
        <x:v>Ana</x:v>
      </x:c>
      <x:c r="J2646" s="53" t="n">
        <x:v>4</x:v>
      </x:c>
      <x:c r="K2646" s="54" t="n">
        <x:v>253.59</x:v>
      </x:c>
      <x:c r="L2646" s="54" t="n">
        <x:v>123.7</x:v>
      </x:c>
      <x:c r="M2646" s="55" t="n">
        <x:v>0</x:v>
      </x:c>
      <x:c r="N2646" s="54" t="n">
        <x:f>ROUND(J2646*K2646,2)</x:f>
        <x:v>1014.36</x:v>
      </x:c>
      <x:c r="O2646" s="54" t="n">
        <x:f>ROUND(N2646*(1-M2646),2)</x:f>
        <x:v>1014.36</x:v>
      </x:c>
      <x:c r="P2646" s="54" t="n">
        <x:f>ROUND(J2646*L2646,2)</x:f>
        <x:v>494.8</x:v>
      </x:c>
      <x:c r="Q2646" s="54" t="n">
        <x:f>ROUND(O2646-P2646,2)</x:f>
        <x:v>519.56</x:v>
      </x:c>
      <x:c r="R2646" s="55" t="n">
        <x:f>IF(O2646=0,0,ROUND(Q2646/O2646,4))</x:f>
        <x:v>0.5122</x:v>
      </x:c>
      <x:c r="S2646" s="53" t="n">
        <x:v>11</x:v>
      </x:c>
      <x:c r="T2646" t="str">
        <x:v>Entregue com atraso</x:v>
      </x:c>
      <x:c r="U2646" t="n">
        <x:v>4</x:v>
      </x:c>
      <x:c r="V2646" t="str"/>
    </x:row>
    <x:row r="2647">
      <x:c r="A2647" s="52" t="n">
        <x:v>46112</x:v>
      </x:c>
      <x:c r="B2647" t="str">
        <x:v>PED-102646</x:v>
      </x:c>
      <x:c r="C2647" t="str">
        <x:v>Cliente 040</x:v>
      </x:c>
      <x:c r="D2647" t="str">
        <x:v>PR</x:v>
      </x:c>
      <x:c r="E2647" t="str">
        <x:v>Sul</x:v>
      </x:c>
      <x:c r="F2647" t="str">
        <x:v>E-commerce</x:v>
      </x:c>
      <x:c r="G2647" t="str">
        <x:v>Casa</x:v>
      </x:c>
      <x:c r="H2647" t="str">
        <x:v>Aspirador Robô</x:v>
      </x:c>
      <x:c r="I2647" t="str">
        <x:v>Felipe</x:v>
      </x:c>
      <x:c r="J2647" s="53" t="n">
        <x:v>3</x:v>
      </x:c>
      <x:c r="K2647" s="54" t="n">
        <x:v>1921.99</x:v>
      </x:c>
      <x:c r="L2647" s="54" t="n">
        <x:v>1168.56</x:v>
      </x:c>
      <x:c r="M2647" s="55" t="n">
        <x:v>0</x:v>
      </x:c>
      <x:c r="N2647" s="54" t="n">
        <x:f>ROUND(J2647*K2647,2)</x:f>
        <x:v>5765.97</x:v>
      </x:c>
      <x:c r="O2647" s="54" t="n">
        <x:f>ROUND(N2647*(1-M2647),2)</x:f>
        <x:v>5765.97</x:v>
      </x:c>
      <x:c r="P2647" s="54" t="n">
        <x:f>ROUND(J2647*L2647,2)</x:f>
        <x:v>3505.68</x:v>
      </x:c>
      <x:c r="Q2647" s="54" t="n">
        <x:f>ROUND(O2647-P2647,2)</x:f>
        <x:v>2260.29</x:v>
      </x:c>
      <x:c r="R2647" s="55" t="n">
        <x:f>IF(O2647=0,0,ROUND(Q2647/O2647,4))</x:f>
        <x:v>0.392</x:v>
      </x:c>
      <x:c r="S2647" s="53" t="n">
        <x:v>11</x:v>
      </x:c>
      <x:c r="T2647" t="str">
        <x:v>Entregue com atraso</x:v>
      </x:c>
      <x:c r="U2647" t="n">
        <x:v>5</x:v>
      </x:c>
      <x:c r="V2647" t="str"/>
    </x:row>
    <x:row r="2648">
      <x:c r="A2648" s="52" t="n">
        <x:v>46089</x:v>
      </x:c>
      <x:c r="B2648" t="str">
        <x:v>PED-102647</x:v>
      </x:c>
      <x:c r="C2648" t="str">
        <x:v>Cliente 048</x:v>
      </x:c>
      <x:c r="D2648" t="str">
        <x:v>GO</x:v>
      </x:c>
      <x:c r="E2648" t="str">
        <x:v>Centro-Oeste</x:v>
      </x:c>
      <x:c r="F2648" t="str">
        <x:v>E-commerce</x:v>
      </x:c>
      <x:c r="G2648" t="str">
        <x:v>Escritório</x:v>
      </x:c>
      <x:c r="H2648" t="str">
        <x:v>Mesa Ajustável</x:v>
      </x:c>
      <x:c r="I2648" t="str">
        <x:v>Elaine</x:v>
      </x:c>
      <x:c r="J2648" s="53" t="n">
        <x:v>2</x:v>
      </x:c>
      <x:c r="K2648" s="54" t="n">
        <x:v>2926.86</x:v>
      </x:c>
      <x:c r="L2648" s="54" t="n">
        <x:v>1824.1</x:v>
      </x:c>
      <x:c r="M2648" s="55" t="n">
        <x:v>0.057</x:v>
      </x:c>
      <x:c r="N2648" s="54" t="n">
        <x:f>ROUND(J2648*K2648,2)</x:f>
        <x:v>5853.72</x:v>
      </x:c>
      <x:c r="O2648" s="54" t="n">
        <x:f>ROUND(N2648*(1-M2648),2)</x:f>
        <x:v>5520.06</x:v>
      </x:c>
      <x:c r="P2648" s="54" t="n">
        <x:f>ROUND(J2648*L2648,2)</x:f>
        <x:v>3648.2</x:v>
      </x:c>
      <x:c r="Q2648" s="54" t="n">
        <x:f>ROUND(O2648-P2648,2)</x:f>
        <x:v>1871.86</x:v>
      </x:c>
      <x:c r="R2648" s="55" t="n">
        <x:f>IF(O2648=0,0,ROUND(Q2648/O2648,4))</x:f>
        <x:v>0.3391</x:v>
      </x:c>
      <x:c r="S2648" s="53" t="n">
        <x:v>4</x:v>
      </x:c>
      <x:c r="T2648" t="str">
        <x:v>Cancelado</x:v>
      </x:c>
      <x:c r="U2648"/>
      <x:c r="V2648" t="str"/>
    </x:row>
    <x:row r="2649">
      <x:c r="A2649" s="52" t="n">
        <x:v>46163</x:v>
      </x:c>
      <x:c r="B2649" t="str">
        <x:v>PED-102648</x:v>
      </x:c>
      <x:c r="C2649" t="str">
        <x:v>Cliente 117</x:v>
      </x:c>
      <x:c r="D2649" t="str">
        <x:v>SC</x:v>
      </x:c>
      <x:c r="E2649" t="str">
        <x:v>Sul</x:v>
      </x:c>
      <x:c r="F2649" t="str">
        <x:v>Marketplace</x:v>
      </x:c>
      <x:c r="G2649" t="str">
        <x:v>Acessórios</x:v>
      </x:c>
      <x:c r="H2649" t="str">
        <x:v>Webcam HD</x:v>
      </x:c>
      <x:c r="I2649" t="str">
        <x:v>Diego</x:v>
      </x:c>
      <x:c r="J2649" s="53" t="n">
        <x:v>7</x:v>
      </x:c>
      <x:c r="K2649" s="54" t="n">
        <x:v>512.76</x:v>
      </x:c>
      <x:c r="L2649" s="54" t="n">
        <x:v>245.26</x:v>
      </x:c>
      <x:c r="M2649" s="55" t="n">
        <x:v>0.1107</x:v>
      </x:c>
      <x:c r="N2649" s="54" t="n">
        <x:f>ROUND(J2649*K2649,2)</x:f>
        <x:v>3589.32</x:v>
      </x:c>
      <x:c r="O2649" s="54" t="n">
        <x:f>ROUND(N2649*(1-M2649),2)</x:f>
        <x:v>3191.98</x:v>
      </x:c>
      <x:c r="P2649" s="54" t="n">
        <x:f>ROUND(J2649*L2649,2)</x:f>
        <x:v>1716.82</x:v>
      </x:c>
      <x:c r="Q2649" s="54" t="n">
        <x:f>ROUND(O2649-P2649,2)</x:f>
        <x:v>1475.16</x:v>
      </x:c>
      <x:c r="R2649" s="55" t="n">
        <x:f>IF(O2649=0,0,ROUND(Q2649/O2649,4))</x:f>
        <x:v>0.4621</x:v>
      </x:c>
      <x:c r="S2649" s="53" t="n">
        <x:v>5</x:v>
      </x:c>
      <x:c r="T2649" t="str">
        <x:v>Entregue</x:v>
      </x:c>
      <x:c r="U2649" t="n">
        <x:v>3</x:v>
      </x:c>
      <x:c r="V2649" t="str"/>
    </x:row>
    <x:row r="2650">
      <x:c r="A2650" s="52" t="n">
        <x:v>46128</x:v>
      </x:c>
      <x:c r="B2650" t="str">
        <x:v>PED-102649</x:v>
      </x:c>
      <x:c r="C2650" t="str">
        <x:v>Cliente 065</x:v>
      </x:c>
      <x:c r="D2650" t="str">
        <x:v>GO</x:v>
      </x:c>
      <x:c r="E2650" t="str">
        <x:v>Centro-Oeste</x:v>
      </x:c>
      <x:c r="F2650" t="str">
        <x:v>Televendas</x:v>
      </x:c>
      <x:c r="G2650" t="str">
        <x:v>Casa</x:v>
      </x:c>
      <x:c r="H2650" t="str">
        <x:v>Cafeteira Smart</x:v>
      </x:c>
      <x:c r="I2650" t="str">
        <x:v>Henrique</x:v>
      </x:c>
      <x:c r="J2650" s="53" t="n">
        <x:v>6</x:v>
      </x:c>
      <x:c r="K2650" s="54" t="n">
        <x:v>773.82</x:v>
      </x:c>
      <x:c r="L2650" s="54" t="n">
        <x:v>471.34</x:v>
      </x:c>
      <x:c r="M2650" s="55" t="n">
        <x:v>0</x:v>
      </x:c>
      <x:c r="N2650" s="54" t="n">
        <x:f>ROUND(J2650*K2650,2)</x:f>
        <x:v>4642.92</x:v>
      </x:c>
      <x:c r="O2650" s="54" t="n">
        <x:f>ROUND(N2650*(1-M2650),2)</x:f>
        <x:v>4642.92</x:v>
      </x:c>
      <x:c r="P2650" s="54" t="n">
        <x:f>ROUND(J2650*L2650,2)</x:f>
        <x:v>2828.04</x:v>
      </x:c>
      <x:c r="Q2650" s="54" t="n">
        <x:f>ROUND(O2650-P2650,2)</x:f>
        <x:v>1814.88</x:v>
      </x:c>
      <x:c r="R2650" s="55" t="n">
        <x:f>IF(O2650=0,0,ROUND(Q2650/O2650,4))</x:f>
        <x:v>0.3909</x:v>
      </x:c>
      <x:c r="S2650" s="53" t="n">
        <x:v>10</x:v>
      </x:c>
      <x:c r="T2650" t="str">
        <x:v>Entregue</x:v>
      </x:c>
      <x:c r="U2650" t="n">
        <x:v>5</x:v>
      </x:c>
      <x:c r="V2650" t="str"/>
    </x:row>
    <x:row r="2651">
      <x:c r="A2651" s="52" t="n">
        <x:v>46217</x:v>
      </x:c>
      <x:c r="B2651" t="str">
        <x:v>PED-102650</x:v>
      </x:c>
      <x:c r="C2651" t="str">
        <x:v>Cliente 006</x:v>
      </x:c>
      <x:c r="D2651" t="str">
        <x:v>SP</x:v>
      </x:c>
      <x:c r="E2651" t="str">
        <x:v>Sudeste</x:v>
      </x:c>
      <x:c r="F2651" t="str">
        <x:v>Marketplace</x:v>
      </x:c>
      <x:c r="G2651" t="str">
        <x:v>Tecnologia</x:v>
      </x:c>
      <x:c r="H2651" t="str">
        <x:v>Monitor 27</x:v>
      </x:c>
      <x:c r="I2651" t="str">
        <x:v>João</x:v>
      </x:c>
      <x:c r="J2651" s="53" t="n">
        <x:v>3</x:v>
      </x:c>
      <x:c r="K2651" s="54" t="n">
        <x:v>1590.3</x:v>
      </x:c>
      <x:c r="L2651" s="54" t="n">
        <x:v>1052.75</x:v>
      </x:c>
      <x:c r="M2651" s="55" t="n">
        <x:v>0.0563</x:v>
      </x:c>
      <x:c r="N2651" s="54" t="n">
        <x:f>ROUND(J2651*K2651,2)</x:f>
        <x:v>4770.9</x:v>
      </x:c>
      <x:c r="O2651" s="54" t="n">
        <x:f>ROUND(N2651*(1-M2651),2)</x:f>
        <x:v>4502.3</x:v>
      </x:c>
      <x:c r="P2651" s="54" t="n">
        <x:f>ROUND(J2651*L2651,2)</x:f>
        <x:v>3158.25</x:v>
      </x:c>
      <x:c r="Q2651" s="54" t="n">
        <x:f>ROUND(O2651-P2651,2)</x:f>
        <x:v>1344.05</x:v>
      </x:c>
      <x:c r="R2651" s="55" t="n">
        <x:f>IF(O2651=0,0,ROUND(Q2651/O2651,4))</x:f>
        <x:v>0.2985</x:v>
      </x:c>
      <x:c r="S2651" s="53" t="n">
        <x:v>10</x:v>
      </x:c>
      <x:c r="T2651" t="str">
        <x:v>Entregue</x:v>
      </x:c>
      <x:c r="U2651" t="n">
        <x:v>4</x:v>
      </x:c>
      <x:c r="V2651" t="str"/>
    </x:row>
    <x:row r="2652">
      <x:c r="A2652" s="52" t="n">
        <x:v>46129</x:v>
      </x:c>
      <x:c r="B2652" t="str">
        <x:v>PED-102651</x:v>
      </x:c>
      <x:c r="C2652" t="str">
        <x:v>Cliente 111</x:v>
      </x:c>
      <x:c r="D2652" t="str">
        <x:v>SC</x:v>
      </x:c>
      <x:c r="E2652" t="str">
        <x:v>Sul</x:v>
      </x:c>
      <x:c r="F2652" t="str">
        <x:v>E-commerce</x:v>
      </x:c>
      <x:c r="G2652" t="str">
        <x:v>Tecnologia</x:v>
      </x:c>
      <x:c r="H2652" t="str">
        <x:v>Monitor 27</x:v>
      </x:c>
      <x:c r="I2652" t="str">
        <x:v>Henrique</x:v>
      </x:c>
      <x:c r="J2652" s="53" t="n">
        <x:v>7</x:v>
      </x:c>
      <x:c r="K2652" s="54" t="n">
        <x:v>1747.44</x:v>
      </x:c>
      <x:c r="L2652" s="54" t="n">
        <x:v>1055.92</x:v>
      </x:c>
      <x:c r="M2652" s="55" t="n">
        <x:v>0</x:v>
      </x:c>
      <x:c r="N2652" s="54" t="n">
        <x:f>ROUND(J2652*K2652,2)</x:f>
        <x:v>12232.08</x:v>
      </x:c>
      <x:c r="O2652" s="54" t="n">
        <x:f>ROUND(N2652*(1-M2652),2)</x:f>
        <x:v>12232.08</x:v>
      </x:c>
      <x:c r="P2652" s="54" t="n">
        <x:f>ROUND(J2652*L2652,2)</x:f>
        <x:v>7391.44</x:v>
      </x:c>
      <x:c r="Q2652" s="54" t="n">
        <x:f>ROUND(O2652-P2652,2)</x:f>
        <x:v>4840.64</x:v>
      </x:c>
      <x:c r="R2652" s="55" t="n">
        <x:f>IF(O2652=0,0,ROUND(Q2652/O2652,4))</x:f>
        <x:v>0.3957</x:v>
      </x:c>
      <x:c r="S2652" s="53" t="n">
        <x:v>3</x:v>
      </x:c>
      <x:c r="T2652" t="str">
        <x:v>Entregue</x:v>
      </x:c>
      <x:c r="U2652" t="n">
        <x:v>4</x:v>
      </x:c>
      <x:c r="V2652" t="str"/>
    </x:row>
    <x:row r="2653">
      <x:c r="A2653" s="52" t="n">
        <x:v>46129</x:v>
      </x:c>
      <x:c r="B2653" t="str">
        <x:v>PED-102652</x:v>
      </x:c>
      <x:c r="C2653" t="str">
        <x:v>Cliente 085</x:v>
      </x:c>
      <x:c r="D2653" t="str">
        <x:v>MT</x:v>
      </x:c>
      <x:c r="E2653" t="str">
        <x:v>Centro-Oeste</x:v>
      </x:c>
      <x:c r="F2653" t="str">
        <x:v>Marketplace</x:v>
      </x:c>
      <x:c r="G2653" t="str">
        <x:v>Acessórios</x:v>
      </x:c>
      <x:c r="H2653" t="str">
        <x:v>Hub USB-C</x:v>
      </x:c>
      <x:c r="I2653" t="str">
        <x:v>Felipe</x:v>
      </x:c>
      <x:c r="J2653" s="53" t="n">
        <x:v>8</x:v>
      </x:c>
      <x:c r="K2653" s="54" t="n">
        <x:v>327.66</x:v>
      </x:c>
      <x:c r="L2653" s="54" t="n">
        <x:v>140.58</x:v>
      </x:c>
      <x:c r="M2653" s="55" t="n">
        <x:v>0.035</x:v>
      </x:c>
      <x:c r="N2653" s="54" t="n">
        <x:f>ROUND(J2653*K2653,2)</x:f>
        <x:v>2621.28</x:v>
      </x:c>
      <x:c r="O2653" s="54" t="n">
        <x:f>ROUND(N2653*(1-M2653),2)</x:f>
        <x:v>2529.54</x:v>
      </x:c>
      <x:c r="P2653" s="54" t="n">
        <x:f>ROUND(J2653*L2653,2)</x:f>
        <x:v>1124.64</x:v>
      </x:c>
      <x:c r="Q2653" s="54" t="n">
        <x:f>ROUND(O2653-P2653,2)</x:f>
        <x:v>1404.9</x:v>
      </x:c>
      <x:c r="R2653" s="55" t="n">
        <x:f>IF(O2653=0,0,ROUND(Q2653/O2653,4))</x:f>
        <x:v>0.5554</x:v>
      </x:c>
      <x:c r="S2653" s="53" t="n">
        <x:v>4</x:v>
      </x:c>
      <x:c r="T2653" t="str">
        <x:v>Entregue</x:v>
      </x:c>
      <x:c r="U2653" t="n">
        <x:v>5</x:v>
      </x:c>
      <x:c r="V2653" t="str"/>
    </x:row>
    <x:row r="2654">
      <x:c r="A2654" s="52" t="n">
        <x:v>46145</x:v>
      </x:c>
      <x:c r="B2654" t="str">
        <x:v>PED-102653</x:v>
      </x:c>
      <x:c r="C2654" t="str">
        <x:v>Cliente 018</x:v>
      </x:c>
      <x:c r="D2654" t="str">
        <x:v>RJ</x:v>
      </x:c>
      <x:c r="E2654" t="str">
        <x:v>Sudeste</x:v>
      </x:c>
      <x:c r="F2654" t="str">
        <x:v>Loja</x:v>
      </x:c>
      <x:c r="G2654" t="str">
        <x:v>Escritório</x:v>
      </x:c>
      <x:c r="H2654" t="str">
        <x:v>Luminária LED</x:v>
      </x:c>
      <x:c r="I2654" t="str">
        <x:v>Isabela</x:v>
      </x:c>
      <x:c r="J2654" s="53" t="n">
        <x:v>8</x:v>
      </x:c>
      <x:c r="K2654" s="54" t="n">
        <x:v>262.6</x:v>
      </x:c>
      <x:c r="L2654" s="54" t="n">
        <x:v>117.14</x:v>
      </x:c>
      <x:c r="M2654" s="55" t="n">
        <x:v>0</x:v>
      </x:c>
      <x:c r="N2654" s="54" t="n">
        <x:f>ROUND(J2654*K2654,2)</x:f>
        <x:v>2100.8</x:v>
      </x:c>
      <x:c r="O2654" s="54" t="n">
        <x:f>ROUND(N2654*(1-M2654),2)</x:f>
        <x:v>2100.8</x:v>
      </x:c>
      <x:c r="P2654" s="54" t="n">
        <x:f>ROUND(J2654*L2654,2)</x:f>
        <x:v>937.12</x:v>
      </x:c>
      <x:c r="Q2654" s="54" t="n">
        <x:f>ROUND(O2654-P2654,2)</x:f>
        <x:v>1163.68</x:v>
      </x:c>
      <x:c r="R2654" s="55" t="n">
        <x:f>IF(O2654=0,0,ROUND(Q2654/O2654,4))</x:f>
        <x:v>0.5539</x:v>
      </x:c>
      <x:c r="S2654" s="53" t="n">
        <x:v>12</x:v>
      </x:c>
      <x:c r="T2654" t="str">
        <x:v>Entregue com atraso</x:v>
      </x:c>
      <x:c r="U2654" t="n">
        <x:v>4</x:v>
      </x:c>
      <x:c r="V2654" t="str"/>
    </x:row>
    <x:row r="2655">
      <x:c r="A2655" s="52" t="n">
        <x:v>46041</x:v>
      </x:c>
      <x:c r="B2655" t="str">
        <x:v>PED-102654</x:v>
      </x:c>
      <x:c r="C2655" t="str">
        <x:v>Cliente 056</x:v>
      </x:c>
      <x:c r="D2655" t="str">
        <x:v>MT</x:v>
      </x:c>
      <x:c r="E2655" t="str">
        <x:v>Centro-Oeste</x:v>
      </x:c>
      <x:c r="F2655" t="str">
        <x:v>Marketplace</x:v>
      </x:c>
      <x:c r="G2655" t="str">
        <x:v>Tecnologia</x:v>
      </x:c>
      <x:c r="H2655" t="str">
        <x:v>Headset Office</x:v>
      </x:c>
      <x:c r="I2655" t="str">
        <x:v>Henrique</x:v>
      </x:c>
      <x:c r="J2655" s="53" t="n">
        <x:v>1</x:v>
      </x:c>
      <x:c r="K2655" s="54" t="n">
        <x:v>392.42</x:v>
      </x:c>
      <x:c r="L2655" s="54" t="n">
        <x:v>208.55</x:v>
      </x:c>
      <x:c r="M2655" s="55" t="n">
        <x:v>0.1382</x:v>
      </x:c>
      <x:c r="N2655" s="54" t="n">
        <x:f>ROUND(J2655*K2655,2)</x:f>
        <x:v>392.42</x:v>
      </x:c>
      <x:c r="O2655" s="54" t="n">
        <x:f>ROUND(N2655*(1-M2655),2)</x:f>
        <x:v>338.19</x:v>
      </x:c>
      <x:c r="P2655" s="54" t="n">
        <x:f>ROUND(J2655*L2655,2)</x:f>
        <x:v>208.55</x:v>
      </x:c>
      <x:c r="Q2655" s="54" t="n">
        <x:f>ROUND(O2655-P2655,2)</x:f>
        <x:v>129.64</x:v>
      </x:c>
      <x:c r="R2655" s="55" t="n">
        <x:f>IF(O2655=0,0,ROUND(Q2655/O2655,4))</x:f>
        <x:v>0.3833</x:v>
      </x:c>
      <x:c r="S2655" s="53" t="n">
        <x:v>4</x:v>
      </x:c>
      <x:c r="T2655" t="str">
        <x:v>Entregue</x:v>
      </x:c>
      <x:c r="U2655" t="n">
        <x:v>2</x:v>
      </x:c>
      <x:c r="V2655" t="str"/>
    </x:row>
    <x:row r="2656">
      <x:c r="A2656" s="52" t="n">
        <x:v>46199</x:v>
      </x:c>
      <x:c r="B2656" t="str">
        <x:v>PED-102655</x:v>
      </x:c>
      <x:c r="C2656" t="str">
        <x:v>Cliente 028</x:v>
      </x:c>
      <x:c r="D2656" t="str">
        <x:v>AM</x:v>
      </x:c>
      <x:c r="E2656" t="str">
        <x:v>Norte</x:v>
      </x:c>
      <x:c r="F2656" t="str">
        <x:v>Televendas</x:v>
      </x:c>
      <x:c r="G2656" t="str">
        <x:v>Tecnologia</x:v>
      </x:c>
      <x:c r="H2656" t="str">
        <x:v>Notebook Pro</x:v>
      </x:c>
      <x:c r="I2656" t="str">
        <x:v>Felipe</x:v>
      </x:c>
      <x:c r="J2656" s="53" t="n">
        <x:v>7</x:v>
      </x:c>
      <x:c r="K2656" s="54" t="n">
        <x:v>5664.43</x:v>
      </x:c>
      <x:c r="L2656" s="54" t="n">
        <x:v>4578.42</x:v>
      </x:c>
      <x:c r="M2656" s="55" t="n">
        <x:v>0.0709</x:v>
      </x:c>
      <x:c r="N2656" s="54" t="n">
        <x:f>ROUND(J2656*K2656,2)</x:f>
        <x:v>39651.01</x:v>
      </x:c>
      <x:c r="O2656" s="54" t="n">
        <x:f>ROUND(N2656*(1-M2656),2)</x:f>
        <x:v>36839.75</x:v>
      </x:c>
      <x:c r="P2656" s="54" t="n">
        <x:f>ROUND(J2656*L2656,2)</x:f>
        <x:v>32048.94</x:v>
      </x:c>
      <x:c r="Q2656" s="54" t="n">
        <x:f>ROUND(O2656-P2656,2)</x:f>
        <x:v>4790.81</x:v>
      </x:c>
      <x:c r="R2656" s="55" t="n">
        <x:f>IF(O2656=0,0,ROUND(Q2656/O2656,4))</x:f>
        <x:v>0.13</x:v>
      </x:c>
      <x:c r="S2656" s="53" t="n">
        <x:v>12</x:v>
      </x:c>
      <x:c r="T2656" t="str">
        <x:v>Entregue com atraso</x:v>
      </x:c>
      <x:c r="U2656" t="n">
        <x:v>5</x:v>
      </x:c>
      <x:c r="V2656" t="str"/>
    </x:row>
    <x:row r="2657">
      <x:c r="A2657" s="52" t="n">
        <x:v>46074</x:v>
      </x:c>
      <x:c r="B2657" t="str">
        <x:v>PED-102656</x:v>
      </x:c>
      <x:c r="C2657" t="str">
        <x:v>Cliente 051</x:v>
      </x:c>
      <x:c r="D2657" t="str">
        <x:v>ES</x:v>
      </x:c>
      <x:c r="E2657" t="str">
        <x:v>Sudeste</x:v>
      </x:c>
      <x:c r="F2657" t="str">
        <x:v>Televendas</x:v>
      </x:c>
      <x:c r="G2657" t="str">
        <x:v>Tecnologia</x:v>
      </x:c>
      <x:c r="H2657" t="str">
        <x:v>Headset Office</x:v>
      </x:c>
      <x:c r="I2657" t="str">
        <x:v>Gabriela</x:v>
      </x:c>
      <x:c r="J2657" s="53" t="n">
        <x:v>6</x:v>
      </x:c>
      <x:c r="K2657" s="54" t="n">
        <x:v>403.69</x:v>
      </x:c>
      <x:c r="L2657" s="54" t="n">
        <x:v>211.57</x:v>
      </x:c>
      <x:c r="M2657" s="55" t="n">
        <x:v>0</x:v>
      </x:c>
      <x:c r="N2657" s="54" t="n">
        <x:f>ROUND(J2657*K2657,2)</x:f>
        <x:v>2422.14</x:v>
      </x:c>
      <x:c r="O2657" s="54" t="n">
        <x:f>ROUND(N2657*(1-M2657),2)</x:f>
        <x:v>2422.14</x:v>
      </x:c>
      <x:c r="P2657" s="54" t="n">
        <x:f>ROUND(J2657*L2657,2)</x:f>
        <x:v>1269.42</x:v>
      </x:c>
      <x:c r="Q2657" s="54" t="n">
        <x:f>ROUND(O2657-P2657,2)</x:f>
        <x:v>1152.72</x:v>
      </x:c>
      <x:c r="R2657" s="55" t="n">
        <x:f>IF(O2657=0,0,ROUND(Q2657/O2657,4))</x:f>
        <x:v>0.4759</x:v>
      </x:c>
      <x:c r="S2657" s="53" t="n">
        <x:v>10</x:v>
      </x:c>
      <x:c r="T2657" t="str">
        <x:v>Entregue</x:v>
      </x:c>
      <x:c r="U2657" t="n">
        <x:v>3</x:v>
      </x:c>
      <x:c r="V2657" t="str"/>
    </x:row>
    <x:row r="2658">
      <x:c r="A2658" s="52" t="n">
        <x:v>46232</x:v>
      </x:c>
      <x:c r="B2658" t="str">
        <x:v>PED-102657</x:v>
      </x:c>
      <x:c r="C2658" t="str">
        <x:v>Cliente 068</x:v>
      </x:c>
      <x:c r="D2658" t="str">
        <x:v>RJ</x:v>
      </x:c>
      <x:c r="E2658" t="str">
        <x:v>Sudeste</x:v>
      </x:c>
      <x:c r="F2658" t="str">
        <x:v>E-commerce</x:v>
      </x:c>
      <x:c r="G2658" t="str">
        <x:v>Acessórios</x:v>
      </x:c>
      <x:c r="H2658" t="str">
        <x:v>Mochila Executiva</x:v>
      </x:c>
      <x:c r="I2658" t="str">
        <x:v>Felipe</x:v>
      </x:c>
      <x:c r="J2658" s="53" t="n">
        <x:v>6</x:v>
      </x:c>
      <x:c r="K2658" s="54" t="n">
        <x:v>428.81</x:v>
      </x:c>
      <x:c r="L2658" s="54" t="n">
        <x:v>183.47</x:v>
      </x:c>
      <x:c r="M2658" s="55" t="n">
        <x:v>0.0752</x:v>
      </x:c>
      <x:c r="N2658" s="54" t="n">
        <x:f>ROUND(J2658*K2658,2)</x:f>
        <x:v>2572.86</x:v>
      </x:c>
      <x:c r="O2658" s="54" t="n">
        <x:f>ROUND(N2658*(1-M2658),2)</x:f>
        <x:v>2379.38</x:v>
      </x:c>
      <x:c r="P2658" s="54" t="n">
        <x:f>ROUND(J2658*L2658,2)</x:f>
        <x:v>1100.82</x:v>
      </x:c>
      <x:c r="Q2658" s="54" t="n">
        <x:f>ROUND(O2658-P2658,2)</x:f>
        <x:v>1278.56</x:v>
      </x:c>
      <x:c r="R2658" s="55" t="n">
        <x:f>IF(O2658=0,0,ROUND(Q2658/O2658,4))</x:f>
        <x:v>0.5374</x:v>
      </x:c>
      <x:c r="S2658" s="53" t="n">
        <x:v>8</x:v>
      </x:c>
      <x:c r="T2658" t="str">
        <x:v>Entregue</x:v>
      </x:c>
      <x:c r="U2658" t="n">
        <x:v>3</x:v>
      </x:c>
      <x:c r="V2658" t="str"/>
    </x:row>
    <x:row r="2659">
      <x:c r="A2659" s="52" t="n">
        <x:v>46059</x:v>
      </x:c>
      <x:c r="B2659" t="str">
        <x:v>PED-102658</x:v>
      </x:c>
      <x:c r="C2659" t="str">
        <x:v>Cliente 066</x:v>
      </x:c>
      <x:c r="D2659" t="str">
        <x:v>PA</x:v>
      </x:c>
      <x:c r="E2659" t="str">
        <x:v>Norte</x:v>
      </x:c>
      <x:c r="F2659" t="str">
        <x:v>E-commerce</x:v>
      </x:c>
      <x:c r="G2659" t="str">
        <x:v>Escritório</x:v>
      </x:c>
      <x:c r="H2659" t="str">
        <x:v>Cadeira Ergonômica</x:v>
      </x:c>
      <x:c r="I2659" t="str">
        <x:v>Elaine</x:v>
      </x:c>
      <x:c r="J2659" s="53" t="n">
        <x:v>5</x:v>
      </x:c>
      <x:c r="K2659" s="54" t="n">
        <x:v>2222.36</x:v>
      </x:c>
      <x:c r="L2659" s="54" t="n">
        <x:v>1489.27</x:v>
      </x:c>
      <x:c r="M2659" s="55" t="n">
        <x:v>0.1106</x:v>
      </x:c>
      <x:c r="N2659" s="54" t="n">
        <x:f>ROUND(J2659*K2659,2)</x:f>
        <x:v>11111.8</x:v>
      </x:c>
      <x:c r="O2659" s="54" t="n">
        <x:f>ROUND(N2659*(1-M2659),2)</x:f>
        <x:v>9882.83</x:v>
      </x:c>
      <x:c r="P2659" s="54" t="n">
        <x:f>ROUND(J2659*L2659,2)</x:f>
        <x:v>7446.35</x:v>
      </x:c>
      <x:c r="Q2659" s="54" t="n">
        <x:f>ROUND(O2659-P2659,2)</x:f>
        <x:v>2436.48</x:v>
      </x:c>
      <x:c r="R2659" s="55" t="n">
        <x:f>IF(O2659=0,0,ROUND(Q2659/O2659,4))</x:f>
        <x:v>0.2465</x:v>
      </x:c>
      <x:c r="S2659" s="53" t="n">
        <x:v>6</x:v>
      </x:c>
      <x:c r="T2659" t="str">
        <x:v>Entregue</x:v>
      </x:c>
      <x:c r="U2659" t="n">
        <x:v>5</x:v>
      </x:c>
      <x:c r="V2659" t="str"/>
    </x:row>
    <x:row r="2660">
      <x:c r="A2660" s="52" t="n">
        <x:v>46117</x:v>
      </x:c>
      <x:c r="B2660" t="str">
        <x:v>PED-102659</x:v>
      </x:c>
      <x:c r="C2660" t="str">
        <x:v>Cliente 013</x:v>
      </x:c>
      <x:c r="D2660" t="str">
        <x:v>AM</x:v>
      </x:c>
      <x:c r="E2660" t="str">
        <x:v>Norte</x:v>
      </x:c>
      <x:c r="F2660" t="str">
        <x:v>Marketplace</x:v>
      </x:c>
      <x:c r="G2660" t="str">
        <x:v>Casa</x:v>
      </x:c>
      <x:c r="H2660" t="str">
        <x:v>Aspirador Robô</x:v>
      </x:c>
      <x:c r="I2660" t="str">
        <x:v>Diego</x:v>
      </x:c>
      <x:c r="J2660" s="53" t="n">
        <x:v>8</x:v>
      </x:c>
      <x:c r="K2660" s="54" t="n">
        <x:v>1891.05</x:v>
      </x:c>
      <x:c r="L2660" s="54" t="n">
        <x:v>1193.81</x:v>
      </x:c>
      <x:c r="M2660" s="55" t="n">
        <x:v>0.035</x:v>
      </x:c>
      <x:c r="N2660" s="54" t="n">
        <x:f>ROUND(J2660*K2660,2)</x:f>
        <x:v>15128.4</x:v>
      </x:c>
      <x:c r="O2660" s="54" t="n">
        <x:f>ROUND(N2660*(1-M2660),2)</x:f>
        <x:v>14598.91</x:v>
      </x:c>
      <x:c r="P2660" s="54" t="n">
        <x:f>ROUND(J2660*L2660,2)</x:f>
        <x:v>9550.48</x:v>
      </x:c>
      <x:c r="Q2660" s="54" t="n">
        <x:f>ROUND(O2660-P2660,2)</x:f>
        <x:v>5048.43</x:v>
      </x:c>
      <x:c r="R2660" s="55" t="n">
        <x:f>IF(O2660=0,0,ROUND(Q2660/O2660,4))</x:f>
        <x:v>0.3458</x:v>
      </x:c>
      <x:c r="S2660" s="53" t="n">
        <x:v>14</x:v>
      </x:c>
      <x:c r="T2660" t="str">
        <x:v>Entregue com atraso</x:v>
      </x:c>
      <x:c r="U2660" t="n">
        <x:v>4</x:v>
      </x:c>
      <x:c r="V2660" t="str"/>
    </x:row>
    <x:row r="2661">
      <x:c r="A2661" s="52" t="n">
        <x:v>46159</x:v>
      </x:c>
      <x:c r="B2661" t="str">
        <x:v>PED-102660</x:v>
      </x:c>
      <x:c r="C2661" t="str">
        <x:v>Cliente 085</x:v>
      </x:c>
      <x:c r="D2661" t="str">
        <x:v>PR</x:v>
      </x:c>
      <x:c r="E2661" t="str">
        <x:v>Sul</x:v>
      </x:c>
      <x:c r="F2661" t="str">
        <x:v>Televendas</x:v>
      </x:c>
      <x:c r="G2661" t="str">
        <x:v>Acessórios</x:v>
      </x:c>
      <x:c r="H2661" t="str">
        <x:v>Hub USB-C</x:v>
      </x:c>
      <x:c r="I2661" t="str">
        <x:v>João</x:v>
      </x:c>
      <x:c r="J2661" s="53" t="n">
        <x:v>1</x:v>
      </x:c>
      <x:c r="K2661" s="54" t="n">
        <x:v>337.71</x:v>
      </x:c>
      <x:c r="L2661" s="54" t="n">
        <x:v>141.2</x:v>
      </x:c>
      <x:c r="M2661" s="55" t="n">
        <x:v>0.0792</x:v>
      </x:c>
      <x:c r="N2661" s="54" t="n">
        <x:f>ROUND(J2661*K2661,2)</x:f>
        <x:v>337.71</x:v>
      </x:c>
      <x:c r="O2661" s="54" t="n">
        <x:f>ROUND(N2661*(1-M2661),2)</x:f>
        <x:v>310.96</x:v>
      </x:c>
      <x:c r="P2661" s="54" t="n">
        <x:f>ROUND(J2661*L2661,2)</x:f>
        <x:v>141.2</x:v>
      </x:c>
      <x:c r="Q2661" s="54" t="n">
        <x:f>ROUND(O2661-P2661,2)</x:f>
        <x:v>169.76</x:v>
      </x:c>
      <x:c r="R2661" s="55" t="n">
        <x:f>IF(O2661=0,0,ROUND(Q2661/O2661,4))</x:f>
        <x:v>0.5459</x:v>
      </x:c>
      <x:c r="S2661" s="53" t="n">
        <x:v>7</x:v>
      </x:c>
      <x:c r="T2661" t="str">
        <x:v>Cancelado</x:v>
      </x:c>
      <x:c r="U2661"/>
      <x:c r="V2661" t="str"/>
    </x:row>
    <x:row r="2662">
      <x:c r="A2662" s="52" t="n">
        <x:v>46208</x:v>
      </x:c>
      <x:c r="B2662" t="str">
        <x:v>PED-102661</x:v>
      </x:c>
      <x:c r="C2662" t="str">
        <x:v>Cliente 071</x:v>
      </x:c>
      <x:c r="D2662" t="str">
        <x:v>RS</x:v>
      </x:c>
      <x:c r="E2662" t="str">
        <x:v>Sul</x:v>
      </x:c>
      <x:c r="F2662" t="str">
        <x:v>Televendas</x:v>
      </x:c>
      <x:c r="G2662" t="str">
        <x:v>Tecnologia</x:v>
      </x:c>
      <x:c r="H2662" t="str">
        <x:v>Notebook Pro</x:v>
      </x:c>
      <x:c r="I2662" t="str">
        <x:v>Felipe</x:v>
      </x:c>
      <x:c r="J2662" s="53" t="n">
        <x:v>6</x:v>
      </x:c>
      <x:c r="K2662" s="54" t="n">
        <x:v>6105.98</x:v>
      </x:c>
      <x:c r="L2662" s="54" t="n">
        <x:v>4287.54</x:v>
      </x:c>
      <x:c r="M2662" s="55" t="n">
        <x:v>0.0005</x:v>
      </x:c>
      <x:c r="N2662" s="54" t="n">
        <x:f>ROUND(J2662*K2662,2)</x:f>
        <x:v>36635.88</x:v>
      </x:c>
      <x:c r="O2662" s="54" t="n">
        <x:f>ROUND(N2662*(1-M2662),2)</x:f>
        <x:v>36617.56</x:v>
      </x:c>
      <x:c r="P2662" s="54" t="n">
        <x:f>ROUND(J2662*L2662,2)</x:f>
        <x:v>25725.24</x:v>
      </x:c>
      <x:c r="Q2662" s="54" t="n">
        <x:f>ROUND(O2662-P2662,2)</x:f>
        <x:v>10892.32</x:v>
      </x:c>
      <x:c r="R2662" s="55" t="n">
        <x:f>IF(O2662=0,0,ROUND(Q2662/O2662,4))</x:f>
        <x:v>0.2975</x:v>
      </x:c>
      <x:c r="S2662" s="53" t="n">
        <x:v>13</x:v>
      </x:c>
      <x:c r="T2662" t="str">
        <x:v>Entregue com atraso</x:v>
      </x:c>
      <x:c r="U2662" t="n">
        <x:v>2</x:v>
      </x:c>
      <x:c r="V2662" t="str"/>
    </x:row>
    <x:row r="2663">
      <x:c r="A2663" s="52" t="n">
        <x:v>46100</x:v>
      </x:c>
      <x:c r="B2663" t="str">
        <x:v>PED-102662</x:v>
      </x:c>
      <x:c r="C2663" t="str">
        <x:v>Cliente 035</x:v>
      </x:c>
      <x:c r="D2663" t="str">
        <x:v>SC</x:v>
      </x:c>
      <x:c r="E2663" t="str">
        <x:v>Sul</x:v>
      </x:c>
      <x:c r="F2663" t="str">
        <x:v>Loja</x:v>
      </x:c>
      <x:c r="G2663" t="str">
        <x:v>Casa</x:v>
      </x:c>
      <x:c r="H2663" t="str">
        <x:v>Aspirador Robô</x:v>
      </x:c>
      <x:c r="I2663" t="str">
        <x:v>Diego</x:v>
      </x:c>
      <x:c r="J2663" s="53" t="n">
        <x:v>5</x:v>
      </x:c>
      <x:c r="K2663" s="54" t="n">
        <x:v>1848.11</x:v>
      </x:c>
      <x:c r="L2663" s="54" t="n">
        <x:v>1212.56</x:v>
      </x:c>
      <x:c r="M2663" s="55" t="n">
        <x:v>0.0924</x:v>
      </x:c>
      <x:c r="N2663" s="54" t="n">
        <x:f>ROUND(J2663*K2663,2)</x:f>
        <x:v>9240.55</x:v>
      </x:c>
      <x:c r="O2663" s="54" t="n">
        <x:f>ROUND(N2663*(1-M2663),2)</x:f>
        <x:v>8386.72</x:v>
      </x:c>
      <x:c r="P2663" s="54" t="n">
        <x:f>ROUND(J2663*L2663,2)</x:f>
        <x:v>6062.8</x:v>
      </x:c>
      <x:c r="Q2663" s="54" t="n">
        <x:f>ROUND(O2663-P2663,2)</x:f>
        <x:v>2323.92</x:v>
      </x:c>
      <x:c r="R2663" s="55" t="n">
        <x:f>IF(O2663=0,0,ROUND(Q2663/O2663,4))</x:f>
        <x:v>0.2771</x:v>
      </x:c>
      <x:c r="S2663" s="53" t="n">
        <x:v>5</x:v>
      </x:c>
      <x:c r="T2663" t="str">
        <x:v>Entregue</x:v>
      </x:c>
      <x:c r="U2663" t="n">
        <x:v>3</x:v>
      </x:c>
      <x:c r="V2663" t="str"/>
    </x:row>
    <x:row r="2664">
      <x:c r="A2664" s="52" t="n">
        <x:v>46168</x:v>
      </x:c>
      <x:c r="B2664" t="str">
        <x:v>PED-102663</x:v>
      </x:c>
      <x:c r="C2664" t="str">
        <x:v>Cliente 110</x:v>
      </x:c>
      <x:c r="D2664" t="str">
        <x:v>MG</x:v>
      </x:c>
      <x:c r="E2664" t="str">
        <x:v>Sudeste</x:v>
      </x:c>
      <x:c r="F2664" t="str">
        <x:v>E-commerce</x:v>
      </x:c>
      <x:c r="G2664" t="str">
        <x:v>Tecnologia</x:v>
      </x:c>
      <x:c r="H2664" t="str">
        <x:v>Notebook Pro</x:v>
      </x:c>
      <x:c r="I2664" t="str">
        <x:v>Isabela</x:v>
      </x:c>
      <x:c r="J2664" s="53" t="n">
        <x:v>5</x:v>
      </x:c>
      <x:c r="K2664" s="54" t="n">
        <x:v>5888.93</x:v>
      </x:c>
      <x:c r="L2664" s="54" t="n">
        <x:v>4168.6</x:v>
      </x:c>
      <x:c r="M2664" s="55" t="n">
        <x:v>0</x:v>
      </x:c>
      <x:c r="N2664" s="54" t="n">
        <x:f>ROUND(J2664*K2664,2)</x:f>
        <x:v>29444.65</x:v>
      </x:c>
      <x:c r="O2664" s="54" t="n">
        <x:f>ROUND(N2664*(1-M2664),2)</x:f>
        <x:v>29444.65</x:v>
      </x:c>
      <x:c r="P2664" s="54" t="n">
        <x:f>ROUND(J2664*L2664,2)</x:f>
        <x:v>20843</x:v>
      </x:c>
      <x:c r="Q2664" s="54" t="n">
        <x:f>ROUND(O2664-P2664,2)</x:f>
        <x:v>8601.65</x:v>
      </x:c>
      <x:c r="R2664" s="55" t="n">
        <x:f>IF(O2664=0,0,ROUND(Q2664/O2664,4))</x:f>
        <x:v>0.2921</x:v>
      </x:c>
      <x:c r="S2664" s="53" t="n">
        <x:v>8</x:v>
      </x:c>
      <x:c r="T2664" t="str">
        <x:v>Entregue</x:v>
      </x:c>
      <x:c r="U2664" t="n">
        <x:v>3</x:v>
      </x:c>
      <x:c r="V2664" t="str"/>
    </x:row>
    <x:row r="2665">
      <x:c r="A2665" s="52" t="n">
        <x:v>46122</x:v>
      </x:c>
      <x:c r="B2665" t="str">
        <x:v>PED-102664</x:v>
      </x:c>
      <x:c r="C2665" t="str">
        <x:v>Cliente 008</x:v>
      </x:c>
      <x:c r="D2665" t="str">
        <x:v>RJ</x:v>
      </x:c>
      <x:c r="E2665" t="str">
        <x:v>Sudeste</x:v>
      </x:c>
      <x:c r="F2665" t="str">
        <x:v>Loja</x:v>
      </x:c>
      <x:c r="G2665" t="str">
        <x:v>Escritório</x:v>
      </x:c>
      <x:c r="H2665" t="str">
        <x:v>Mesa Ajustável</x:v>
      </x:c>
      <x:c r="I2665" t="str">
        <x:v>Felipe</x:v>
      </x:c>
      <x:c r="J2665" s="53" t="n">
        <x:v>7</x:v>
      </x:c>
      <x:c r="K2665" s="54" t="n">
        <x:v>2630.3</x:v>
      </x:c>
      <x:c r="L2665" s="54" t="n">
        <x:v>1837.28</x:v>
      </x:c>
      <x:c r="M2665" s="55" t="n">
        <x:v>0</x:v>
      </x:c>
      <x:c r="N2665" s="54" t="n">
        <x:f>ROUND(J2665*K2665,2)</x:f>
        <x:v>18412.1</x:v>
      </x:c>
      <x:c r="O2665" s="54" t="n">
        <x:f>ROUND(N2665*(1-M2665),2)</x:f>
        <x:v>18412.1</x:v>
      </x:c>
      <x:c r="P2665" s="54" t="n">
        <x:f>ROUND(J2665*L2665,2)</x:f>
        <x:v>12860.96</x:v>
      </x:c>
      <x:c r="Q2665" s="54" t="n">
        <x:f>ROUND(O2665-P2665,2)</x:f>
        <x:v>5551.14</x:v>
      </x:c>
      <x:c r="R2665" s="55" t="n">
        <x:f>IF(O2665=0,0,ROUND(Q2665/O2665,4))</x:f>
        <x:v>0.3015</x:v>
      </x:c>
      <x:c r="S2665" s="53" t="n">
        <x:v>6</x:v>
      </x:c>
      <x:c r="T2665" t="str">
        <x:v>Entregue</x:v>
      </x:c>
      <x:c r="U2665" t="n">
        <x:v>4</x:v>
      </x:c>
      <x:c r="V2665" t="str"/>
    </x:row>
    <x:row r="2666">
      <x:c r="A2666" s="52" t="n">
        <x:v>46066</x:v>
      </x:c>
      <x:c r="B2666" t="str">
        <x:v>PED-102665</x:v>
      </x:c>
      <x:c r="C2666" t="str">
        <x:v>Cliente 031</x:v>
      </x:c>
      <x:c r="D2666" t="str">
        <x:v>SP</x:v>
      </x:c>
      <x:c r="E2666" t="str">
        <x:v>Sudeste</x:v>
      </x:c>
      <x:c r="F2666" t="str">
        <x:v>Loja</x:v>
      </x:c>
      <x:c r="G2666" t="str">
        <x:v>Escritório</x:v>
      </x:c>
      <x:c r="H2666" t="str">
        <x:v>Mesa Ajustável</x:v>
      </x:c>
      <x:c r="I2666" t="str">
        <x:v>Isabela</x:v>
      </x:c>
      <x:c r="J2666" s="53" t="n">
        <x:v>3</x:v>
      </x:c>
      <x:c r="K2666" s="54" t="n">
        <x:v>2644.73</x:v>
      </x:c>
      <x:c r="L2666" s="54" t="n">
        <x:v>1747.6</x:v>
      </x:c>
      <x:c r="M2666" s="55" t="n">
        <x:v>0</x:v>
      </x:c>
      <x:c r="N2666" s="54" t="n">
        <x:f>ROUND(J2666*K2666,2)</x:f>
        <x:v>7934.19</x:v>
      </x:c>
      <x:c r="O2666" s="54" t="n">
        <x:f>ROUND(N2666*(1-M2666),2)</x:f>
        <x:v>7934.19</x:v>
      </x:c>
      <x:c r="P2666" s="54" t="n">
        <x:f>ROUND(J2666*L2666,2)</x:f>
        <x:v>5242.8</x:v>
      </x:c>
      <x:c r="Q2666" s="54" t="n">
        <x:f>ROUND(O2666-P2666,2)</x:f>
        <x:v>2691.39</x:v>
      </x:c>
      <x:c r="R2666" s="55" t="n">
        <x:f>IF(O2666=0,0,ROUND(Q2666/O2666,4))</x:f>
        <x:v>0.3392</x:v>
      </x:c>
      <x:c r="S2666" s="53" t="n">
        <x:v>9</x:v>
      </x:c>
      <x:c r="T2666" t="str">
        <x:v>Entregue</x:v>
      </x:c>
      <x:c r="U2666" t="n">
        <x:v>2</x:v>
      </x:c>
      <x:c r="V2666" t="str"/>
    </x:row>
    <x:row r="2667">
      <x:c r="A2667" s="52" t="n">
        <x:v>46190</x:v>
      </x:c>
      <x:c r="B2667" t="str">
        <x:v>PED-102666</x:v>
      </x:c>
      <x:c r="C2667" t="str">
        <x:v>Cliente 022</x:v>
      </x:c>
      <x:c r="D2667" t="str">
        <x:v>RJ</x:v>
      </x:c>
      <x:c r="E2667" t="str">
        <x:v>Sudeste</x:v>
      </x:c>
      <x:c r="F2667" t="str">
        <x:v>Televendas</x:v>
      </x:c>
      <x:c r="G2667" t="str">
        <x:v>Casa</x:v>
      </x:c>
      <x:c r="H2667" t="str">
        <x:v>Cafeteira Smart</x:v>
      </x:c>
      <x:c r="I2667" t="str">
        <x:v>Isabela</x:v>
      </x:c>
      <x:c r="J2667" s="53" t="n">
        <x:v>7</x:v>
      </x:c>
      <x:c r="K2667" s="54" t="n">
        <x:v>835.77</x:v>
      </x:c>
      <x:c r="L2667" s="54" t="n">
        <x:v>469.9</x:v>
      </x:c>
      <x:c r="M2667" s="55" t="n">
        <x:v>0.0523</x:v>
      </x:c>
      <x:c r="N2667" s="54" t="n">
        <x:f>ROUND(J2667*K2667,2)</x:f>
        <x:v>5850.39</x:v>
      </x:c>
      <x:c r="O2667" s="54" t="n">
        <x:f>ROUND(N2667*(1-M2667),2)</x:f>
        <x:v>5544.41</x:v>
      </x:c>
      <x:c r="P2667" s="54" t="n">
        <x:f>ROUND(J2667*L2667,2)</x:f>
        <x:v>3289.3</x:v>
      </x:c>
      <x:c r="Q2667" s="54" t="n">
        <x:f>ROUND(O2667-P2667,2)</x:f>
        <x:v>2255.11</x:v>
      </x:c>
      <x:c r="R2667" s="55" t="n">
        <x:f>IF(O2667=0,0,ROUND(Q2667/O2667,4))</x:f>
        <x:v>0.4067</x:v>
      </x:c>
      <x:c r="S2667" s="53" t="n">
        <x:v>9</x:v>
      </x:c>
      <x:c r="T2667" t="str">
        <x:v>Entregue</x:v>
      </x:c>
      <x:c r="U2667" t="n">
        <x:v>4</x:v>
      </x:c>
      <x:c r="V2667" t="str"/>
    </x:row>
    <x:row r="2668">
      <x:c r="A2668" s="52" t="n">
        <x:v>46063</x:v>
      </x:c>
      <x:c r="B2668" t="str">
        <x:v>PED-102667</x:v>
      </x:c>
      <x:c r="C2668" t="str">
        <x:v>Cliente 096</x:v>
      </x:c>
      <x:c r="D2668" t="str">
        <x:v>SP</x:v>
      </x:c>
      <x:c r="E2668" t="str">
        <x:v>Sudeste</x:v>
      </x:c>
      <x:c r="F2668" t="str">
        <x:v>Loja</x:v>
      </x:c>
      <x:c r="G2668" t="str">
        <x:v>Casa</x:v>
      </x:c>
      <x:c r="H2668" t="str">
        <x:v>Purificador</x:v>
      </x:c>
      <x:c r="I2668" t="str">
        <x:v>Bruno</x:v>
      </x:c>
      <x:c r="J2668" s="53" t="n">
        <x:v>4</x:v>
      </x:c>
      <x:c r="K2668" s="54" t="n">
        <x:v>1282.72</x:v>
      </x:c>
      <x:c r="L2668" s="54" t="n">
        <x:v>774.31</x:v>
      </x:c>
      <x:c r="M2668" s="55" t="n">
        <x:v>0.0659</x:v>
      </x:c>
      <x:c r="N2668" s="54" t="n">
        <x:f>ROUND(J2668*K2668,2)</x:f>
        <x:v>5130.88</x:v>
      </x:c>
      <x:c r="O2668" s="54" t="n">
        <x:f>ROUND(N2668*(1-M2668),2)</x:f>
        <x:v>4792.76</x:v>
      </x:c>
      <x:c r="P2668" s="54" t="n">
        <x:f>ROUND(J2668*L2668,2)</x:f>
        <x:v>3097.24</x:v>
      </x:c>
      <x:c r="Q2668" s="54" t="n">
        <x:f>ROUND(O2668-P2668,2)</x:f>
        <x:v>1695.52</x:v>
      </x:c>
      <x:c r="R2668" s="55" t="n">
        <x:f>IF(O2668=0,0,ROUND(Q2668/O2668,4))</x:f>
        <x:v>0.3538</x:v>
      </x:c>
      <x:c r="S2668" s="53" t="n">
        <x:v>14</x:v>
      </x:c>
      <x:c r="T2668" t="str">
        <x:v>Entregue com atraso</x:v>
      </x:c>
      <x:c r="U2668" t="n">
        <x:v>4</x:v>
      </x:c>
      <x:c r="V2668" t="str"/>
    </x:row>
    <x:row r="2669">
      <x:c r="A2669" s="52" t="n">
        <x:v>46106</x:v>
      </x:c>
      <x:c r="B2669" t="str">
        <x:v>PED-102668</x:v>
      </x:c>
      <x:c r="C2669" t="str">
        <x:v>Cliente 042</x:v>
      </x:c>
      <x:c r="D2669" t="str">
        <x:v>ES</x:v>
      </x:c>
      <x:c r="E2669" t="str">
        <x:v>Sudeste</x:v>
      </x:c>
      <x:c r="F2669" t="str">
        <x:v>E-commerce</x:v>
      </x:c>
      <x:c r="G2669" t="str">
        <x:v>Tecnologia</x:v>
      </x:c>
      <x:c r="H2669" t="str">
        <x:v>Headset Office</x:v>
      </x:c>
      <x:c r="I2669" t="str">
        <x:v>Diego</x:v>
      </x:c>
      <x:c r="J2669" s="53" t="n">
        <x:v>5</x:v>
      </x:c>
      <x:c r="K2669" s="54" t="n">
        <x:v>369.54</x:v>
      </x:c>
      <x:c r="L2669" s="54" t="n">
        <x:v>217.61</x:v>
      </x:c>
      <x:c r="M2669" s="55" t="n">
        <x:v>0.0011</x:v>
      </x:c>
      <x:c r="N2669" s="54" t="n">
        <x:f>ROUND(J2669*K2669,2)</x:f>
        <x:v>1847.7</x:v>
      </x:c>
      <x:c r="O2669" s="54" t="n">
        <x:f>ROUND(N2669*(1-M2669),2)</x:f>
        <x:v>1845.67</x:v>
      </x:c>
      <x:c r="P2669" s="54" t="n">
        <x:f>ROUND(J2669*L2669,2)</x:f>
        <x:v>1088.05</x:v>
      </x:c>
      <x:c r="Q2669" s="54" t="n">
        <x:f>ROUND(O2669-P2669,2)</x:f>
        <x:v>757.62</x:v>
      </x:c>
      <x:c r="R2669" s="55" t="n">
        <x:f>IF(O2669=0,0,ROUND(Q2669/O2669,4))</x:f>
        <x:v>0.4105</x:v>
      </x:c>
      <x:c r="S2669" s="53" t="n">
        <x:v>5</x:v>
      </x:c>
      <x:c r="T2669" t="str">
        <x:v>Entregue</x:v>
      </x:c>
      <x:c r="U2669" t="n">
        <x:v>3</x:v>
      </x:c>
      <x:c r="V2669" t="str"/>
    </x:row>
    <x:row r="2670">
      <x:c r="A2670" s="52" t="n">
        <x:v>46216</x:v>
      </x:c>
      <x:c r="B2670" t="str">
        <x:v>PED-102669</x:v>
      </x:c>
      <x:c r="C2670" t="str">
        <x:v>Cliente 088</x:v>
      </x:c>
      <x:c r="D2670" t="str">
        <x:v>MT</x:v>
      </x:c>
      <x:c r="E2670" t="str">
        <x:v>Centro-Oeste</x:v>
      </x:c>
      <x:c r="F2670" t="str">
        <x:v>Marketplace</x:v>
      </x:c>
      <x:c r="G2670" t="str">
        <x:v>Casa</x:v>
      </x:c>
      <x:c r="H2670" t="str">
        <x:v>Aspirador Robô</x:v>
      </x:c>
      <x:c r="I2670" t="str">
        <x:v>Henrique</x:v>
      </x:c>
      <x:c r="J2670" s="53" t="n">
        <x:v>1</x:v>
      </x:c>
      <x:c r="K2670" s="54" t="n">
        <x:v>1782.22</x:v>
      </x:c>
      <x:c r="L2670" s="54" t="n">
        <x:v>1174.09</x:v>
      </x:c>
      <x:c r="M2670" s="55" t="n">
        <x:v>0.0419</x:v>
      </x:c>
      <x:c r="N2670" s="54" t="n">
        <x:f>ROUND(J2670*K2670,2)</x:f>
        <x:v>1782.22</x:v>
      </x:c>
      <x:c r="O2670" s="54" t="n">
        <x:f>ROUND(N2670*(1-M2670),2)</x:f>
        <x:v>1707.54</x:v>
      </x:c>
      <x:c r="P2670" s="54" t="n">
        <x:f>ROUND(J2670*L2670,2)</x:f>
        <x:v>1174.09</x:v>
      </x:c>
      <x:c r="Q2670" s="54" t="n">
        <x:f>ROUND(O2670-P2670,2)</x:f>
        <x:v>533.45</x:v>
      </x:c>
      <x:c r="R2670" s="55" t="n">
        <x:f>IF(O2670=0,0,ROUND(Q2670/O2670,4))</x:f>
        <x:v>0.3124</x:v>
      </x:c>
      <x:c r="S2670" s="53" t="n">
        <x:v>14</x:v>
      </x:c>
      <x:c r="T2670" t="str">
        <x:v>Entregue com atraso</x:v>
      </x:c>
      <x:c r="U2670" t="n">
        <x:v>3</x:v>
      </x:c>
      <x:c r="V2670" t="str"/>
    </x:row>
    <x:row r="2671">
      <x:c r="A2671" s="52" t="n">
        <x:v>46061</x:v>
      </x:c>
      <x:c r="B2671" t="str">
        <x:v>PED-102670</x:v>
      </x:c>
      <x:c r="C2671" t="str">
        <x:v>Cliente 088</x:v>
      </x:c>
      <x:c r="D2671" t="str">
        <x:v>MG</x:v>
      </x:c>
      <x:c r="E2671" t="str">
        <x:v>Sudeste</x:v>
      </x:c>
      <x:c r="F2671" t="str">
        <x:v>Loja</x:v>
      </x:c>
      <x:c r="G2671" t="str">
        <x:v>Acessórios</x:v>
      </x:c>
      <x:c r="H2671" t="str">
        <x:v>Hub USB-C</x:v>
      </x:c>
      <x:c r="I2671" t="str">
        <x:v>Henrique</x:v>
      </x:c>
      <x:c r="J2671" s="53" t="n">
        <x:v>5</x:v>
      </x:c>
      <x:c r="K2671" s="54" t="n">
        <x:v>308.78</x:v>
      </x:c>
      <x:c r="L2671" s="54" t="n">
        <x:v>133.88</x:v>
      </x:c>
      <x:c r="M2671" s="55" t="n">
        <x:v>0</x:v>
      </x:c>
      <x:c r="N2671" s="54" t="n">
        <x:f>ROUND(J2671*K2671,2)</x:f>
        <x:v>1543.9</x:v>
      </x:c>
      <x:c r="O2671" s="54" t="n">
        <x:f>ROUND(N2671*(1-M2671),2)</x:f>
        <x:v>1543.9</x:v>
      </x:c>
      <x:c r="P2671" s="54" t="n">
        <x:f>ROUND(J2671*L2671,2)</x:f>
        <x:v>669.4</x:v>
      </x:c>
      <x:c r="Q2671" s="54" t="n">
        <x:f>ROUND(O2671-P2671,2)</x:f>
        <x:v>874.5</x:v>
      </x:c>
      <x:c r="R2671" s="55" t="n">
        <x:f>IF(O2671=0,0,ROUND(Q2671/O2671,4))</x:f>
        <x:v>0.5664</x:v>
      </x:c>
      <x:c r="S2671" s="53" t="n">
        <x:v>12</x:v>
      </x:c>
      <x:c r="T2671" t="str">
        <x:v>Entregue com atraso</x:v>
      </x:c>
      <x:c r="U2671" t="n">
        <x:v>5</x:v>
      </x:c>
      <x:c r="V2671" t="str"/>
    </x:row>
    <x:row r="2672">
      <x:c r="A2672" s="52" t="n">
        <x:v>46201</x:v>
      </x:c>
      <x:c r="B2672" t="str">
        <x:v>PED-102671</x:v>
      </x:c>
      <x:c r="C2672" t="str">
        <x:v>Cliente 041</x:v>
      </x:c>
      <x:c r="D2672" t="str">
        <x:v>SP</x:v>
      </x:c>
      <x:c r="E2672" t="str">
        <x:v>Sudeste</x:v>
      </x:c>
      <x:c r="F2672" t="str">
        <x:v>Loja</x:v>
      </x:c>
      <x:c r="G2672" t="str">
        <x:v>Tecnologia</x:v>
      </x:c>
      <x:c r="H2672" t="str">
        <x:v>Headset Office</x:v>
      </x:c>
      <x:c r="I2672" t="str">
        <x:v>Felipe</x:v>
      </x:c>
      <x:c r="J2672" s="53" t="n">
        <x:v>8</x:v>
      </x:c>
      <x:c r="K2672" s="54" t="n">
        <x:v>409.48</x:v>
      </x:c>
      <x:c r="L2672" s="54" t="n">
        <x:v>216.4</x:v>
      </x:c>
      <x:c r="M2672" s="55" t="n">
        <x:v>0</x:v>
      </x:c>
      <x:c r="N2672" s="54" t="n">
        <x:f>ROUND(J2672*K2672,2)</x:f>
        <x:v>3275.84</x:v>
      </x:c>
      <x:c r="O2672" s="54" t="n">
        <x:f>ROUND(N2672*(1-M2672),2)</x:f>
        <x:v>3275.84</x:v>
      </x:c>
      <x:c r="P2672" s="54" t="n">
        <x:f>ROUND(J2672*L2672,2)</x:f>
        <x:v>1731.2</x:v>
      </x:c>
      <x:c r="Q2672" s="54" t="n">
        <x:f>ROUND(O2672-P2672,2)</x:f>
        <x:v>1544.64</x:v>
      </x:c>
      <x:c r="R2672" s="55" t="n">
        <x:f>IF(O2672=0,0,ROUND(Q2672/O2672,4))</x:f>
        <x:v>0.4715</x:v>
      </x:c>
      <x:c r="S2672" s="53" t="n">
        <x:v>6</x:v>
      </x:c>
      <x:c r="T2672" t="str">
        <x:v>Entregue</x:v>
      </x:c>
      <x:c r="U2672" t="n">
        <x:v>5</x:v>
      </x:c>
      <x:c r="V2672" t="str"/>
    </x:row>
    <x:row r="2673">
      <x:c r="A2673" s="52" t="n">
        <x:v>46040</x:v>
      </x:c>
      <x:c r="B2673" t="str">
        <x:v>PED-102672</x:v>
      </x:c>
      <x:c r="C2673" t="str">
        <x:v>Cliente 035</x:v>
      </x:c>
      <x:c r="D2673" t="str">
        <x:v>MT</x:v>
      </x:c>
      <x:c r="E2673" t="str">
        <x:v>Centro-Oeste</x:v>
      </x:c>
      <x:c r="F2673" t="str">
        <x:v>Televendas</x:v>
      </x:c>
      <x:c r="G2673" t="str">
        <x:v>Escritório</x:v>
      </x:c>
      <x:c r="H2673" t="str">
        <x:v>Mesa Ajustável</x:v>
      </x:c>
      <x:c r="I2673" t="str">
        <x:v>João</x:v>
      </x:c>
      <x:c r="J2673" s="53" t="n">
        <x:v>7</x:v>
      </x:c>
      <x:c r="K2673" s="54" t="n">
        <x:v>2883.86</x:v>
      </x:c>
      <x:c r="L2673" s="54" t="n">
        <x:v>1740.69</x:v>
      </x:c>
      <x:c r="M2673" s="55" t="n">
        <x:v>0.0094</x:v>
      </x:c>
      <x:c r="N2673" s="54" t="n">
        <x:f>ROUND(J2673*K2673,2)</x:f>
        <x:v>20187.02</x:v>
      </x:c>
      <x:c r="O2673" s="54" t="n">
        <x:f>ROUND(N2673*(1-M2673),2)</x:f>
        <x:v>19997.26</x:v>
      </x:c>
      <x:c r="P2673" s="54" t="n">
        <x:f>ROUND(J2673*L2673,2)</x:f>
        <x:v>12184.83</x:v>
      </x:c>
      <x:c r="Q2673" s="54" t="n">
        <x:f>ROUND(O2673-P2673,2)</x:f>
        <x:v>7812.43</x:v>
      </x:c>
      <x:c r="R2673" s="55" t="n">
        <x:f>IF(O2673=0,0,ROUND(Q2673/O2673,4))</x:f>
        <x:v>0.3907</x:v>
      </x:c>
      <x:c r="S2673" s="53" t="n">
        <x:v>12</x:v>
      </x:c>
      <x:c r="T2673" t="str">
        <x:v>Entregue com atraso</x:v>
      </x:c>
      <x:c r="U2673" t="n">
        <x:v>3</x:v>
      </x:c>
      <x:c r="V2673" t="str"/>
    </x:row>
    <x:row r="2674">
      <x:c r="A2674" s="52" t="n">
        <x:v>46057</x:v>
      </x:c>
      <x:c r="B2674" t="str">
        <x:v>PED-102673</x:v>
      </x:c>
      <x:c r="C2674" t="str">
        <x:v>Cliente 034</x:v>
      </x:c>
      <x:c r="D2674" t="str">
        <x:v>SC</x:v>
      </x:c>
      <x:c r="E2674" t="str">
        <x:v>Sul</x:v>
      </x:c>
      <x:c r="F2674" t="str">
        <x:v>Marketplace</x:v>
      </x:c>
      <x:c r="G2674" t="str">
        <x:v>Acessórios</x:v>
      </x:c>
      <x:c r="H2674" t="str">
        <x:v>Hub USB-C</x:v>
      </x:c>
      <x:c r="I2674" t="str">
        <x:v>Diego</x:v>
      </x:c>
      <x:c r="J2674" s="53" t="n">
        <x:v>8</x:v>
      </x:c>
      <x:c r="K2674" s="54" t="n">
        <x:v>320.99</x:v>
      </x:c>
      <x:c r="L2674" s="54" t="n">
        <x:v>139.49</x:v>
      </x:c>
      <x:c r="M2674" s="55" t="n">
        <x:v>0.0762</x:v>
      </x:c>
      <x:c r="N2674" s="54" t="n">
        <x:f>ROUND(J2674*K2674,2)</x:f>
        <x:v>2567.92</x:v>
      </x:c>
      <x:c r="O2674" s="54" t="n">
        <x:f>ROUND(N2674*(1-M2674),2)</x:f>
        <x:v>2372.24</x:v>
      </x:c>
      <x:c r="P2674" s="54" t="n">
        <x:f>ROUND(J2674*L2674,2)</x:f>
        <x:v>1115.92</x:v>
      </x:c>
      <x:c r="Q2674" s="54" t="n">
        <x:f>ROUND(O2674-P2674,2)</x:f>
        <x:v>1256.32</x:v>
      </x:c>
      <x:c r="R2674" s="55" t="n">
        <x:f>IF(O2674=0,0,ROUND(Q2674/O2674,4))</x:f>
        <x:v>0.5296</x:v>
      </x:c>
      <x:c r="S2674" s="53" t="n">
        <x:v>2</x:v>
      </x:c>
      <x:c r="T2674" t="str">
        <x:v>Cancelado</x:v>
      </x:c>
      <x:c r="U2674"/>
      <x:c r="V2674" t="str"/>
    </x:row>
    <x:row r="2675">
      <x:c r="A2675" s="52" t="n">
        <x:v>46232</x:v>
      </x:c>
      <x:c r="B2675" t="str">
        <x:v>PED-102674</x:v>
      </x:c>
      <x:c r="C2675" t="str">
        <x:v>Cliente 009</x:v>
      </x:c>
      <x:c r="D2675" t="str">
        <x:v>PR</x:v>
      </x:c>
      <x:c r="E2675" t="str">
        <x:v>Sul</x:v>
      </x:c>
      <x:c r="F2675" t="str">
        <x:v>E-commerce</x:v>
      </x:c>
      <x:c r="G2675" t="str">
        <x:v>Tecnologia</x:v>
      </x:c>
      <x:c r="H2675" t="str">
        <x:v>Headset Office</x:v>
      </x:c>
      <x:c r="I2675" t="str">
        <x:v>Diego</x:v>
      </x:c>
      <x:c r="J2675" s="53" t="n">
        <x:v>5</x:v>
      </x:c>
      <x:c r="K2675" s="54" t="n">
        <x:v>388.52</x:v>
      </x:c>
      <x:c r="L2675" s="54" t="n">
        <x:v>213.08</x:v>
      </x:c>
      <x:c r="M2675" s="55" t="n">
        <x:v>0.0604</x:v>
      </x:c>
      <x:c r="N2675" s="54" t="n">
        <x:f>ROUND(J2675*K2675,2)</x:f>
        <x:v>1942.6</x:v>
      </x:c>
      <x:c r="O2675" s="54" t="n">
        <x:f>ROUND(N2675*(1-M2675),2)</x:f>
        <x:v>1825.27</x:v>
      </x:c>
      <x:c r="P2675" s="54" t="n">
        <x:f>ROUND(J2675*L2675,2)</x:f>
        <x:v>1065.4</x:v>
      </x:c>
      <x:c r="Q2675" s="54" t="n">
        <x:f>ROUND(O2675-P2675,2)</x:f>
        <x:v>759.87</x:v>
      </x:c>
      <x:c r="R2675" s="55" t="n">
        <x:f>IF(O2675=0,0,ROUND(Q2675/O2675,4))</x:f>
        <x:v>0.4163</x:v>
      </x:c>
      <x:c r="S2675" s="53" t="n">
        <x:v>14</x:v>
      </x:c>
      <x:c r="T2675" t="str">
        <x:v>Entregue com atraso</x:v>
      </x:c>
      <x:c r="U2675" t="n">
        <x:v>3</x:v>
      </x:c>
      <x:c r="V2675" t="str"/>
    </x:row>
    <x:row r="2676">
      <x:c r="A2676" s="52" t="n">
        <x:v>46207</x:v>
      </x:c>
      <x:c r="B2676" t="str">
        <x:v>PED-102675</x:v>
      </x:c>
      <x:c r="C2676" t="str">
        <x:v>Cliente 073</x:v>
      </x:c>
      <x:c r="D2676" t="str">
        <x:v>CE</x:v>
      </x:c>
      <x:c r="E2676" t="str">
        <x:v>Nordeste</x:v>
      </x:c>
      <x:c r="F2676" t="str">
        <x:v>Televendas</x:v>
      </x:c>
      <x:c r="G2676" t="str">
        <x:v>Tecnologia</x:v>
      </x:c>
      <x:c r="H2676" t="str">
        <x:v>Notebook Pro</x:v>
      </x:c>
      <x:c r="I2676" t="str">
        <x:v>Henrique</x:v>
      </x:c>
      <x:c r="J2676" s="53" t="n">
        <x:v>7</x:v>
      </x:c>
      <x:c r="K2676" s="54" t="n">
        <x:v>6003.45</x:v>
      </x:c>
      <x:c r="L2676" s="54" t="n">
        <x:v>4615.61</x:v>
      </x:c>
      <x:c r="M2676" s="55" t="n">
        <x:v>0</x:v>
      </x:c>
      <x:c r="N2676" s="54" t="n">
        <x:f>ROUND(J2676*K2676,2)</x:f>
        <x:v>42024.15</x:v>
      </x:c>
      <x:c r="O2676" s="54" t="n">
        <x:f>ROUND(N2676*(1-M2676),2)</x:f>
        <x:v>42024.15</x:v>
      </x:c>
      <x:c r="P2676" s="54" t="n">
        <x:f>ROUND(J2676*L2676,2)</x:f>
        <x:v>32309.27</x:v>
      </x:c>
      <x:c r="Q2676" s="54" t="n">
        <x:f>ROUND(O2676-P2676,2)</x:f>
        <x:v>9714.88</x:v>
      </x:c>
      <x:c r="R2676" s="55" t="n">
        <x:f>IF(O2676=0,0,ROUND(Q2676/O2676,4))</x:f>
        <x:v>0.2312</x:v>
      </x:c>
      <x:c r="S2676" s="53" t="n">
        <x:v>4</x:v>
      </x:c>
      <x:c r="T2676" t="str">
        <x:v>Entregue</x:v>
      </x:c>
      <x:c r="U2676" t="n">
        <x:v>5</x:v>
      </x:c>
      <x:c r="V2676" t="str"/>
    </x:row>
    <x:row r="2677">
      <x:c r="A2677" s="52" t="n">
        <x:v>46097</x:v>
      </x:c>
      <x:c r="B2677" t="str">
        <x:v>PED-102676</x:v>
      </x:c>
      <x:c r="C2677" t="str">
        <x:v>Cliente 107</x:v>
      </x:c>
      <x:c r="D2677" t="str">
        <x:v>PR</x:v>
      </x:c>
      <x:c r="E2677" t="str">
        <x:v>Sul</x:v>
      </x:c>
      <x:c r="F2677" t="str">
        <x:v>Televendas</x:v>
      </x:c>
      <x:c r="G2677" t="str">
        <x:v>Tecnologia</x:v>
      </x:c>
      <x:c r="H2677" t="str">
        <x:v>Monitor 27</x:v>
      </x:c>
      <x:c r="I2677" t="str">
        <x:v>Bruno</x:v>
      </x:c>
      <x:c r="J2677" s="53" t="n">
        <x:v>2</x:v>
      </x:c>
      <x:c r="K2677" s="54" t="n">
        <x:v>1648.35</x:v>
      </x:c>
      <x:c r="L2677" s="54" t="n">
        <x:v>1039.15</x:v>
      </x:c>
      <x:c r="M2677" s="55" t="n">
        <x:v>0.0318</x:v>
      </x:c>
      <x:c r="N2677" s="54" t="n">
        <x:f>ROUND(J2677*K2677,2)</x:f>
        <x:v>3296.7</x:v>
      </x:c>
      <x:c r="O2677" s="54" t="n">
        <x:f>ROUND(N2677*(1-M2677),2)</x:f>
        <x:v>3191.86</x:v>
      </x:c>
      <x:c r="P2677" s="54" t="n">
        <x:f>ROUND(J2677*L2677,2)</x:f>
        <x:v>2078.3</x:v>
      </x:c>
      <x:c r="Q2677" s="54" t="n">
        <x:f>ROUND(O2677-P2677,2)</x:f>
        <x:v>1113.56</x:v>
      </x:c>
      <x:c r="R2677" s="55" t="n">
        <x:f>IF(O2677=0,0,ROUND(Q2677/O2677,4))</x:f>
        <x:v>0.3489</x:v>
      </x:c>
      <x:c r="S2677" s="53" t="n">
        <x:v>6</x:v>
      </x:c>
      <x:c r="T2677" t="str">
        <x:v>Entregue</x:v>
      </x:c>
      <x:c r="U2677" t="n">
        <x:v>4</x:v>
      </x:c>
      <x:c r="V2677" t="str"/>
    </x:row>
    <x:row r="2678">
      <x:c r="A2678" s="52" t="n">
        <x:v>46209</x:v>
      </x:c>
      <x:c r="B2678" t="str">
        <x:v>PED-102677</x:v>
      </x:c>
      <x:c r="C2678" t="str">
        <x:v>Cliente 058</x:v>
      </x:c>
      <x:c r="D2678" t="str">
        <x:v>SP</x:v>
      </x:c>
      <x:c r="E2678" t="str">
        <x:v>Sudeste</x:v>
      </x:c>
      <x:c r="F2678" t="str">
        <x:v>Marketplace</x:v>
      </x:c>
      <x:c r="G2678" t="str">
        <x:v>Casa</x:v>
      </x:c>
      <x:c r="H2678" t="str">
        <x:v>Aspirador Robô</x:v>
      </x:c>
      <x:c r="I2678" t="str">
        <x:v>Henrique</x:v>
      </x:c>
      <x:c r="J2678" s="53" t="n">
        <x:v>1</x:v>
      </x:c>
      <x:c r="K2678" s="54" t="n">
        <x:v>1787.71</x:v>
      </x:c>
      <x:c r="L2678" s="54" t="n">
        <x:v>1218.52</x:v>
      </x:c>
      <x:c r="M2678" s="55" t="n">
        <x:v>0.1276</x:v>
      </x:c>
      <x:c r="N2678" s="54" t="n">
        <x:f>ROUND(J2678*K2678,2)</x:f>
        <x:v>1787.71</x:v>
      </x:c>
      <x:c r="O2678" s="54" t="n">
        <x:f>ROUND(N2678*(1-M2678),2)</x:f>
        <x:v>1559.6</x:v>
      </x:c>
      <x:c r="P2678" s="54" t="n">
        <x:f>ROUND(J2678*L2678,2)</x:f>
        <x:v>1218.52</x:v>
      </x:c>
      <x:c r="Q2678" s="54" t="n">
        <x:f>ROUND(O2678-P2678,2)</x:f>
        <x:v>341.08</x:v>
      </x:c>
      <x:c r="R2678" s="55" t="n">
        <x:f>IF(O2678=0,0,ROUND(Q2678/O2678,4))</x:f>
        <x:v>0.2187</x:v>
      </x:c>
      <x:c r="S2678" s="53" t="n">
        <x:v>6</x:v>
      </x:c>
      <x:c r="T2678" t="str">
        <x:v>Entregue</x:v>
      </x:c>
      <x:c r="U2678" t="n">
        <x:v>5</x:v>
      </x:c>
      <x:c r="V2678" t="str"/>
    </x:row>
    <x:row r="2679">
      <x:c r="A2679" s="52" t="n">
        <x:v>46219</x:v>
      </x:c>
      <x:c r="B2679" t="str">
        <x:v>PED-102678</x:v>
      </x:c>
      <x:c r="C2679" t="str">
        <x:v>Cliente 116</x:v>
      </x:c>
      <x:c r="D2679" t="str">
        <x:v>BA</x:v>
      </x:c>
      <x:c r="E2679" t="str">
        <x:v>Nordeste</x:v>
      </x:c>
      <x:c r="F2679" t="str">
        <x:v>Televendas</x:v>
      </x:c>
      <x:c r="G2679" t="str">
        <x:v>Casa</x:v>
      </x:c>
      <x:c r="H2679" t="str">
        <x:v>Aspirador Robô</x:v>
      </x:c>
      <x:c r="I2679" t="str">
        <x:v>Felipe</x:v>
      </x:c>
      <x:c r="J2679" s="53" t="n">
        <x:v>6</x:v>
      </x:c>
      <x:c r="K2679" s="54" t="n">
        <x:v>1896.64</x:v>
      </x:c>
      <x:c r="L2679" s="54" t="n">
        <x:v>1228.03</x:v>
      </x:c>
      <x:c r="M2679" s="55" t="n">
        <x:v>0</x:v>
      </x:c>
      <x:c r="N2679" s="54" t="n">
        <x:f>ROUND(J2679*K2679,2)</x:f>
        <x:v>11379.84</x:v>
      </x:c>
      <x:c r="O2679" s="54" t="n">
        <x:f>ROUND(N2679*(1-M2679),2)</x:f>
        <x:v>11379.84</x:v>
      </x:c>
      <x:c r="P2679" s="54" t="n">
        <x:f>ROUND(J2679*L2679,2)</x:f>
        <x:v>7368.18</x:v>
      </x:c>
      <x:c r="Q2679" s="54" t="n">
        <x:f>ROUND(O2679-P2679,2)</x:f>
        <x:v>4011.66</x:v>
      </x:c>
      <x:c r="R2679" s="55" t="n">
        <x:f>IF(O2679=0,0,ROUND(Q2679/O2679,4))</x:f>
        <x:v>0.3525</x:v>
      </x:c>
      <x:c r="S2679" s="53" t="n">
        <x:v>3</x:v>
      </x:c>
      <x:c r="T2679" t="str">
        <x:v>Entregue</x:v>
      </x:c>
      <x:c r="U2679" t="n">
        <x:v>5</x:v>
      </x:c>
      <x:c r="V2679" t="str"/>
    </x:row>
    <x:row r="2680">
      <x:c r="A2680" s="52" t="n">
        <x:v>46047</x:v>
      </x:c>
      <x:c r="B2680" t="str">
        <x:v>PED-102679</x:v>
      </x:c>
      <x:c r="C2680" t="str">
        <x:v>Cliente 087</x:v>
      </x:c>
      <x:c r="D2680" t="str">
        <x:v>GO</x:v>
      </x:c>
      <x:c r="E2680" t="str">
        <x:v>Centro-Oeste</x:v>
      </x:c>
      <x:c r="F2680" t="str">
        <x:v>E-commerce</x:v>
      </x:c>
      <x:c r="G2680" t="str">
        <x:v>Acessórios</x:v>
      </x:c>
      <x:c r="H2680" t="str">
        <x:v>Webcam HD</x:v>
      </x:c>
      <x:c r="I2680" t="str">
        <x:v>Elaine</x:v>
      </x:c>
      <x:c r="J2680" s="53" t="n">
        <x:v>7</x:v>
      </x:c>
      <x:c r="K2680" s="54" t="n">
        <x:v>535.21</x:v>
      </x:c>
      <x:c r="L2680" s="54" t="n">
        <x:v>245.42</x:v>
      </x:c>
      <x:c r="M2680" s="55" t="n">
        <x:v>0</x:v>
      </x:c>
      <x:c r="N2680" s="54" t="n">
        <x:f>ROUND(J2680*K2680,2)</x:f>
        <x:v>3746.47</x:v>
      </x:c>
      <x:c r="O2680" s="54" t="n">
        <x:f>ROUND(N2680*(1-M2680),2)</x:f>
        <x:v>3746.47</x:v>
      </x:c>
      <x:c r="P2680" s="54" t="n">
        <x:f>ROUND(J2680*L2680,2)</x:f>
        <x:v>1717.94</x:v>
      </x:c>
      <x:c r="Q2680" s="54" t="n">
        <x:f>ROUND(O2680-P2680,2)</x:f>
        <x:v>2028.53</x:v>
      </x:c>
      <x:c r="R2680" s="55" t="n">
        <x:f>IF(O2680=0,0,ROUND(Q2680/O2680,4))</x:f>
        <x:v>0.5415</x:v>
      </x:c>
      <x:c r="S2680" s="53" t="n">
        <x:v>12</x:v>
      </x:c>
      <x:c r="T2680" t="str">
        <x:v>Entregue com atraso</x:v>
      </x:c>
      <x:c r="U2680" t="n">
        <x:v>2</x:v>
      </x:c>
      <x:c r="V2680" t="str"/>
    </x:row>
    <x:row r="2681">
      <x:c r="A2681" s="52" t="n">
        <x:v>46221</x:v>
      </x:c>
      <x:c r="B2681" t="str">
        <x:v>PED-102680</x:v>
      </x:c>
      <x:c r="C2681" t="str">
        <x:v>Cliente 015</x:v>
      </x:c>
      <x:c r="D2681" t="str">
        <x:v>ES</x:v>
      </x:c>
      <x:c r="E2681" t="str">
        <x:v>Sudeste</x:v>
      </x:c>
      <x:c r="F2681" t="str">
        <x:v>Loja</x:v>
      </x:c>
      <x:c r="G2681" t="str">
        <x:v>Tecnologia</x:v>
      </x:c>
      <x:c r="H2681" t="str">
        <x:v>Notebook Pro</x:v>
      </x:c>
      <x:c r="I2681" t="str">
        <x:v>Isabela</x:v>
      </x:c>
      <x:c r="J2681" s="53" t="n">
        <x:v>5</x:v>
      </x:c>
      <x:c r="K2681" s="54" t="n">
        <x:v>6093.98</x:v>
      </x:c>
      <x:c r="L2681" s="54" t="n">
        <x:v>4172.51</x:v>
      </x:c>
      <x:c r="M2681" s="55" t="n">
        <x:v>0</x:v>
      </x:c>
      <x:c r="N2681" s="54" t="n">
        <x:f>ROUND(J2681*K2681,2)</x:f>
        <x:v>30469.9</x:v>
      </x:c>
      <x:c r="O2681" s="54" t="n">
        <x:f>ROUND(N2681*(1-M2681),2)</x:f>
        <x:v>30469.9</x:v>
      </x:c>
      <x:c r="P2681" s="54" t="n">
        <x:f>ROUND(J2681*L2681,2)</x:f>
        <x:v>20862.55</x:v>
      </x:c>
      <x:c r="Q2681" s="54" t="n">
        <x:f>ROUND(O2681-P2681,2)</x:f>
        <x:v>9607.35</x:v>
      </x:c>
      <x:c r="R2681" s="55" t="n">
        <x:f>IF(O2681=0,0,ROUND(Q2681/O2681,4))</x:f>
        <x:v>0.3153</x:v>
      </x:c>
      <x:c r="S2681" s="53" t="n">
        <x:v>8</x:v>
      </x:c>
      <x:c r="T2681" t="str">
        <x:v>Entregue</x:v>
      </x:c>
      <x:c r="U2681" t="n">
        <x:v>2</x:v>
      </x:c>
      <x:c r="V2681" t="str"/>
    </x:row>
    <x:row r="2682">
      <x:c r="A2682" s="52" t="n">
        <x:v>46194</x:v>
      </x:c>
      <x:c r="B2682" t="str">
        <x:v>PED-102681</x:v>
      </x:c>
      <x:c r="C2682" t="str">
        <x:v>Cliente 110</x:v>
      </x:c>
      <x:c r="D2682" t="str">
        <x:v>PA</x:v>
      </x:c>
      <x:c r="E2682" t="str">
        <x:v>Norte</x:v>
      </x:c>
      <x:c r="F2682" t="str">
        <x:v>E-commerce</x:v>
      </x:c>
      <x:c r="G2682" t="str">
        <x:v>Tecnologia</x:v>
      </x:c>
      <x:c r="H2682" t="str">
        <x:v>Notebook Pro</x:v>
      </x:c>
      <x:c r="I2682" t="str">
        <x:v>João</x:v>
      </x:c>
      <x:c r="J2682" s="53" t="n">
        <x:v>5</x:v>
      </x:c>
      <x:c r="K2682" s="54" t="n">
        <x:v>6049.36</x:v>
      </x:c>
      <x:c r="L2682" s="54" t="n">
        <x:v>4665.24</x:v>
      </x:c>
      <x:c r="M2682" s="55" t="n">
        <x:v>0.1119</x:v>
      </x:c>
      <x:c r="N2682" s="54" t="n">
        <x:f>ROUND(J2682*K2682,2)</x:f>
        <x:v>30246.8</x:v>
      </x:c>
      <x:c r="O2682" s="54" t="n">
        <x:f>ROUND(N2682*(1-M2682),2)</x:f>
        <x:v>26862.18</x:v>
      </x:c>
      <x:c r="P2682" s="54" t="n">
        <x:f>ROUND(J2682*L2682,2)</x:f>
        <x:v>23326.2</x:v>
      </x:c>
      <x:c r="Q2682" s="54" t="n">
        <x:f>ROUND(O2682-P2682,2)</x:f>
        <x:v>3535.98</x:v>
      </x:c>
      <x:c r="R2682" s="55" t="n">
        <x:f>IF(O2682=0,0,ROUND(Q2682/O2682,4))</x:f>
        <x:v>0.1316</x:v>
      </x:c>
      <x:c r="S2682" s="53" t="n">
        <x:v>12</x:v>
      </x:c>
      <x:c r="T2682" t="str">
        <x:v>Entregue com atraso</x:v>
      </x:c>
      <x:c r="U2682" t="n">
        <x:v>3</x:v>
      </x:c>
      <x:c r="V2682" t="str"/>
    </x:row>
    <x:row r="2683">
      <x:c r="A2683" s="52" t="n">
        <x:v>46084</x:v>
      </x:c>
      <x:c r="B2683" t="str">
        <x:v>PED-102682</x:v>
      </x:c>
      <x:c r="C2683" t="str">
        <x:v>Cliente 065</x:v>
      </x:c>
      <x:c r="D2683" t="str">
        <x:v>MT</x:v>
      </x:c>
      <x:c r="E2683" t="str">
        <x:v>Centro-Oeste</x:v>
      </x:c>
      <x:c r="F2683" t="str">
        <x:v>Televendas</x:v>
      </x:c>
      <x:c r="G2683" t="str">
        <x:v>Tecnologia</x:v>
      </x:c>
      <x:c r="H2683" t="str">
        <x:v>Monitor 27</x:v>
      </x:c>
      <x:c r="I2683" t="str">
        <x:v>Gabriela</x:v>
      </x:c>
      <x:c r="J2683" s="53" t="n">
        <x:v>5</x:v>
      </x:c>
      <x:c r="K2683" s="54" t="n">
        <x:v>1743.9</x:v>
      </x:c>
      <x:c r="L2683" s="54" t="n">
        <x:v>1122.45</x:v>
      </x:c>
      <x:c r="M2683" s="55" t="n">
        <x:v>0</x:v>
      </x:c>
      <x:c r="N2683" s="54" t="n">
        <x:f>ROUND(J2683*K2683,2)</x:f>
        <x:v>8719.5</x:v>
      </x:c>
      <x:c r="O2683" s="54" t="n">
        <x:f>ROUND(N2683*(1-M2683),2)</x:f>
        <x:v>8719.5</x:v>
      </x:c>
      <x:c r="P2683" s="54" t="n">
        <x:f>ROUND(J2683*L2683,2)</x:f>
        <x:v>5612.25</x:v>
      </x:c>
      <x:c r="Q2683" s="54" t="n">
        <x:f>ROUND(O2683-P2683,2)</x:f>
        <x:v>3107.25</x:v>
      </x:c>
      <x:c r="R2683" s="55" t="n">
        <x:f>IF(O2683=0,0,ROUND(Q2683/O2683,4))</x:f>
        <x:v>0.3564</x:v>
      </x:c>
      <x:c r="S2683" s="53" t="n">
        <x:v>5</x:v>
      </x:c>
      <x:c r="T2683" t="str">
        <x:v>Entregue</x:v>
      </x:c>
      <x:c r="U2683" t="n">
        <x:v>4</x:v>
      </x:c>
      <x:c r="V2683" t="str"/>
    </x:row>
    <x:row r="2684">
      <x:c r="A2684" s="52" t="n">
        <x:v>46209</x:v>
      </x:c>
      <x:c r="B2684" t="str">
        <x:v>PED-102683</x:v>
      </x:c>
      <x:c r="C2684" t="str">
        <x:v>Cliente 086</x:v>
      </x:c>
      <x:c r="D2684" t="str">
        <x:v>AM</x:v>
      </x:c>
      <x:c r="E2684" t="str">
        <x:v>Norte</x:v>
      </x:c>
      <x:c r="F2684" t="str">
        <x:v>Loja</x:v>
      </x:c>
      <x:c r="G2684" t="str">
        <x:v>Escritório</x:v>
      </x:c>
      <x:c r="H2684" t="str">
        <x:v>Cadeira Ergonômica</x:v>
      </x:c>
      <x:c r="I2684" t="str">
        <x:v>Bruno</x:v>
      </x:c>
      <x:c r="J2684" s="53" t="n">
        <x:v>3</x:v>
      </x:c>
      <x:c r="K2684" s="54" t="n">
        <x:v>2123.29</x:v>
      </x:c>
      <x:c r="L2684" s="54" t="n">
        <x:v>1496.85</x:v>
      </x:c>
      <x:c r="M2684" s="55" t="n">
        <x:v>0.1057</x:v>
      </x:c>
      <x:c r="N2684" s="54" t="n">
        <x:f>ROUND(J2684*K2684,2)</x:f>
        <x:v>6369.87</x:v>
      </x:c>
      <x:c r="O2684" s="54" t="n">
        <x:f>ROUND(N2684*(1-M2684),2)</x:f>
        <x:v>5696.57</x:v>
      </x:c>
      <x:c r="P2684" s="54" t="n">
        <x:f>ROUND(J2684*L2684,2)</x:f>
        <x:v>4490.55</x:v>
      </x:c>
      <x:c r="Q2684" s="54" t="n">
        <x:f>ROUND(O2684-P2684,2)</x:f>
        <x:v>1206.02</x:v>
      </x:c>
      <x:c r="R2684" s="55" t="n">
        <x:f>IF(O2684=0,0,ROUND(Q2684/O2684,4))</x:f>
        <x:v>0.2117</x:v>
      </x:c>
      <x:c r="S2684" s="53" t="n">
        <x:v>8</x:v>
      </x:c>
      <x:c r="T2684" t="str">
        <x:v>Entregue</x:v>
      </x:c>
      <x:c r="U2684" t="n">
        <x:v>5</x:v>
      </x:c>
      <x:c r="V2684" t="str"/>
    </x:row>
    <x:row r="2685">
      <x:c r="A2685" s="52" t="n">
        <x:v>46043</x:v>
      </x:c>
      <x:c r="B2685" t="str">
        <x:v>PED-102684</x:v>
      </x:c>
      <x:c r="C2685" t="str">
        <x:v>Cliente 109</x:v>
      </x:c>
      <x:c r="D2685" t="str">
        <x:v>MG</x:v>
      </x:c>
      <x:c r="E2685" t="str">
        <x:v>Sudeste</x:v>
      </x:c>
      <x:c r="F2685" t="str">
        <x:v>E-commerce</x:v>
      </x:c>
      <x:c r="G2685" t="str">
        <x:v>Casa</x:v>
      </x:c>
      <x:c r="H2685" t="str">
        <x:v>Cafeteira Smart</x:v>
      </x:c>
      <x:c r="I2685" t="str">
        <x:v>João</x:v>
      </x:c>
      <x:c r="J2685" s="53" t="n">
        <x:v>1</x:v>
      </x:c>
      <x:c r="K2685" s="54" t="n">
        <x:v>833.98</x:v>
      </x:c>
      <x:c r="L2685" s="54" t="n">
        <x:v>442.87</x:v>
      </x:c>
      <x:c r="M2685" s="55" t="n">
        <x:v>0.093</x:v>
      </x:c>
      <x:c r="N2685" s="54" t="n">
        <x:f>ROUND(J2685*K2685,2)</x:f>
        <x:v>833.98</x:v>
      </x:c>
      <x:c r="O2685" s="54" t="n">
        <x:f>ROUND(N2685*(1-M2685),2)</x:f>
        <x:v>756.42</x:v>
      </x:c>
      <x:c r="P2685" s="54" t="n">
        <x:f>ROUND(J2685*L2685,2)</x:f>
        <x:v>442.87</x:v>
      </x:c>
      <x:c r="Q2685" s="54" t="n">
        <x:f>ROUND(O2685-P2685,2)</x:f>
        <x:v>313.55</x:v>
      </x:c>
      <x:c r="R2685" s="55" t="n">
        <x:f>IF(O2685=0,0,ROUND(Q2685/O2685,4))</x:f>
        <x:v>0.4145</x:v>
      </x:c>
      <x:c r="S2685" s="53" t="n">
        <x:v>8</x:v>
      </x:c>
      <x:c r="T2685" t="str">
        <x:v>Entregue</x:v>
      </x:c>
      <x:c r="U2685" t="n">
        <x:v>5</x:v>
      </x:c>
      <x:c r="V2685" t="str"/>
    </x:row>
    <x:row r="2686">
      <x:c r="A2686" s="52" t="n">
        <x:v>46197</x:v>
      </x:c>
      <x:c r="B2686" t="str">
        <x:v>PED-102685</x:v>
      </x:c>
      <x:c r="C2686" t="str">
        <x:v>Cliente 090</x:v>
      </x:c>
      <x:c r="D2686" t="str">
        <x:v>PA</x:v>
      </x:c>
      <x:c r="E2686" t="str">
        <x:v>Norte</x:v>
      </x:c>
      <x:c r="F2686" t="str">
        <x:v>Televendas</x:v>
      </x:c>
      <x:c r="G2686" t="str">
        <x:v>Escritório</x:v>
      </x:c>
      <x:c r="H2686" t="str">
        <x:v>Luminária LED</x:v>
      </x:c>
      <x:c r="I2686" t="str">
        <x:v>Bruno</x:v>
      </x:c>
      <x:c r="J2686" s="53" t="n">
        <x:v>3</x:v>
      </x:c>
      <x:c r="K2686" s="54" t="n">
        <x:v>252.15</x:v>
      </x:c>
      <x:c r="L2686" s="54" t="n">
        <x:v>119.21</x:v>
      </x:c>
      <x:c r="M2686" s="55" t="n">
        <x:v>0.0595</x:v>
      </x:c>
      <x:c r="N2686" s="54" t="n">
        <x:f>ROUND(J2686*K2686,2)</x:f>
        <x:v>756.45</x:v>
      </x:c>
      <x:c r="O2686" s="54" t="n">
        <x:f>ROUND(N2686*(1-M2686),2)</x:f>
        <x:v>711.44</x:v>
      </x:c>
      <x:c r="P2686" s="54" t="n">
        <x:f>ROUND(J2686*L2686,2)</x:f>
        <x:v>357.63</x:v>
      </x:c>
      <x:c r="Q2686" s="54" t="n">
        <x:f>ROUND(O2686-P2686,2)</x:f>
        <x:v>353.81</x:v>
      </x:c>
      <x:c r="R2686" s="55" t="n">
        <x:f>IF(O2686=0,0,ROUND(Q2686/O2686,4))</x:f>
        <x:v>0.4973</x:v>
      </x:c>
      <x:c r="S2686" s="53" t="n">
        <x:v>7</x:v>
      </x:c>
      <x:c r="T2686" t="str">
        <x:v>Entregue</x:v>
      </x:c>
      <x:c r="U2686" t="n">
        <x:v>2</x:v>
      </x:c>
      <x:c r="V2686" t="str"/>
    </x:row>
    <x:row r="2687">
      <x:c r="A2687" s="52" t="n">
        <x:v>46081</x:v>
      </x:c>
      <x:c r="B2687" t="str">
        <x:v>PED-102686</x:v>
      </x:c>
      <x:c r="C2687" t="str">
        <x:v>Cliente 011</x:v>
      </x:c>
      <x:c r="D2687" t="str">
        <x:v>DF</x:v>
      </x:c>
      <x:c r="E2687" t="str">
        <x:v>Centro-Oeste</x:v>
      </x:c>
      <x:c r="F2687" t="str">
        <x:v>Marketplace</x:v>
      </x:c>
      <x:c r="G2687" t="str">
        <x:v>Acessórios</x:v>
      </x:c>
      <x:c r="H2687" t="str">
        <x:v>Hub USB-C</x:v>
      </x:c>
      <x:c r="I2687" t="str">
        <x:v>Henrique</x:v>
      </x:c>
      <x:c r="J2687" s="53" t="n">
        <x:v>6</x:v>
      </x:c>
      <x:c r="K2687" s="54" t="n">
        <x:v>328.05</x:v>
      </x:c>
      <x:c r="L2687" s="54" t="n">
        <x:v>140.94</x:v>
      </x:c>
      <x:c r="M2687" s="55" t="n">
        <x:v>0.0494</x:v>
      </x:c>
      <x:c r="N2687" s="54" t="n">
        <x:f>ROUND(J2687*K2687,2)</x:f>
        <x:v>1968.3</x:v>
      </x:c>
      <x:c r="O2687" s="54" t="n">
        <x:f>ROUND(N2687*(1-M2687),2)</x:f>
        <x:v>1871.07</x:v>
      </x:c>
      <x:c r="P2687" s="54" t="n">
        <x:f>ROUND(J2687*L2687,2)</x:f>
        <x:v>845.64</x:v>
      </x:c>
      <x:c r="Q2687" s="54" t="n">
        <x:f>ROUND(O2687-P2687,2)</x:f>
        <x:v>1025.43</x:v>
      </x:c>
      <x:c r="R2687" s="55" t="n">
        <x:f>IF(O2687=0,0,ROUND(Q2687/O2687,4))</x:f>
        <x:v>0.548</x:v>
      </x:c>
      <x:c r="S2687" s="53" t="n">
        <x:v>7</x:v>
      </x:c>
      <x:c r="T2687" t="str">
        <x:v>Entregue</x:v>
      </x:c>
      <x:c r="U2687" t="n">
        <x:v>5</x:v>
      </x:c>
      <x:c r="V2687" t="str"/>
    </x:row>
    <x:row r="2688">
      <x:c r="A2688" s="52" t="n">
        <x:v>46204</x:v>
      </x:c>
      <x:c r="B2688" t="str">
        <x:v>PED-102687</x:v>
      </x:c>
      <x:c r="C2688" t="str">
        <x:v>Cliente 089</x:v>
      </x:c>
      <x:c r="D2688" t="str">
        <x:v>SP</x:v>
      </x:c>
      <x:c r="E2688" t="str">
        <x:v>Sudeste</x:v>
      </x:c>
      <x:c r="F2688" t="str">
        <x:v>Televendas</x:v>
      </x:c>
      <x:c r="G2688" t="str">
        <x:v>Escritório</x:v>
      </x:c>
      <x:c r="H2688" t="str">
        <x:v>Cadeira Ergonômica</x:v>
      </x:c>
      <x:c r="I2688" t="str">
        <x:v>Bruno</x:v>
      </x:c>
      <x:c r="J2688" s="53" t="n">
        <x:v>8</x:v>
      </x:c>
      <x:c r="K2688" s="54" t="n">
        <x:v>2228.37</x:v>
      </x:c>
      <x:c r="L2688" s="54" t="n">
        <x:v>1437.7</x:v>
      </x:c>
      <x:c r="M2688" s="55" t="n">
        <x:v>0.0042</x:v>
      </x:c>
      <x:c r="N2688" s="54" t="n">
        <x:f>ROUND(J2688*K2688,2)</x:f>
        <x:v>17826.96</x:v>
      </x:c>
      <x:c r="O2688" s="54" t="n">
        <x:f>ROUND(N2688*(1-M2688),2)</x:f>
        <x:v>17752.09</x:v>
      </x:c>
      <x:c r="P2688" s="54" t="n">
        <x:f>ROUND(J2688*L2688,2)</x:f>
        <x:v>11501.6</x:v>
      </x:c>
      <x:c r="Q2688" s="54" t="n">
        <x:f>ROUND(O2688-P2688,2)</x:f>
        <x:v>6250.49</x:v>
      </x:c>
      <x:c r="R2688" s="55" t="n">
        <x:f>IF(O2688=0,0,ROUND(Q2688/O2688,4))</x:f>
        <x:v>0.3521</x:v>
      </x:c>
      <x:c r="S2688" s="53" t="n">
        <x:v>11</x:v>
      </x:c>
      <x:c r="T2688" t="str">
        <x:v>Entregue com atraso</x:v>
      </x:c>
      <x:c r="U2688" t="n">
        <x:v>5</x:v>
      </x:c>
      <x:c r="V2688" t="str"/>
    </x:row>
    <x:row r="2689">
      <x:c r="A2689" s="52" t="n">
        <x:v>46212</x:v>
      </x:c>
      <x:c r="B2689" t="str">
        <x:v>PED-102688</x:v>
      </x:c>
      <x:c r="C2689" t="str">
        <x:v>Cliente 113</x:v>
      </x:c>
      <x:c r="D2689" t="str">
        <x:v>SP</x:v>
      </x:c>
      <x:c r="E2689" t="str">
        <x:v>Sudeste</x:v>
      </x:c>
      <x:c r="F2689" t="str">
        <x:v>Televendas</x:v>
      </x:c>
      <x:c r="G2689" t="str">
        <x:v>Tecnologia</x:v>
      </x:c>
      <x:c r="H2689" t="str">
        <x:v>Headset Office</x:v>
      </x:c>
      <x:c r="I2689" t="str">
        <x:v>Ana</x:v>
      </x:c>
      <x:c r="J2689" s="53" t="n">
        <x:v>5</x:v>
      </x:c>
      <x:c r="K2689" s="54" t="n">
        <x:v>377.91</x:v>
      </x:c>
      <x:c r="L2689" s="54" t="n">
        <x:v>219.57</x:v>
      </x:c>
      <x:c r="M2689" s="55" t="n">
        <x:v>0.0329</x:v>
      </x:c>
      <x:c r="N2689" s="54" t="n">
        <x:f>ROUND(J2689*K2689,2)</x:f>
        <x:v>1889.55</x:v>
      </x:c>
      <x:c r="O2689" s="54" t="n">
        <x:f>ROUND(N2689*(1-M2689),2)</x:f>
        <x:v>1827.38</x:v>
      </x:c>
      <x:c r="P2689" s="54" t="n">
        <x:f>ROUND(J2689*L2689,2)</x:f>
        <x:v>1097.85</x:v>
      </x:c>
      <x:c r="Q2689" s="54" t="n">
        <x:f>ROUND(O2689-P2689,2)</x:f>
        <x:v>729.53</x:v>
      </x:c>
      <x:c r="R2689" s="55" t="n">
        <x:f>IF(O2689=0,0,ROUND(Q2689/O2689,4))</x:f>
        <x:v>0.3992</x:v>
      </x:c>
      <x:c r="S2689" s="53" t="n">
        <x:v>4</x:v>
      </x:c>
      <x:c r="T2689" t="str">
        <x:v>Entregue</x:v>
      </x:c>
      <x:c r="U2689" t="n">
        <x:v>3</x:v>
      </x:c>
      <x:c r="V2689" t="str"/>
    </x:row>
    <x:row r="2690">
      <x:c r="A2690" s="52" t="n">
        <x:v>46035</x:v>
      </x:c>
      <x:c r="B2690" t="str">
        <x:v>PED-102689</x:v>
      </x:c>
      <x:c r="C2690" t="str">
        <x:v>Cliente 005</x:v>
      </x:c>
      <x:c r="D2690" t="str">
        <x:v>MG</x:v>
      </x:c>
      <x:c r="E2690" t="str">
        <x:v>Sudeste</x:v>
      </x:c>
      <x:c r="F2690" t="str">
        <x:v>Loja</x:v>
      </x:c>
      <x:c r="G2690" t="str">
        <x:v>Casa</x:v>
      </x:c>
      <x:c r="H2690" t="str">
        <x:v>Cafeteira Smart</x:v>
      </x:c>
      <x:c r="I2690" t="str">
        <x:v>Diego</x:v>
      </x:c>
      <x:c r="J2690" s="53" t="n">
        <x:v>6</x:v>
      </x:c>
      <x:c r="K2690" s="54" t="n">
        <x:v>828.14</x:v>
      </x:c>
      <x:c r="L2690" s="54" t="n">
        <x:v>464.23</x:v>
      </x:c>
      <x:c r="M2690" s="55" t="n">
        <x:v>0.124</x:v>
      </x:c>
      <x:c r="N2690" s="54" t="n">
        <x:f>ROUND(J2690*K2690,2)</x:f>
        <x:v>4968.84</x:v>
      </x:c>
      <x:c r="O2690" s="54" t="n">
        <x:f>ROUND(N2690*(1-M2690),2)</x:f>
        <x:v>4352.7</x:v>
      </x:c>
      <x:c r="P2690" s="54" t="n">
        <x:f>ROUND(J2690*L2690,2)</x:f>
        <x:v>2785.38</x:v>
      </x:c>
      <x:c r="Q2690" s="54" t="n">
        <x:f>ROUND(O2690-P2690,2)</x:f>
        <x:v>1567.32</x:v>
      </x:c>
      <x:c r="R2690" s="55" t="n">
        <x:f>IF(O2690=0,0,ROUND(Q2690/O2690,4))</x:f>
        <x:v>0.3601</x:v>
      </x:c>
      <x:c r="S2690" s="53" t="n">
        <x:v>3</x:v>
      </x:c>
      <x:c r="T2690" t="str">
        <x:v>Entregue</x:v>
      </x:c>
      <x:c r="U2690" t="n">
        <x:v>4</x:v>
      </x:c>
      <x:c r="V2690" t="str"/>
    </x:row>
    <x:row r="2691">
      <x:c r="A2691" s="52" t="n">
        <x:v>46156</x:v>
      </x:c>
      <x:c r="B2691" t="str">
        <x:v>PED-102690</x:v>
      </x:c>
      <x:c r="C2691" t="str">
        <x:v>Cliente 001</x:v>
      </x:c>
      <x:c r="D2691" t="str">
        <x:v>CE</x:v>
      </x:c>
      <x:c r="E2691" t="str">
        <x:v>Nordeste</x:v>
      </x:c>
      <x:c r="F2691" t="str">
        <x:v>Loja</x:v>
      </x:c>
      <x:c r="G2691" t="str">
        <x:v>Casa</x:v>
      </x:c>
      <x:c r="H2691" t="str">
        <x:v>Cafeteira Smart</x:v>
      </x:c>
      <x:c r="I2691" t="str">
        <x:v>Bruno</x:v>
      </x:c>
      <x:c r="J2691" s="53" t="n">
        <x:v>5</x:v>
      </x:c>
      <x:c r="K2691" s="54" t="n">
        <x:v>815.46</x:v>
      </x:c>
      <x:c r="L2691" s="54" t="n">
        <x:v>453.67</x:v>
      </x:c>
      <x:c r="M2691" s="55" t="n">
        <x:v>0.0199</x:v>
      </x:c>
      <x:c r="N2691" s="54" t="n">
        <x:f>ROUND(J2691*K2691,2)</x:f>
        <x:v>4077.3</x:v>
      </x:c>
      <x:c r="O2691" s="54" t="n">
        <x:f>ROUND(N2691*(1-M2691),2)</x:f>
        <x:v>3996.16</x:v>
      </x:c>
      <x:c r="P2691" s="54" t="n">
        <x:f>ROUND(J2691*L2691,2)</x:f>
        <x:v>2268.35</x:v>
      </x:c>
      <x:c r="Q2691" s="54" t="n">
        <x:f>ROUND(O2691-P2691,2)</x:f>
        <x:v>1727.81</x:v>
      </x:c>
      <x:c r="R2691" s="55" t="n">
        <x:f>IF(O2691=0,0,ROUND(Q2691/O2691,4))</x:f>
        <x:v>0.4324</x:v>
      </x:c>
      <x:c r="S2691" s="53" t="n">
        <x:v>8</x:v>
      </x:c>
      <x:c r="T2691" t="str">
        <x:v>Entregue</x:v>
      </x:c>
      <x:c r="U2691" t="n">
        <x:v>3</x:v>
      </x:c>
      <x:c r="V2691" t="str"/>
    </x:row>
    <x:row r="2692">
      <x:c r="A2692" s="52" t="n">
        <x:v>46193</x:v>
      </x:c>
      <x:c r="B2692" t="str">
        <x:v>PED-102691</x:v>
      </x:c>
      <x:c r="C2692" t="str">
        <x:v>Cliente 023</x:v>
      </x:c>
      <x:c r="D2692" t="str">
        <x:v>RS</x:v>
      </x:c>
      <x:c r="E2692" t="str">
        <x:v>Sul</x:v>
      </x:c>
      <x:c r="F2692" t="str">
        <x:v>Televendas</x:v>
      </x:c>
      <x:c r="G2692" t="str">
        <x:v>Escritório</x:v>
      </x:c>
      <x:c r="H2692" t="str">
        <x:v>Mesa Ajustável</x:v>
      </x:c>
      <x:c r="I2692" t="str">
        <x:v>Diego</x:v>
      </x:c>
      <x:c r="J2692" s="53" t="n">
        <x:v>3</x:v>
      </x:c>
      <x:c r="K2692" s="54" t="n">
        <x:v>2821.55</x:v>
      </x:c>
      <x:c r="L2692" s="54" t="n">
        <x:v>1814.02</x:v>
      </x:c>
      <x:c r="M2692" s="55" t="n">
        <x:v>0.115</x:v>
      </x:c>
      <x:c r="N2692" s="54" t="n">
        <x:f>ROUND(J2692*K2692,2)</x:f>
        <x:v>8464.65</x:v>
      </x:c>
      <x:c r="O2692" s="54" t="n">
        <x:f>ROUND(N2692*(1-M2692),2)</x:f>
        <x:v>7491.22</x:v>
      </x:c>
      <x:c r="P2692" s="54" t="n">
        <x:f>ROUND(J2692*L2692,2)</x:f>
        <x:v>5442.06</x:v>
      </x:c>
      <x:c r="Q2692" s="54" t="n">
        <x:f>ROUND(O2692-P2692,2)</x:f>
        <x:v>2049.16</x:v>
      </x:c>
      <x:c r="R2692" s="55" t="n">
        <x:f>IF(O2692=0,0,ROUND(Q2692/O2692,4))</x:f>
        <x:v>0.2735</x:v>
      </x:c>
      <x:c r="S2692" s="53" t="n">
        <x:v>7</x:v>
      </x:c>
      <x:c r="T2692" t="str">
        <x:v>Entregue</x:v>
      </x:c>
      <x:c r="U2692" t="n">
        <x:v>3</x:v>
      </x:c>
      <x:c r="V2692" t="str"/>
    </x:row>
    <x:row r="2693">
      <x:c r="A2693" s="52" t="n">
        <x:v>46205</x:v>
      </x:c>
      <x:c r="B2693" t="str">
        <x:v>PED-102692</x:v>
      </x:c>
      <x:c r="C2693" t="str">
        <x:v>Cliente 048</x:v>
      </x:c>
      <x:c r="D2693" t="str">
        <x:v>MG</x:v>
      </x:c>
      <x:c r="E2693" t="str">
        <x:v>Sudeste</x:v>
      </x:c>
      <x:c r="F2693" t="str">
        <x:v>Loja</x:v>
      </x:c>
      <x:c r="G2693" t="str">
        <x:v>Acessórios</x:v>
      </x:c>
      <x:c r="H2693" t="str">
        <x:v>Webcam HD</x:v>
      </x:c>
      <x:c r="I2693" t="str">
        <x:v>Diego</x:v>
      </x:c>
      <x:c r="J2693" s="53" t="n">
        <x:v>5</x:v>
      </x:c>
      <x:c r="K2693" s="54" t="n">
        <x:v>496.66</x:v>
      </x:c>
      <x:c r="L2693" s="54" t="n">
        <x:v>246.89</x:v>
      </x:c>
      <x:c r="M2693" s="55" t="n">
        <x:v>0.0412</x:v>
      </x:c>
      <x:c r="N2693" s="54" t="n">
        <x:f>ROUND(J2693*K2693,2)</x:f>
        <x:v>2483.3</x:v>
      </x:c>
      <x:c r="O2693" s="54" t="n">
        <x:f>ROUND(N2693*(1-M2693),2)</x:f>
        <x:v>2380.99</x:v>
      </x:c>
      <x:c r="P2693" s="54" t="n">
        <x:f>ROUND(J2693*L2693,2)</x:f>
        <x:v>1234.45</x:v>
      </x:c>
      <x:c r="Q2693" s="54" t="n">
        <x:f>ROUND(O2693-P2693,2)</x:f>
        <x:v>1146.54</x:v>
      </x:c>
      <x:c r="R2693" s="55" t="n">
        <x:f>IF(O2693=0,0,ROUND(Q2693/O2693,4))</x:f>
        <x:v>0.4815</x:v>
      </x:c>
      <x:c r="S2693" s="53" t="n">
        <x:v>8</x:v>
      </x:c>
      <x:c r="T2693" t="str">
        <x:v>Entregue</x:v>
      </x:c>
      <x:c r="U2693" t="n">
        <x:v>4</x:v>
      </x:c>
      <x:c r="V2693" t="str"/>
    </x:row>
    <x:row r="2694">
      <x:c r="A2694" s="52" t="n">
        <x:v>46036</x:v>
      </x:c>
      <x:c r="B2694" t="str">
        <x:v>PED-102693</x:v>
      </x:c>
      <x:c r="C2694" t="str">
        <x:v>Cliente 040</x:v>
      </x:c>
      <x:c r="D2694" t="str">
        <x:v>MG</x:v>
      </x:c>
      <x:c r="E2694" t="str">
        <x:v>Sudeste</x:v>
      </x:c>
      <x:c r="F2694" t="str">
        <x:v>Marketplace</x:v>
      </x:c>
      <x:c r="G2694" t="str">
        <x:v>Escritório</x:v>
      </x:c>
      <x:c r="H2694" t="str">
        <x:v>Mesa Ajustável</x:v>
      </x:c>
      <x:c r="I2694" t="str">
        <x:v>Gabriela</x:v>
      </x:c>
      <x:c r="J2694" s="53" t="n">
        <x:v>7</x:v>
      </x:c>
      <x:c r="K2694" s="54" t="n">
        <x:v>2900.12</x:v>
      </x:c>
      <x:c r="L2694" s="54" t="n">
        <x:v>1766.49</x:v>
      </x:c>
      <x:c r="M2694" s="55" t="n">
        <x:v>0.1612</x:v>
      </x:c>
      <x:c r="N2694" s="54" t="n">
        <x:f>ROUND(J2694*K2694,2)</x:f>
        <x:v>20300.84</x:v>
      </x:c>
      <x:c r="O2694" s="54" t="n">
        <x:f>ROUND(N2694*(1-M2694),2)</x:f>
        <x:v>17028.34</x:v>
      </x:c>
      <x:c r="P2694" s="54" t="n">
        <x:f>ROUND(J2694*L2694,2)</x:f>
        <x:v>12365.43</x:v>
      </x:c>
      <x:c r="Q2694" s="54" t="n">
        <x:f>ROUND(O2694-P2694,2)</x:f>
        <x:v>4662.91</x:v>
      </x:c>
      <x:c r="R2694" s="55" t="n">
        <x:f>IF(O2694=0,0,ROUND(Q2694/O2694,4))</x:f>
        <x:v>0.2738</x:v>
      </x:c>
      <x:c r="S2694" s="53" t="n">
        <x:v>8</x:v>
      </x:c>
      <x:c r="T2694" t="str">
        <x:v>Entregue</x:v>
      </x:c>
      <x:c r="U2694" t="n">
        <x:v>2</x:v>
      </x:c>
      <x:c r="V2694" t="str"/>
    </x:row>
    <x:row r="2695">
      <x:c r="A2695" s="52" t="n">
        <x:v>46057</x:v>
      </x:c>
      <x:c r="B2695" t="str">
        <x:v>PED-102694</x:v>
      </x:c>
      <x:c r="C2695" t="str">
        <x:v>Cliente 008</x:v>
      </x:c>
      <x:c r="D2695" t="str">
        <x:v>BA</x:v>
      </x:c>
      <x:c r="E2695" t="str">
        <x:v>Nordeste</x:v>
      </x:c>
      <x:c r="F2695" t="str">
        <x:v>Loja</x:v>
      </x:c>
      <x:c r="G2695" t="str">
        <x:v>Casa</x:v>
      </x:c>
      <x:c r="H2695" t="str">
        <x:v>Cafeteira Smart</x:v>
      </x:c>
      <x:c r="I2695" t="str">
        <x:v>Felipe</x:v>
      </x:c>
      <x:c r="J2695" s="53" t="n">
        <x:v>7</x:v>
      </x:c>
      <x:c r="K2695" s="54" t="n">
        <x:v>772.82</x:v>
      </x:c>
      <x:c r="L2695" s="54" t="n">
        <x:v>482.34</x:v>
      </x:c>
      <x:c r="M2695" s="55" t="n">
        <x:v>0</x:v>
      </x:c>
      <x:c r="N2695" s="54" t="n">
        <x:f>ROUND(J2695*K2695,2)</x:f>
        <x:v>5409.74</x:v>
      </x:c>
      <x:c r="O2695" s="54" t="n">
        <x:f>ROUND(N2695*(1-M2695),2)</x:f>
        <x:v>5409.74</x:v>
      </x:c>
      <x:c r="P2695" s="54" t="n">
        <x:f>ROUND(J2695*L2695,2)</x:f>
        <x:v>3376.38</x:v>
      </x:c>
      <x:c r="Q2695" s="54" t="n">
        <x:f>ROUND(O2695-P2695,2)</x:f>
        <x:v>2033.36</x:v>
      </x:c>
      <x:c r="R2695" s="55" t="n">
        <x:f>IF(O2695=0,0,ROUND(Q2695/O2695,4))</x:f>
        <x:v>0.3759</x:v>
      </x:c>
      <x:c r="S2695" s="53" t="n">
        <x:v>14</x:v>
      </x:c>
      <x:c r="T2695" t="str">
        <x:v>Entregue com atraso</x:v>
      </x:c>
      <x:c r="U2695" t="n">
        <x:v>4</x:v>
      </x:c>
      <x:c r="V2695" t="str"/>
    </x:row>
    <x:row r="2696">
      <x:c r="A2696" s="52" t="n">
        <x:v>46034</x:v>
      </x:c>
      <x:c r="B2696" t="str">
        <x:v>PED-102695</x:v>
      </x:c>
      <x:c r="C2696" t="str">
        <x:v>Cliente 004</x:v>
      </x:c>
      <x:c r="D2696" t="str">
        <x:v>RJ</x:v>
      </x:c>
      <x:c r="E2696" t="str">
        <x:v>Sudeste</x:v>
      </x:c>
      <x:c r="F2696" t="str">
        <x:v>Televendas</x:v>
      </x:c>
      <x:c r="G2696" t="str">
        <x:v>Escritório</x:v>
      </x:c>
      <x:c r="H2696" t="str">
        <x:v>Cadeira Ergonômica</x:v>
      </x:c>
      <x:c r="I2696" t="str">
        <x:v>Elaine</x:v>
      </x:c>
      <x:c r="J2696" s="53" t="n">
        <x:v>2</x:v>
      </x:c>
      <x:c r="K2696" s="54" t="n">
        <x:v>2300.31</x:v>
      </x:c>
      <x:c r="L2696" s="54" t="n">
        <x:v>1400.6</x:v>
      </x:c>
      <x:c r="M2696" s="55" t="n">
        <x:v>0.0676</x:v>
      </x:c>
      <x:c r="N2696" s="54" t="n">
        <x:f>ROUND(J2696*K2696,2)</x:f>
        <x:v>4600.62</x:v>
      </x:c>
      <x:c r="O2696" s="54" t="n">
        <x:f>ROUND(N2696*(1-M2696),2)</x:f>
        <x:v>4289.62</x:v>
      </x:c>
      <x:c r="P2696" s="54" t="n">
        <x:f>ROUND(J2696*L2696,2)</x:f>
        <x:v>2801.2</x:v>
      </x:c>
      <x:c r="Q2696" s="54" t="n">
        <x:f>ROUND(O2696-P2696,2)</x:f>
        <x:v>1488.42</x:v>
      </x:c>
      <x:c r="R2696" s="55" t="n">
        <x:f>IF(O2696=0,0,ROUND(Q2696/O2696,4))</x:f>
        <x:v>0.347</x:v>
      </x:c>
      <x:c r="S2696" s="53" t="n">
        <x:v>7</x:v>
      </x:c>
      <x:c r="T2696" t="str">
        <x:v>Entregue</x:v>
      </x:c>
      <x:c r="U2696" t="n">
        <x:v>5</x:v>
      </x:c>
      <x:c r="V2696" t="str"/>
    </x:row>
    <x:row r="2697">
      <x:c r="A2697" s="52" t="n">
        <x:v>46147</x:v>
      </x:c>
      <x:c r="B2697" t="str">
        <x:v>PED-102696</x:v>
      </x:c>
      <x:c r="C2697" t="str">
        <x:v>Cliente 009</x:v>
      </x:c>
      <x:c r="D2697" t="str">
        <x:v>GO</x:v>
      </x:c>
      <x:c r="E2697" t="str">
        <x:v>Centro-Oeste</x:v>
      </x:c>
      <x:c r="F2697" t="str">
        <x:v>Televendas</x:v>
      </x:c>
      <x:c r="G2697" t="str">
        <x:v>Casa</x:v>
      </x:c>
      <x:c r="H2697" t="str">
        <x:v>Cafeteira Smart</x:v>
      </x:c>
      <x:c r="I2697" t="str">
        <x:v>Henrique</x:v>
      </x:c>
      <x:c r="J2697" s="53" t="n">
        <x:v>7</x:v>
      </x:c>
      <x:c r="K2697" s="54" t="n">
        <x:v>801.97</x:v>
      </x:c>
      <x:c r="L2697" s="54" t="n">
        <x:v>447</x:v>
      </x:c>
      <x:c r="M2697" s="55" t="n">
        <x:v>0.0944</x:v>
      </x:c>
      <x:c r="N2697" s="54" t="n">
        <x:f>ROUND(J2697*K2697,2)</x:f>
        <x:v>5613.79</x:v>
      </x:c>
      <x:c r="O2697" s="54" t="n">
        <x:f>ROUND(N2697*(1-M2697),2)</x:f>
        <x:v>5083.85</x:v>
      </x:c>
      <x:c r="P2697" s="54" t="n">
        <x:f>ROUND(J2697*L2697,2)</x:f>
        <x:v>3129</x:v>
      </x:c>
      <x:c r="Q2697" s="54" t="n">
        <x:f>ROUND(O2697-P2697,2)</x:f>
        <x:v>1954.85</x:v>
      </x:c>
      <x:c r="R2697" s="55" t="n">
        <x:f>IF(O2697=0,0,ROUND(Q2697/O2697,4))</x:f>
        <x:v>0.3845</x:v>
      </x:c>
      <x:c r="S2697" s="53" t="n">
        <x:v>10</x:v>
      </x:c>
      <x:c r="T2697" t="str">
        <x:v>Entregue</x:v>
      </x:c>
      <x:c r="U2697" t="n">
        <x:v>4</x:v>
      </x:c>
      <x:c r="V2697" t="str"/>
    </x:row>
    <x:row r="2698">
      <x:c r="A2698" s="52" t="n">
        <x:v>46154</x:v>
      </x:c>
      <x:c r="B2698" t="str">
        <x:v>PED-102697</x:v>
      </x:c>
      <x:c r="C2698" t="str">
        <x:v>Cliente 083</x:v>
      </x:c>
      <x:c r="D2698" t="str">
        <x:v>RS</x:v>
      </x:c>
      <x:c r="E2698" t="str">
        <x:v>Sul</x:v>
      </x:c>
      <x:c r="F2698" t="str">
        <x:v>Marketplace</x:v>
      </x:c>
      <x:c r="G2698" t="str">
        <x:v>Casa</x:v>
      </x:c>
      <x:c r="H2698" t="str">
        <x:v>Aspirador Robô</x:v>
      </x:c>
      <x:c r="I2698" t="str">
        <x:v>Ana</x:v>
      </x:c>
      <x:c r="J2698" s="53" t="n">
        <x:v>2</x:v>
      </x:c>
      <x:c r="K2698" s="54" t="n">
        <x:v>1961.65</x:v>
      </x:c>
      <x:c r="L2698" s="54" t="n">
        <x:v>1219.51</x:v>
      </x:c>
      <x:c r="M2698" s="55" t="n">
        <x:v>0.1468</x:v>
      </x:c>
      <x:c r="N2698" s="54" t="n">
        <x:f>ROUND(J2698*K2698,2)</x:f>
        <x:v>3923.3</x:v>
      </x:c>
      <x:c r="O2698" s="54" t="n">
        <x:f>ROUND(N2698*(1-M2698),2)</x:f>
        <x:v>3347.36</x:v>
      </x:c>
      <x:c r="P2698" s="54" t="n">
        <x:f>ROUND(J2698*L2698,2)</x:f>
        <x:v>2439.02</x:v>
      </x:c>
      <x:c r="Q2698" s="54" t="n">
        <x:f>ROUND(O2698-P2698,2)</x:f>
        <x:v>908.34</x:v>
      </x:c>
      <x:c r="R2698" s="55" t="n">
        <x:f>IF(O2698=0,0,ROUND(Q2698/O2698,4))</x:f>
        <x:v>0.2714</x:v>
      </x:c>
      <x:c r="S2698" s="53" t="n">
        <x:v>4</x:v>
      </x:c>
      <x:c r="T2698" t="str">
        <x:v>Entregue</x:v>
      </x:c>
      <x:c r="U2698" t="n">
        <x:v>3</x:v>
      </x:c>
      <x:c r="V2698" t="str"/>
    </x:row>
    <x:row r="2699">
      <x:c r="A2699" s="52" t="n">
        <x:v>46203</x:v>
      </x:c>
      <x:c r="B2699" t="str">
        <x:v>PED-102698</x:v>
      </x:c>
      <x:c r="C2699" t="str">
        <x:v>Cliente 077</x:v>
      </x:c>
      <x:c r="D2699" t="str">
        <x:v>DF</x:v>
      </x:c>
      <x:c r="E2699" t="str">
        <x:v>Centro-Oeste</x:v>
      </x:c>
      <x:c r="F2699" t="str">
        <x:v>Loja</x:v>
      </x:c>
      <x:c r="G2699" t="str">
        <x:v>Acessórios</x:v>
      </x:c>
      <x:c r="H2699" t="str">
        <x:v>Hub USB-C</x:v>
      </x:c>
      <x:c r="I2699" t="str">
        <x:v>Isabela</x:v>
      </x:c>
      <x:c r="J2699" s="53" t="n">
        <x:v>4</x:v>
      </x:c>
      <x:c r="K2699" s="54" t="n">
        <x:v>302.44</x:v>
      </x:c>
      <x:c r="L2699" s="54" t="n">
        <x:v>139.95</x:v>
      </x:c>
      <x:c r="M2699" s="55" t="n">
        <x:v>0</x:v>
      </x:c>
      <x:c r="N2699" s="54" t="n">
        <x:f>ROUND(J2699*K2699,2)</x:f>
        <x:v>1209.76</x:v>
      </x:c>
      <x:c r="O2699" s="54" t="n">
        <x:f>ROUND(N2699*(1-M2699),2)</x:f>
        <x:v>1209.76</x:v>
      </x:c>
      <x:c r="P2699" s="54" t="n">
        <x:f>ROUND(J2699*L2699,2)</x:f>
        <x:v>559.8</x:v>
      </x:c>
      <x:c r="Q2699" s="54" t="n">
        <x:f>ROUND(O2699-P2699,2)</x:f>
        <x:v>649.96</x:v>
      </x:c>
      <x:c r="R2699" s="55" t="n">
        <x:f>IF(O2699=0,0,ROUND(Q2699/O2699,4))</x:f>
        <x:v>0.5373</x:v>
      </x:c>
      <x:c r="S2699" s="53" t="n">
        <x:v>10</x:v>
      </x:c>
      <x:c r="T2699" t="str">
        <x:v>Entregue</x:v>
      </x:c>
      <x:c r="U2699" t="n">
        <x:v>5</x:v>
      </x:c>
      <x:c r="V2699" t="str"/>
    </x:row>
    <x:row r="2700">
      <x:c r="A2700" s="52" t="n">
        <x:v>46063</x:v>
      </x:c>
      <x:c r="B2700" t="str">
        <x:v>PED-102699</x:v>
      </x:c>
      <x:c r="C2700" t="str">
        <x:v>Cliente 013</x:v>
      </x:c>
      <x:c r="D2700" t="str">
        <x:v>RS</x:v>
      </x:c>
      <x:c r="E2700" t="str">
        <x:v>Sul</x:v>
      </x:c>
      <x:c r="F2700" t="str">
        <x:v>Loja</x:v>
      </x:c>
      <x:c r="G2700" t="str">
        <x:v>Casa</x:v>
      </x:c>
      <x:c r="H2700" t="str">
        <x:v>Aspirador Robô</x:v>
      </x:c>
      <x:c r="I2700" t="str">
        <x:v>Felipe</x:v>
      </x:c>
      <x:c r="J2700" s="53" t="n">
        <x:v>3</x:v>
      </x:c>
      <x:c r="K2700" s="54" t="n">
        <x:v>1992.8</x:v>
      </x:c>
      <x:c r="L2700" s="54" t="n">
        <x:v>1175.32</x:v>
      </x:c>
      <x:c r="M2700" s="55" t="n">
        <x:v>0.1241</x:v>
      </x:c>
      <x:c r="N2700" s="54" t="n">
        <x:f>ROUND(J2700*K2700,2)</x:f>
        <x:v>5978.4</x:v>
      </x:c>
      <x:c r="O2700" s="54" t="n">
        <x:f>ROUND(N2700*(1-M2700),2)</x:f>
        <x:v>5236.48</x:v>
      </x:c>
      <x:c r="P2700" s="54" t="n">
        <x:f>ROUND(J2700*L2700,2)</x:f>
        <x:v>3525.96</x:v>
      </x:c>
      <x:c r="Q2700" s="54" t="n">
        <x:f>ROUND(O2700-P2700,2)</x:f>
        <x:v>1710.52</x:v>
      </x:c>
      <x:c r="R2700" s="55" t="n">
        <x:f>IF(O2700=0,0,ROUND(Q2700/O2700,4))</x:f>
        <x:v>0.3267</x:v>
      </x:c>
      <x:c r="S2700" s="53" t="n">
        <x:v>3</x:v>
      </x:c>
      <x:c r="T2700" t="str">
        <x:v>Entregue</x:v>
      </x:c>
      <x:c r="U2700" t="n">
        <x:v>2</x:v>
      </x:c>
      <x:c r="V2700" t="str"/>
    </x:row>
    <x:row r="2701">
      <x:c r="A2701" s="52" t="n">
        <x:v>46180</x:v>
      </x:c>
      <x:c r="B2701" t="str">
        <x:v>PED-102700</x:v>
      </x:c>
      <x:c r="C2701" t="str">
        <x:v>Cliente 095</x:v>
      </x:c>
      <x:c r="D2701" t="str">
        <x:v>CE</x:v>
      </x:c>
      <x:c r="E2701" t="str">
        <x:v>Nordeste</x:v>
      </x:c>
      <x:c r="F2701" t="str">
        <x:v>Marketplace</x:v>
      </x:c>
      <x:c r="G2701" t="str">
        <x:v>Escritório</x:v>
      </x:c>
      <x:c r="H2701" t="str">
        <x:v>Cadeira Ergonômica</x:v>
      </x:c>
      <x:c r="I2701" t="str">
        <x:v>Carla</x:v>
      </x:c>
      <x:c r="J2701" s="53" t="n">
        <x:v>4</x:v>
      </x:c>
      <x:c r="K2701" s="54" t="n">
        <x:v>2285.41</x:v>
      </x:c>
      <x:c r="L2701" s="54" t="n">
        <x:v>1527.94</x:v>
      </x:c>
      <x:c r="M2701" s="55" t="n">
        <x:v>0.1132</x:v>
      </x:c>
      <x:c r="N2701" s="54" t="n">
        <x:f>ROUND(J2701*K2701,2)</x:f>
        <x:v>9141.64</x:v>
      </x:c>
      <x:c r="O2701" s="54" t="n">
        <x:f>ROUND(N2701*(1-M2701),2)</x:f>
        <x:v>8106.81</x:v>
      </x:c>
      <x:c r="P2701" s="54" t="n">
        <x:f>ROUND(J2701*L2701,2)</x:f>
        <x:v>6111.76</x:v>
      </x:c>
      <x:c r="Q2701" s="54" t="n">
        <x:f>ROUND(O2701-P2701,2)</x:f>
        <x:v>1995.05</x:v>
      </x:c>
      <x:c r="R2701" s="55" t="n">
        <x:f>IF(O2701=0,0,ROUND(Q2701/O2701,4))</x:f>
        <x:v>0.2461</x:v>
      </x:c>
      <x:c r="S2701" s="53" t="n">
        <x:v>10</x:v>
      </x:c>
      <x:c r="T2701" t="str">
        <x:v>Entregue</x:v>
      </x:c>
      <x:c r="U2701" t="n">
        <x:v>3</x:v>
      </x:c>
      <x:c r="V2701" t="str"/>
    </x:row>
    <x:row r="2702">
      <x:c r="A2702" s="52" t="n">
        <x:v>46074</x:v>
      </x:c>
      <x:c r="B2702" t="str">
        <x:v>PED-102701</x:v>
      </x:c>
      <x:c r="C2702" t="str">
        <x:v>Cliente 075</x:v>
      </x:c>
      <x:c r="D2702" t="str">
        <x:v>RJ</x:v>
      </x:c>
      <x:c r="E2702" t="str">
        <x:v>Sudeste</x:v>
      </x:c>
      <x:c r="F2702" t="str">
        <x:v>Televendas</x:v>
      </x:c>
      <x:c r="G2702" t="str">
        <x:v>Casa</x:v>
      </x:c>
      <x:c r="H2702" t="str">
        <x:v>Aspirador Robô</x:v>
      </x:c>
      <x:c r="I2702" t="str">
        <x:v>Felipe</x:v>
      </x:c>
      <x:c r="J2702" s="53" t="n">
        <x:v>1</x:v>
      </x:c>
      <x:c r="K2702" s="54" t="n">
        <x:v>1804.89</x:v>
      </x:c>
      <x:c r="L2702" s="54" t="n">
        <x:v>1222.82</x:v>
      </x:c>
      <x:c r="M2702" s="55" t="n">
        <x:v>0.0739</x:v>
      </x:c>
      <x:c r="N2702" s="54" t="n">
        <x:f>ROUND(J2702*K2702,2)</x:f>
        <x:v>1804.89</x:v>
      </x:c>
      <x:c r="O2702" s="54" t="n">
        <x:f>ROUND(N2702*(1-M2702),2)</x:f>
        <x:v>1671.51</x:v>
      </x:c>
      <x:c r="P2702" s="54" t="n">
        <x:f>ROUND(J2702*L2702,2)</x:f>
        <x:v>1222.82</x:v>
      </x:c>
      <x:c r="Q2702" s="54" t="n">
        <x:f>ROUND(O2702-P2702,2)</x:f>
        <x:v>448.69</x:v>
      </x:c>
      <x:c r="R2702" s="55" t="n">
        <x:f>IF(O2702=0,0,ROUND(Q2702/O2702,4))</x:f>
        <x:v>0.2684</x:v>
      </x:c>
      <x:c r="S2702" s="53" t="n">
        <x:v>8</x:v>
      </x:c>
      <x:c r="T2702" t="str">
        <x:v>Entregue</x:v>
      </x:c>
      <x:c r="U2702" t="n">
        <x:v>5</x:v>
      </x:c>
      <x:c r="V2702" t="str"/>
    </x:row>
    <x:row r="2703">
      <x:c r="A2703" s="52" t="n">
        <x:v>46180</x:v>
      </x:c>
      <x:c r="B2703" t="str">
        <x:v>PED-102702</x:v>
      </x:c>
      <x:c r="C2703" t="str">
        <x:v>Cliente 037</x:v>
      </x:c>
      <x:c r="D2703" t="str">
        <x:v>PE</x:v>
      </x:c>
      <x:c r="E2703" t="str">
        <x:v>Nordeste</x:v>
      </x:c>
      <x:c r="F2703" t="str">
        <x:v>Marketplace</x:v>
      </x:c>
      <x:c r="G2703" t="str">
        <x:v>Escritório</x:v>
      </x:c>
      <x:c r="H2703" t="str">
        <x:v>Luminária LED</x:v>
      </x:c>
      <x:c r="I2703" t="str">
        <x:v>Henrique</x:v>
      </x:c>
      <x:c r="J2703" s="53" t="n">
        <x:v>3</x:v>
      </x:c>
      <x:c r="K2703" s="54" t="n">
        <x:v>257.85</x:v>
      </x:c>
      <x:c r="L2703" s="54" t="n">
        <x:v>117.46</x:v>
      </x:c>
      <x:c r="M2703" s="55" t="n">
        <x:v>0.1075</x:v>
      </x:c>
      <x:c r="N2703" s="54" t="n">
        <x:f>ROUND(J2703*K2703,2)</x:f>
        <x:v>773.55</x:v>
      </x:c>
      <x:c r="O2703" s="54" t="n">
        <x:f>ROUND(N2703*(1-M2703),2)</x:f>
        <x:v>690.39</x:v>
      </x:c>
      <x:c r="P2703" s="54" t="n">
        <x:f>ROUND(J2703*L2703,2)</x:f>
        <x:v>352.38</x:v>
      </x:c>
      <x:c r="Q2703" s="54" t="n">
        <x:f>ROUND(O2703-P2703,2)</x:f>
        <x:v>338.01</x:v>
      </x:c>
      <x:c r="R2703" s="55" t="n">
        <x:f>IF(O2703=0,0,ROUND(Q2703/O2703,4))</x:f>
        <x:v>0.4896</x:v>
      </x:c>
      <x:c r="S2703" s="53" t="n">
        <x:v>19</x:v>
      </x:c>
      <x:c r="T2703" t="str">
        <x:v>Entregue com atraso</x:v>
      </x:c>
      <x:c r="U2703" t="n">
        <x:v>2</x:v>
      </x:c>
      <x:c r="V2703" t="str">
        <x:v>Ocorrência logística</x:v>
      </x:c>
    </x:row>
    <x:row r="2704">
      <x:c r="A2704" s="52" t="n">
        <x:v>46190</x:v>
      </x:c>
      <x:c r="B2704" t="str">
        <x:v>PED-102703</x:v>
      </x:c>
      <x:c r="C2704" t="str">
        <x:v>Cliente 079</x:v>
      </x:c>
      <x:c r="D2704" t="str">
        <x:v>CE</x:v>
      </x:c>
      <x:c r="E2704" t="str">
        <x:v>Nordeste</x:v>
      </x:c>
      <x:c r="F2704" t="str">
        <x:v>Televendas</x:v>
      </x:c>
      <x:c r="G2704" t="str">
        <x:v>Tecnologia</x:v>
      </x:c>
      <x:c r="H2704" t="str">
        <x:v>Notebook Pro</x:v>
      </x:c>
      <x:c r="I2704" t="str">
        <x:v>Bruno</x:v>
      </x:c>
      <x:c r="J2704" s="53" t="n">
        <x:v>4</x:v>
      </x:c>
      <x:c r="K2704" s="54" t="n">
        <x:v>6085.8</x:v>
      </x:c>
      <x:c r="L2704" s="54" t="n">
        <x:v>4436.5</x:v>
      </x:c>
      <x:c r="M2704" s="55" t="n">
        <x:v>0.0023</x:v>
      </x:c>
      <x:c r="N2704" s="54" t="n">
        <x:f>ROUND(J2704*K2704,2)</x:f>
        <x:v>24343.2</x:v>
      </x:c>
      <x:c r="O2704" s="54" t="n">
        <x:f>ROUND(N2704*(1-M2704),2)</x:f>
        <x:v>24287.21</x:v>
      </x:c>
      <x:c r="P2704" s="54" t="n">
        <x:f>ROUND(J2704*L2704,2)</x:f>
        <x:v>17746</x:v>
      </x:c>
      <x:c r="Q2704" s="54" t="n">
        <x:f>ROUND(O2704-P2704,2)</x:f>
        <x:v>6541.21</x:v>
      </x:c>
      <x:c r="R2704" s="55" t="n">
        <x:f>IF(O2704=0,0,ROUND(Q2704/O2704,4))</x:f>
        <x:v>0.2693</x:v>
      </x:c>
      <x:c r="S2704" s="53" t="n">
        <x:v>7</x:v>
      </x:c>
      <x:c r="T2704" t="str">
        <x:v>Entregue</x:v>
      </x:c>
      <x:c r="U2704" t="n">
        <x:v>4</x:v>
      </x:c>
      <x:c r="V2704" t="str"/>
    </x:row>
    <x:row r="2705">
      <x:c r="A2705" s="52" t="n">
        <x:v>46172</x:v>
      </x:c>
      <x:c r="B2705" t="str">
        <x:v>PED-102704</x:v>
      </x:c>
      <x:c r="C2705" t="str">
        <x:v>Cliente 059</x:v>
      </x:c>
      <x:c r="D2705" t="str">
        <x:v>GO</x:v>
      </x:c>
      <x:c r="E2705" t="str">
        <x:v>Centro-Oeste</x:v>
      </x:c>
      <x:c r="F2705" t="str">
        <x:v>Televendas</x:v>
      </x:c>
      <x:c r="G2705" t="str">
        <x:v>Casa</x:v>
      </x:c>
      <x:c r="H2705" t="str">
        <x:v>Aspirador Robô</x:v>
      </x:c>
      <x:c r="I2705" t="str">
        <x:v>Bruno</x:v>
      </x:c>
      <x:c r="J2705" s="53" t="n">
        <x:v>8</x:v>
      </x:c>
      <x:c r="K2705" s="54" t="n">
        <x:v>1819.31</x:v>
      </x:c>
      <x:c r="L2705" s="54" t="n">
        <x:v>1202.85</x:v>
      </x:c>
      <x:c r="M2705" s="55" t="n">
        <x:v>0.0079</x:v>
      </x:c>
      <x:c r="N2705" s="54" t="n">
        <x:f>ROUND(J2705*K2705,2)</x:f>
        <x:v>14554.48</x:v>
      </x:c>
      <x:c r="O2705" s="54" t="n">
        <x:f>ROUND(N2705*(1-M2705),2)</x:f>
        <x:v>14439.5</x:v>
      </x:c>
      <x:c r="P2705" s="54" t="n">
        <x:f>ROUND(J2705*L2705,2)</x:f>
        <x:v>9622.8</x:v>
      </x:c>
      <x:c r="Q2705" s="54" t="n">
        <x:f>ROUND(O2705-P2705,2)</x:f>
        <x:v>4816.7</x:v>
      </x:c>
      <x:c r="R2705" s="55" t="n">
        <x:f>IF(O2705=0,0,ROUND(Q2705/O2705,4))</x:f>
        <x:v>0.3336</x:v>
      </x:c>
      <x:c r="S2705" s="53" t="n">
        <x:v>10</x:v>
      </x:c>
      <x:c r="T2705" t="str">
        <x:v>Entregue</x:v>
      </x:c>
      <x:c r="U2705" t="n">
        <x:v>4</x:v>
      </x:c>
      <x:c r="V2705" t="str"/>
    </x:row>
    <x:row r="2706">
      <x:c r="A2706" s="52" t="n">
        <x:v>46046</x:v>
      </x:c>
      <x:c r="B2706" t="str">
        <x:v>PED-102705</x:v>
      </x:c>
      <x:c r="C2706" t="str">
        <x:v>Cliente 069</x:v>
      </x:c>
      <x:c r="D2706" t="str">
        <x:v>MA</x:v>
      </x:c>
      <x:c r="E2706" t="str">
        <x:v>Nordeste</x:v>
      </x:c>
      <x:c r="F2706" t="str">
        <x:v>Loja</x:v>
      </x:c>
      <x:c r="G2706" t="str">
        <x:v>Escritório</x:v>
      </x:c>
      <x:c r="H2706" t="str">
        <x:v>Cadeira Ergonômica</x:v>
      </x:c>
      <x:c r="I2706" t="str">
        <x:v>Elaine</x:v>
      </x:c>
      <x:c r="J2706" s="53" t="n">
        <x:v>4</x:v>
      </x:c>
      <x:c r="K2706" s="54" t="n">
        <x:v>2162.59</x:v>
      </x:c>
      <x:c r="L2706" s="54" t="n">
        <x:v>1522.75</x:v>
      </x:c>
      <x:c r="M2706" s="55" t="n">
        <x:v>0</x:v>
      </x:c>
      <x:c r="N2706" s="54" t="n">
        <x:f>ROUND(J2706*K2706,2)</x:f>
        <x:v>8650.36</x:v>
      </x:c>
      <x:c r="O2706" s="54" t="n">
        <x:f>ROUND(N2706*(1-M2706),2)</x:f>
        <x:v>8650.36</x:v>
      </x:c>
      <x:c r="P2706" s="54" t="n">
        <x:f>ROUND(J2706*L2706,2)</x:f>
        <x:v>6091</x:v>
      </x:c>
      <x:c r="Q2706" s="54" t="n">
        <x:f>ROUND(O2706-P2706,2)</x:f>
        <x:v>2559.36</x:v>
      </x:c>
      <x:c r="R2706" s="55" t="n">
        <x:f>IF(O2706=0,0,ROUND(Q2706/O2706,4))</x:f>
        <x:v>0.2959</x:v>
      </x:c>
      <x:c r="S2706" s="53" t="n">
        <x:v>6</x:v>
      </x:c>
      <x:c r="T2706" t="str">
        <x:v>Entregue</x:v>
      </x:c>
      <x:c r="U2706" t="n">
        <x:v>5</x:v>
      </x:c>
      <x:c r="V2706" t="str"/>
    </x:row>
    <x:row r="2707">
      <x:c r="A2707" s="52" t="n">
        <x:v>46157</x:v>
      </x:c>
      <x:c r="B2707" t="str">
        <x:v>PED-102706</x:v>
      </x:c>
      <x:c r="C2707" t="str">
        <x:v>Cliente 025</x:v>
      </x:c>
      <x:c r="D2707" t="str">
        <x:v>SC</x:v>
      </x:c>
      <x:c r="E2707" t="str">
        <x:v>Sul</x:v>
      </x:c>
      <x:c r="F2707" t="str">
        <x:v>Televendas</x:v>
      </x:c>
      <x:c r="G2707" t="str">
        <x:v>Escritório</x:v>
      </x:c>
      <x:c r="H2707" t="str">
        <x:v>Luminária LED</x:v>
      </x:c>
      <x:c r="I2707" t="str">
        <x:v>Henrique</x:v>
      </x:c>
      <x:c r="J2707" s="53" t="n">
        <x:v>1</x:v>
      </x:c>
      <x:c r="K2707" s="54" t="n">
        <x:v>264.85</x:v>
      </x:c>
      <x:c r="L2707" s="54" t="n">
        <x:v>115.59</x:v>
      </x:c>
      <x:c r="M2707" s="55" t="n">
        <x:v>0.0625</x:v>
      </x:c>
      <x:c r="N2707" s="54" t="n">
        <x:f>ROUND(J2707*K2707,2)</x:f>
        <x:v>264.85</x:v>
      </x:c>
      <x:c r="O2707" s="54" t="n">
        <x:f>ROUND(N2707*(1-M2707),2)</x:f>
        <x:v>248.3</x:v>
      </x:c>
      <x:c r="P2707" s="54" t="n">
        <x:f>ROUND(J2707*L2707,2)</x:f>
        <x:v>115.59</x:v>
      </x:c>
      <x:c r="Q2707" s="54" t="n">
        <x:f>ROUND(O2707-P2707,2)</x:f>
        <x:v>132.71</x:v>
      </x:c>
      <x:c r="R2707" s="55" t="n">
        <x:f>IF(O2707=0,0,ROUND(Q2707/O2707,4))</x:f>
        <x:v>0.5345</x:v>
      </x:c>
      <x:c r="S2707" s="53" t="n">
        <x:v>9</x:v>
      </x:c>
      <x:c r="T2707" t="str">
        <x:v>Entregue</x:v>
      </x:c>
      <x:c r="U2707" t="n">
        <x:v>5</x:v>
      </x:c>
      <x:c r="V2707" t="str"/>
    </x:row>
    <x:row r="2708">
      <x:c r="A2708" s="52" t="n">
        <x:v>46188</x:v>
      </x:c>
      <x:c r="B2708" t="str">
        <x:v>PED-102707</x:v>
      </x:c>
      <x:c r="C2708" t="str">
        <x:v>Cliente 049</x:v>
      </x:c>
      <x:c r="D2708" t="str">
        <x:v>BA</x:v>
      </x:c>
      <x:c r="E2708" t="str">
        <x:v>Nordeste</x:v>
      </x:c>
      <x:c r="F2708" t="str">
        <x:v>Loja</x:v>
      </x:c>
      <x:c r="G2708" t="str">
        <x:v>Acessórios</x:v>
      </x:c>
      <x:c r="H2708" t="str">
        <x:v>Mochila Executiva</x:v>
      </x:c>
      <x:c r="I2708" t="str">
        <x:v>Elaine</x:v>
      </x:c>
      <x:c r="J2708" s="53" t="n">
        <x:v>2</x:v>
      </x:c>
      <x:c r="K2708" s="54" t="n">
        <x:v>450.77</x:v>
      </x:c>
      <x:c r="L2708" s="54" t="n">
        <x:v>190.18</x:v>
      </x:c>
      <x:c r="M2708" s="55" t="n">
        <x:v>0</x:v>
      </x:c>
      <x:c r="N2708" s="54" t="n">
        <x:f>ROUND(J2708*K2708,2)</x:f>
        <x:v>901.54</x:v>
      </x:c>
      <x:c r="O2708" s="54" t="n">
        <x:f>ROUND(N2708*(1-M2708),2)</x:f>
        <x:v>901.54</x:v>
      </x:c>
      <x:c r="P2708" s="54" t="n">
        <x:f>ROUND(J2708*L2708,2)</x:f>
        <x:v>380.36</x:v>
      </x:c>
      <x:c r="Q2708" s="54" t="n">
        <x:f>ROUND(O2708-P2708,2)</x:f>
        <x:v>521.18</x:v>
      </x:c>
      <x:c r="R2708" s="55" t="n">
        <x:f>IF(O2708=0,0,ROUND(Q2708/O2708,4))</x:f>
        <x:v>0.5781</x:v>
      </x:c>
      <x:c r="S2708" s="53" t="n">
        <x:v>9</x:v>
      </x:c>
      <x:c r="T2708" t="str">
        <x:v>Entregue</x:v>
      </x:c>
      <x:c r="U2708" t="n">
        <x:v>3</x:v>
      </x:c>
      <x:c r="V2708" t="str"/>
    </x:row>
    <x:row r="2709">
      <x:c r="A2709" s="52" t="n">
        <x:v>46044</x:v>
      </x:c>
      <x:c r="B2709" t="str">
        <x:v>PED-102708</x:v>
      </x:c>
      <x:c r="C2709" t="str">
        <x:v>Cliente 069</x:v>
      </x:c>
      <x:c r="D2709" t="str">
        <x:v>PR</x:v>
      </x:c>
      <x:c r="E2709" t="str">
        <x:v>Sul</x:v>
      </x:c>
      <x:c r="F2709" t="str">
        <x:v>Marketplace</x:v>
      </x:c>
      <x:c r="G2709" t="str">
        <x:v>Casa</x:v>
      </x:c>
      <x:c r="H2709" t="str">
        <x:v>Cafeteira Smart</x:v>
      </x:c>
      <x:c r="I2709" t="str">
        <x:v>Isabela</x:v>
      </x:c>
      <x:c r="J2709" s="53" t="n">
        <x:v>5</x:v>
      </x:c>
      <x:c r="K2709" s="54" t="n">
        <x:v>796.02</x:v>
      </x:c>
      <x:c r="L2709" s="54" t="n">
        <x:v>466.99</x:v>
      </x:c>
      <x:c r="M2709" s="55" t="n">
        <x:v>0.035</x:v>
      </x:c>
      <x:c r="N2709" s="54" t="n">
        <x:f>ROUND(J2709*K2709,2)</x:f>
        <x:v>3980.1</x:v>
      </x:c>
      <x:c r="O2709" s="54" t="n">
        <x:f>ROUND(N2709*(1-M2709),2)</x:f>
        <x:v>3840.8</x:v>
      </x:c>
      <x:c r="P2709" s="54" t="n">
        <x:f>ROUND(J2709*L2709,2)</x:f>
        <x:v>2334.95</x:v>
      </x:c>
      <x:c r="Q2709" s="54" t="n">
        <x:f>ROUND(O2709-P2709,2)</x:f>
        <x:v>1505.85</x:v>
      </x:c>
      <x:c r="R2709" s="55" t="n">
        <x:f>IF(O2709=0,0,ROUND(Q2709/O2709,4))</x:f>
        <x:v>0.3921</x:v>
      </x:c>
      <x:c r="S2709" s="53" t="n">
        <x:v>4</x:v>
      </x:c>
      <x:c r="T2709" t="str">
        <x:v>Entregue</x:v>
      </x:c>
      <x:c r="U2709" t="n">
        <x:v>4</x:v>
      </x:c>
      <x:c r="V2709" t="str"/>
    </x:row>
    <x:row r="2710">
      <x:c r="A2710" s="52" t="n">
        <x:v>46123</x:v>
      </x:c>
      <x:c r="B2710" t="str">
        <x:v>PED-102709</x:v>
      </x:c>
      <x:c r="C2710" t="str">
        <x:v>Cliente 085</x:v>
      </x:c>
      <x:c r="D2710" t="str">
        <x:v>PA</x:v>
      </x:c>
      <x:c r="E2710" t="str">
        <x:v>Norte</x:v>
      </x:c>
      <x:c r="F2710" t="str">
        <x:v>Loja</x:v>
      </x:c>
      <x:c r="G2710" t="str">
        <x:v>Tecnologia</x:v>
      </x:c>
      <x:c r="H2710" t="str">
        <x:v>Notebook Pro</x:v>
      </x:c>
      <x:c r="I2710" t="str">
        <x:v>Bruno</x:v>
      </x:c>
      <x:c r="J2710" s="53" t="n">
        <x:v>5</x:v>
      </x:c>
      <x:c r="K2710" s="54" t="n">
        <x:v>5727.65</x:v>
      </x:c>
      <x:c r="L2710" s="54" t="n">
        <x:v>4507.34</x:v>
      </x:c>
      <x:c r="M2710" s="55" t="n">
        <x:v>0</x:v>
      </x:c>
      <x:c r="N2710" s="54" t="n">
        <x:f>ROUND(J2710*K2710,2)</x:f>
        <x:v>28638.25</x:v>
      </x:c>
      <x:c r="O2710" s="54" t="n">
        <x:f>ROUND(N2710*(1-M2710),2)</x:f>
        <x:v>28638.25</x:v>
      </x:c>
      <x:c r="P2710" s="54" t="n">
        <x:f>ROUND(J2710*L2710,2)</x:f>
        <x:v>22536.7</x:v>
      </x:c>
      <x:c r="Q2710" s="54" t="n">
        <x:f>ROUND(O2710-P2710,2)</x:f>
        <x:v>6101.55</x:v>
      </x:c>
      <x:c r="R2710" s="55" t="n">
        <x:f>IF(O2710=0,0,ROUND(Q2710/O2710,4))</x:f>
        <x:v>0.2131</x:v>
      </x:c>
      <x:c r="S2710" s="53" t="n">
        <x:v>2</x:v>
      </x:c>
      <x:c r="T2710" t="str">
        <x:v>Entregue</x:v>
      </x:c>
      <x:c r="U2710" t="n">
        <x:v>3</x:v>
      </x:c>
      <x:c r="V2710" t="str"/>
    </x:row>
    <x:row r="2711">
      <x:c r="A2711" s="52" t="n">
        <x:v>46229</x:v>
      </x:c>
      <x:c r="B2711" t="str">
        <x:v>PED-102710</x:v>
      </x:c>
      <x:c r="C2711" t="str">
        <x:v>Cliente 049</x:v>
      </x:c>
      <x:c r="D2711" t="str">
        <x:v>GO</x:v>
      </x:c>
      <x:c r="E2711" t="str">
        <x:v>Centro-Oeste</x:v>
      </x:c>
      <x:c r="F2711" t="str">
        <x:v>Marketplace</x:v>
      </x:c>
      <x:c r="G2711" t="str">
        <x:v>Tecnologia</x:v>
      </x:c>
      <x:c r="H2711" t="str">
        <x:v>Headset Office</x:v>
      </x:c>
      <x:c r="I2711" t="str">
        <x:v>João</x:v>
      </x:c>
      <x:c r="J2711" s="53" t="n">
        <x:v>5</x:v>
      </x:c>
      <x:c r="K2711" s="54" t="n">
        <x:v>380.74</x:v>
      </x:c>
      <x:c r="L2711" s="54" t="n">
        <x:v>220.3</x:v>
      </x:c>
      <x:c r="M2711" s="55" t="n">
        <x:v>0.0449</x:v>
      </x:c>
      <x:c r="N2711" s="54" t="n">
        <x:f>ROUND(J2711*K2711,2)</x:f>
        <x:v>1903.7</x:v>
      </x:c>
      <x:c r="O2711" s="54" t="n">
        <x:f>ROUND(N2711*(1-M2711),2)</x:f>
        <x:v>1818.22</x:v>
      </x:c>
      <x:c r="P2711" s="54" t="n">
        <x:f>ROUND(J2711*L2711,2)</x:f>
        <x:v>1101.5</x:v>
      </x:c>
      <x:c r="Q2711" s="54" t="n">
        <x:f>ROUND(O2711-P2711,2)</x:f>
        <x:v>716.72</x:v>
      </x:c>
      <x:c r="R2711" s="55" t="n">
        <x:f>IF(O2711=0,0,ROUND(Q2711/O2711,4))</x:f>
        <x:v>0.3942</x:v>
      </x:c>
      <x:c r="S2711" s="53" t="n">
        <x:v>11</x:v>
      </x:c>
      <x:c r="T2711" t="str">
        <x:v>Entregue com atraso</x:v>
      </x:c>
      <x:c r="U2711" t="n">
        <x:v>5</x:v>
      </x:c>
      <x:c r="V2711" t="str"/>
    </x:row>
    <x:row r="2712">
      <x:c r="A2712" s="52" t="n">
        <x:v>46123</x:v>
      </x:c>
      <x:c r="B2712" t="str">
        <x:v>PED-102711</x:v>
      </x:c>
      <x:c r="C2712" t="str">
        <x:v>Cliente 116</x:v>
      </x:c>
      <x:c r="D2712" t="str">
        <x:v>GO</x:v>
      </x:c>
      <x:c r="E2712" t="str">
        <x:v>Centro-Oeste</x:v>
      </x:c>
      <x:c r="F2712" t="str">
        <x:v>E-commerce</x:v>
      </x:c>
      <x:c r="G2712" t="str">
        <x:v>Acessórios</x:v>
      </x:c>
      <x:c r="H2712" t="str">
        <x:v>Hub USB-C</x:v>
      </x:c>
      <x:c r="I2712" t="str">
        <x:v>Diego</x:v>
      </x:c>
      <x:c r="J2712" s="53" t="n">
        <x:v>2</x:v>
      </x:c>
      <x:c r="K2712" s="54" t="n">
        <x:v>301.5</x:v>
      </x:c>
      <x:c r="L2712" s="54" t="n">
        <x:v>139.48</x:v>
      </x:c>
      <x:c r="M2712" s="55" t="n">
        <x:v>0.0955</x:v>
      </x:c>
      <x:c r="N2712" s="54" t="n">
        <x:f>ROUND(J2712*K2712,2)</x:f>
        <x:v>603</x:v>
      </x:c>
      <x:c r="O2712" s="54" t="n">
        <x:f>ROUND(N2712*(1-M2712),2)</x:f>
        <x:v>545.41</x:v>
      </x:c>
      <x:c r="P2712" s="54" t="n">
        <x:f>ROUND(J2712*L2712,2)</x:f>
        <x:v>278.96</x:v>
      </x:c>
      <x:c r="Q2712" s="54" t="n">
        <x:f>ROUND(O2712-P2712,2)</x:f>
        <x:v>266.45</x:v>
      </x:c>
      <x:c r="R2712" s="55" t="n">
        <x:f>IF(O2712=0,0,ROUND(Q2712/O2712,4))</x:f>
        <x:v>0.4885</x:v>
      </x:c>
      <x:c r="S2712" s="53" t="n">
        <x:v>7</x:v>
      </x:c>
      <x:c r="T2712" t="str">
        <x:v>Entregue</x:v>
      </x:c>
      <x:c r="U2712" t="n">
        <x:v>3</x:v>
      </x:c>
      <x:c r="V2712" t="str"/>
    </x:row>
    <x:row r="2713">
      <x:c r="A2713" s="52" t="n">
        <x:v>46059</x:v>
      </x:c>
      <x:c r="B2713" t="str">
        <x:v>PED-102712</x:v>
      </x:c>
      <x:c r="C2713" t="str">
        <x:v>Cliente 008</x:v>
      </x:c>
      <x:c r="D2713" t="str">
        <x:v>PR</x:v>
      </x:c>
      <x:c r="E2713" t="str">
        <x:v>Sul</x:v>
      </x:c>
      <x:c r="F2713" t="str">
        <x:v>Loja</x:v>
      </x:c>
      <x:c r="G2713" t="str">
        <x:v>Tecnologia</x:v>
      </x:c>
      <x:c r="H2713" t="str">
        <x:v>Monitor 27</x:v>
      </x:c>
      <x:c r="I2713" t="str">
        <x:v>João</x:v>
      </x:c>
      <x:c r="J2713" s="53" t="n">
        <x:v>6</x:v>
      </x:c>
      <x:c r="K2713" s="54" t="n">
        <x:v>1710.69</x:v>
      </x:c>
      <x:c r="L2713" s="54" t="n">
        <x:v>1065.02</x:v>
      </x:c>
      <x:c r="M2713" s="55" t="n">
        <x:v>0.1117</x:v>
      </x:c>
      <x:c r="N2713" s="54" t="n">
        <x:f>ROUND(J2713*K2713,2)</x:f>
        <x:v>10264.14</x:v>
      </x:c>
      <x:c r="O2713" s="54" t="n">
        <x:f>ROUND(N2713*(1-M2713),2)</x:f>
        <x:v>9117.64</x:v>
      </x:c>
      <x:c r="P2713" s="54" t="n">
        <x:f>ROUND(J2713*L2713,2)</x:f>
        <x:v>6390.12</x:v>
      </x:c>
      <x:c r="Q2713" s="54" t="n">
        <x:f>ROUND(O2713-P2713,2)</x:f>
        <x:v>2727.52</x:v>
      </x:c>
      <x:c r="R2713" s="55" t="n">
        <x:f>IF(O2713=0,0,ROUND(Q2713/O2713,4))</x:f>
        <x:v>0.2991</x:v>
      </x:c>
      <x:c r="S2713" s="53" t="n">
        <x:v>13</x:v>
      </x:c>
      <x:c r="T2713" t="str">
        <x:v>Entregue com atraso</x:v>
      </x:c>
      <x:c r="U2713" t="n">
        <x:v>2</x:v>
      </x:c>
      <x:c r="V2713" t="str"/>
    </x:row>
    <x:row r="2714">
      <x:c r="A2714" s="52" t="n">
        <x:v>46081</x:v>
      </x:c>
      <x:c r="B2714" t="str">
        <x:v>PED-102713</x:v>
      </x:c>
      <x:c r="C2714" t="str">
        <x:v>Cliente 079</x:v>
      </x:c>
      <x:c r="D2714" t="str">
        <x:v>MA</x:v>
      </x:c>
      <x:c r="E2714" t="str">
        <x:v>Nordeste</x:v>
      </x:c>
      <x:c r="F2714" t="str">
        <x:v>Televendas</x:v>
      </x:c>
      <x:c r="G2714" t="str">
        <x:v>Casa</x:v>
      </x:c>
      <x:c r="H2714" t="str">
        <x:v>Cafeteira Smart</x:v>
      </x:c>
      <x:c r="I2714" t="str">
        <x:v>Isabela</x:v>
      </x:c>
      <x:c r="J2714" s="53" t="n">
        <x:v>4</x:v>
      </x:c>
      <x:c r="K2714" s="54" t="n">
        <x:v>810.26</x:v>
      </x:c>
      <x:c r="L2714" s="54" t="n">
        <x:v>463.94</x:v>
      </x:c>
      <x:c r="M2714" s="55" t="n">
        <x:v>0</x:v>
      </x:c>
      <x:c r="N2714" s="54" t="n">
        <x:f>ROUND(J2714*K2714,2)</x:f>
        <x:v>3241.04</x:v>
      </x:c>
      <x:c r="O2714" s="54" t="n">
        <x:f>ROUND(N2714*(1-M2714),2)</x:f>
        <x:v>3241.04</x:v>
      </x:c>
      <x:c r="P2714" s="54" t="n">
        <x:f>ROUND(J2714*L2714,2)</x:f>
        <x:v>1855.76</x:v>
      </x:c>
      <x:c r="Q2714" s="54" t="n">
        <x:f>ROUND(O2714-P2714,2)</x:f>
        <x:v>1385.28</x:v>
      </x:c>
      <x:c r="R2714" s="55" t="n">
        <x:f>IF(O2714=0,0,ROUND(Q2714/O2714,4))</x:f>
        <x:v>0.4274</x:v>
      </x:c>
      <x:c r="S2714" s="53" t="n">
        <x:v>2</x:v>
      </x:c>
      <x:c r="T2714" t="str">
        <x:v>Entregue</x:v>
      </x:c>
      <x:c r="U2714" t="n">
        <x:v>3</x:v>
      </x:c>
      <x:c r="V2714" t="str"/>
    </x:row>
    <x:row r="2715">
      <x:c r="A2715" s="52" t="n">
        <x:v>46098</x:v>
      </x:c>
      <x:c r="B2715" t="str">
        <x:v>PED-102714</x:v>
      </x:c>
      <x:c r="C2715" t="str">
        <x:v>Cliente 030</x:v>
      </x:c>
      <x:c r="D2715" t="str">
        <x:v>SP</x:v>
      </x:c>
      <x:c r="E2715" t="str">
        <x:v>Sudeste</x:v>
      </x:c>
      <x:c r="F2715" t="str">
        <x:v>Loja</x:v>
      </x:c>
      <x:c r="G2715" t="str">
        <x:v>Casa</x:v>
      </x:c>
      <x:c r="H2715" t="str">
        <x:v>Aspirador Robô</x:v>
      </x:c>
      <x:c r="I2715" t="str">
        <x:v>Bruno</x:v>
      </x:c>
      <x:c r="J2715" s="53" t="n">
        <x:v>3</x:v>
      </x:c>
      <x:c r="K2715" s="54" t="n">
        <x:v>1876.99</x:v>
      </x:c>
      <x:c r="L2715" s="54" t="n">
        <x:v>1179.49</x:v>
      </x:c>
      <x:c r="M2715" s="55" t="n">
        <x:v>0.0171</x:v>
      </x:c>
      <x:c r="N2715" s="54" t="n">
        <x:f>ROUND(J2715*K2715,2)</x:f>
        <x:v>5630.97</x:v>
      </x:c>
      <x:c r="O2715" s="54" t="n">
        <x:f>ROUND(N2715*(1-M2715),2)</x:f>
        <x:v>5534.68</x:v>
      </x:c>
      <x:c r="P2715" s="54" t="n">
        <x:f>ROUND(J2715*L2715,2)</x:f>
        <x:v>3538.47</x:v>
      </x:c>
      <x:c r="Q2715" s="54" t="n">
        <x:f>ROUND(O2715-P2715,2)</x:f>
        <x:v>1996.21</x:v>
      </x:c>
      <x:c r="R2715" s="55" t="n">
        <x:f>IF(O2715=0,0,ROUND(Q2715/O2715,4))</x:f>
        <x:v>0.3607</x:v>
      </x:c>
      <x:c r="S2715" s="53" t="n">
        <x:v>14</x:v>
      </x:c>
      <x:c r="T2715" t="str">
        <x:v>Entregue com atraso</x:v>
      </x:c>
      <x:c r="U2715" t="n">
        <x:v>4</x:v>
      </x:c>
      <x:c r="V2715" t="str"/>
    </x:row>
    <x:row r="2716">
      <x:c r="A2716" s="52" t="n">
        <x:v>46100</x:v>
      </x:c>
      <x:c r="B2716" t="str">
        <x:v>PED-102715</x:v>
      </x:c>
      <x:c r="C2716" t="str">
        <x:v>Cliente 058</x:v>
      </x:c>
      <x:c r="D2716" t="str">
        <x:v>RS</x:v>
      </x:c>
      <x:c r="E2716" t="str">
        <x:v>Sul</x:v>
      </x:c>
      <x:c r="F2716" t="str">
        <x:v>Loja</x:v>
      </x:c>
      <x:c r="G2716" t="str">
        <x:v>Casa</x:v>
      </x:c>
      <x:c r="H2716" t="str">
        <x:v>Purificador</x:v>
      </x:c>
      <x:c r="I2716" t="str">
        <x:v>Ana</x:v>
      </x:c>
      <x:c r="J2716" s="53" t="n">
        <x:v>2</x:v>
      </x:c>
      <x:c r="K2716" s="54" t="n">
        <x:v>1245.19</x:v>
      </x:c>
      <x:c r="L2716" s="54" t="n">
        <x:v>777.71</x:v>
      </x:c>
      <x:c r="M2716" s="55" t="n">
        <x:v>0.0962</x:v>
      </x:c>
      <x:c r="N2716" s="54" t="n">
        <x:f>ROUND(J2716*K2716,2)</x:f>
        <x:v>2490.38</x:v>
      </x:c>
      <x:c r="O2716" s="54" t="n">
        <x:f>ROUND(N2716*(1-M2716),2)</x:f>
        <x:v>2250.81</x:v>
      </x:c>
      <x:c r="P2716" s="54" t="n">
        <x:f>ROUND(J2716*L2716,2)</x:f>
        <x:v>1555.42</x:v>
      </x:c>
      <x:c r="Q2716" s="54" t="n">
        <x:f>ROUND(O2716-P2716,2)</x:f>
        <x:v>695.39</x:v>
      </x:c>
      <x:c r="R2716" s="55" t="n">
        <x:f>IF(O2716=0,0,ROUND(Q2716/O2716,4))</x:f>
        <x:v>0.309</x:v>
      </x:c>
      <x:c r="S2716" s="53" t="n">
        <x:v>2</x:v>
      </x:c>
      <x:c r="T2716" t="str">
        <x:v>Entregue</x:v>
      </x:c>
      <x:c r="U2716" t="n">
        <x:v>5</x:v>
      </x:c>
      <x:c r="V2716" t="str"/>
    </x:row>
    <x:row r="2717">
      <x:c r="A2717" s="52" t="n">
        <x:v>46146</x:v>
      </x:c>
      <x:c r="B2717" t="str">
        <x:v>PED-102716</x:v>
      </x:c>
      <x:c r="C2717" t="str">
        <x:v>Cliente 037</x:v>
      </x:c>
      <x:c r="D2717" t="str">
        <x:v>SC</x:v>
      </x:c>
      <x:c r="E2717" t="str">
        <x:v>Sul</x:v>
      </x:c>
      <x:c r="F2717" t="str">
        <x:v>Marketplace</x:v>
      </x:c>
      <x:c r="G2717" t="str">
        <x:v>Acessórios</x:v>
      </x:c>
      <x:c r="H2717" t="str">
        <x:v>Webcam HD</x:v>
      </x:c>
      <x:c r="I2717" t="str">
        <x:v>Bruno</x:v>
      </x:c>
      <x:c r="J2717" s="53" t="n">
        <x:v>7</x:v>
      </x:c>
      <x:c r="K2717" s="54" t="n">
        <x:v>530.66</x:v>
      </x:c>
      <x:c r="L2717" s="54" t="n">
        <x:v>238.78</x:v>
      </x:c>
      <x:c r="M2717" s="55" t="n">
        <x:v>0.0649</x:v>
      </x:c>
      <x:c r="N2717" s="54" t="n">
        <x:f>ROUND(J2717*K2717,2)</x:f>
        <x:v>3714.62</x:v>
      </x:c>
      <x:c r="O2717" s="54" t="n">
        <x:f>ROUND(N2717*(1-M2717),2)</x:f>
        <x:v>3473.54</x:v>
      </x:c>
      <x:c r="P2717" s="54" t="n">
        <x:f>ROUND(J2717*L2717,2)</x:f>
        <x:v>1671.46</x:v>
      </x:c>
      <x:c r="Q2717" s="54" t="n">
        <x:f>ROUND(O2717-P2717,2)</x:f>
        <x:v>1802.08</x:v>
      </x:c>
      <x:c r="R2717" s="55" t="n">
        <x:f>IF(O2717=0,0,ROUND(Q2717/O2717,4))</x:f>
        <x:v>0.5188</x:v>
      </x:c>
      <x:c r="S2717" s="53" t="n">
        <x:v>14</x:v>
      </x:c>
      <x:c r="T2717" t="str">
        <x:v>Entregue com atraso</x:v>
      </x:c>
      <x:c r="U2717" t="n">
        <x:v>5</x:v>
      </x:c>
      <x:c r="V2717" t="str"/>
    </x:row>
    <x:row r="2718">
      <x:c r="A2718" s="52" t="n">
        <x:v>46229</x:v>
      </x:c>
      <x:c r="B2718" t="str">
        <x:v>PED-102717</x:v>
      </x:c>
      <x:c r="C2718" t="str">
        <x:v>Cliente 003</x:v>
      </x:c>
      <x:c r="D2718" t="str">
        <x:v>PA</x:v>
      </x:c>
      <x:c r="E2718" t="str">
        <x:v>Norte</x:v>
      </x:c>
      <x:c r="F2718" t="str">
        <x:v>Loja</x:v>
      </x:c>
      <x:c r="G2718" t="str">
        <x:v>Escritório</x:v>
      </x:c>
      <x:c r="H2718" t="str">
        <x:v>Cadeira Ergonômica</x:v>
      </x:c>
      <x:c r="I2718" t="str">
        <x:v>Felipe</x:v>
      </x:c>
      <x:c r="J2718" s="53" t="n">
        <x:v>4</x:v>
      </x:c>
      <x:c r="K2718" s="54" t="n">
        <x:v>2209.39</x:v>
      </x:c>
      <x:c r="L2718" s="54" t="n">
        <x:v>1458.01</x:v>
      </x:c>
      <x:c r="M2718" s="55" t="n">
        <x:v>0</x:v>
      </x:c>
      <x:c r="N2718" s="54" t="n">
        <x:f>ROUND(J2718*K2718,2)</x:f>
        <x:v>8837.56</x:v>
      </x:c>
      <x:c r="O2718" s="54" t="n">
        <x:f>ROUND(N2718*(1-M2718),2)</x:f>
        <x:v>8837.56</x:v>
      </x:c>
      <x:c r="P2718" s="54" t="n">
        <x:f>ROUND(J2718*L2718,2)</x:f>
        <x:v>5832.04</x:v>
      </x:c>
      <x:c r="Q2718" s="54" t="n">
        <x:f>ROUND(O2718-P2718,2)</x:f>
        <x:v>3005.52</x:v>
      </x:c>
      <x:c r="R2718" s="55" t="n">
        <x:f>IF(O2718=0,0,ROUND(Q2718/O2718,4))</x:f>
        <x:v>0.3401</x:v>
      </x:c>
      <x:c r="S2718" s="53" t="n">
        <x:v>4</x:v>
      </x:c>
      <x:c r="T2718" t="str">
        <x:v>Entregue</x:v>
      </x:c>
      <x:c r="U2718" t="n">
        <x:v>4</x:v>
      </x:c>
      <x:c r="V2718" t="str"/>
    </x:row>
    <x:row r="2719">
      <x:c r="A2719" s="52" t="n">
        <x:v>46149</x:v>
      </x:c>
      <x:c r="B2719" t="str">
        <x:v>PED-102718</x:v>
      </x:c>
      <x:c r="C2719" t="str">
        <x:v>Cliente 084</x:v>
      </x:c>
      <x:c r="D2719" t="str">
        <x:v>PE</x:v>
      </x:c>
      <x:c r="E2719" t="str">
        <x:v>Nordeste</x:v>
      </x:c>
      <x:c r="F2719" t="str">
        <x:v>Marketplace</x:v>
      </x:c>
      <x:c r="G2719" t="str">
        <x:v>Escritório</x:v>
      </x:c>
      <x:c r="H2719" t="str">
        <x:v>Mesa Ajustável</x:v>
      </x:c>
      <x:c r="I2719" t="str">
        <x:v>Ana</x:v>
      </x:c>
      <x:c r="J2719" s="53" t="n">
        <x:v>7</x:v>
      </x:c>
      <x:c r="K2719" s="54" t="n">
        <x:v>2694.56</x:v>
      </x:c>
      <x:c r="L2719" s="54" t="n">
        <x:v>1961.73</x:v>
      </x:c>
      <x:c r="M2719" s="55" t="n">
        <x:v>0.0993</x:v>
      </x:c>
      <x:c r="N2719" s="54" t="n">
        <x:f>ROUND(J2719*K2719,2)</x:f>
        <x:v>18861.92</x:v>
      </x:c>
      <x:c r="O2719" s="54" t="n">
        <x:f>ROUND(N2719*(1-M2719),2)</x:f>
        <x:v>16988.93</x:v>
      </x:c>
      <x:c r="P2719" s="54" t="n">
        <x:f>ROUND(J2719*L2719,2)</x:f>
        <x:v>13732.11</x:v>
      </x:c>
      <x:c r="Q2719" s="54" t="n">
        <x:f>ROUND(O2719-P2719,2)</x:f>
        <x:v>3256.82</x:v>
      </x:c>
      <x:c r="R2719" s="55" t="n">
        <x:f>IF(O2719=0,0,ROUND(Q2719/O2719,4))</x:f>
        <x:v>0.1917</x:v>
      </x:c>
      <x:c r="S2719" s="53" t="n">
        <x:v>8</x:v>
      </x:c>
      <x:c r="T2719" t="str">
        <x:v>Entregue</x:v>
      </x:c>
      <x:c r="U2719" t="n">
        <x:v>5</x:v>
      </x:c>
      <x:c r="V2719" t="str"/>
    </x:row>
    <x:row r="2720">
      <x:c r="A2720" s="52" t="n">
        <x:v>46086</x:v>
      </x:c>
      <x:c r="B2720" t="str">
        <x:v>PED-102719</x:v>
      </x:c>
      <x:c r="C2720" t="str">
        <x:v>Cliente 106</x:v>
      </x:c>
      <x:c r="D2720" t="str">
        <x:v>MA</x:v>
      </x:c>
      <x:c r="E2720" t="str">
        <x:v>Nordeste</x:v>
      </x:c>
      <x:c r="F2720" t="str">
        <x:v>E-commerce</x:v>
      </x:c>
      <x:c r="G2720" t="str">
        <x:v>Escritório</x:v>
      </x:c>
      <x:c r="H2720" t="str">
        <x:v>Mesa Ajustável</x:v>
      </x:c>
      <x:c r="I2720" t="str">
        <x:v>Diego</x:v>
      </x:c>
      <x:c r="J2720" s="53" t="n">
        <x:v>3</x:v>
      </x:c>
      <x:c r="K2720" s="54" t="n">
        <x:v>2858.06</x:v>
      </x:c>
      <x:c r="L2720" s="54" t="n">
        <x:v>1890.38</x:v>
      </x:c>
      <x:c r="M2720" s="55" t="n">
        <x:v>0.0991</x:v>
      </x:c>
      <x:c r="N2720" s="54" t="n">
        <x:f>ROUND(J2720*K2720,2)</x:f>
        <x:v>8574.18</x:v>
      </x:c>
      <x:c r="O2720" s="54" t="n">
        <x:f>ROUND(N2720*(1-M2720),2)</x:f>
        <x:v>7724.48</x:v>
      </x:c>
      <x:c r="P2720" s="54" t="n">
        <x:f>ROUND(J2720*L2720,2)</x:f>
        <x:v>5671.14</x:v>
      </x:c>
      <x:c r="Q2720" s="54" t="n">
        <x:f>ROUND(O2720-P2720,2)</x:f>
        <x:v>2053.34</x:v>
      </x:c>
      <x:c r="R2720" s="55" t="n">
        <x:f>IF(O2720=0,0,ROUND(Q2720/O2720,4))</x:f>
        <x:v>0.2658</x:v>
      </x:c>
      <x:c r="S2720" s="53" t="n">
        <x:v>5</x:v>
      </x:c>
      <x:c r="T2720" t="str">
        <x:v>Entregue</x:v>
      </x:c>
      <x:c r="U2720" t="n">
        <x:v>2</x:v>
      </x:c>
      <x:c r="V2720" t="str"/>
    </x:row>
    <x:row r="2721">
      <x:c r="A2721" s="52" t="n">
        <x:v>46143</x:v>
      </x:c>
      <x:c r="B2721" t="str">
        <x:v>PED-102720</x:v>
      </x:c>
      <x:c r="C2721" t="str">
        <x:v>Cliente 064</x:v>
      </x:c>
      <x:c r="D2721" t="str">
        <x:v>DF</x:v>
      </x:c>
      <x:c r="E2721" t="str">
        <x:v>Centro-Oeste</x:v>
      </x:c>
      <x:c r="F2721" t="str">
        <x:v>E-commerce</x:v>
      </x:c>
      <x:c r="G2721" t="str">
        <x:v>Tecnologia</x:v>
      </x:c>
      <x:c r="H2721" t="str">
        <x:v>Monitor 27</x:v>
      </x:c>
      <x:c r="I2721" t="str">
        <x:v>Henrique</x:v>
      </x:c>
      <x:c r="J2721" s="53" t="n">
        <x:v>8</x:v>
      </x:c>
      <x:c r="K2721" s="54" t="n">
        <x:v>1622.48</x:v>
      </x:c>
      <x:c r="L2721" s="54" t="n">
        <x:v>1063.39</x:v>
      </x:c>
      <x:c r="M2721" s="55" t="n">
        <x:v>0.0526</x:v>
      </x:c>
      <x:c r="N2721" s="54" t="n">
        <x:f>ROUND(J2721*K2721,2)</x:f>
        <x:v>12979.84</x:v>
      </x:c>
      <x:c r="O2721" s="54" t="n">
        <x:f>ROUND(N2721*(1-M2721),2)</x:f>
        <x:v>12297.1</x:v>
      </x:c>
      <x:c r="P2721" s="54" t="n">
        <x:f>ROUND(J2721*L2721,2)</x:f>
        <x:v>8507.12</x:v>
      </x:c>
      <x:c r="Q2721" s="54" t="n">
        <x:f>ROUND(O2721-P2721,2)</x:f>
        <x:v>3789.98</x:v>
      </x:c>
      <x:c r="R2721" s="55" t="n">
        <x:f>IF(O2721=0,0,ROUND(Q2721/O2721,4))</x:f>
        <x:v>0.3082</x:v>
      </x:c>
      <x:c r="S2721" s="53" t="n">
        <x:v>12</x:v>
      </x:c>
      <x:c r="T2721" t="str">
        <x:v>Entregue com atraso</x:v>
      </x:c>
      <x:c r="U2721" t="n">
        <x:v>2</x:v>
      </x:c>
      <x:c r="V2721" t="str"/>
    </x:row>
    <x:row r="2722">
      <x:c r="A2722" s="52" t="n">
        <x:v>46097</x:v>
      </x:c>
      <x:c r="B2722" t="str">
        <x:v>PED-102721</x:v>
      </x:c>
      <x:c r="C2722" t="str">
        <x:v>Cliente 021</x:v>
      </x:c>
      <x:c r="D2722" t="str">
        <x:v>SP</x:v>
      </x:c>
      <x:c r="E2722" t="str">
        <x:v>Sudeste</x:v>
      </x:c>
      <x:c r="F2722" t="str">
        <x:v>Televendas</x:v>
      </x:c>
      <x:c r="G2722" t="str">
        <x:v>Escritório</x:v>
      </x:c>
      <x:c r="H2722" t="str">
        <x:v>Luminária LED</x:v>
      </x:c>
      <x:c r="I2722" t="str">
        <x:v>Bruno</x:v>
      </x:c>
      <x:c r="J2722" s="53" t="n">
        <x:v>6</x:v>
      </x:c>
      <x:c r="K2722" s="54" t="n">
        <x:v>245.8</x:v>
      </x:c>
      <x:c r="L2722" s="54" t="n">
        <x:v>114.36</x:v>
      </x:c>
      <x:c r="M2722" s="55" t="n">
        <x:v>0.095</x:v>
      </x:c>
      <x:c r="N2722" s="54" t="n">
        <x:f>ROUND(J2722*K2722,2)</x:f>
        <x:v>1474.8</x:v>
      </x:c>
      <x:c r="O2722" s="54" t="n">
        <x:f>ROUND(N2722*(1-M2722),2)</x:f>
        <x:v>1334.69</x:v>
      </x:c>
      <x:c r="P2722" s="54" t="n">
        <x:f>ROUND(J2722*L2722,2)</x:f>
        <x:v>686.16</x:v>
      </x:c>
      <x:c r="Q2722" s="54" t="n">
        <x:f>ROUND(O2722-P2722,2)</x:f>
        <x:v>648.53</x:v>
      </x:c>
      <x:c r="R2722" s="55" t="n">
        <x:f>IF(O2722=0,0,ROUND(Q2722/O2722,4))</x:f>
        <x:v>0.4859</x:v>
      </x:c>
      <x:c r="S2722" s="53" t="n">
        <x:v>14</x:v>
      </x:c>
      <x:c r="T2722" t="str">
        <x:v>Entregue com atraso</x:v>
      </x:c>
      <x:c r="U2722" t="n">
        <x:v>2</x:v>
      </x:c>
      <x:c r="V2722" t="str"/>
    </x:row>
    <x:row r="2723">
      <x:c r="A2723" s="52" t="n">
        <x:v>46224</x:v>
      </x:c>
      <x:c r="B2723" t="str">
        <x:v>PED-102722</x:v>
      </x:c>
      <x:c r="C2723" t="str">
        <x:v>Cliente 043</x:v>
      </x:c>
      <x:c r="D2723" t="str">
        <x:v>PE</x:v>
      </x:c>
      <x:c r="E2723" t="str">
        <x:v>Nordeste</x:v>
      </x:c>
      <x:c r="F2723" t="str">
        <x:v>E-commerce</x:v>
      </x:c>
      <x:c r="G2723" t="str">
        <x:v>Escritório</x:v>
      </x:c>
      <x:c r="H2723" t="str">
        <x:v>Mesa Ajustável</x:v>
      </x:c>
      <x:c r="I2723" t="str">
        <x:v>João</x:v>
      </x:c>
      <x:c r="J2723" s="53" t="n">
        <x:v>3</x:v>
      </x:c>
      <x:c r="K2723" s="54" t="n">
        <x:v>2887.96</x:v>
      </x:c>
      <x:c r="L2723" s="54" t="n">
        <x:v>1956.32</x:v>
      </x:c>
      <x:c r="M2723" s="55" t="n">
        <x:v>0.0846</x:v>
      </x:c>
      <x:c r="N2723" s="54" t="n">
        <x:f>ROUND(J2723*K2723,2)</x:f>
        <x:v>8663.88</x:v>
      </x:c>
      <x:c r="O2723" s="54" t="n">
        <x:f>ROUND(N2723*(1-M2723),2)</x:f>
        <x:v>7930.92</x:v>
      </x:c>
      <x:c r="P2723" s="54" t="n">
        <x:f>ROUND(J2723*L2723,2)</x:f>
        <x:v>5868.96</x:v>
      </x:c>
      <x:c r="Q2723" s="54" t="n">
        <x:f>ROUND(O2723-P2723,2)</x:f>
        <x:v>2061.96</x:v>
      </x:c>
      <x:c r="R2723" s="55" t="n">
        <x:f>IF(O2723=0,0,ROUND(Q2723/O2723,4))</x:f>
        <x:v>0.26</x:v>
      </x:c>
      <x:c r="S2723" s="53" t="n">
        <x:v>11</x:v>
      </x:c>
      <x:c r="T2723" t="str">
        <x:v>Entregue com atraso</x:v>
      </x:c>
      <x:c r="U2723" t="n">
        <x:v>2</x:v>
      </x:c>
      <x:c r="V2723" t="str"/>
    </x:row>
    <x:row r="2724">
      <x:c r="A2724" s="52" t="n">
        <x:v>46092</x:v>
      </x:c>
      <x:c r="B2724" t="str">
        <x:v>PED-102723</x:v>
      </x:c>
      <x:c r="C2724" t="str">
        <x:v>Cliente 097</x:v>
      </x:c>
      <x:c r="D2724" t="str">
        <x:v>MG</x:v>
      </x:c>
      <x:c r="E2724" t="str">
        <x:v>Sudeste</x:v>
      </x:c>
      <x:c r="F2724" t="str">
        <x:v>Marketplace</x:v>
      </x:c>
      <x:c r="G2724" t="str">
        <x:v>Acessórios</x:v>
      </x:c>
      <x:c r="H2724" t="str">
        <x:v>Hub USB-C</x:v>
      </x:c>
      <x:c r="I2724" t="str">
        <x:v>Gabriela</x:v>
      </x:c>
      <x:c r="J2724" s="53" t="n">
        <x:v>8</x:v>
      </x:c>
      <x:c r="K2724" s="54" t="n">
        <x:v>301.81</x:v>
      </x:c>
      <x:c r="L2724" s="54" t="n">
        <x:v>140.01</x:v>
      </x:c>
      <x:c r="M2724" s="55" t="n">
        <x:v>0.035</x:v>
      </x:c>
      <x:c r="N2724" s="54" t="n">
        <x:f>ROUND(J2724*K2724,2)</x:f>
        <x:v>2414.48</x:v>
      </x:c>
      <x:c r="O2724" s="54" t="n">
        <x:f>ROUND(N2724*(1-M2724),2)</x:f>
        <x:v>2329.97</x:v>
      </x:c>
      <x:c r="P2724" s="54" t="n">
        <x:f>ROUND(J2724*L2724,2)</x:f>
        <x:v>1120.08</x:v>
      </x:c>
      <x:c r="Q2724" s="54" t="n">
        <x:f>ROUND(O2724-P2724,2)</x:f>
        <x:v>1209.89</x:v>
      </x:c>
      <x:c r="R2724" s="55" t="n">
        <x:f>IF(O2724=0,0,ROUND(Q2724/O2724,4))</x:f>
        <x:v>0.5193</x:v>
      </x:c>
      <x:c r="S2724" s="53" t="n">
        <x:v>5</x:v>
      </x:c>
      <x:c r="T2724" t="str">
        <x:v>Entregue</x:v>
      </x:c>
      <x:c r="U2724" t="n">
        <x:v>5</x:v>
      </x:c>
      <x:c r="V2724" t="str"/>
    </x:row>
    <x:row r="2725">
      <x:c r="A2725" s="52" t="n">
        <x:v>46197</x:v>
      </x:c>
      <x:c r="B2725" t="str">
        <x:v>PED-102724</x:v>
      </x:c>
      <x:c r="C2725" t="str">
        <x:v>Cliente 085</x:v>
      </x:c>
      <x:c r="D2725" t="str">
        <x:v>PA</x:v>
      </x:c>
      <x:c r="E2725" t="str">
        <x:v>Norte</x:v>
      </x:c>
      <x:c r="F2725" t="str">
        <x:v>Televendas</x:v>
      </x:c>
      <x:c r="G2725" t="str">
        <x:v>Escritório</x:v>
      </x:c>
      <x:c r="H2725" t="str">
        <x:v>Cadeira Ergonômica</x:v>
      </x:c>
      <x:c r="I2725" t="str">
        <x:v>Ana</x:v>
      </x:c>
      <x:c r="J2725" s="53" t="n">
        <x:v>6</x:v>
      </x:c>
      <x:c r="K2725" s="54" t="n">
        <x:v>2204.94</x:v>
      </x:c>
      <x:c r="L2725" s="54" t="n">
        <x:v>1454.69</x:v>
      </x:c>
      <x:c r="M2725" s="55" t="n">
        <x:v>0.059</x:v>
      </x:c>
      <x:c r="N2725" s="54" t="n">
        <x:f>ROUND(J2725*K2725,2)</x:f>
        <x:v>13229.64</x:v>
      </x:c>
      <x:c r="O2725" s="54" t="n">
        <x:f>ROUND(N2725*(1-M2725),2)</x:f>
        <x:v>12449.09</x:v>
      </x:c>
      <x:c r="P2725" s="54" t="n">
        <x:f>ROUND(J2725*L2725,2)</x:f>
        <x:v>8728.14</x:v>
      </x:c>
      <x:c r="Q2725" s="54" t="n">
        <x:f>ROUND(O2725-P2725,2)</x:f>
        <x:v>3720.95</x:v>
      </x:c>
      <x:c r="R2725" s="55" t="n">
        <x:f>IF(O2725=0,0,ROUND(Q2725/O2725,4))</x:f>
        <x:v>0.2989</x:v>
      </x:c>
      <x:c r="S2725" s="53" t="n">
        <x:v>13</x:v>
      </x:c>
      <x:c r="T2725" t="str">
        <x:v>Entregue com atraso</x:v>
      </x:c>
      <x:c r="U2725" t="n">
        <x:v>3</x:v>
      </x:c>
      <x:c r="V2725" t="str"/>
    </x:row>
    <x:row r="2726">
      <x:c r="A2726" s="52" t="n">
        <x:v>46171</x:v>
      </x:c>
      <x:c r="B2726" t="str">
        <x:v>PED-102725</x:v>
      </x:c>
      <x:c r="C2726" t="str">
        <x:v>Cliente 105</x:v>
      </x:c>
      <x:c r="D2726" t="str">
        <x:v>MG</x:v>
      </x:c>
      <x:c r="E2726" t="str">
        <x:v>Sudeste</x:v>
      </x:c>
      <x:c r="F2726" t="str">
        <x:v>E-commerce</x:v>
      </x:c>
      <x:c r="G2726" t="str">
        <x:v>Tecnologia</x:v>
      </x:c>
      <x:c r="H2726" t="str">
        <x:v>Notebook Pro</x:v>
      </x:c>
      <x:c r="I2726" t="str">
        <x:v>Henrique</x:v>
      </x:c>
      <x:c r="J2726" s="53" t="n">
        <x:v>7</x:v>
      </x:c>
      <x:c r="K2726" s="54" t="n">
        <x:v>5948.08</x:v>
      </x:c>
      <x:c r="L2726" s="54" t="n">
        <x:v>4452.97</x:v>
      </x:c>
      <x:c r="M2726" s="55" t="n">
        <x:v>0</x:v>
      </x:c>
      <x:c r="N2726" s="54" t="n">
        <x:f>ROUND(J2726*K2726,2)</x:f>
        <x:v>41636.56</x:v>
      </x:c>
      <x:c r="O2726" s="54" t="n">
        <x:f>ROUND(N2726*(1-M2726),2)</x:f>
        <x:v>41636.56</x:v>
      </x:c>
      <x:c r="P2726" s="54" t="n">
        <x:f>ROUND(J2726*L2726,2)</x:f>
        <x:v>31170.79</x:v>
      </x:c>
      <x:c r="Q2726" s="54" t="n">
        <x:f>ROUND(O2726-P2726,2)</x:f>
        <x:v>10465.77</x:v>
      </x:c>
      <x:c r="R2726" s="55" t="n">
        <x:f>IF(O2726=0,0,ROUND(Q2726/O2726,4))</x:f>
        <x:v>0.2514</x:v>
      </x:c>
      <x:c r="S2726" s="53" t="n">
        <x:v>13</x:v>
      </x:c>
      <x:c r="T2726" t="str">
        <x:v>Entregue com atraso</x:v>
      </x:c>
      <x:c r="U2726" t="n">
        <x:v>5</x:v>
      </x:c>
      <x:c r="V2726" t="str"/>
    </x:row>
    <x:row r="2727">
      <x:c r="A2727" s="52" t="n">
        <x:v>46192</x:v>
      </x:c>
      <x:c r="B2727" t="str">
        <x:v>PED-102726</x:v>
      </x:c>
      <x:c r="C2727" t="str">
        <x:v>Cliente 070</x:v>
      </x:c>
      <x:c r="D2727" t="str">
        <x:v>PR</x:v>
      </x:c>
      <x:c r="E2727" t="str">
        <x:v>Sul</x:v>
      </x:c>
      <x:c r="F2727" t="str">
        <x:v>Televendas</x:v>
      </x:c>
      <x:c r="G2727" t="str">
        <x:v>Escritório</x:v>
      </x:c>
      <x:c r="H2727" t="str">
        <x:v>Mesa Ajustável</x:v>
      </x:c>
      <x:c r="I2727" t="str">
        <x:v>Felipe</x:v>
      </x:c>
      <x:c r="J2727" s="53" t="n">
        <x:v>3</x:v>
      </x:c>
      <x:c r="K2727" s="54" t="n">
        <x:v>2685.1</x:v>
      </x:c>
      <x:c r="L2727" s="54" t="n">
        <x:v>1778.84</x:v>
      </x:c>
      <x:c r="M2727" s="55" t="n">
        <x:v>0.056</x:v>
      </x:c>
      <x:c r="N2727" s="54" t="n">
        <x:f>ROUND(J2727*K2727,2)</x:f>
        <x:v>8055.3</x:v>
      </x:c>
      <x:c r="O2727" s="54" t="n">
        <x:f>ROUND(N2727*(1-M2727),2)</x:f>
        <x:v>7604.2</x:v>
      </x:c>
      <x:c r="P2727" s="54" t="n">
        <x:f>ROUND(J2727*L2727,2)</x:f>
        <x:v>5336.52</x:v>
      </x:c>
      <x:c r="Q2727" s="54" t="n">
        <x:f>ROUND(O2727-P2727,2)</x:f>
        <x:v>2267.68</x:v>
      </x:c>
      <x:c r="R2727" s="55" t="n">
        <x:f>IF(O2727=0,0,ROUND(Q2727/O2727,4))</x:f>
        <x:v>0.2982</x:v>
      </x:c>
      <x:c r="S2727" s="53" t="n">
        <x:v>14</x:v>
      </x:c>
      <x:c r="T2727" t="str">
        <x:v>Entregue com atraso</x:v>
      </x:c>
      <x:c r="U2727" t="n">
        <x:v>2</x:v>
      </x:c>
      <x:c r="V2727" t="str"/>
    </x:row>
    <x:row r="2728">
      <x:c r="A2728" s="52" t="n">
        <x:v>46194</x:v>
      </x:c>
      <x:c r="B2728" t="str">
        <x:v>PED-102727</x:v>
      </x:c>
      <x:c r="C2728" t="str">
        <x:v>Cliente 076</x:v>
      </x:c>
      <x:c r="D2728" t="str">
        <x:v>MA</x:v>
      </x:c>
      <x:c r="E2728" t="str">
        <x:v>Nordeste</x:v>
      </x:c>
      <x:c r="F2728" t="str">
        <x:v>Marketplace</x:v>
      </x:c>
      <x:c r="G2728" t="str">
        <x:v>Casa</x:v>
      </x:c>
      <x:c r="H2728" t="str">
        <x:v>Aspirador Robô</x:v>
      </x:c>
      <x:c r="I2728" t="str">
        <x:v>Gabriela</x:v>
      </x:c>
      <x:c r="J2728" s="53" t="n">
        <x:v>1</x:v>
      </x:c>
      <x:c r="K2728" s="54" t="n">
        <x:v>1940.71</x:v>
      </x:c>
      <x:c r="L2728" s="54" t="n">
        <x:v>1208.76</x:v>
      </x:c>
      <x:c r="M2728" s="55" t="n">
        <x:v>0.1074</x:v>
      </x:c>
      <x:c r="N2728" s="54" t="n">
        <x:f>ROUND(J2728*K2728,2)</x:f>
        <x:v>1940.71</x:v>
      </x:c>
      <x:c r="O2728" s="54" t="n">
        <x:f>ROUND(N2728*(1-M2728),2)</x:f>
        <x:v>1732.28</x:v>
      </x:c>
      <x:c r="P2728" s="54" t="n">
        <x:f>ROUND(J2728*L2728,2)</x:f>
        <x:v>1208.76</x:v>
      </x:c>
      <x:c r="Q2728" s="54" t="n">
        <x:f>ROUND(O2728-P2728,2)</x:f>
        <x:v>523.52</x:v>
      </x:c>
      <x:c r="R2728" s="55" t="n">
        <x:f>IF(O2728=0,0,ROUND(Q2728/O2728,4))</x:f>
        <x:v>0.3022</x:v>
      </x:c>
      <x:c r="S2728" s="53" t="n">
        <x:v>4</x:v>
      </x:c>
      <x:c r="T2728" t="str">
        <x:v>Entregue</x:v>
      </x:c>
      <x:c r="U2728" t="n">
        <x:v>5</x:v>
      </x:c>
      <x:c r="V2728" t="str"/>
    </x:row>
    <x:row r="2729">
      <x:c r="A2729" s="52" t="n">
        <x:v>46144</x:v>
      </x:c>
      <x:c r="B2729" t="str">
        <x:v>PED-102728</x:v>
      </x:c>
      <x:c r="C2729" t="str">
        <x:v>Cliente 069</x:v>
      </x:c>
      <x:c r="D2729" t="str">
        <x:v>RS</x:v>
      </x:c>
      <x:c r="E2729" t="str">
        <x:v>Sul</x:v>
      </x:c>
      <x:c r="F2729" t="str">
        <x:v>Marketplace</x:v>
      </x:c>
      <x:c r="G2729" t="str">
        <x:v>Acessórios</x:v>
      </x:c>
      <x:c r="H2729" t="str">
        <x:v>Webcam HD</x:v>
      </x:c>
      <x:c r="I2729" t="str">
        <x:v>Ana</x:v>
      </x:c>
      <x:c r="J2729" s="53" t="n">
        <x:v>7</x:v>
      </x:c>
      <x:c r="K2729" s="54" t="n">
        <x:v>508.89</x:v>
      </x:c>
      <x:c r="L2729" s="54" t="n">
        <x:v>240.4</x:v>
      </x:c>
      <x:c r="M2729" s="55" t="n">
        <x:v>0.035</x:v>
      </x:c>
      <x:c r="N2729" s="54" t="n">
        <x:f>ROUND(J2729*K2729,2)</x:f>
        <x:v>3562.23</x:v>
      </x:c>
      <x:c r="O2729" s="54" t="n">
        <x:f>ROUND(N2729*(1-M2729),2)</x:f>
        <x:v>3437.55</x:v>
      </x:c>
      <x:c r="P2729" s="54" t="n">
        <x:f>ROUND(J2729*L2729,2)</x:f>
        <x:v>1682.8</x:v>
      </x:c>
      <x:c r="Q2729" s="54" t="n">
        <x:f>ROUND(O2729-P2729,2)</x:f>
        <x:v>1754.75</x:v>
      </x:c>
      <x:c r="R2729" s="55" t="n">
        <x:f>IF(O2729=0,0,ROUND(Q2729/O2729,4))</x:f>
        <x:v>0.5105</x:v>
      </x:c>
      <x:c r="S2729" s="53" t="n">
        <x:v>6</x:v>
      </x:c>
      <x:c r="T2729" t="str">
        <x:v>Entregue</x:v>
      </x:c>
      <x:c r="U2729" t="n">
        <x:v>2</x:v>
      </x:c>
      <x:c r="V2729" t="str"/>
    </x:row>
    <x:row r="2730">
      <x:c r="A2730" s="52" t="n">
        <x:v>46207</x:v>
      </x:c>
      <x:c r="B2730" t="str">
        <x:v>PED-102729</x:v>
      </x:c>
      <x:c r="C2730" t="str">
        <x:v>Cliente 082</x:v>
      </x:c>
      <x:c r="D2730" t="str">
        <x:v>GO</x:v>
      </x:c>
      <x:c r="E2730" t="str">
        <x:v>Centro-Oeste</x:v>
      </x:c>
      <x:c r="F2730" t="str">
        <x:v>E-commerce</x:v>
      </x:c>
      <x:c r="G2730" t="str">
        <x:v>Tecnologia</x:v>
      </x:c>
      <x:c r="H2730" t="str">
        <x:v>Headset Office</x:v>
      </x:c>
      <x:c r="I2730" t="str">
        <x:v>Carla</x:v>
      </x:c>
      <x:c r="J2730" s="53" t="n">
        <x:v>2</x:v>
      </x:c>
      <x:c r="K2730" s="54" t="n">
        <x:v>372.95</x:v>
      </x:c>
      <x:c r="L2730" s="54" t="n">
        <x:v>205.64</x:v>
      </x:c>
      <x:c r="M2730" s="55" t="n">
        <x:v>0.0763</x:v>
      </x:c>
      <x:c r="N2730" s="54" t="n">
        <x:f>ROUND(J2730*K2730,2)</x:f>
        <x:v>745.9</x:v>
      </x:c>
      <x:c r="O2730" s="54" t="n">
        <x:f>ROUND(N2730*(1-M2730),2)</x:f>
        <x:v>688.99</x:v>
      </x:c>
      <x:c r="P2730" s="54" t="n">
        <x:f>ROUND(J2730*L2730,2)</x:f>
        <x:v>411.28</x:v>
      </x:c>
      <x:c r="Q2730" s="54" t="n">
        <x:f>ROUND(O2730-P2730,2)</x:f>
        <x:v>277.71</x:v>
      </x:c>
      <x:c r="R2730" s="55" t="n">
        <x:f>IF(O2730=0,0,ROUND(Q2730/O2730,4))</x:f>
        <x:v>0.4031</x:v>
      </x:c>
      <x:c r="S2730" s="53" t="n">
        <x:v>12</x:v>
      </x:c>
      <x:c r="T2730" t="str">
        <x:v>Entregue com atraso</x:v>
      </x:c>
      <x:c r="U2730" t="n">
        <x:v>3</x:v>
      </x:c>
      <x:c r="V2730" t="str"/>
    </x:row>
    <x:row r="2731">
      <x:c r="A2731" s="52" t="n">
        <x:v>46036</x:v>
      </x:c>
      <x:c r="B2731" t="str">
        <x:v>PED-102730</x:v>
      </x:c>
      <x:c r="C2731" t="str">
        <x:v>Cliente 045</x:v>
      </x:c>
      <x:c r="D2731" t="str">
        <x:v>SP</x:v>
      </x:c>
      <x:c r="E2731" t="str">
        <x:v>Sudeste</x:v>
      </x:c>
      <x:c r="F2731" t="str">
        <x:v>Loja</x:v>
      </x:c>
      <x:c r="G2731" t="str">
        <x:v>Acessórios</x:v>
      </x:c>
      <x:c r="H2731" t="str">
        <x:v>Mochila Executiva</x:v>
      </x:c>
      <x:c r="I2731" t="str">
        <x:v>Carla</x:v>
      </x:c>
      <x:c r="J2731" s="53" t="n">
        <x:v>6</x:v>
      </x:c>
      <x:c r="K2731" s="54" t="n">
        <x:v>423.9</x:v>
      </x:c>
      <x:c r="L2731" s="54" t="n">
        <x:v>190.9</x:v>
      </x:c>
      <x:c r="M2731" s="55" t="n">
        <x:v>0.0029</x:v>
      </x:c>
      <x:c r="N2731" s="54" t="n">
        <x:f>ROUND(J2731*K2731,2)</x:f>
        <x:v>2543.4</x:v>
      </x:c>
      <x:c r="O2731" s="54" t="n">
        <x:f>ROUND(N2731*(1-M2731),2)</x:f>
        <x:v>2536.02</x:v>
      </x:c>
      <x:c r="P2731" s="54" t="n">
        <x:f>ROUND(J2731*L2731,2)</x:f>
        <x:v>1145.4</x:v>
      </x:c>
      <x:c r="Q2731" s="54" t="n">
        <x:f>ROUND(O2731-P2731,2)</x:f>
        <x:v>1390.62</x:v>
      </x:c>
      <x:c r="R2731" s="55" t="n">
        <x:f>IF(O2731=0,0,ROUND(Q2731/O2731,4))</x:f>
        <x:v>0.5483</x:v>
      </x:c>
      <x:c r="S2731" s="53" t="n">
        <x:v>12</x:v>
      </x:c>
      <x:c r="T2731" t="str">
        <x:v>Entregue com atraso</x:v>
      </x:c>
      <x:c r="U2731" t="n">
        <x:v>4</x:v>
      </x:c>
      <x:c r="V2731" t="str"/>
    </x:row>
    <x:row r="2732">
      <x:c r="A2732" s="52" t="n">
        <x:v>46039</x:v>
      </x:c>
      <x:c r="B2732" t="str">
        <x:v>PED-102731</x:v>
      </x:c>
      <x:c r="C2732" t="str">
        <x:v>Cliente 021</x:v>
      </x:c>
      <x:c r="D2732" t="str">
        <x:v>BA</x:v>
      </x:c>
      <x:c r="E2732" t="str">
        <x:v>Nordeste</x:v>
      </x:c>
      <x:c r="F2732" t="str">
        <x:v>Televendas</x:v>
      </x:c>
      <x:c r="G2732" t="str">
        <x:v>Acessórios</x:v>
      </x:c>
      <x:c r="H2732" t="str">
        <x:v>Hub USB-C</x:v>
      </x:c>
      <x:c r="I2732" t="str">
        <x:v>Diego</x:v>
      </x:c>
      <x:c r="J2732" s="53" t="n">
        <x:v>1</x:v>
      </x:c>
      <x:c r="K2732" s="54" t="n">
        <x:v>335.61</x:v>
      </x:c>
      <x:c r="L2732" s="54" t="n">
        <x:v>139.06</x:v>
      </x:c>
      <x:c r="M2732" s="55" t="n">
        <x:v>0.0859</x:v>
      </x:c>
      <x:c r="N2732" s="54" t="n">
        <x:f>ROUND(J2732*K2732,2)</x:f>
        <x:v>335.61</x:v>
      </x:c>
      <x:c r="O2732" s="54" t="n">
        <x:f>ROUND(N2732*(1-M2732),2)</x:f>
        <x:v>306.78</x:v>
      </x:c>
      <x:c r="P2732" s="54" t="n">
        <x:f>ROUND(J2732*L2732,2)</x:f>
        <x:v>139.06</x:v>
      </x:c>
      <x:c r="Q2732" s="54" t="n">
        <x:f>ROUND(O2732-P2732,2)</x:f>
        <x:v>167.72</x:v>
      </x:c>
      <x:c r="R2732" s="55" t="n">
        <x:f>IF(O2732=0,0,ROUND(Q2732/O2732,4))</x:f>
        <x:v>0.5467</x:v>
      </x:c>
      <x:c r="S2732" s="53" t="n">
        <x:v>4</x:v>
      </x:c>
      <x:c r="T2732" t="str">
        <x:v>Entregue</x:v>
      </x:c>
      <x:c r="U2732" t="n">
        <x:v>5</x:v>
      </x:c>
      <x:c r="V2732" t="str"/>
    </x:row>
    <x:row r="2733">
      <x:c r="A2733" s="52" t="n">
        <x:v>46184</x:v>
      </x:c>
      <x:c r="B2733" t="str">
        <x:v>PED-102732</x:v>
      </x:c>
      <x:c r="C2733" t="str">
        <x:v>Cliente 082</x:v>
      </x:c>
      <x:c r="D2733" t="str">
        <x:v>PA</x:v>
      </x:c>
      <x:c r="E2733" t="str">
        <x:v>Norte</x:v>
      </x:c>
      <x:c r="F2733" t="str">
        <x:v>Marketplace</x:v>
      </x:c>
      <x:c r="G2733" t="str">
        <x:v>Tecnologia</x:v>
      </x:c>
      <x:c r="H2733" t="str">
        <x:v>Headset Office</x:v>
      </x:c>
      <x:c r="I2733" t="str">
        <x:v>Elaine</x:v>
      </x:c>
      <x:c r="J2733" s="53" t="n">
        <x:v>1</x:v>
      </x:c>
      <x:c r="K2733" s="54" t="n">
        <x:v>411.33</x:v>
      </x:c>
      <x:c r="L2733" s="54" t="n">
        <x:v>225.08</x:v>
      </x:c>
      <x:c r="M2733" s="55" t="n">
        <x:v>0.035</x:v>
      </x:c>
      <x:c r="N2733" s="54" t="n">
        <x:f>ROUND(J2733*K2733,2)</x:f>
        <x:v>411.33</x:v>
      </x:c>
      <x:c r="O2733" s="54" t="n">
        <x:f>ROUND(N2733*(1-M2733),2)</x:f>
        <x:v>396.93</x:v>
      </x:c>
      <x:c r="P2733" s="54" t="n">
        <x:f>ROUND(J2733*L2733,2)</x:f>
        <x:v>225.08</x:v>
      </x:c>
      <x:c r="Q2733" s="54" t="n">
        <x:f>ROUND(O2733-P2733,2)</x:f>
        <x:v>171.85</x:v>
      </x:c>
      <x:c r="R2733" s="55" t="n">
        <x:f>IF(O2733=0,0,ROUND(Q2733/O2733,4))</x:f>
        <x:v>0.4329</x:v>
      </x:c>
      <x:c r="S2733" s="53" t="n">
        <x:v>4</x:v>
      </x:c>
      <x:c r="T2733" t="str">
        <x:v>Entregue</x:v>
      </x:c>
      <x:c r="U2733" t="n">
        <x:v>4</x:v>
      </x:c>
      <x:c r="V2733" t="str"/>
    </x:row>
    <x:row r="2734">
      <x:c r="A2734" s="52" t="n">
        <x:v>46104</x:v>
      </x:c>
      <x:c r="B2734" t="str">
        <x:v>PED-102733</x:v>
      </x:c>
      <x:c r="C2734" t="str">
        <x:v>Cliente 007</x:v>
      </x:c>
      <x:c r="D2734" t="str">
        <x:v>CE</x:v>
      </x:c>
      <x:c r="E2734" t="str">
        <x:v>Nordeste</x:v>
      </x:c>
      <x:c r="F2734" t="str">
        <x:v>Loja</x:v>
      </x:c>
      <x:c r="G2734" t="str">
        <x:v>Casa</x:v>
      </x:c>
      <x:c r="H2734" t="str">
        <x:v>Aspirador Robô</x:v>
      </x:c>
      <x:c r="I2734" t="str">
        <x:v>Isabela</x:v>
      </x:c>
      <x:c r="J2734" s="53" t="n">
        <x:v>8</x:v>
      </x:c>
      <x:c r="K2734" s="54" t="n">
        <x:v>1978.53</x:v>
      </x:c>
      <x:c r="L2734" s="54" t="n">
        <x:v>1215.51</x:v>
      </x:c>
      <x:c r="M2734" s="55" t="n">
        <x:v>0.0415</x:v>
      </x:c>
      <x:c r="N2734" s="54" t="n">
        <x:f>ROUND(J2734*K2734,2)</x:f>
        <x:v>15828.24</x:v>
      </x:c>
      <x:c r="O2734" s="54" t="n">
        <x:f>ROUND(N2734*(1-M2734),2)</x:f>
        <x:v>15171.37</x:v>
      </x:c>
      <x:c r="P2734" s="54" t="n">
        <x:f>ROUND(J2734*L2734,2)</x:f>
        <x:v>9724.08</x:v>
      </x:c>
      <x:c r="Q2734" s="54" t="n">
        <x:f>ROUND(O2734-P2734,2)</x:f>
        <x:v>5447.29</x:v>
      </x:c>
      <x:c r="R2734" s="55" t="n">
        <x:f>IF(O2734=0,0,ROUND(Q2734/O2734,4))</x:f>
        <x:v>0.3591</x:v>
      </x:c>
      <x:c r="S2734" s="53" t="n">
        <x:v>2</x:v>
      </x:c>
      <x:c r="T2734" t="str">
        <x:v>Entregue</x:v>
      </x:c>
      <x:c r="U2734" t="n">
        <x:v>5</x:v>
      </x:c>
      <x:c r="V2734" t="str"/>
    </x:row>
    <x:row r="2735">
      <x:c r="A2735" s="52" t="n">
        <x:v>46177</x:v>
      </x:c>
      <x:c r="B2735" t="str">
        <x:v>PED-102734</x:v>
      </x:c>
      <x:c r="C2735" t="str">
        <x:v>Cliente 115</x:v>
      </x:c>
      <x:c r="D2735" t="str">
        <x:v>AM</x:v>
      </x:c>
      <x:c r="E2735" t="str">
        <x:v>Norte</x:v>
      </x:c>
      <x:c r="F2735" t="str">
        <x:v>Televendas</x:v>
      </x:c>
      <x:c r="G2735" t="str">
        <x:v>Escritório</x:v>
      </x:c>
      <x:c r="H2735" t="str">
        <x:v>Cadeira Ergonômica</x:v>
      </x:c>
      <x:c r="I2735" t="str">
        <x:v>Isabela</x:v>
      </x:c>
      <x:c r="J2735" s="53" t="n">
        <x:v>8</x:v>
      </x:c>
      <x:c r="K2735" s="54" t="n">
        <x:v>2070.13</x:v>
      </x:c>
      <x:c r="L2735" s="54" t="n">
        <x:v>1506.12</x:v>
      </x:c>
      <x:c r="M2735" s="55" t="n">
        <x:v>0</x:v>
      </x:c>
      <x:c r="N2735" s="54" t="n">
        <x:f>ROUND(J2735*K2735,2)</x:f>
        <x:v>16561.04</x:v>
      </x:c>
      <x:c r="O2735" s="54" t="n">
        <x:f>ROUND(N2735*(1-M2735),2)</x:f>
        <x:v>16561.04</x:v>
      </x:c>
      <x:c r="P2735" s="54" t="n">
        <x:f>ROUND(J2735*L2735,2)</x:f>
        <x:v>12048.96</x:v>
      </x:c>
      <x:c r="Q2735" s="54" t="n">
        <x:f>ROUND(O2735-P2735,2)</x:f>
        <x:v>4512.08</x:v>
      </x:c>
      <x:c r="R2735" s="55" t="n">
        <x:f>IF(O2735=0,0,ROUND(Q2735/O2735,4))</x:f>
        <x:v>0.2725</x:v>
      </x:c>
      <x:c r="S2735" s="53" t="n">
        <x:v>3</x:v>
      </x:c>
      <x:c r="T2735" t="str">
        <x:v>Entregue</x:v>
      </x:c>
      <x:c r="U2735" t="n">
        <x:v>4</x:v>
      </x:c>
      <x:c r="V2735" t="str"/>
    </x:row>
    <x:row r="2736">
      <x:c r="A2736" s="52" t="n">
        <x:v>46228</x:v>
      </x:c>
      <x:c r="B2736" t="str">
        <x:v>PED-102735</x:v>
      </x:c>
      <x:c r="C2736" t="str">
        <x:v>Cliente 003</x:v>
      </x:c>
      <x:c r="D2736" t="str">
        <x:v>RS</x:v>
      </x:c>
      <x:c r="E2736" t="str">
        <x:v>Sul</x:v>
      </x:c>
      <x:c r="F2736" t="str">
        <x:v>E-commerce</x:v>
      </x:c>
      <x:c r="G2736" t="str">
        <x:v>Escritório</x:v>
      </x:c>
      <x:c r="H2736" t="str">
        <x:v>Mesa Ajustável</x:v>
      </x:c>
      <x:c r="I2736" t="str">
        <x:v>João</x:v>
      </x:c>
      <x:c r="J2736" s="53" t="n">
        <x:v>1</x:v>
      </x:c>
      <x:c r="K2736" s="54" t="n">
        <x:v>2717.81</x:v>
      </x:c>
      <x:c r="L2736" s="54" t="n">
        <x:v>1749.87</x:v>
      </x:c>
      <x:c r="M2736" s="55" t="n">
        <x:v>0.0921</x:v>
      </x:c>
      <x:c r="N2736" s="54" t="n">
        <x:f>ROUND(J2736*K2736,2)</x:f>
        <x:v>2717.81</x:v>
      </x:c>
      <x:c r="O2736" s="54" t="n">
        <x:f>ROUND(N2736*(1-M2736),2)</x:f>
        <x:v>2467.5</x:v>
      </x:c>
      <x:c r="P2736" s="54" t="n">
        <x:f>ROUND(J2736*L2736,2)</x:f>
        <x:v>1749.87</x:v>
      </x:c>
      <x:c r="Q2736" s="54" t="n">
        <x:f>ROUND(O2736-P2736,2)</x:f>
        <x:v>717.63</x:v>
      </x:c>
      <x:c r="R2736" s="55" t="n">
        <x:f>IF(O2736=0,0,ROUND(Q2736/O2736,4))</x:f>
        <x:v>0.2908</x:v>
      </x:c>
      <x:c r="S2736" s="53" t="n">
        <x:v>11</x:v>
      </x:c>
      <x:c r="T2736" t="str">
        <x:v>Entregue com atraso</x:v>
      </x:c>
      <x:c r="U2736" t="n">
        <x:v>5</x:v>
      </x:c>
      <x:c r="V2736" t="str"/>
    </x:row>
    <x:row r="2737">
      <x:c r="A2737" s="52" t="n">
        <x:v>46208</x:v>
      </x:c>
      <x:c r="B2737" t="str">
        <x:v>PED-102736</x:v>
      </x:c>
      <x:c r="C2737" t="str">
        <x:v>Cliente 015</x:v>
      </x:c>
      <x:c r="D2737" t="str">
        <x:v>BA</x:v>
      </x:c>
      <x:c r="E2737" t="str">
        <x:v>Nordeste</x:v>
      </x:c>
      <x:c r="F2737" t="str">
        <x:v>Marketplace</x:v>
      </x:c>
      <x:c r="G2737" t="str">
        <x:v>Escritório</x:v>
      </x:c>
      <x:c r="H2737" t="str">
        <x:v>Mesa Ajustável</x:v>
      </x:c>
      <x:c r="I2737" t="str">
        <x:v>Carla</x:v>
      </x:c>
      <x:c r="J2737" s="53" t="n">
        <x:v>1</x:v>
      </x:c>
      <x:c r="K2737" s="54" t="n">
        <x:v>2659.83</x:v>
      </x:c>
      <x:c r="L2737" s="54" t="n">
        <x:v>1813.29</x:v>
      </x:c>
      <x:c r="M2737" s="55" t="n">
        <x:v>0.035</x:v>
      </x:c>
      <x:c r="N2737" s="54" t="n">
        <x:f>ROUND(J2737*K2737,2)</x:f>
        <x:v>2659.83</x:v>
      </x:c>
      <x:c r="O2737" s="54" t="n">
        <x:f>ROUND(N2737*(1-M2737),2)</x:f>
        <x:v>2566.74</x:v>
      </x:c>
      <x:c r="P2737" s="54" t="n">
        <x:f>ROUND(J2737*L2737,2)</x:f>
        <x:v>1813.29</x:v>
      </x:c>
      <x:c r="Q2737" s="54" t="n">
        <x:f>ROUND(O2737-P2737,2)</x:f>
        <x:v>753.45</x:v>
      </x:c>
      <x:c r="R2737" s="55" t="n">
        <x:f>IF(O2737=0,0,ROUND(Q2737/O2737,4))</x:f>
        <x:v>0.2935</x:v>
      </x:c>
      <x:c r="S2737" s="53" t="n">
        <x:v>4</x:v>
      </x:c>
      <x:c r="T2737" t="str">
        <x:v>Entregue</x:v>
      </x:c>
      <x:c r="U2737" t="n">
        <x:v>4</x:v>
      </x:c>
      <x:c r="V2737" t="str"/>
    </x:row>
    <x:row r="2738">
      <x:c r="A2738" s="52" t="n">
        <x:v>46075</x:v>
      </x:c>
      <x:c r="B2738" t="str">
        <x:v>PED-102737</x:v>
      </x:c>
      <x:c r="C2738" t="str">
        <x:v>Cliente 004</x:v>
      </x:c>
      <x:c r="D2738" t="str">
        <x:v>PE</x:v>
      </x:c>
      <x:c r="E2738" t="str">
        <x:v>Nordeste</x:v>
      </x:c>
      <x:c r="F2738" t="str">
        <x:v>Televendas</x:v>
      </x:c>
      <x:c r="G2738" t="str">
        <x:v>Escritório</x:v>
      </x:c>
      <x:c r="H2738" t="str">
        <x:v>Cadeira Ergonômica</x:v>
      </x:c>
      <x:c r="I2738" t="str">
        <x:v>Elaine</x:v>
      </x:c>
      <x:c r="J2738" s="53" t="n">
        <x:v>7</x:v>
      </x:c>
      <x:c r="K2738" s="54" t="n">
        <x:v>2318.86</x:v>
      </x:c>
      <x:c r="L2738" s="54" t="n">
        <x:v>1460.16</x:v>
      </x:c>
      <x:c r="M2738" s="55" t="n">
        <x:v>0</x:v>
      </x:c>
      <x:c r="N2738" s="54" t="n">
        <x:f>ROUND(J2738*K2738,2)</x:f>
        <x:v>16232.02</x:v>
      </x:c>
      <x:c r="O2738" s="54" t="n">
        <x:f>ROUND(N2738*(1-M2738),2)</x:f>
        <x:v>16232.02</x:v>
      </x:c>
      <x:c r="P2738" s="54" t="n">
        <x:f>ROUND(J2738*L2738,2)</x:f>
        <x:v>10221.12</x:v>
      </x:c>
      <x:c r="Q2738" s="54" t="n">
        <x:f>ROUND(O2738-P2738,2)</x:f>
        <x:v>6010.9</x:v>
      </x:c>
      <x:c r="R2738" s="55" t="n">
        <x:f>IF(O2738=0,0,ROUND(Q2738/O2738,4))</x:f>
        <x:v>0.3703</x:v>
      </x:c>
      <x:c r="S2738" s="53" t="n">
        <x:v>10</x:v>
      </x:c>
      <x:c r="T2738" t="str">
        <x:v>Entregue</x:v>
      </x:c>
      <x:c r="U2738" t="n">
        <x:v>2</x:v>
      </x:c>
      <x:c r="V2738" t="str"/>
    </x:row>
    <x:row r="2739">
      <x:c r="A2739" s="52" t="n">
        <x:v>46194</x:v>
      </x:c>
      <x:c r="B2739" t="str">
        <x:v>PED-102738</x:v>
      </x:c>
      <x:c r="C2739" t="str">
        <x:v>Cliente 022</x:v>
      </x:c>
      <x:c r="D2739" t="str">
        <x:v>AM</x:v>
      </x:c>
      <x:c r="E2739" t="str">
        <x:v>Norte</x:v>
      </x:c>
      <x:c r="F2739" t="str">
        <x:v>Marketplace</x:v>
      </x:c>
      <x:c r="G2739" t="str">
        <x:v>Escritório</x:v>
      </x:c>
      <x:c r="H2739" t="str">
        <x:v>Cadeira Ergonômica</x:v>
      </x:c>
      <x:c r="I2739" t="str">
        <x:v>Bruno</x:v>
      </x:c>
      <x:c r="J2739" s="53" t="n">
        <x:v>3</x:v>
      </x:c>
      <x:c r="K2739" s="54" t="n">
        <x:v>2190.89</x:v>
      </x:c>
      <x:c r="L2739" s="54" t="n">
        <x:v>1464.19</x:v>
      </x:c>
      <x:c r="M2739" s="55" t="n">
        <x:v>0.035</x:v>
      </x:c>
      <x:c r="N2739" s="54" t="n">
        <x:f>ROUND(J2739*K2739,2)</x:f>
        <x:v>6572.67</x:v>
      </x:c>
      <x:c r="O2739" s="54" t="n">
        <x:f>ROUND(N2739*(1-M2739),2)</x:f>
        <x:v>6342.63</x:v>
      </x:c>
      <x:c r="P2739" s="54" t="n">
        <x:f>ROUND(J2739*L2739,2)</x:f>
        <x:v>4392.57</x:v>
      </x:c>
      <x:c r="Q2739" s="54" t="n">
        <x:f>ROUND(O2739-P2739,2)</x:f>
        <x:v>1950.06</x:v>
      </x:c>
      <x:c r="R2739" s="55" t="n">
        <x:f>IF(O2739=0,0,ROUND(Q2739/O2739,4))</x:f>
        <x:v>0.3075</x:v>
      </x:c>
      <x:c r="S2739" s="53" t="n">
        <x:v>9</x:v>
      </x:c>
      <x:c r="T2739" t="str">
        <x:v>Entregue</x:v>
      </x:c>
      <x:c r="U2739" t="n">
        <x:v>5</x:v>
      </x:c>
      <x:c r="V2739" t="str"/>
    </x:row>
    <x:row r="2740">
      <x:c r="A2740" s="52" t="n">
        <x:v>46078</x:v>
      </x:c>
      <x:c r="B2740" t="str">
        <x:v>PED-102739</x:v>
      </x:c>
      <x:c r="C2740" t="str">
        <x:v>Cliente 007</x:v>
      </x:c>
      <x:c r="D2740" t="str">
        <x:v>MG</x:v>
      </x:c>
      <x:c r="E2740" t="str">
        <x:v>Sudeste</x:v>
      </x:c>
      <x:c r="F2740" t="str">
        <x:v>Televendas</x:v>
      </x:c>
      <x:c r="G2740" t="str">
        <x:v>Casa</x:v>
      </x:c>
      <x:c r="H2740" t="str">
        <x:v>Purificador</x:v>
      </x:c>
      <x:c r="I2740" t="str">
        <x:v>Carla</x:v>
      </x:c>
      <x:c r="J2740" s="53" t="n">
        <x:v>4</x:v>
      </x:c>
      <x:c r="K2740" s="54" t="n">
        <x:v>1365.72</x:v>
      </x:c>
      <x:c r="L2740" s="54" t="n">
        <x:v>786.95</x:v>
      </x:c>
      <x:c r="M2740" s="55" t="n">
        <x:v>0.1195</x:v>
      </x:c>
      <x:c r="N2740" s="54" t="n">
        <x:f>ROUND(J2740*K2740,2)</x:f>
        <x:v>5462.88</x:v>
      </x:c>
      <x:c r="O2740" s="54" t="n">
        <x:f>ROUND(N2740*(1-M2740),2)</x:f>
        <x:v>4810.07</x:v>
      </x:c>
      <x:c r="P2740" s="54" t="n">
        <x:f>ROUND(J2740*L2740,2)</x:f>
        <x:v>3147.8</x:v>
      </x:c>
      <x:c r="Q2740" s="54" t="n">
        <x:f>ROUND(O2740-P2740,2)</x:f>
        <x:v>1662.27</x:v>
      </x:c>
      <x:c r="R2740" s="55" t="n">
        <x:f>IF(O2740=0,0,ROUND(Q2740/O2740,4))</x:f>
        <x:v>0.3456</x:v>
      </x:c>
      <x:c r="S2740" s="53" t="n">
        <x:v>11</x:v>
      </x:c>
      <x:c r="T2740" t="str">
        <x:v>Entregue com atraso</x:v>
      </x:c>
      <x:c r="U2740" t="n">
        <x:v>2</x:v>
      </x:c>
      <x:c r="V2740" t="str"/>
    </x:row>
    <x:row r="2741">
      <x:c r="A2741" s="52" t="n">
        <x:v>46163</x:v>
      </x:c>
      <x:c r="B2741" t="str">
        <x:v>PED-102740</x:v>
      </x:c>
      <x:c r="C2741" t="str">
        <x:v>Cliente 046</x:v>
      </x:c>
      <x:c r="D2741" t="str">
        <x:v>PE</x:v>
      </x:c>
      <x:c r="E2741" t="str">
        <x:v>Nordeste</x:v>
      </x:c>
      <x:c r="F2741" t="str">
        <x:v>Televendas</x:v>
      </x:c>
      <x:c r="G2741" t="str">
        <x:v>Acessórios</x:v>
      </x:c>
      <x:c r="H2741" t="str">
        <x:v>Webcam HD</x:v>
      </x:c>
      <x:c r="I2741" t="str">
        <x:v>Isabela</x:v>
      </x:c>
      <x:c r="J2741" s="53" t="n">
        <x:v>2</x:v>
      </x:c>
      <x:c r="K2741" s="54" t="n">
        <x:v>521.95</x:v>
      </x:c>
      <x:c r="L2741" s="54" t="n">
        <x:v>249.04</x:v>
      </x:c>
      <x:c r="M2741" s="55" t="n">
        <x:v>0</x:v>
      </x:c>
      <x:c r="N2741" s="54" t="n">
        <x:f>ROUND(J2741*K2741,2)</x:f>
        <x:v>1043.9</x:v>
      </x:c>
      <x:c r="O2741" s="54" t="n">
        <x:f>ROUND(N2741*(1-M2741),2)</x:f>
        <x:v>1043.9</x:v>
      </x:c>
      <x:c r="P2741" s="54" t="n">
        <x:f>ROUND(J2741*L2741,2)</x:f>
        <x:v>498.08</x:v>
      </x:c>
      <x:c r="Q2741" s="54" t="n">
        <x:f>ROUND(O2741-P2741,2)</x:f>
        <x:v>545.82</x:v>
      </x:c>
      <x:c r="R2741" s="55" t="n">
        <x:f>IF(O2741=0,0,ROUND(Q2741/O2741,4))</x:f>
        <x:v>0.5229</x:v>
      </x:c>
      <x:c r="S2741" s="53" t="n">
        <x:v>3</x:v>
      </x:c>
      <x:c r="T2741" t="str">
        <x:v>Entregue</x:v>
      </x:c>
      <x:c r="U2741" t="n">
        <x:v>2</x:v>
      </x:c>
      <x:c r="V2741" t="str"/>
    </x:row>
    <x:row r="2742">
      <x:c r="A2742" s="52" t="n">
        <x:v>46077</x:v>
      </x:c>
      <x:c r="B2742" t="str">
        <x:v>PED-102741</x:v>
      </x:c>
      <x:c r="C2742" t="str">
        <x:v>Cliente 119</x:v>
      </x:c>
      <x:c r="D2742" t="str">
        <x:v>SP</x:v>
      </x:c>
      <x:c r="E2742" t="str">
        <x:v>Sudeste</x:v>
      </x:c>
      <x:c r="F2742" t="str">
        <x:v>Loja</x:v>
      </x:c>
      <x:c r="G2742" t="str">
        <x:v>Escritório</x:v>
      </x:c>
      <x:c r="H2742" t="str">
        <x:v>Mesa Ajustável</x:v>
      </x:c>
      <x:c r="I2742" t="str">
        <x:v>Diego</x:v>
      </x:c>
      <x:c r="J2742" s="53" t="n">
        <x:v>5</x:v>
      </x:c>
      <x:c r="K2742" s="54" t="n">
        <x:v>2785.36</x:v>
      </x:c>
      <x:c r="L2742" s="54" t="n">
        <x:v>1897.87</x:v>
      </x:c>
      <x:c r="M2742" s="55" t="n">
        <x:v>0.0021</x:v>
      </x:c>
      <x:c r="N2742" s="54" t="n">
        <x:f>ROUND(J2742*K2742,2)</x:f>
        <x:v>13926.8</x:v>
      </x:c>
      <x:c r="O2742" s="54" t="n">
        <x:f>ROUND(N2742*(1-M2742),2)</x:f>
        <x:v>13897.55</x:v>
      </x:c>
      <x:c r="P2742" s="54" t="n">
        <x:f>ROUND(J2742*L2742,2)</x:f>
        <x:v>9489.35</x:v>
      </x:c>
      <x:c r="Q2742" s="54" t="n">
        <x:f>ROUND(O2742-P2742,2)</x:f>
        <x:v>4408.2</x:v>
      </x:c>
      <x:c r="R2742" s="55" t="n">
        <x:f>IF(O2742=0,0,ROUND(Q2742/O2742,4))</x:f>
        <x:v>0.3172</x:v>
      </x:c>
      <x:c r="S2742" s="53" t="n">
        <x:v>11</x:v>
      </x:c>
      <x:c r="T2742" t="str">
        <x:v>Entregue com atraso</x:v>
      </x:c>
      <x:c r="U2742" t="n">
        <x:v>3</x:v>
      </x:c>
      <x:c r="V2742" t="str"/>
    </x:row>
    <x:row r="2743">
      <x:c r="A2743" s="52" t="n">
        <x:v>46142</x:v>
      </x:c>
      <x:c r="B2743" t="str">
        <x:v>PED-102742</x:v>
      </x:c>
      <x:c r="C2743" t="str">
        <x:v>Cliente 048</x:v>
      </x:c>
      <x:c r="D2743" t="str">
        <x:v>PR</x:v>
      </x:c>
      <x:c r="E2743" t="str">
        <x:v>Sul</x:v>
      </x:c>
      <x:c r="F2743" t="str">
        <x:v>E-commerce</x:v>
      </x:c>
      <x:c r="G2743" t="str">
        <x:v>Casa</x:v>
      </x:c>
      <x:c r="H2743" t="str">
        <x:v>Purificador</x:v>
      </x:c>
      <x:c r="I2743" t="str">
        <x:v>Elaine</x:v>
      </x:c>
      <x:c r="J2743" s="53" t="n">
        <x:v>8</x:v>
      </x:c>
      <x:c r="K2743" s="54" t="n">
        <x:v>1268.89</x:v>
      </x:c>
      <x:c r="L2743" s="54" t="n">
        <x:v>783.98</x:v>
      </x:c>
      <x:c r="M2743" s="55" t="n">
        <x:v>0</x:v>
      </x:c>
      <x:c r="N2743" s="54" t="n">
        <x:f>ROUND(J2743*K2743,2)</x:f>
        <x:v>10151.12</x:v>
      </x:c>
      <x:c r="O2743" s="54" t="n">
        <x:f>ROUND(N2743*(1-M2743),2)</x:f>
        <x:v>10151.12</x:v>
      </x:c>
      <x:c r="P2743" s="54" t="n">
        <x:f>ROUND(J2743*L2743,2)</x:f>
        <x:v>6271.84</x:v>
      </x:c>
      <x:c r="Q2743" s="54" t="n">
        <x:f>ROUND(O2743-P2743,2)</x:f>
        <x:v>3879.28</x:v>
      </x:c>
      <x:c r="R2743" s="55" t="n">
        <x:f>IF(O2743=0,0,ROUND(Q2743/O2743,4))</x:f>
        <x:v>0.3822</x:v>
      </x:c>
      <x:c r="S2743" s="53" t="n">
        <x:v>13</x:v>
      </x:c>
      <x:c r="T2743" t="str">
        <x:v>Entregue com atraso</x:v>
      </x:c>
      <x:c r="U2743" t="n">
        <x:v>3</x:v>
      </x:c>
      <x:c r="V2743" t="str"/>
    </x:row>
    <x:row r="2744">
      <x:c r="A2744" s="52" t="n">
        <x:v>46097</x:v>
      </x:c>
      <x:c r="B2744" t="str">
        <x:v>PED-102743</x:v>
      </x:c>
      <x:c r="C2744" t="str">
        <x:v>Cliente 037</x:v>
      </x:c>
      <x:c r="D2744" t="str">
        <x:v>BA</x:v>
      </x:c>
      <x:c r="E2744" t="str">
        <x:v>Nordeste</x:v>
      </x:c>
      <x:c r="F2744" t="str">
        <x:v>Marketplace</x:v>
      </x:c>
      <x:c r="G2744" t="str">
        <x:v>Tecnologia</x:v>
      </x:c>
      <x:c r="H2744" t="str">
        <x:v>Notebook Pro</x:v>
      </x:c>
      <x:c r="I2744" t="str">
        <x:v>Carla</x:v>
      </x:c>
      <x:c r="J2744" s="53" t="n">
        <x:v>3</x:v>
      </x:c>
      <x:c r="K2744" s="54" t="n">
        <x:v>5574.8</x:v>
      </x:c>
      <x:c r="L2744" s="54" t="n">
        <x:v>4551.04</x:v>
      </x:c>
      <x:c r="M2744" s="55" t="n">
        <x:v>0.1164</x:v>
      </x:c>
      <x:c r="N2744" s="54" t="n">
        <x:f>ROUND(J2744*K2744,2)</x:f>
        <x:v>16724.4</x:v>
      </x:c>
      <x:c r="O2744" s="54" t="n">
        <x:f>ROUND(N2744*(1-M2744),2)</x:f>
        <x:v>14777.68</x:v>
      </x:c>
      <x:c r="P2744" s="54" t="n">
        <x:f>ROUND(J2744*L2744,2)</x:f>
        <x:v>13653.12</x:v>
      </x:c>
      <x:c r="Q2744" s="54" t="n">
        <x:f>ROUND(O2744-P2744,2)</x:f>
        <x:v>1124.56</x:v>
      </x:c>
      <x:c r="R2744" s="55" t="n">
        <x:f>IF(O2744=0,0,ROUND(Q2744/O2744,4))</x:f>
        <x:v>0.0761</x:v>
      </x:c>
      <x:c r="S2744" s="53" t="n">
        <x:v>4</x:v>
      </x:c>
      <x:c r="T2744" t="str">
        <x:v>Entregue</x:v>
      </x:c>
      <x:c r="U2744" t="n">
        <x:v>2</x:v>
      </x:c>
      <x:c r="V2744" t="str"/>
    </x:row>
    <x:row r="2745">
      <x:c r="A2745" s="52" t="n">
        <x:v>46148</x:v>
      </x:c>
      <x:c r="B2745" t="str">
        <x:v>PED-102744</x:v>
      </x:c>
      <x:c r="C2745" t="str">
        <x:v>Cliente 014</x:v>
      </x:c>
      <x:c r="D2745" t="str">
        <x:v>SC</x:v>
      </x:c>
      <x:c r="E2745" t="str">
        <x:v>Sul</x:v>
      </x:c>
      <x:c r="F2745" t="str">
        <x:v>Marketplace</x:v>
      </x:c>
      <x:c r="G2745" t="str">
        <x:v>Tecnologia</x:v>
      </x:c>
      <x:c r="H2745" t="str">
        <x:v>Notebook Pro</x:v>
      </x:c>
      <x:c r="I2745" t="str">
        <x:v>Gabriela</x:v>
      </x:c>
      <x:c r="J2745" s="53" t="n">
        <x:v>2</x:v>
      </x:c>
      <x:c r="K2745" s="54" t="n">
        <x:v>6103.19</x:v>
      </x:c>
      <x:c r="L2745" s="54" t="n">
        <x:v>6470.9</x:v>
      </x:c>
      <x:c r="M2745" s="55" t="n">
        <x:v>0.035</x:v>
      </x:c>
      <x:c r="N2745" s="54" t="n">
        <x:f>ROUND(J2745*K2745,2)</x:f>
        <x:v>12206.38</x:v>
      </x:c>
      <x:c r="O2745" s="54" t="n">
        <x:f>ROUND(N2745*(1-M2745),2)</x:f>
        <x:v>11779.16</x:v>
      </x:c>
      <x:c r="P2745" s="54" t="n">
        <x:f>ROUND(J2745*L2745,2)</x:f>
        <x:v>12941.8</x:v>
      </x:c>
      <x:c r="Q2745" s="54" t="n">
        <x:f>ROUND(O2745-P2745,2)</x:f>
        <x:v>-1162.64</x:v>
      </x:c>
      <x:c r="R2745" s="55" t="n">
        <x:f>IF(O2745=0,0,ROUND(Q2745/O2745,4))</x:f>
        <x:v>-0.0987</x:v>
      </x:c>
      <x:c r="S2745" s="53" t="n">
        <x:v>9</x:v>
      </x:c>
      <x:c r="T2745" t="str">
        <x:v>Entregue</x:v>
      </x:c>
      <x:c r="U2745" t="n">
        <x:v>2</x:v>
      </x:c>
      <x:c r="V2745" t="str">
        <x:v>Custo revisado após fechamento</x:v>
      </x:c>
    </x:row>
    <x:row r="2746">
      <x:c r="A2746" s="52" t="n">
        <x:v>46186</x:v>
      </x:c>
      <x:c r="B2746" t="str">
        <x:v>PED-102745</x:v>
      </x:c>
      <x:c r="C2746" t="str">
        <x:v>Cliente 060</x:v>
      </x:c>
      <x:c r="D2746" t="str">
        <x:v>ES</x:v>
      </x:c>
      <x:c r="E2746" t="str">
        <x:v>Sudeste</x:v>
      </x:c>
      <x:c r="F2746" t="str">
        <x:v>Loja</x:v>
      </x:c>
      <x:c r="G2746" t="str">
        <x:v>Escritório</x:v>
      </x:c>
      <x:c r="H2746" t="str">
        <x:v>Mesa Ajustável</x:v>
      </x:c>
      <x:c r="I2746" t="str">
        <x:v>Felipe</x:v>
      </x:c>
      <x:c r="J2746" s="53" t="n">
        <x:v>4</x:v>
      </x:c>
      <x:c r="K2746" s="54" t="n">
        <x:v>2665.24</x:v>
      </x:c>
      <x:c r="L2746" s="54" t="n">
        <x:v>1890.66</x:v>
      </x:c>
      <x:c r="M2746" s="55" t="n">
        <x:v>0</x:v>
      </x:c>
      <x:c r="N2746" s="54" t="n">
        <x:f>ROUND(J2746*K2746,2)</x:f>
        <x:v>10660.96</x:v>
      </x:c>
      <x:c r="O2746" s="54" t="n">
        <x:f>ROUND(N2746*(1-M2746),2)</x:f>
        <x:v>10660.96</x:v>
      </x:c>
      <x:c r="P2746" s="54" t="n">
        <x:f>ROUND(J2746*L2746,2)</x:f>
        <x:v>7562.64</x:v>
      </x:c>
      <x:c r="Q2746" s="54" t="n">
        <x:f>ROUND(O2746-P2746,2)</x:f>
        <x:v>3098.32</x:v>
      </x:c>
      <x:c r="R2746" s="55" t="n">
        <x:f>IF(O2746=0,0,ROUND(Q2746/O2746,4))</x:f>
        <x:v>0.2906</x:v>
      </x:c>
      <x:c r="S2746" s="53" t="n">
        <x:v>2</x:v>
      </x:c>
      <x:c r="T2746" t="str">
        <x:v>Entregue</x:v>
      </x:c>
      <x:c r="U2746" t="n">
        <x:v>2</x:v>
      </x:c>
      <x:c r="V2746" t="str"/>
    </x:row>
    <x:row r="2747">
      <x:c r="A2747" s="52" t="n">
        <x:v>46101</x:v>
      </x:c>
      <x:c r="B2747" t="str">
        <x:v>PED-102746</x:v>
      </x:c>
      <x:c r="C2747" t="str">
        <x:v>Cliente 030</x:v>
      </x:c>
      <x:c r="D2747" t="str">
        <x:v>PR</x:v>
      </x:c>
      <x:c r="E2747" t="str">
        <x:v>Sul</x:v>
      </x:c>
      <x:c r="F2747" t="str">
        <x:v>Marketplace</x:v>
      </x:c>
      <x:c r="G2747" t="str">
        <x:v>Tecnologia</x:v>
      </x:c>
      <x:c r="H2747" t="str">
        <x:v>Headset Office</x:v>
      </x:c>
      <x:c r="I2747" t="str">
        <x:v>Elaine</x:v>
      </x:c>
      <x:c r="J2747" s="53" t="n">
        <x:v>1</x:v>
      </x:c>
      <x:c r="K2747" s="54" t="n">
        <x:v>390.38</x:v>
      </x:c>
      <x:c r="L2747" s="54" t="n">
        <x:v>219.95</x:v>
      </x:c>
      <x:c r="M2747" s="55" t="n">
        <x:v>0.035</x:v>
      </x:c>
      <x:c r="N2747" s="54" t="n">
        <x:f>ROUND(J2747*K2747,2)</x:f>
        <x:v>390.38</x:v>
      </x:c>
      <x:c r="O2747" s="54" t="n">
        <x:f>ROUND(N2747*(1-M2747),2)</x:f>
        <x:v>376.72</x:v>
      </x:c>
      <x:c r="P2747" s="54" t="n">
        <x:f>ROUND(J2747*L2747,2)</x:f>
        <x:v>219.95</x:v>
      </x:c>
      <x:c r="Q2747" s="54" t="n">
        <x:f>ROUND(O2747-P2747,2)</x:f>
        <x:v>156.77</x:v>
      </x:c>
      <x:c r="R2747" s="55" t="n">
        <x:f>IF(O2747=0,0,ROUND(Q2747/O2747,4))</x:f>
        <x:v>0.4161</x:v>
      </x:c>
      <x:c r="S2747" s="53" t="n">
        <x:v>10</x:v>
      </x:c>
      <x:c r="T2747" t="str">
        <x:v>Entregue</x:v>
      </x:c>
      <x:c r="U2747" t="n">
        <x:v>3</x:v>
      </x:c>
      <x:c r="V2747" t="str"/>
    </x:row>
    <x:row r="2748">
      <x:c r="A2748" s="52" t="n">
        <x:v>46050</x:v>
      </x:c>
      <x:c r="B2748" t="str">
        <x:v>PED-102747</x:v>
      </x:c>
      <x:c r="C2748" t="str">
        <x:v>Cliente 010</x:v>
      </x:c>
      <x:c r="D2748" t="str">
        <x:v>GO</x:v>
      </x:c>
      <x:c r="E2748" t="str">
        <x:v>Centro-Oeste</x:v>
      </x:c>
      <x:c r="F2748" t="str">
        <x:v>Marketplace</x:v>
      </x:c>
      <x:c r="G2748" t="str">
        <x:v>Tecnologia</x:v>
      </x:c>
      <x:c r="H2748" t="str">
        <x:v>Monitor 27</x:v>
      </x:c>
      <x:c r="I2748" t="str">
        <x:v>Felipe</x:v>
      </x:c>
      <x:c r="J2748" s="53" t="n">
        <x:v>1</x:v>
      </x:c>
      <x:c r="K2748" s="54" t="n">
        <x:v>1673.14</x:v>
      </x:c>
      <x:c r="L2748" s="54" t="n">
        <x:v>1116.68</x:v>
      </x:c>
      <x:c r="M2748" s="55" t="n">
        <x:v>0.035</x:v>
      </x:c>
      <x:c r="N2748" s="54" t="n">
        <x:f>ROUND(J2748*K2748,2)</x:f>
        <x:v>1673.14</x:v>
      </x:c>
      <x:c r="O2748" s="54" t="n">
        <x:f>ROUND(N2748*(1-M2748),2)</x:f>
        <x:v>1614.58</x:v>
      </x:c>
      <x:c r="P2748" s="54" t="n">
        <x:f>ROUND(J2748*L2748,2)</x:f>
        <x:v>1116.68</x:v>
      </x:c>
      <x:c r="Q2748" s="54" t="n">
        <x:f>ROUND(O2748-P2748,2)</x:f>
        <x:v>497.9</x:v>
      </x:c>
      <x:c r="R2748" s="55" t="n">
        <x:f>IF(O2748=0,0,ROUND(Q2748/O2748,4))</x:f>
        <x:v>0.3084</x:v>
      </x:c>
      <x:c r="S2748" s="53" t="n">
        <x:v>9</x:v>
      </x:c>
      <x:c r="T2748" t="str">
        <x:v>Entregue</x:v>
      </x:c>
      <x:c r="U2748" t="n">
        <x:v>3</x:v>
      </x:c>
      <x:c r="V2748" t="str"/>
    </x:row>
    <x:row r="2749">
      <x:c r="A2749" s="52" t="n">
        <x:v>46209</x:v>
      </x:c>
      <x:c r="B2749" t="str">
        <x:v>PED-102748</x:v>
      </x:c>
      <x:c r="C2749" t="str">
        <x:v>Cliente 062</x:v>
      </x:c>
      <x:c r="D2749" t="str">
        <x:v>RJ</x:v>
      </x:c>
      <x:c r="E2749" t="str">
        <x:v>Sudeste</x:v>
      </x:c>
      <x:c r="F2749" t="str">
        <x:v>Televendas</x:v>
      </x:c>
      <x:c r="G2749" t="str">
        <x:v>Casa</x:v>
      </x:c>
      <x:c r="H2749" t="str">
        <x:v>Purificador</x:v>
      </x:c>
      <x:c r="I2749" t="str">
        <x:v>Gabriela</x:v>
      </x:c>
      <x:c r="J2749" s="53" t="n">
        <x:v>7</x:v>
      </x:c>
      <x:c r="K2749" s="54" t="n">
        <x:v>1226.02</x:v>
      </x:c>
      <x:c r="L2749" s="54" t="n">
        <x:v>776.29</x:v>
      </x:c>
      <x:c r="M2749" s="55" t="n">
        <x:v>0.1091</x:v>
      </x:c>
      <x:c r="N2749" s="54" t="n">
        <x:f>ROUND(J2749*K2749,2)</x:f>
        <x:v>8582.14</x:v>
      </x:c>
      <x:c r="O2749" s="54" t="n">
        <x:f>ROUND(N2749*(1-M2749),2)</x:f>
        <x:v>7645.83</x:v>
      </x:c>
      <x:c r="P2749" s="54" t="n">
        <x:f>ROUND(J2749*L2749,2)</x:f>
        <x:v>5434.03</x:v>
      </x:c>
      <x:c r="Q2749" s="54" t="n">
        <x:f>ROUND(O2749-P2749,2)</x:f>
        <x:v>2211.8</x:v>
      </x:c>
      <x:c r="R2749" s="55" t="n">
        <x:f>IF(O2749=0,0,ROUND(Q2749/O2749,4))</x:f>
        <x:v>0.2893</x:v>
      </x:c>
      <x:c r="S2749" s="53" t="n">
        <x:v>14</x:v>
      </x:c>
      <x:c r="T2749" t="str">
        <x:v>Entregue com atraso</x:v>
      </x:c>
      <x:c r="U2749" t="n">
        <x:v>5</x:v>
      </x:c>
      <x:c r="V2749" t="str"/>
    </x:row>
    <x:row r="2750">
      <x:c r="A2750" s="52" t="n">
        <x:v>46219</x:v>
      </x:c>
      <x:c r="B2750" t="str">
        <x:v>PED-102749</x:v>
      </x:c>
      <x:c r="C2750" t="str">
        <x:v>Cliente 096</x:v>
      </x:c>
      <x:c r="D2750" t="str">
        <x:v>PA</x:v>
      </x:c>
      <x:c r="E2750" t="str">
        <x:v>Norte</x:v>
      </x:c>
      <x:c r="F2750" t="str">
        <x:v>Loja</x:v>
      </x:c>
      <x:c r="G2750" t="str">
        <x:v>Acessórios</x:v>
      </x:c>
      <x:c r="H2750" t="str">
        <x:v>Webcam HD</x:v>
      </x:c>
      <x:c r="I2750" t="str">
        <x:v>Diego</x:v>
      </x:c>
      <x:c r="J2750" s="53" t="n">
        <x:v>2</x:v>
      </x:c>
      <x:c r="K2750" s="54" t="n">
        <x:v>517.72</x:v>
      </x:c>
      <x:c r="L2750" s="54" t="n">
        <x:v>243.03</x:v>
      </x:c>
      <x:c r="M2750" s="55" t="n">
        <x:v>0.0567</x:v>
      </x:c>
      <x:c r="N2750" s="54" t="n">
        <x:f>ROUND(J2750*K2750,2)</x:f>
        <x:v>1035.44</x:v>
      </x:c>
      <x:c r="O2750" s="54" t="n">
        <x:f>ROUND(N2750*(1-M2750),2)</x:f>
        <x:v>976.73</x:v>
      </x:c>
      <x:c r="P2750" s="54" t="n">
        <x:f>ROUND(J2750*L2750,2)</x:f>
        <x:v>486.06</x:v>
      </x:c>
      <x:c r="Q2750" s="54" t="n">
        <x:f>ROUND(O2750-P2750,2)</x:f>
        <x:v>490.67</x:v>
      </x:c>
      <x:c r="R2750" s="55" t="n">
        <x:f>IF(O2750=0,0,ROUND(Q2750/O2750,4))</x:f>
        <x:v>0.5024</x:v>
      </x:c>
      <x:c r="S2750" s="53" t="n">
        <x:v>9</x:v>
      </x:c>
      <x:c r="T2750" t="str">
        <x:v>Cancelado</x:v>
      </x:c>
      <x:c r="U2750"/>
      <x:c r="V2750" t="str"/>
    </x:row>
    <x:row r="2751">
      <x:c r="A2751" s="52" t="n">
        <x:v>46059</x:v>
      </x:c>
      <x:c r="B2751" t="str">
        <x:v>PED-102750</x:v>
      </x:c>
      <x:c r="C2751" t="str">
        <x:v>Cliente 012</x:v>
      </x:c>
      <x:c r="D2751" t="str">
        <x:v>RS</x:v>
      </x:c>
      <x:c r="E2751" t="str">
        <x:v>Sul</x:v>
      </x:c>
      <x:c r="F2751" t="str">
        <x:v>Televendas</x:v>
      </x:c>
      <x:c r="G2751" t="str">
        <x:v>Acessórios</x:v>
      </x:c>
      <x:c r="H2751" t="str">
        <x:v>Hub USB-C</x:v>
      </x:c>
      <x:c r="I2751" t="str">
        <x:v>Gabriela</x:v>
      </x:c>
      <x:c r="J2751" s="53" t="n">
        <x:v>7</x:v>
      </x:c>
      <x:c r="K2751" s="54" t="n">
        <x:v>312.62</x:v>
      </x:c>
      <x:c r="L2751" s="54" t="n">
        <x:v>137.78</x:v>
      </x:c>
      <x:c r="M2751" s="55" t="n">
        <x:v>0.0291</x:v>
      </x:c>
      <x:c r="N2751" s="54" t="n">
        <x:f>ROUND(J2751*K2751,2)</x:f>
        <x:v>2188.34</x:v>
      </x:c>
      <x:c r="O2751" s="54" t="n">
        <x:f>ROUND(N2751*(1-M2751),2)</x:f>
        <x:v>2124.66</x:v>
      </x:c>
      <x:c r="P2751" s="54" t="n">
        <x:f>ROUND(J2751*L2751,2)</x:f>
        <x:v>964.46</x:v>
      </x:c>
      <x:c r="Q2751" s="54" t="n">
        <x:f>ROUND(O2751-P2751,2)</x:f>
        <x:v>1160.2</x:v>
      </x:c>
      <x:c r="R2751" s="55" t="n">
        <x:f>IF(O2751=0,0,ROUND(Q2751/O2751,4))</x:f>
        <x:v>0.5461</x:v>
      </x:c>
      <x:c r="S2751" s="53" t="n">
        <x:v>2</x:v>
      </x:c>
      <x:c r="T2751" t="str">
        <x:v>Entregue</x:v>
      </x:c>
      <x:c r="U2751" t="n">
        <x:v>2</x:v>
      </x:c>
      <x:c r="V2751" t="str"/>
    </x:row>
    <x:row r="2752">
      <x:c r="A2752" s="52" t="n">
        <x:v>46199</x:v>
      </x:c>
      <x:c r="B2752" t="str">
        <x:v>PED-102751</x:v>
      </x:c>
      <x:c r="C2752" t="str">
        <x:v>Cliente 021</x:v>
      </x:c>
      <x:c r="D2752" t="str">
        <x:v>RS</x:v>
      </x:c>
      <x:c r="E2752" t="str">
        <x:v>Sul</x:v>
      </x:c>
      <x:c r="F2752" t="str">
        <x:v>Loja</x:v>
      </x:c>
      <x:c r="G2752" t="str">
        <x:v>Tecnologia</x:v>
      </x:c>
      <x:c r="H2752" t="str">
        <x:v>Notebook Pro</x:v>
      </x:c>
      <x:c r="I2752" t="str">
        <x:v>Elaine</x:v>
      </x:c>
      <x:c r="J2752" s="53" t="n">
        <x:v>5</x:v>
      </x:c>
      <x:c r="K2752" s="54" t="n">
        <x:v>5775.08</x:v>
      </x:c>
      <x:c r="L2752" s="54" t="n">
        <x:v>4294.02</x:v>
      </x:c>
      <x:c r="M2752" s="55" t="n">
        <x:v>0.0842</x:v>
      </x:c>
      <x:c r="N2752" s="54" t="n">
        <x:f>ROUND(J2752*K2752,2)</x:f>
        <x:v>28875.4</x:v>
      </x:c>
      <x:c r="O2752" s="54" t="n">
        <x:f>ROUND(N2752*(1-M2752),2)</x:f>
        <x:v>26444.09</x:v>
      </x:c>
      <x:c r="P2752" s="54" t="n">
        <x:f>ROUND(J2752*L2752,2)</x:f>
        <x:v>21470.1</x:v>
      </x:c>
      <x:c r="Q2752" s="54" t="n">
        <x:f>ROUND(O2752-P2752,2)</x:f>
        <x:v>4973.99</x:v>
      </x:c>
      <x:c r="R2752" s="55" t="n">
        <x:f>IF(O2752=0,0,ROUND(Q2752/O2752,4))</x:f>
        <x:v>0.1881</x:v>
      </x:c>
      <x:c r="S2752" s="53" t="n">
        <x:v>14</x:v>
      </x:c>
      <x:c r="T2752" t="str">
        <x:v>Entregue com atraso</x:v>
      </x:c>
      <x:c r="U2752" t="n">
        <x:v>5</x:v>
      </x:c>
      <x:c r="V2752" t="str"/>
    </x:row>
    <x:row r="2753">
      <x:c r="A2753" s="52" t="n">
        <x:v>46147</x:v>
      </x:c>
      <x:c r="B2753" t="str">
        <x:v>PED-102752</x:v>
      </x:c>
      <x:c r="C2753" t="str">
        <x:v>Cliente 058</x:v>
      </x:c>
      <x:c r="D2753" t="str">
        <x:v>CE</x:v>
      </x:c>
      <x:c r="E2753" t="str">
        <x:v>Nordeste</x:v>
      </x:c>
      <x:c r="F2753" t="str">
        <x:v>E-commerce</x:v>
      </x:c>
      <x:c r="G2753" t="str">
        <x:v>Tecnologia</x:v>
      </x:c>
      <x:c r="H2753" t="str">
        <x:v>Notebook Pro</x:v>
      </x:c>
      <x:c r="I2753" t="str">
        <x:v>Ana</x:v>
      </x:c>
      <x:c r="J2753" s="53" t="n">
        <x:v>8</x:v>
      </x:c>
      <x:c r="K2753" s="54" t="n">
        <x:v>5889.3</x:v>
      </x:c>
      <x:c r="L2753" s="54" t="n">
        <x:v>4601.29</x:v>
      </x:c>
      <x:c r="M2753" s="55" t="n">
        <x:v>0</x:v>
      </x:c>
      <x:c r="N2753" s="54" t="n">
        <x:f>ROUND(J2753*K2753,2)</x:f>
        <x:v>47114.4</x:v>
      </x:c>
      <x:c r="O2753" s="54" t="n">
        <x:f>ROUND(N2753*(1-M2753),2)</x:f>
        <x:v>47114.4</x:v>
      </x:c>
      <x:c r="P2753" s="54" t="n">
        <x:f>ROUND(J2753*L2753,2)</x:f>
        <x:v>36810.32</x:v>
      </x:c>
      <x:c r="Q2753" s="54" t="n">
        <x:f>ROUND(O2753-P2753,2)</x:f>
        <x:v>10304.08</x:v>
      </x:c>
      <x:c r="R2753" s="55" t="n">
        <x:f>IF(O2753=0,0,ROUND(Q2753/O2753,4))</x:f>
        <x:v>0.2187</x:v>
      </x:c>
      <x:c r="S2753" s="53" t="n">
        <x:v>5</x:v>
      </x:c>
      <x:c r="T2753" t="str">
        <x:v>Entregue</x:v>
      </x:c>
      <x:c r="U2753" t="n">
        <x:v>2</x:v>
      </x:c>
      <x:c r="V2753" t="str"/>
    </x:row>
    <x:row r="2754">
      <x:c r="A2754" s="52" t="n">
        <x:v>46044</x:v>
      </x:c>
      <x:c r="B2754" t="str">
        <x:v>PED-102753</x:v>
      </x:c>
      <x:c r="C2754" t="str">
        <x:v>Cliente 065</x:v>
      </x:c>
      <x:c r="D2754" t="str">
        <x:v>SC</x:v>
      </x:c>
      <x:c r="E2754" t="str">
        <x:v>Sul</x:v>
      </x:c>
      <x:c r="F2754" t="str">
        <x:v>Marketplace</x:v>
      </x:c>
      <x:c r="G2754" t="str">
        <x:v>Casa</x:v>
      </x:c>
      <x:c r="H2754" t="str">
        <x:v>Cafeteira Smart</x:v>
      </x:c>
      <x:c r="I2754" t="str">
        <x:v>Henrique</x:v>
      </x:c>
      <x:c r="J2754" s="53" t="n">
        <x:v>8</x:v>
      </x:c>
      <x:c r="K2754" s="54" t="n">
        <x:v>824.67</x:v>
      </x:c>
      <x:c r="L2754" s="54" t="n">
        <x:v>467.56</x:v>
      </x:c>
      <x:c r="M2754" s="55" t="n">
        <x:v>0.035</x:v>
      </x:c>
      <x:c r="N2754" s="54" t="n">
        <x:f>ROUND(J2754*K2754,2)</x:f>
        <x:v>6597.36</x:v>
      </x:c>
      <x:c r="O2754" s="54" t="n">
        <x:f>ROUND(N2754*(1-M2754),2)</x:f>
        <x:v>6366.45</x:v>
      </x:c>
      <x:c r="P2754" s="54" t="n">
        <x:f>ROUND(J2754*L2754,2)</x:f>
        <x:v>3740.48</x:v>
      </x:c>
      <x:c r="Q2754" s="54" t="n">
        <x:f>ROUND(O2754-P2754,2)</x:f>
        <x:v>2625.97</x:v>
      </x:c>
      <x:c r="R2754" s="55" t="n">
        <x:f>IF(O2754=0,0,ROUND(Q2754/O2754,4))</x:f>
        <x:v>0.4125</x:v>
      </x:c>
      <x:c r="S2754" s="53" t="n">
        <x:v>9</x:v>
      </x:c>
      <x:c r="T2754" t="str">
        <x:v>Entregue</x:v>
      </x:c>
      <x:c r="U2754" t="n">
        <x:v>2</x:v>
      </x:c>
      <x:c r="V2754" t="str"/>
    </x:row>
    <x:row r="2755">
      <x:c r="A2755" s="52" t="n">
        <x:v>46148</x:v>
      </x:c>
      <x:c r="B2755" t="str">
        <x:v>PED-102754</x:v>
      </x:c>
      <x:c r="C2755" t="str">
        <x:v>Cliente 100</x:v>
      </x:c>
      <x:c r="D2755" t="str">
        <x:v>MG</x:v>
      </x:c>
      <x:c r="E2755" t="str">
        <x:v>Sudeste</x:v>
      </x:c>
      <x:c r="F2755" t="str">
        <x:v>E-commerce</x:v>
      </x:c>
      <x:c r="G2755" t="str">
        <x:v>Acessórios</x:v>
      </x:c>
      <x:c r="H2755" t="str">
        <x:v>Webcam HD</x:v>
      </x:c>
      <x:c r="I2755" t="str">
        <x:v>Isabela</x:v>
      </x:c>
      <x:c r="J2755" s="53" t="n">
        <x:v>4</x:v>
      </x:c>
      <x:c r="K2755" s="54" t="n">
        <x:v>515.55</x:v>
      </x:c>
      <x:c r="L2755" s="54" t="n">
        <x:v>248.25</x:v>
      </x:c>
      <x:c r="M2755" s="55" t="n">
        <x:v>0.0716</x:v>
      </x:c>
      <x:c r="N2755" s="54" t="n">
        <x:f>ROUND(J2755*K2755,2)</x:f>
        <x:v>2062.2</x:v>
      </x:c>
      <x:c r="O2755" s="54" t="n">
        <x:f>ROUND(N2755*(1-M2755),2)</x:f>
        <x:v>1914.55</x:v>
      </x:c>
      <x:c r="P2755" s="54" t="n">
        <x:f>ROUND(J2755*L2755,2)</x:f>
        <x:v>993</x:v>
      </x:c>
      <x:c r="Q2755" s="54" t="n">
        <x:f>ROUND(O2755-P2755,2)</x:f>
        <x:v>921.55</x:v>
      </x:c>
      <x:c r="R2755" s="55" t="n">
        <x:f>IF(O2755=0,0,ROUND(Q2755/O2755,4))</x:f>
        <x:v>0.4813</x:v>
      </x:c>
      <x:c r="S2755" s="53" t="n">
        <x:v>9</x:v>
      </x:c>
      <x:c r="T2755" t="str">
        <x:v>Entregue</x:v>
      </x:c>
      <x:c r="U2755" t="n">
        <x:v>3</x:v>
      </x:c>
      <x:c r="V2755" t="str"/>
    </x:row>
    <x:row r="2756">
      <x:c r="A2756" s="52" t="n">
        <x:v>46109</x:v>
      </x:c>
      <x:c r="B2756" t="str">
        <x:v>PED-102755</x:v>
      </x:c>
      <x:c r="C2756" t="str">
        <x:v>Cliente 011</x:v>
      </x:c>
      <x:c r="D2756" t="str">
        <x:v>MA</x:v>
      </x:c>
      <x:c r="E2756" t="str">
        <x:v>Nordeste</x:v>
      </x:c>
      <x:c r="F2756" t="str">
        <x:v>E-commerce</x:v>
      </x:c>
      <x:c r="G2756" t="str">
        <x:v>Escritório</x:v>
      </x:c>
      <x:c r="H2756" t="str">
        <x:v>Cadeira Ergonômica</x:v>
      </x:c>
      <x:c r="I2756" t="str">
        <x:v>João</x:v>
      </x:c>
      <x:c r="J2756" s="53" t="n">
        <x:v>5</x:v>
      </x:c>
      <x:c r="K2756" s="54" t="n">
        <x:v>2285.7</x:v>
      </x:c>
      <x:c r="L2756" s="54" t="n">
        <x:v>1423.59</x:v>
      </x:c>
      <x:c r="M2756" s="55" t="n">
        <x:v>0</x:v>
      </x:c>
      <x:c r="N2756" s="54" t="n">
        <x:f>ROUND(J2756*K2756,2)</x:f>
        <x:v>11428.5</x:v>
      </x:c>
      <x:c r="O2756" s="54" t="n">
        <x:f>ROUND(N2756*(1-M2756),2)</x:f>
        <x:v>11428.5</x:v>
      </x:c>
      <x:c r="P2756" s="54" t="n">
        <x:f>ROUND(J2756*L2756,2)</x:f>
        <x:v>7117.95</x:v>
      </x:c>
      <x:c r="Q2756" s="54" t="n">
        <x:f>ROUND(O2756-P2756,2)</x:f>
        <x:v>4310.55</x:v>
      </x:c>
      <x:c r="R2756" s="55" t="n">
        <x:f>IF(O2756=0,0,ROUND(Q2756/O2756,4))</x:f>
        <x:v>0.3772</x:v>
      </x:c>
      <x:c r="S2756" s="53" t="n">
        <x:v>2</x:v>
      </x:c>
      <x:c r="T2756" t="str">
        <x:v>Entregue</x:v>
      </x:c>
      <x:c r="U2756" t="n">
        <x:v>2</x:v>
      </x:c>
      <x:c r="V2756" t="str"/>
    </x:row>
    <x:row r="2757">
      <x:c r="A2757" s="52" t="n">
        <x:v>46168</x:v>
      </x:c>
      <x:c r="B2757" t="str">
        <x:v>PED-102756</x:v>
      </x:c>
      <x:c r="C2757" t="str">
        <x:v>Cliente 107</x:v>
      </x:c>
      <x:c r="D2757" t="str">
        <x:v>AM</x:v>
      </x:c>
      <x:c r="E2757" t="str">
        <x:v>Norte</x:v>
      </x:c>
      <x:c r="F2757" t="str">
        <x:v>Marketplace</x:v>
      </x:c>
      <x:c r="G2757" t="str">
        <x:v>Tecnologia</x:v>
      </x:c>
      <x:c r="H2757" t="str">
        <x:v>Notebook Pro</x:v>
      </x:c>
      <x:c r="I2757" t="str">
        <x:v>Bruno</x:v>
      </x:c>
      <x:c r="J2757" s="53" t="n">
        <x:v>1</x:v>
      </x:c>
      <x:c r="K2757" s="54" t="n">
        <x:v>6096.31</x:v>
      </x:c>
      <x:c r="L2757" s="54" t="n">
        <x:v>4457.2</x:v>
      </x:c>
      <x:c r="M2757" s="55" t="n">
        <x:v>0.035</x:v>
      </x:c>
      <x:c r="N2757" s="54" t="n">
        <x:f>ROUND(J2757*K2757,2)</x:f>
        <x:v>6096.31</x:v>
      </x:c>
      <x:c r="O2757" s="54" t="n">
        <x:f>ROUND(N2757*(1-M2757),2)</x:f>
        <x:v>5882.94</x:v>
      </x:c>
      <x:c r="P2757" s="54" t="n">
        <x:f>ROUND(J2757*L2757,2)</x:f>
        <x:v>4457.2</x:v>
      </x:c>
      <x:c r="Q2757" s="54" t="n">
        <x:f>ROUND(O2757-P2757,2)</x:f>
        <x:v>1425.74</x:v>
      </x:c>
      <x:c r="R2757" s="55" t="n">
        <x:f>IF(O2757=0,0,ROUND(Q2757/O2757,4))</x:f>
        <x:v>0.2424</x:v>
      </x:c>
      <x:c r="S2757" s="53" t="n">
        <x:v>4</x:v>
      </x:c>
      <x:c r="T2757" t="str">
        <x:v>Entregue</x:v>
      </x:c>
      <x:c r="U2757" t="n">
        <x:v>2</x:v>
      </x:c>
      <x:c r="V2757" t="str"/>
    </x:row>
    <x:row r="2758">
      <x:c r="A2758" s="52" t="n">
        <x:v>46055</x:v>
      </x:c>
      <x:c r="B2758" t="str">
        <x:v>PED-102757</x:v>
      </x:c>
      <x:c r="C2758" t="str">
        <x:v>Cliente 054</x:v>
      </x:c>
      <x:c r="D2758" t="str">
        <x:v>RJ</x:v>
      </x:c>
      <x:c r="E2758" t="str">
        <x:v>Sudeste</x:v>
      </x:c>
      <x:c r="F2758" t="str">
        <x:v>Televendas</x:v>
      </x:c>
      <x:c r="G2758" t="str">
        <x:v>Casa</x:v>
      </x:c>
      <x:c r="H2758" t="str">
        <x:v>Cafeteira Smart</x:v>
      </x:c>
      <x:c r="I2758" t="str">
        <x:v>Henrique</x:v>
      </x:c>
      <x:c r="J2758" s="53" t="n">
        <x:v>4</x:v>
      </x:c>
      <x:c r="K2758" s="54" t="n">
        <x:v>801.34</x:v>
      </x:c>
      <x:c r="L2758" s="54" t="n">
        <x:v>443.99</x:v>
      </x:c>
      <x:c r="M2758" s="55" t="n">
        <x:v>0.0661</x:v>
      </x:c>
      <x:c r="N2758" s="54" t="n">
        <x:f>ROUND(J2758*K2758,2)</x:f>
        <x:v>3205.36</x:v>
      </x:c>
      <x:c r="O2758" s="54" t="n">
        <x:f>ROUND(N2758*(1-M2758),2)</x:f>
        <x:v>2993.49</x:v>
      </x:c>
      <x:c r="P2758" s="54" t="n">
        <x:f>ROUND(J2758*L2758,2)</x:f>
        <x:v>1775.96</x:v>
      </x:c>
      <x:c r="Q2758" s="54" t="n">
        <x:f>ROUND(O2758-P2758,2)</x:f>
        <x:v>1217.53</x:v>
      </x:c>
      <x:c r="R2758" s="55" t="n">
        <x:f>IF(O2758=0,0,ROUND(Q2758/O2758,4))</x:f>
        <x:v>0.4067</x:v>
      </x:c>
      <x:c r="S2758" s="53" t="n">
        <x:v>9</x:v>
      </x:c>
      <x:c r="T2758" t="str">
        <x:v>Entregue</x:v>
      </x:c>
      <x:c r="U2758" t="n">
        <x:v>3</x:v>
      </x:c>
      <x:c r="V2758" t="str"/>
    </x:row>
    <x:row r="2759">
      <x:c r="A2759" s="52" t="n">
        <x:v>46170</x:v>
      </x:c>
      <x:c r="B2759" t="str">
        <x:v>PED-102758</x:v>
      </x:c>
      <x:c r="C2759" t="str">
        <x:v>Cliente 036</x:v>
      </x:c>
      <x:c r="D2759" t="str">
        <x:v>PA</x:v>
      </x:c>
      <x:c r="E2759" t="str">
        <x:v>Norte</x:v>
      </x:c>
      <x:c r="F2759" t="str">
        <x:v>Loja</x:v>
      </x:c>
      <x:c r="G2759" t="str">
        <x:v>Tecnologia</x:v>
      </x:c>
      <x:c r="H2759" t="str">
        <x:v>Monitor 27</x:v>
      </x:c>
      <x:c r="I2759" t="str">
        <x:v>Bruno</x:v>
      </x:c>
      <x:c r="J2759" s="53" t="n">
        <x:v>2</x:v>
      </x:c>
      <x:c r="K2759" s="54" t="n">
        <x:v>1696.95</x:v>
      </x:c>
      <x:c r="L2759" s="54" t="n">
        <x:v>1115.05</x:v>
      </x:c>
      <x:c r="M2759" s="55" t="n">
        <x:v>0.1209</x:v>
      </x:c>
      <x:c r="N2759" s="54" t="n">
        <x:f>ROUND(J2759*K2759,2)</x:f>
        <x:v>3393.9</x:v>
      </x:c>
      <x:c r="O2759" s="54" t="n">
        <x:f>ROUND(N2759*(1-M2759),2)</x:f>
        <x:v>2983.58</x:v>
      </x:c>
      <x:c r="P2759" s="54" t="n">
        <x:f>ROUND(J2759*L2759,2)</x:f>
        <x:v>2230.1</x:v>
      </x:c>
      <x:c r="Q2759" s="54" t="n">
        <x:f>ROUND(O2759-P2759,2)</x:f>
        <x:v>753.48</x:v>
      </x:c>
      <x:c r="R2759" s="55" t="n">
        <x:f>IF(O2759=0,0,ROUND(Q2759/O2759,4))</x:f>
        <x:v>0.2525</x:v>
      </x:c>
      <x:c r="S2759" s="53" t="n">
        <x:v>4</x:v>
      </x:c>
      <x:c r="T2759" t="str">
        <x:v>Cancelado</x:v>
      </x:c>
      <x:c r="U2759"/>
      <x:c r="V2759" t="str"/>
    </x:row>
    <x:row r="2760">
      <x:c r="A2760" s="52" t="n">
        <x:v>46103</x:v>
      </x:c>
      <x:c r="B2760" t="str">
        <x:v>PED-102759</x:v>
      </x:c>
      <x:c r="C2760" t="str">
        <x:v>Cliente 096</x:v>
      </x:c>
      <x:c r="D2760" t="str">
        <x:v>ES</x:v>
      </x:c>
      <x:c r="E2760" t="str">
        <x:v>Sudeste</x:v>
      </x:c>
      <x:c r="F2760" t="str">
        <x:v>Televendas</x:v>
      </x:c>
      <x:c r="G2760" t="str">
        <x:v>Escritório</x:v>
      </x:c>
      <x:c r="H2760" t="str">
        <x:v>Luminária LED</x:v>
      </x:c>
      <x:c r="I2760" t="str">
        <x:v>Diego</x:v>
      </x:c>
      <x:c r="J2760" s="53" t="n">
        <x:v>7</x:v>
      </x:c>
      <x:c r="K2760" s="54" t="n">
        <x:v>246.2</x:v>
      </x:c>
      <x:c r="L2760" s="54" t="n">
        <x:v>122.23</x:v>
      </x:c>
      <x:c r="M2760" s="55" t="n">
        <x:v>0.4732</x:v>
      </x:c>
      <x:c r="N2760" s="54" t="n">
        <x:f>ROUND(J2760*K2760,2)</x:f>
        <x:v>1723.4</x:v>
      </x:c>
      <x:c r="O2760" s="54" t="n">
        <x:f>ROUND(N2760*(1-M2760),2)</x:f>
        <x:v>907.89</x:v>
      </x:c>
      <x:c r="P2760" s="54" t="n">
        <x:f>ROUND(J2760*L2760,2)</x:f>
        <x:v>855.61</x:v>
      </x:c>
      <x:c r="Q2760" s="54" t="n">
        <x:f>ROUND(O2760-P2760,2)</x:f>
        <x:v>52.28</x:v>
      </x:c>
      <x:c r="R2760" s="55" t="n">
        <x:f>IF(O2760=0,0,ROUND(Q2760/O2760,4))</x:f>
        <x:v>0.0576</x:v>
      </x:c>
      <x:c r="S2760" s="53" t="n">
        <x:v>4</x:v>
      </x:c>
      <x:c r="T2760" t="str">
        <x:v>Entregue</x:v>
      </x:c>
      <x:c r="U2760" t="n">
        <x:v>5</x:v>
      </x:c>
      <x:c r="V2760" t="str">
        <x:v>Desconto autorizado fora da campanha</x:v>
      </x:c>
    </x:row>
    <x:row r="2761">
      <x:c r="A2761" s="52" t="n">
        <x:v>46028</x:v>
      </x:c>
      <x:c r="B2761" t="str">
        <x:v>PED-102760</x:v>
      </x:c>
      <x:c r="C2761" t="str">
        <x:v>Cliente 094</x:v>
      </x:c>
      <x:c r="D2761" t="str">
        <x:v>PA</x:v>
      </x:c>
      <x:c r="E2761" t="str">
        <x:v>Norte</x:v>
      </x:c>
      <x:c r="F2761" t="str">
        <x:v>Televendas</x:v>
      </x:c>
      <x:c r="G2761" t="str">
        <x:v>Casa</x:v>
      </x:c>
      <x:c r="H2761" t="str">
        <x:v>Aspirador Robô</x:v>
      </x:c>
      <x:c r="I2761" t="str">
        <x:v>Henrique</x:v>
      </x:c>
      <x:c r="J2761" s="53" t="n">
        <x:v>2</x:v>
      </x:c>
      <x:c r="K2761" s="54" t="n">
        <x:v>1942.01</x:v>
      </x:c>
      <x:c r="L2761" s="54" t="n">
        <x:v>1255.33</x:v>
      </x:c>
      <x:c r="M2761" s="55" t="n">
        <x:v>0</x:v>
      </x:c>
      <x:c r="N2761" s="54" t="n">
        <x:f>ROUND(J2761*K2761,2)</x:f>
        <x:v>3884.02</x:v>
      </x:c>
      <x:c r="O2761" s="54" t="n">
        <x:f>ROUND(N2761*(1-M2761),2)</x:f>
        <x:v>3884.02</x:v>
      </x:c>
      <x:c r="P2761" s="54" t="n">
        <x:f>ROUND(J2761*L2761,2)</x:f>
        <x:v>2510.66</x:v>
      </x:c>
      <x:c r="Q2761" s="54" t="n">
        <x:f>ROUND(O2761-P2761,2)</x:f>
        <x:v>1373.36</x:v>
      </x:c>
      <x:c r="R2761" s="55" t="n">
        <x:f>IF(O2761=0,0,ROUND(Q2761/O2761,4))</x:f>
        <x:v>0.3536</x:v>
      </x:c>
      <x:c r="S2761" s="53" t="n">
        <x:v>7</x:v>
      </x:c>
      <x:c r="T2761" t="str">
        <x:v>Entregue</x:v>
      </x:c>
      <x:c r="U2761" t="n">
        <x:v>3</x:v>
      </x:c>
      <x:c r="V2761" t="str"/>
    </x:row>
    <x:row r="2762">
      <x:c r="A2762" s="52" t="n">
        <x:v>46083</x:v>
      </x:c>
      <x:c r="B2762" t="str">
        <x:v>PED-102761</x:v>
      </x:c>
      <x:c r="C2762" t="str">
        <x:v>Cliente 103</x:v>
      </x:c>
      <x:c r="D2762" t="str">
        <x:v>PR</x:v>
      </x:c>
      <x:c r="E2762" t="str">
        <x:v>Sul</x:v>
      </x:c>
      <x:c r="F2762" t="str">
        <x:v>Marketplace</x:v>
      </x:c>
      <x:c r="G2762" t="str">
        <x:v>Acessórios</x:v>
      </x:c>
      <x:c r="H2762" t="str">
        <x:v>Webcam HD</x:v>
      </x:c>
      <x:c r="I2762" t="str">
        <x:v>Gabriela</x:v>
      </x:c>
      <x:c r="J2762" s="53" t="n">
        <x:v>8</x:v>
      </x:c>
      <x:c r="K2762" s="54" t="n">
        <x:v>536.58</x:v>
      </x:c>
      <x:c r="L2762" s="54" t="n">
        <x:v>230.8</x:v>
      </x:c>
      <x:c r="M2762" s="55" t="n">
        <x:v>0.1608</x:v>
      </x:c>
      <x:c r="N2762" s="54" t="n">
        <x:f>ROUND(J2762*K2762,2)</x:f>
        <x:v>4292.64</x:v>
      </x:c>
      <x:c r="O2762" s="54" t="n">
        <x:f>ROUND(N2762*(1-M2762),2)</x:f>
        <x:v>3602.38</x:v>
      </x:c>
      <x:c r="P2762" s="54" t="n">
        <x:f>ROUND(J2762*L2762,2)</x:f>
        <x:v>1846.4</x:v>
      </x:c>
      <x:c r="Q2762" s="54" t="n">
        <x:f>ROUND(O2762-P2762,2)</x:f>
        <x:v>1755.98</x:v>
      </x:c>
      <x:c r="R2762" s="55" t="n">
        <x:f>IF(O2762=0,0,ROUND(Q2762/O2762,4))</x:f>
        <x:v>0.4874</x:v>
      </x:c>
      <x:c r="S2762" s="53" t="n">
        <x:v>7</x:v>
      </x:c>
      <x:c r="T2762" t="str">
        <x:v>Entregue</x:v>
      </x:c>
      <x:c r="U2762" t="n">
        <x:v>3</x:v>
      </x:c>
      <x:c r="V2762" t="str"/>
    </x:row>
    <x:row r="2763">
      <x:c r="A2763" s="52" t="n">
        <x:v>46046</x:v>
      </x:c>
      <x:c r="B2763" t="str">
        <x:v>PED-102762</x:v>
      </x:c>
      <x:c r="C2763" t="str">
        <x:v>Cliente 046</x:v>
      </x:c>
      <x:c r="D2763" t="str">
        <x:v>BA</x:v>
      </x:c>
      <x:c r="E2763" t="str">
        <x:v>Nordeste</x:v>
      </x:c>
      <x:c r="F2763" t="str">
        <x:v>Televendas</x:v>
      </x:c>
      <x:c r="G2763" t="str">
        <x:v>Acessórios</x:v>
      </x:c>
      <x:c r="H2763" t="str">
        <x:v>Webcam HD</x:v>
      </x:c>
      <x:c r="I2763" t="str">
        <x:v>Ana</x:v>
      </x:c>
      <x:c r="J2763" s="53" t="n">
        <x:v>6</x:v>
      </x:c>
      <x:c r="K2763" s="54" t="n">
        <x:v>492.85</x:v>
      </x:c>
      <x:c r="L2763" s="54" t="n">
        <x:v>253.77</x:v>
      </x:c>
      <x:c r="M2763" s="55" t="n">
        <x:v>0.014</x:v>
      </x:c>
      <x:c r="N2763" s="54" t="n">
        <x:f>ROUND(J2763*K2763,2)</x:f>
        <x:v>2957.1</x:v>
      </x:c>
      <x:c r="O2763" s="54" t="n">
        <x:f>ROUND(N2763*(1-M2763),2)</x:f>
        <x:v>2915.7</x:v>
      </x:c>
      <x:c r="P2763" s="54" t="n">
        <x:f>ROUND(J2763*L2763,2)</x:f>
        <x:v>1522.62</x:v>
      </x:c>
      <x:c r="Q2763" s="54" t="n">
        <x:f>ROUND(O2763-P2763,2)</x:f>
        <x:v>1393.08</x:v>
      </x:c>
      <x:c r="R2763" s="55" t="n">
        <x:f>IF(O2763=0,0,ROUND(Q2763/O2763,4))</x:f>
        <x:v>0.4778</x:v>
      </x:c>
      <x:c r="S2763" s="53" t="n">
        <x:v>5</x:v>
      </x:c>
      <x:c r="T2763" t="str">
        <x:v>Entregue</x:v>
      </x:c>
      <x:c r="U2763" t="n">
        <x:v>4</x:v>
      </x:c>
      <x:c r="V2763" t="str"/>
    </x:row>
    <x:row r="2764">
      <x:c r="A2764" s="52" t="n">
        <x:v>46034</x:v>
      </x:c>
      <x:c r="B2764" t="str">
        <x:v>PED-102763</x:v>
      </x:c>
      <x:c r="C2764" t="str">
        <x:v>Cliente 092</x:v>
      </x:c>
      <x:c r="D2764" t="str">
        <x:v>MA</x:v>
      </x:c>
      <x:c r="E2764" t="str">
        <x:v>Nordeste</x:v>
      </x:c>
      <x:c r="F2764" t="str">
        <x:v>E-commerce</x:v>
      </x:c>
      <x:c r="G2764" t="str">
        <x:v>Acessórios</x:v>
      </x:c>
      <x:c r="H2764" t="str">
        <x:v>Hub USB-C</x:v>
      </x:c>
      <x:c r="I2764" t="str">
        <x:v>Elaine</x:v>
      </x:c>
      <x:c r="J2764" s="53" t="n">
        <x:v>3</x:v>
      </x:c>
      <x:c r="K2764" s="54" t="n">
        <x:v>334.7</x:v>
      </x:c>
      <x:c r="L2764" s="54" t="n">
        <x:v>142.08</x:v>
      </x:c>
      <x:c r="M2764" s="55" t="n">
        <x:v>0.025</x:v>
      </x:c>
      <x:c r="N2764" s="54" t="n">
        <x:f>ROUND(J2764*K2764,2)</x:f>
        <x:v>1004.1</x:v>
      </x:c>
      <x:c r="O2764" s="54" t="n">
        <x:f>ROUND(N2764*(1-M2764),2)</x:f>
        <x:v>979</x:v>
      </x:c>
      <x:c r="P2764" s="54" t="n">
        <x:f>ROUND(J2764*L2764,2)</x:f>
        <x:v>426.24</x:v>
      </x:c>
      <x:c r="Q2764" s="54" t="n">
        <x:f>ROUND(O2764-P2764,2)</x:f>
        <x:v>552.76</x:v>
      </x:c>
      <x:c r="R2764" s="55" t="n">
        <x:f>IF(O2764=0,0,ROUND(Q2764/O2764,4))</x:f>
        <x:v>0.5646</x:v>
      </x:c>
      <x:c r="S2764" s="53" t="n">
        <x:v>3</x:v>
      </x:c>
      <x:c r="T2764" t="str">
        <x:v>Entregue</x:v>
      </x:c>
      <x:c r="U2764" t="n">
        <x:v>4</x:v>
      </x:c>
      <x:c r="V2764" t="str"/>
    </x:row>
    <x:row r="2765">
      <x:c r="A2765" s="52" t="n">
        <x:v>46081</x:v>
      </x:c>
      <x:c r="B2765" t="str">
        <x:v>PED-102764</x:v>
      </x:c>
      <x:c r="C2765" t="str">
        <x:v>Cliente 044</x:v>
      </x:c>
      <x:c r="D2765" t="str">
        <x:v>ES</x:v>
      </x:c>
      <x:c r="E2765" t="str">
        <x:v>Sudeste</x:v>
      </x:c>
      <x:c r="F2765" t="str">
        <x:v>Marketplace</x:v>
      </x:c>
      <x:c r="G2765" t="str">
        <x:v>Acessórios</x:v>
      </x:c>
      <x:c r="H2765" t="str">
        <x:v>Hub USB-C</x:v>
      </x:c>
      <x:c r="I2765" t="str">
        <x:v>Bruno</x:v>
      </x:c>
      <x:c r="J2765" s="53" t="n">
        <x:v>8</x:v>
      </x:c>
      <x:c r="K2765" s="54" t="n">
        <x:v>312.15</x:v>
      </x:c>
      <x:c r="L2765" s="54" t="n">
        <x:v>139.05</x:v>
      </x:c>
      <x:c r="M2765" s="55" t="n">
        <x:v>0.035</x:v>
      </x:c>
      <x:c r="N2765" s="54" t="n">
        <x:f>ROUND(J2765*K2765,2)</x:f>
        <x:v>2497.2</x:v>
      </x:c>
      <x:c r="O2765" s="54" t="n">
        <x:f>ROUND(N2765*(1-M2765),2)</x:f>
        <x:v>2409.8</x:v>
      </x:c>
      <x:c r="P2765" s="54" t="n">
        <x:f>ROUND(J2765*L2765,2)</x:f>
        <x:v>1112.4</x:v>
      </x:c>
      <x:c r="Q2765" s="54" t="n">
        <x:f>ROUND(O2765-P2765,2)</x:f>
        <x:v>1297.4</x:v>
      </x:c>
      <x:c r="R2765" s="55" t="n">
        <x:f>IF(O2765=0,0,ROUND(Q2765/O2765,4))</x:f>
        <x:v>0.5384</x:v>
      </x:c>
      <x:c r="S2765" s="53" t="n">
        <x:v>13</x:v>
      </x:c>
      <x:c r="T2765" t="str">
        <x:v>Entregue com atraso</x:v>
      </x:c>
      <x:c r="U2765" t="n">
        <x:v>5</x:v>
      </x:c>
      <x:c r="V2765" t="str"/>
    </x:row>
    <x:row r="2766">
      <x:c r="A2766" s="52" t="n">
        <x:v>46089</x:v>
      </x:c>
      <x:c r="B2766" t="str">
        <x:v>PED-102765</x:v>
      </x:c>
      <x:c r="C2766" t="str">
        <x:v>Cliente 046</x:v>
      </x:c>
      <x:c r="D2766" t="str">
        <x:v>ES</x:v>
      </x:c>
      <x:c r="E2766" t="str">
        <x:v>Sudeste</x:v>
      </x:c>
      <x:c r="F2766" t="str">
        <x:v>E-commerce</x:v>
      </x:c>
      <x:c r="G2766" t="str">
        <x:v>Tecnologia</x:v>
      </x:c>
      <x:c r="H2766" t="str">
        <x:v>Notebook Pro</x:v>
      </x:c>
      <x:c r="I2766" t="str">
        <x:v>Bruno</x:v>
      </x:c>
      <x:c r="J2766" s="53" t="n">
        <x:v>8</x:v>
      </x:c>
      <x:c r="K2766" s="54" t="n">
        <x:v>5680.21</x:v>
      </x:c>
      <x:c r="L2766" s="54" t="n">
        <x:v>4506.51</x:v>
      </x:c>
      <x:c r="M2766" s="55" t="n">
        <x:v>0.0291</x:v>
      </x:c>
      <x:c r="N2766" s="54" t="n">
        <x:f>ROUND(J2766*K2766,2)</x:f>
        <x:v>45441.68</x:v>
      </x:c>
      <x:c r="O2766" s="54" t="n">
        <x:f>ROUND(N2766*(1-M2766),2)</x:f>
        <x:v>44119.33</x:v>
      </x:c>
      <x:c r="P2766" s="54" t="n">
        <x:f>ROUND(J2766*L2766,2)</x:f>
        <x:v>36052.08</x:v>
      </x:c>
      <x:c r="Q2766" s="54" t="n">
        <x:f>ROUND(O2766-P2766,2)</x:f>
        <x:v>8067.25</x:v>
      </x:c>
      <x:c r="R2766" s="55" t="n">
        <x:f>IF(O2766=0,0,ROUND(Q2766/O2766,4))</x:f>
        <x:v>0.1829</x:v>
      </x:c>
      <x:c r="S2766" s="53" t="n">
        <x:v>3</x:v>
      </x:c>
      <x:c r="T2766" t="str">
        <x:v>Entregue</x:v>
      </x:c>
      <x:c r="U2766" t="n">
        <x:v>4</x:v>
      </x:c>
      <x:c r="V2766" t="str"/>
    </x:row>
    <x:row r="2767">
      <x:c r="A2767" s="52" t="n">
        <x:v>46133</x:v>
      </x:c>
      <x:c r="B2767" t="str">
        <x:v>PED-102766</x:v>
      </x:c>
      <x:c r="C2767" t="str">
        <x:v>Cliente 017</x:v>
      </x:c>
      <x:c r="D2767" t="str">
        <x:v>PE</x:v>
      </x:c>
      <x:c r="E2767" t="str">
        <x:v>Nordeste</x:v>
      </x:c>
      <x:c r="F2767" t="str">
        <x:v>Televendas</x:v>
      </x:c>
      <x:c r="G2767" t="str">
        <x:v>Tecnologia</x:v>
      </x:c>
      <x:c r="H2767" t="str">
        <x:v>Notebook Pro</x:v>
      </x:c>
      <x:c r="I2767" t="str">
        <x:v>Diego</x:v>
      </x:c>
      <x:c r="J2767" s="53" t="n">
        <x:v>2</x:v>
      </x:c>
      <x:c r="K2767" s="54" t="n">
        <x:v>6181.46</x:v>
      </x:c>
      <x:c r="L2767" s="54" t="n">
        <x:v>4576.53</x:v>
      </x:c>
      <x:c r="M2767" s="55" t="n">
        <x:v>0.0213</x:v>
      </x:c>
      <x:c r="N2767" s="54" t="n">
        <x:f>ROUND(J2767*K2767,2)</x:f>
        <x:v>12362.92</x:v>
      </x:c>
      <x:c r="O2767" s="54" t="n">
        <x:f>ROUND(N2767*(1-M2767),2)</x:f>
        <x:v>12099.59</x:v>
      </x:c>
      <x:c r="P2767" s="54" t="n">
        <x:f>ROUND(J2767*L2767,2)</x:f>
        <x:v>9153.06</x:v>
      </x:c>
      <x:c r="Q2767" s="54" t="n">
        <x:f>ROUND(O2767-P2767,2)</x:f>
        <x:v>2946.53</x:v>
      </x:c>
      <x:c r="R2767" s="55" t="n">
        <x:f>IF(O2767=0,0,ROUND(Q2767/O2767,4))</x:f>
        <x:v>0.2435</x:v>
      </x:c>
      <x:c r="S2767" s="53" t="n">
        <x:v>4</x:v>
      </x:c>
      <x:c r="T2767" t="str">
        <x:v>Entregue</x:v>
      </x:c>
      <x:c r="U2767" t="n">
        <x:v>3</x:v>
      </x:c>
      <x:c r="V2767" t="str"/>
    </x:row>
    <x:row r="2768">
      <x:c r="A2768" s="52" t="n">
        <x:v>46119</x:v>
      </x:c>
      <x:c r="B2768" t="str">
        <x:v>PED-102767</x:v>
      </x:c>
      <x:c r="C2768" t="str">
        <x:v>Cliente 114</x:v>
      </x:c>
      <x:c r="D2768" t="str">
        <x:v>PR</x:v>
      </x:c>
      <x:c r="E2768" t="str">
        <x:v>Sul</x:v>
      </x:c>
      <x:c r="F2768" t="str">
        <x:v>E-commerce</x:v>
      </x:c>
      <x:c r="G2768" t="str">
        <x:v>Acessórios</x:v>
      </x:c>
      <x:c r="H2768" t="str">
        <x:v>Mochila Executiva</x:v>
      </x:c>
      <x:c r="I2768" t="str">
        <x:v>Diego</x:v>
      </x:c>
      <x:c r="J2768" s="53" t="n">
        <x:v>3</x:v>
      </x:c>
      <x:c r="K2768" s="54" t="n">
        <x:v>419.8</x:v>
      </x:c>
      <x:c r="L2768" s="54" t="n">
        <x:v>190.21</x:v>
      </x:c>
      <x:c r="M2768" s="55" t="n">
        <x:v>0.0042</x:v>
      </x:c>
      <x:c r="N2768" s="54" t="n">
        <x:f>ROUND(J2768*K2768,2)</x:f>
        <x:v>1259.4</x:v>
      </x:c>
      <x:c r="O2768" s="54" t="n">
        <x:f>ROUND(N2768*(1-M2768),2)</x:f>
        <x:v>1254.11</x:v>
      </x:c>
      <x:c r="P2768" s="54" t="n">
        <x:f>ROUND(J2768*L2768,2)</x:f>
        <x:v>570.63</x:v>
      </x:c>
      <x:c r="Q2768" s="54" t="n">
        <x:f>ROUND(O2768-P2768,2)</x:f>
        <x:v>683.48</x:v>
      </x:c>
      <x:c r="R2768" s="55" t="n">
        <x:f>IF(O2768=0,0,ROUND(Q2768/O2768,4))</x:f>
        <x:v>0.545</x:v>
      </x:c>
      <x:c r="S2768" s="53" t="n">
        <x:v>14</x:v>
      </x:c>
      <x:c r="T2768" t="str">
        <x:v>Entregue com atraso</x:v>
      </x:c>
      <x:c r="U2768" t="n">
        <x:v>3</x:v>
      </x:c>
      <x:c r="V2768" t="str"/>
    </x:row>
    <x:row r="2769">
      <x:c r="A2769" s="52" t="n">
        <x:v>46168</x:v>
      </x:c>
      <x:c r="B2769" t="str">
        <x:v>PED-102768</x:v>
      </x:c>
      <x:c r="C2769" t="str">
        <x:v>Cliente 093</x:v>
      </x:c>
      <x:c r="D2769" t="str">
        <x:v>SP</x:v>
      </x:c>
      <x:c r="E2769" t="str">
        <x:v>Sudeste</x:v>
      </x:c>
      <x:c r="F2769" t="str">
        <x:v>Televendas</x:v>
      </x:c>
      <x:c r="G2769" t="str">
        <x:v>Tecnologia</x:v>
      </x:c>
      <x:c r="H2769" t="str">
        <x:v>Headset Office</x:v>
      </x:c>
      <x:c r="I2769" t="str">
        <x:v>Felipe</x:v>
      </x:c>
      <x:c r="J2769" s="53" t="n">
        <x:v>4</x:v>
      </x:c>
      <x:c r="K2769" s="54" t="n">
        <x:v>382.42</x:v>
      </x:c>
      <x:c r="L2769" s="54" t="n">
        <x:v>215.94</x:v>
      </x:c>
      <x:c r="M2769" s="55" t="n">
        <x:v>0</x:v>
      </x:c>
      <x:c r="N2769" s="54" t="n">
        <x:f>ROUND(J2769*K2769,2)</x:f>
        <x:v>1529.68</x:v>
      </x:c>
      <x:c r="O2769" s="54" t="n">
        <x:f>ROUND(N2769*(1-M2769),2)</x:f>
        <x:v>1529.68</x:v>
      </x:c>
      <x:c r="P2769" s="54" t="n">
        <x:f>ROUND(J2769*L2769,2)</x:f>
        <x:v>863.76</x:v>
      </x:c>
      <x:c r="Q2769" s="54" t="n">
        <x:f>ROUND(O2769-P2769,2)</x:f>
        <x:v>665.92</x:v>
      </x:c>
      <x:c r="R2769" s="55" t="n">
        <x:f>IF(O2769=0,0,ROUND(Q2769/O2769,4))</x:f>
        <x:v>0.4353</x:v>
      </x:c>
      <x:c r="S2769" s="53" t="n">
        <x:v>13</x:v>
      </x:c>
      <x:c r="T2769" t="str">
        <x:v>Entregue com atraso</x:v>
      </x:c>
      <x:c r="U2769" t="n">
        <x:v>2</x:v>
      </x:c>
      <x:c r="V2769" t="str"/>
    </x:row>
    <x:row r="2770">
      <x:c r="A2770" s="52" t="n">
        <x:v>46089</x:v>
      </x:c>
      <x:c r="B2770" t="str">
        <x:v>PED-102769</x:v>
      </x:c>
      <x:c r="C2770" t="str">
        <x:v>Cliente 108</x:v>
      </x:c>
      <x:c r="D2770" t="str">
        <x:v>RS</x:v>
      </x:c>
      <x:c r="E2770" t="str">
        <x:v>Sul</x:v>
      </x:c>
      <x:c r="F2770" t="str">
        <x:v>Loja</x:v>
      </x:c>
      <x:c r="G2770" t="str">
        <x:v>Acessórios</x:v>
      </x:c>
      <x:c r="H2770" t="str">
        <x:v>Hub USB-C</x:v>
      </x:c>
      <x:c r="I2770" t="str">
        <x:v>Isabela</x:v>
      </x:c>
      <x:c r="J2770" s="53" t="n">
        <x:v>1</x:v>
      </x:c>
      <x:c r="K2770" s="54" t="n">
        <x:v>307.88</x:v>
      </x:c>
      <x:c r="L2770" s="54" t="n">
        <x:v>137.47</x:v>
      </x:c>
      <x:c r="M2770" s="55" t="n">
        <x:v>0.1298</x:v>
      </x:c>
      <x:c r="N2770" s="54" t="n">
        <x:f>ROUND(J2770*K2770,2)</x:f>
        <x:v>307.88</x:v>
      </x:c>
      <x:c r="O2770" s="54" t="n">
        <x:f>ROUND(N2770*(1-M2770),2)</x:f>
        <x:v>267.92</x:v>
      </x:c>
      <x:c r="P2770" s="54" t="n">
        <x:f>ROUND(J2770*L2770,2)</x:f>
        <x:v>137.47</x:v>
      </x:c>
      <x:c r="Q2770" s="54" t="n">
        <x:f>ROUND(O2770-P2770,2)</x:f>
        <x:v>130.45</x:v>
      </x:c>
      <x:c r="R2770" s="55" t="n">
        <x:f>IF(O2770=0,0,ROUND(Q2770/O2770,4))</x:f>
        <x:v>0.4869</x:v>
      </x:c>
      <x:c r="S2770" s="53" t="n">
        <x:v>2</x:v>
      </x:c>
      <x:c r="T2770" t="str">
        <x:v>Entregue</x:v>
      </x:c>
      <x:c r="U2770" t="n">
        <x:v>5</x:v>
      </x:c>
      <x:c r="V2770" t="str"/>
    </x:row>
    <x:row r="2771">
      <x:c r="A2771" s="52" t="n">
        <x:v>46128</x:v>
      </x:c>
      <x:c r="B2771" t="str">
        <x:v>PED-102770</x:v>
      </x:c>
      <x:c r="C2771" t="str">
        <x:v>Cliente 064</x:v>
      </x:c>
      <x:c r="D2771" t="str">
        <x:v>DF</x:v>
      </x:c>
      <x:c r="E2771" t="str">
        <x:v>Centro-Oeste</x:v>
      </x:c>
      <x:c r="F2771" t="str">
        <x:v>Loja</x:v>
      </x:c>
      <x:c r="G2771" t="str">
        <x:v>Acessórios</x:v>
      </x:c>
      <x:c r="H2771" t="str">
        <x:v>Webcam HD</x:v>
      </x:c>
      <x:c r="I2771" t="str">
        <x:v>João</x:v>
      </x:c>
      <x:c r="J2771" s="53" t="n">
        <x:v>4</x:v>
      </x:c>
      <x:c r="K2771" s="54" t="n">
        <x:v>501.65</x:v>
      </x:c>
      <x:c r="L2771" s="54" t="n">
        <x:v>249.3</x:v>
      </x:c>
      <x:c r="M2771" s="55" t="n">
        <x:v>0.0561</x:v>
      </x:c>
      <x:c r="N2771" s="54" t="n">
        <x:f>ROUND(J2771*K2771,2)</x:f>
        <x:v>2006.6</x:v>
      </x:c>
      <x:c r="O2771" s="54" t="n">
        <x:f>ROUND(N2771*(1-M2771),2)</x:f>
        <x:v>1894.03</x:v>
      </x:c>
      <x:c r="P2771" s="54" t="n">
        <x:f>ROUND(J2771*L2771,2)</x:f>
        <x:v>997.2</x:v>
      </x:c>
      <x:c r="Q2771" s="54" t="n">
        <x:f>ROUND(O2771-P2771,2)</x:f>
        <x:v>896.83</x:v>
      </x:c>
      <x:c r="R2771" s="55" t="n">
        <x:f>IF(O2771=0,0,ROUND(Q2771/O2771,4))</x:f>
        <x:v>0.4735</x:v>
      </x:c>
      <x:c r="S2771" s="53" t="n">
        <x:v>2</x:v>
      </x:c>
      <x:c r="T2771" t="str">
        <x:v>Entregue</x:v>
      </x:c>
      <x:c r="U2771" t="n">
        <x:v>3</x:v>
      </x:c>
      <x:c r="V2771" t="str"/>
    </x:row>
    <x:row r="2772">
      <x:c r="A2772" s="52" t="n">
        <x:v>46043</x:v>
      </x:c>
      <x:c r="B2772" t="str">
        <x:v>PED-102771</x:v>
      </x:c>
      <x:c r="C2772" t="str">
        <x:v>Cliente 112</x:v>
      </x:c>
      <x:c r="D2772" t="str">
        <x:v>GO</x:v>
      </x:c>
      <x:c r="E2772" t="str">
        <x:v>Centro-Oeste</x:v>
      </x:c>
      <x:c r="F2772" t="str">
        <x:v>Loja</x:v>
      </x:c>
      <x:c r="G2772" t="str">
        <x:v>Escritório</x:v>
      </x:c>
      <x:c r="H2772" t="str">
        <x:v>Luminária LED</x:v>
      </x:c>
      <x:c r="I2772" t="str">
        <x:v>Carla</x:v>
      </x:c>
      <x:c r="J2772" s="53" t="n">
        <x:v>6</x:v>
      </x:c>
      <x:c r="K2772" s="54" t="n">
        <x:v>258</x:v>
      </x:c>
      <x:c r="L2772" s="54" t="n">
        <x:v>119.49</x:v>
      </x:c>
      <x:c r="M2772" s="55" t="n">
        <x:v>0</x:v>
      </x:c>
      <x:c r="N2772" s="54" t="n">
        <x:f>ROUND(J2772*K2772,2)</x:f>
        <x:v>1548</x:v>
      </x:c>
      <x:c r="O2772" s="54" t="n">
        <x:f>ROUND(N2772*(1-M2772),2)</x:f>
        <x:v>1548</x:v>
      </x:c>
      <x:c r="P2772" s="54" t="n">
        <x:f>ROUND(J2772*L2772,2)</x:f>
        <x:v>716.94</x:v>
      </x:c>
      <x:c r="Q2772" s="54" t="n">
        <x:f>ROUND(O2772-P2772,2)</x:f>
        <x:v>831.06</x:v>
      </x:c>
      <x:c r="R2772" s="55" t="n">
        <x:f>IF(O2772=0,0,ROUND(Q2772/O2772,4))</x:f>
        <x:v>0.5369</x:v>
      </x:c>
      <x:c r="S2772" s="53" t="n">
        <x:v>12</x:v>
      </x:c>
      <x:c r="T2772" t="str">
        <x:v>Entregue com atraso</x:v>
      </x:c>
      <x:c r="U2772" t="n">
        <x:v>4</x:v>
      </x:c>
      <x:c r="V2772" t="str"/>
    </x:row>
    <x:row r="2773">
      <x:c r="A2773" s="52" t="n">
        <x:v>46077</x:v>
      </x:c>
      <x:c r="B2773" t="str">
        <x:v>PED-102772</x:v>
      </x:c>
      <x:c r="C2773" t="str">
        <x:v>Cliente 085</x:v>
      </x:c>
      <x:c r="D2773" t="str">
        <x:v>RJ</x:v>
      </x:c>
      <x:c r="E2773" t="str">
        <x:v>Sudeste</x:v>
      </x:c>
      <x:c r="F2773" t="str">
        <x:v>Televendas</x:v>
      </x:c>
      <x:c r="G2773" t="str">
        <x:v>Acessórios</x:v>
      </x:c>
      <x:c r="H2773" t="str">
        <x:v>Hub USB-C</x:v>
      </x:c>
      <x:c r="I2773" t="str">
        <x:v>Bruno</x:v>
      </x:c>
      <x:c r="J2773" s="53" t="n">
        <x:v>6</x:v>
      </x:c>
      <x:c r="K2773" s="54" t="n">
        <x:v>309.68</x:v>
      </x:c>
      <x:c r="L2773" s="54" t="n">
        <x:v>136.34</x:v>
      </x:c>
      <x:c r="M2773" s="55" t="n">
        <x:v>0.0735</x:v>
      </x:c>
      <x:c r="N2773" s="54" t="n">
        <x:f>ROUND(J2773*K2773,2)</x:f>
        <x:v>1858.08</x:v>
      </x:c>
      <x:c r="O2773" s="54" t="n">
        <x:f>ROUND(N2773*(1-M2773),2)</x:f>
        <x:v>1721.51</x:v>
      </x:c>
      <x:c r="P2773" s="54" t="n">
        <x:f>ROUND(J2773*L2773,2)</x:f>
        <x:v>818.04</x:v>
      </x:c>
      <x:c r="Q2773" s="54" t="n">
        <x:f>ROUND(O2773-P2773,2)</x:f>
        <x:v>903.47</x:v>
      </x:c>
      <x:c r="R2773" s="55" t="n">
        <x:f>IF(O2773=0,0,ROUND(Q2773/O2773,4))</x:f>
        <x:v>0.5248</x:v>
      </x:c>
      <x:c r="S2773" s="53" t="n">
        <x:v>4</x:v>
      </x:c>
      <x:c r="T2773" t="str">
        <x:v>Entregue</x:v>
      </x:c>
      <x:c r="U2773" t="n">
        <x:v>5</x:v>
      </x:c>
      <x:c r="V2773" t="str"/>
    </x:row>
    <x:row r="2774">
      <x:c r="A2774" s="52" t="n">
        <x:v>46217</x:v>
      </x:c>
      <x:c r="B2774" t="str">
        <x:v>PED-102773</x:v>
      </x:c>
      <x:c r="C2774" t="str">
        <x:v>Cliente 068</x:v>
      </x:c>
      <x:c r="D2774" t="str">
        <x:v>MT</x:v>
      </x:c>
      <x:c r="E2774" t="str">
        <x:v>Centro-Oeste</x:v>
      </x:c>
      <x:c r="F2774" t="str">
        <x:v>Loja</x:v>
      </x:c>
      <x:c r="G2774" t="str">
        <x:v>Acessórios</x:v>
      </x:c>
      <x:c r="H2774" t="str">
        <x:v>Hub USB-C</x:v>
      </x:c>
      <x:c r="I2774" t="str">
        <x:v>João</x:v>
      </x:c>
      <x:c r="J2774" s="53" t="n">
        <x:v>4</x:v>
      </x:c>
      <x:c r="K2774" s="54" t="n">
        <x:v>329.1</x:v>
      </x:c>
      <x:c r="L2774" s="54" t="n">
        <x:v>140.02</x:v>
      </x:c>
      <x:c r="M2774" s="55" t="n">
        <x:v>0.1278</x:v>
      </x:c>
      <x:c r="N2774" s="54" t="n">
        <x:f>ROUND(J2774*K2774,2)</x:f>
        <x:v>1316.4</x:v>
      </x:c>
      <x:c r="O2774" s="54" t="n">
        <x:f>ROUND(N2774*(1-M2774),2)</x:f>
        <x:v>1148.16</x:v>
      </x:c>
      <x:c r="P2774" s="54" t="n">
        <x:f>ROUND(J2774*L2774,2)</x:f>
        <x:v>560.08</x:v>
      </x:c>
      <x:c r="Q2774" s="54" t="n">
        <x:f>ROUND(O2774-P2774,2)</x:f>
        <x:v>588.08</x:v>
      </x:c>
      <x:c r="R2774" s="55" t="n">
        <x:f>IF(O2774=0,0,ROUND(Q2774/O2774,4))</x:f>
        <x:v>0.5122</x:v>
      </x:c>
      <x:c r="S2774" s="53" t="n">
        <x:v>13</x:v>
      </x:c>
      <x:c r="T2774" t="str">
        <x:v>Entregue com atraso</x:v>
      </x:c>
      <x:c r="U2774" t="n">
        <x:v>4</x:v>
      </x:c>
      <x:c r="V2774" t="str"/>
    </x:row>
    <x:row r="2775">
      <x:c r="A2775" s="52" t="n">
        <x:v>46098</x:v>
      </x:c>
      <x:c r="B2775" t="str">
        <x:v>PED-102774</x:v>
      </x:c>
      <x:c r="C2775" t="str">
        <x:v>Cliente 097</x:v>
      </x:c>
      <x:c r="D2775" t="str">
        <x:v>MG</x:v>
      </x:c>
      <x:c r="E2775" t="str">
        <x:v>Sudeste</x:v>
      </x:c>
      <x:c r="F2775" t="str">
        <x:v>E-commerce</x:v>
      </x:c>
      <x:c r="G2775" t="str">
        <x:v>Casa</x:v>
      </x:c>
      <x:c r="H2775" t="str">
        <x:v>Purificador</x:v>
      </x:c>
      <x:c r="I2775" t="str">
        <x:v>Elaine</x:v>
      </x:c>
      <x:c r="J2775" s="53" t="n">
        <x:v>6</x:v>
      </x:c>
      <x:c r="K2775" s="54" t="n">
        <x:v>1225.24</x:v>
      </x:c>
      <x:c r="L2775" s="54" t="n">
        <x:v>745.13</x:v>
      </x:c>
      <x:c r="M2775" s="55" t="n">
        <x:v>0.0922</x:v>
      </x:c>
      <x:c r="N2775" s="54" t="n">
        <x:f>ROUND(J2775*K2775,2)</x:f>
        <x:v>7351.44</x:v>
      </x:c>
      <x:c r="O2775" s="54" t="n">
        <x:f>ROUND(N2775*(1-M2775),2)</x:f>
        <x:v>6673.64</x:v>
      </x:c>
      <x:c r="P2775" s="54" t="n">
        <x:f>ROUND(J2775*L2775,2)</x:f>
        <x:v>4470.78</x:v>
      </x:c>
      <x:c r="Q2775" s="54" t="n">
        <x:f>ROUND(O2775-P2775,2)</x:f>
        <x:v>2202.86</x:v>
      </x:c>
      <x:c r="R2775" s="55" t="n">
        <x:f>IF(O2775=0,0,ROUND(Q2775/O2775,4))</x:f>
        <x:v>0.3301</x:v>
      </x:c>
      <x:c r="S2775" s="53" t="n">
        <x:v>6</x:v>
      </x:c>
      <x:c r="T2775" t="str">
        <x:v>Entregue</x:v>
      </x:c>
      <x:c r="U2775" t="n">
        <x:v>2</x:v>
      </x:c>
      <x:c r="V2775" t="str"/>
    </x:row>
    <x:row r="2776">
      <x:c r="A2776" s="52" t="n">
        <x:v>46119</x:v>
      </x:c>
      <x:c r="B2776" t="str">
        <x:v>PED-102775</x:v>
      </x:c>
      <x:c r="C2776" t="str">
        <x:v>Cliente 008</x:v>
      </x:c>
      <x:c r="D2776" t="str">
        <x:v>RS</x:v>
      </x:c>
      <x:c r="E2776" t="str">
        <x:v>Sul</x:v>
      </x:c>
      <x:c r="F2776" t="str">
        <x:v>Loja</x:v>
      </x:c>
      <x:c r="G2776" t="str">
        <x:v>Acessórios</x:v>
      </x:c>
      <x:c r="H2776" t="str">
        <x:v>Hub USB-C</x:v>
      </x:c>
      <x:c r="I2776" t="str">
        <x:v>Ana</x:v>
      </x:c>
      <x:c r="J2776" s="53" t="n">
        <x:v>3</x:v>
      </x:c>
      <x:c r="K2776" s="54" t="n">
        <x:v>315.21</x:v>
      </x:c>
      <x:c r="L2776" s="54" t="n">
        <x:v>135.57</x:v>
      </x:c>
      <x:c r="M2776" s="55" t="n">
        <x:v>0</x:v>
      </x:c>
      <x:c r="N2776" s="54" t="n">
        <x:f>ROUND(J2776*K2776,2)</x:f>
        <x:v>945.63</x:v>
      </x:c>
      <x:c r="O2776" s="54" t="n">
        <x:f>ROUND(N2776*(1-M2776),2)</x:f>
        <x:v>945.63</x:v>
      </x:c>
      <x:c r="P2776" s="54" t="n">
        <x:f>ROUND(J2776*L2776,2)</x:f>
        <x:v>406.71</x:v>
      </x:c>
      <x:c r="Q2776" s="54" t="n">
        <x:f>ROUND(O2776-P2776,2)</x:f>
        <x:v>538.92</x:v>
      </x:c>
      <x:c r="R2776" s="55" t="n">
        <x:f>IF(O2776=0,0,ROUND(Q2776/O2776,4))</x:f>
        <x:v>0.5699</x:v>
      </x:c>
      <x:c r="S2776" s="53" t="n">
        <x:v>33</x:v>
      </x:c>
      <x:c r="T2776" t="str">
        <x:v>Entregue com atraso</x:v>
      </x:c>
      <x:c r="U2776" t="n">
        <x:v>1</x:v>
      </x:c>
      <x:c r="V2776" t="str">
        <x:v>Ocorrência logística</x:v>
      </x:c>
    </x:row>
    <x:row r="2777">
      <x:c r="A2777" s="52" t="n">
        <x:v>46225</x:v>
      </x:c>
      <x:c r="B2777" t="str">
        <x:v>PED-102776</x:v>
      </x:c>
      <x:c r="C2777" t="str">
        <x:v>Cliente 002</x:v>
      </x:c>
      <x:c r="D2777" t="str">
        <x:v>AM</x:v>
      </x:c>
      <x:c r="E2777" t="str">
        <x:v>Norte</x:v>
      </x:c>
      <x:c r="F2777" t="str">
        <x:v>Televendas</x:v>
      </x:c>
      <x:c r="G2777" t="str">
        <x:v>Tecnologia</x:v>
      </x:c>
      <x:c r="H2777" t="str">
        <x:v>Monitor 27</x:v>
      </x:c>
      <x:c r="I2777" t="str">
        <x:v>Henrique</x:v>
      </x:c>
      <x:c r="J2777" s="53" t="n">
        <x:v>4</x:v>
      </x:c>
      <x:c r="K2777" s="54" t="n">
        <x:v>1625.65</x:v>
      </x:c>
      <x:c r="L2777" s="54" t="n">
        <x:v>1119.68</x:v>
      </x:c>
      <x:c r="M2777" s="55" t="n">
        <x:v>0.1151</x:v>
      </x:c>
      <x:c r="N2777" s="54" t="n">
        <x:f>ROUND(J2777*K2777,2)</x:f>
        <x:v>6502.6</x:v>
      </x:c>
      <x:c r="O2777" s="54" t="n">
        <x:f>ROUND(N2777*(1-M2777),2)</x:f>
        <x:v>5754.15</x:v>
      </x:c>
      <x:c r="P2777" s="54" t="n">
        <x:f>ROUND(J2777*L2777,2)</x:f>
        <x:v>4478.72</x:v>
      </x:c>
      <x:c r="Q2777" s="54" t="n">
        <x:f>ROUND(O2777-P2777,2)</x:f>
        <x:v>1275.43</x:v>
      </x:c>
      <x:c r="R2777" s="55" t="n">
        <x:f>IF(O2777=0,0,ROUND(Q2777/O2777,4))</x:f>
        <x:v>0.2217</x:v>
      </x:c>
      <x:c r="S2777" s="53" t="n">
        <x:v>14</x:v>
      </x:c>
      <x:c r="T2777" t="str">
        <x:v>Entregue com atraso</x:v>
      </x:c>
      <x:c r="U2777" t="n">
        <x:v>4</x:v>
      </x:c>
      <x:c r="V2777" t="str"/>
    </x:row>
    <x:row r="2778">
      <x:c r="A2778" s="52" t="n">
        <x:v>46114</x:v>
      </x:c>
      <x:c r="B2778" t="str">
        <x:v>PED-102777</x:v>
      </x:c>
      <x:c r="C2778" t="str">
        <x:v>Cliente 024</x:v>
      </x:c>
      <x:c r="D2778" t="str">
        <x:v>MG</x:v>
      </x:c>
      <x:c r="E2778" t="str">
        <x:v>Sudeste</x:v>
      </x:c>
      <x:c r="F2778" t="str">
        <x:v>Loja</x:v>
      </x:c>
      <x:c r="G2778" t="str">
        <x:v>Acessórios</x:v>
      </x:c>
      <x:c r="H2778" t="str">
        <x:v>Hub USB-C</x:v>
      </x:c>
      <x:c r="I2778" t="str">
        <x:v>Bruno</x:v>
      </x:c>
      <x:c r="J2778" s="53" t="n">
        <x:v>4</x:v>
      </x:c>
      <x:c r="K2778" s="54" t="n">
        <x:v>328.74</x:v>
      </x:c>
      <x:c r="L2778" s="54" t="n">
        <x:v>134.97</x:v>
      </x:c>
      <x:c r="M2778" s="55" t="n">
        <x:v>0</x:v>
      </x:c>
      <x:c r="N2778" s="54" t="n">
        <x:f>ROUND(J2778*K2778,2)</x:f>
        <x:v>1314.96</x:v>
      </x:c>
      <x:c r="O2778" s="54" t="n">
        <x:f>ROUND(N2778*(1-M2778),2)</x:f>
        <x:v>1314.96</x:v>
      </x:c>
      <x:c r="P2778" s="54" t="n">
        <x:f>ROUND(J2778*L2778,2)</x:f>
        <x:v>539.88</x:v>
      </x:c>
      <x:c r="Q2778" s="54" t="n">
        <x:f>ROUND(O2778-P2778,2)</x:f>
        <x:v>775.08</x:v>
      </x:c>
      <x:c r="R2778" s="55" t="n">
        <x:f>IF(O2778=0,0,ROUND(Q2778/O2778,4))</x:f>
        <x:v>0.5894</x:v>
      </x:c>
      <x:c r="S2778" s="53" t="n">
        <x:v>13</x:v>
      </x:c>
      <x:c r="T2778" t="str">
        <x:v>Entregue com atraso</x:v>
      </x:c>
      <x:c r="U2778" t="n">
        <x:v>3</x:v>
      </x:c>
      <x:c r="V2778" t="str"/>
    </x:row>
    <x:row r="2779">
      <x:c r="A2779" s="52" t="n">
        <x:v>46164</x:v>
      </x:c>
      <x:c r="B2779" t="str">
        <x:v>PED-102778</x:v>
      </x:c>
      <x:c r="C2779" t="str">
        <x:v>Cliente 101</x:v>
      </x:c>
      <x:c r="D2779" t="str">
        <x:v>AM</x:v>
      </x:c>
      <x:c r="E2779" t="str">
        <x:v>Norte</x:v>
      </x:c>
      <x:c r="F2779" t="str">
        <x:v>Televendas</x:v>
      </x:c>
      <x:c r="G2779" t="str">
        <x:v>Tecnologia</x:v>
      </x:c>
      <x:c r="H2779" t="str">
        <x:v>Notebook Pro</x:v>
      </x:c>
      <x:c r="I2779" t="str">
        <x:v>Isabela</x:v>
      </x:c>
      <x:c r="J2779" s="53" t="n">
        <x:v>1</x:v>
      </x:c>
      <x:c r="K2779" s="54" t="n">
        <x:v>5652.16</x:v>
      </x:c>
      <x:c r="L2779" s="54" t="n">
        <x:v>4332.48</x:v>
      </x:c>
      <x:c r="M2779" s="55" t="n">
        <x:v>0</x:v>
      </x:c>
      <x:c r="N2779" s="54" t="n">
        <x:f>ROUND(J2779*K2779,2)</x:f>
        <x:v>5652.16</x:v>
      </x:c>
      <x:c r="O2779" s="54" t="n">
        <x:f>ROUND(N2779*(1-M2779),2)</x:f>
        <x:v>5652.16</x:v>
      </x:c>
      <x:c r="P2779" s="54" t="n">
        <x:f>ROUND(J2779*L2779,2)</x:f>
        <x:v>4332.48</x:v>
      </x:c>
      <x:c r="Q2779" s="54" t="n">
        <x:f>ROUND(O2779-P2779,2)</x:f>
        <x:v>1319.68</x:v>
      </x:c>
      <x:c r="R2779" s="55" t="n">
        <x:f>IF(O2779=0,0,ROUND(Q2779/O2779,4))</x:f>
        <x:v>0.2335</x:v>
      </x:c>
      <x:c r="S2779" s="53" t="n">
        <x:v>2</x:v>
      </x:c>
      <x:c r="T2779" t="str">
        <x:v>Entregue</x:v>
      </x:c>
      <x:c r="U2779" t="n">
        <x:v>4</x:v>
      </x:c>
      <x:c r="V2779" t="str"/>
    </x:row>
    <x:row r="2780">
      <x:c r="A2780" s="52" t="n">
        <x:v>46203</x:v>
      </x:c>
      <x:c r="B2780" t="str">
        <x:v>PED-102779</x:v>
      </x:c>
      <x:c r="C2780" t="str">
        <x:v>Cliente 032</x:v>
      </x:c>
      <x:c r="D2780" t="str">
        <x:v>MG</x:v>
      </x:c>
      <x:c r="E2780" t="str">
        <x:v>Sudeste</x:v>
      </x:c>
      <x:c r="F2780" t="str">
        <x:v>Marketplace</x:v>
      </x:c>
      <x:c r="G2780" t="str">
        <x:v>Escritório</x:v>
      </x:c>
      <x:c r="H2780" t="str">
        <x:v>Luminária LED</x:v>
      </x:c>
      <x:c r="I2780" t="str">
        <x:v>Elaine</x:v>
      </x:c>
      <x:c r="J2780" s="53" t="n">
        <x:v>3</x:v>
      </x:c>
      <x:c r="K2780" s="54" t="n">
        <x:v>252.8</x:v>
      </x:c>
      <x:c r="L2780" s="54" t="n">
        <x:v>123.48</x:v>
      </x:c>
      <x:c r="M2780" s="55" t="n">
        <x:v>0.0715</x:v>
      </x:c>
      <x:c r="N2780" s="54" t="n">
        <x:f>ROUND(J2780*K2780,2)</x:f>
        <x:v>758.4</x:v>
      </x:c>
      <x:c r="O2780" s="54" t="n">
        <x:f>ROUND(N2780*(1-M2780),2)</x:f>
        <x:v>704.17</x:v>
      </x:c>
      <x:c r="P2780" s="54" t="n">
        <x:f>ROUND(J2780*L2780,2)</x:f>
        <x:v>370.44</x:v>
      </x:c>
      <x:c r="Q2780" s="54" t="n">
        <x:f>ROUND(O2780-P2780,2)</x:f>
        <x:v>333.73</x:v>
      </x:c>
      <x:c r="R2780" s="55" t="n">
        <x:f>IF(O2780=0,0,ROUND(Q2780/O2780,4))</x:f>
        <x:v>0.4739</x:v>
      </x:c>
      <x:c r="S2780" s="53" t="n">
        <x:v>3</x:v>
      </x:c>
      <x:c r="T2780" t="str">
        <x:v>Entregue</x:v>
      </x:c>
      <x:c r="U2780" t="n">
        <x:v>3</x:v>
      </x:c>
      <x:c r="V2780" t="str"/>
    </x:row>
    <x:row r="2781">
      <x:c r="A2781" s="52" t="n">
        <x:v>46181</x:v>
      </x:c>
      <x:c r="B2781" t="str">
        <x:v>PED-102780</x:v>
      </x:c>
      <x:c r="C2781" t="str">
        <x:v>Cliente 109</x:v>
      </x:c>
      <x:c r="D2781" t="str">
        <x:v>PR</x:v>
      </x:c>
      <x:c r="E2781" t="str">
        <x:v>Sul</x:v>
      </x:c>
      <x:c r="F2781" t="str">
        <x:v>E-commerce</x:v>
      </x:c>
      <x:c r="G2781" t="str">
        <x:v>Tecnologia</x:v>
      </x:c>
      <x:c r="H2781" t="str">
        <x:v>Notebook Pro</x:v>
      </x:c>
      <x:c r="I2781" t="str">
        <x:v>Diego</x:v>
      </x:c>
      <x:c r="J2781" s="53" t="n">
        <x:v>3</x:v>
      </x:c>
      <x:c r="K2781" s="54" t="n">
        <x:v>5537.03</x:v>
      </x:c>
      <x:c r="L2781" s="54" t="n">
        <x:v>4290.07</x:v>
      </x:c>
      <x:c r="M2781" s="55" t="n">
        <x:v>0</x:v>
      </x:c>
      <x:c r="N2781" s="54" t="n">
        <x:f>ROUND(J2781*K2781,2)</x:f>
        <x:v>16611.09</x:v>
      </x:c>
      <x:c r="O2781" s="54" t="n">
        <x:f>ROUND(N2781*(1-M2781),2)</x:f>
        <x:v>16611.09</x:v>
      </x:c>
      <x:c r="P2781" s="54" t="n">
        <x:f>ROUND(J2781*L2781,2)</x:f>
        <x:v>12870.21</x:v>
      </x:c>
      <x:c r="Q2781" s="54" t="n">
        <x:f>ROUND(O2781-P2781,2)</x:f>
        <x:v>3740.88</x:v>
      </x:c>
      <x:c r="R2781" s="55" t="n">
        <x:f>IF(O2781=0,0,ROUND(Q2781/O2781,4))</x:f>
        <x:v>0.2252</x:v>
      </x:c>
      <x:c r="S2781" s="53" t="n">
        <x:v>2</x:v>
      </x:c>
      <x:c r="T2781" t="str">
        <x:v>Entregue</x:v>
      </x:c>
      <x:c r="U2781" t="n">
        <x:v>4</x:v>
      </x:c>
      <x:c r="V2781" t="str"/>
    </x:row>
    <x:row r="2782">
      <x:c r="A2782" s="52" t="n">
        <x:v>46224</x:v>
      </x:c>
      <x:c r="B2782" t="str">
        <x:v>PED-102781</x:v>
      </x:c>
      <x:c r="C2782" t="str">
        <x:v>Cliente 033</x:v>
      </x:c>
      <x:c r="D2782" t="str">
        <x:v>PA</x:v>
      </x:c>
      <x:c r="E2782" t="str">
        <x:v>Norte</x:v>
      </x:c>
      <x:c r="F2782" t="str">
        <x:v>E-commerce</x:v>
      </x:c>
      <x:c r="G2782" t="str">
        <x:v>Escritório</x:v>
      </x:c>
      <x:c r="H2782" t="str">
        <x:v>Mesa Ajustável</x:v>
      </x:c>
      <x:c r="I2782" t="str">
        <x:v>Felipe</x:v>
      </x:c>
      <x:c r="J2782" s="53" t="n">
        <x:v>3</x:v>
      </x:c>
      <x:c r="K2782" s="54" t="n">
        <x:v>2906.14</x:v>
      </x:c>
      <x:c r="L2782" s="54" t="n">
        <x:v>1903.59</x:v>
      </x:c>
      <x:c r="M2782" s="55" t="n">
        <x:v>0</x:v>
      </x:c>
      <x:c r="N2782" s="54" t="n">
        <x:f>ROUND(J2782*K2782,2)</x:f>
        <x:v>8718.42</x:v>
      </x:c>
      <x:c r="O2782" s="54" t="n">
        <x:f>ROUND(N2782*(1-M2782),2)</x:f>
        <x:v>8718.42</x:v>
      </x:c>
      <x:c r="P2782" s="54" t="n">
        <x:f>ROUND(J2782*L2782,2)</x:f>
        <x:v>5710.77</x:v>
      </x:c>
      <x:c r="Q2782" s="54" t="n">
        <x:f>ROUND(O2782-P2782,2)</x:f>
        <x:v>3007.65</x:v>
      </x:c>
      <x:c r="R2782" s="55" t="n">
        <x:f>IF(O2782=0,0,ROUND(Q2782/O2782,4))</x:f>
        <x:v>0.345</x:v>
      </x:c>
      <x:c r="S2782" s="53" t="n">
        <x:v>11</x:v>
      </x:c>
      <x:c r="T2782" t="str">
        <x:v>Entregue com atraso</x:v>
      </x:c>
      <x:c r="U2782" t="n">
        <x:v>3</x:v>
      </x:c>
      <x:c r="V2782" t="str"/>
    </x:row>
    <x:row r="2783">
      <x:c r="A2783" s="52" t="n">
        <x:v>46210</x:v>
      </x:c>
      <x:c r="B2783" t="str">
        <x:v>PED-102782</x:v>
      </x:c>
      <x:c r="C2783" t="str">
        <x:v>Cliente 023</x:v>
      </x:c>
      <x:c r="D2783" t="str">
        <x:v>MA</x:v>
      </x:c>
      <x:c r="E2783" t="str">
        <x:v>Nordeste</x:v>
      </x:c>
      <x:c r="F2783" t="str">
        <x:v>Marketplace</x:v>
      </x:c>
      <x:c r="G2783" t="str">
        <x:v>Acessórios</x:v>
      </x:c>
      <x:c r="H2783" t="str">
        <x:v>Hub USB-C</x:v>
      </x:c>
      <x:c r="I2783" t="str">
        <x:v>Ana</x:v>
      </x:c>
      <x:c r="J2783" s="53" t="n">
        <x:v>1</x:v>
      </x:c>
      <x:c r="K2783" s="54" t="n">
        <x:v>307.07</x:v>
      </x:c>
      <x:c r="L2783" s="54" t="n">
        <x:v>139.44</x:v>
      </x:c>
      <x:c r="M2783" s="55" t="n">
        <x:v>0.035</x:v>
      </x:c>
      <x:c r="N2783" s="54" t="n">
        <x:f>ROUND(J2783*K2783,2)</x:f>
        <x:v>307.07</x:v>
      </x:c>
      <x:c r="O2783" s="54" t="n">
        <x:f>ROUND(N2783*(1-M2783),2)</x:f>
        <x:v>296.32</x:v>
      </x:c>
      <x:c r="P2783" s="54" t="n">
        <x:f>ROUND(J2783*L2783,2)</x:f>
        <x:v>139.44</x:v>
      </x:c>
      <x:c r="Q2783" s="54" t="n">
        <x:f>ROUND(O2783-P2783,2)</x:f>
        <x:v>156.88</x:v>
      </x:c>
      <x:c r="R2783" s="55" t="n">
        <x:f>IF(O2783=0,0,ROUND(Q2783/O2783,4))</x:f>
        <x:v>0.5294</x:v>
      </x:c>
      <x:c r="S2783" s="53" t="n">
        <x:v>11</x:v>
      </x:c>
      <x:c r="T2783" t="str">
        <x:v>Entregue com atraso</x:v>
      </x:c>
      <x:c r="U2783" t="n">
        <x:v>3</x:v>
      </x:c>
      <x:c r="V2783" t="str"/>
    </x:row>
    <x:row r="2784">
      <x:c r="A2784" s="52" t="n">
        <x:v>46114</x:v>
      </x:c>
      <x:c r="B2784" t="str">
        <x:v>PED-102783</x:v>
      </x:c>
      <x:c r="C2784" t="str">
        <x:v>Cliente 105</x:v>
      </x:c>
      <x:c r="D2784" t="str">
        <x:v>SC</x:v>
      </x:c>
      <x:c r="E2784" t="str">
        <x:v>Sul</x:v>
      </x:c>
      <x:c r="F2784" t="str">
        <x:v>E-commerce</x:v>
      </x:c>
      <x:c r="G2784" t="str">
        <x:v>Tecnologia</x:v>
      </x:c>
      <x:c r="H2784" t="str">
        <x:v>Headset Office</x:v>
      </x:c>
      <x:c r="I2784" t="str">
        <x:v>Gabriela</x:v>
      </x:c>
      <x:c r="J2784" s="53" t="n">
        <x:v>6</x:v>
      </x:c>
      <x:c r="K2784" s="54" t="n">
        <x:v>374.52</x:v>
      </x:c>
      <x:c r="L2784" s="54" t="n">
        <x:v>204.81</x:v>
      </x:c>
      <x:c r="M2784" s="55" t="n">
        <x:v>0.014</x:v>
      </x:c>
      <x:c r="N2784" s="54" t="n">
        <x:f>ROUND(J2784*K2784,2)</x:f>
        <x:v>2247.12</x:v>
      </x:c>
      <x:c r="O2784" s="54" t="n">
        <x:f>ROUND(N2784*(1-M2784),2)</x:f>
        <x:v>2215.66</x:v>
      </x:c>
      <x:c r="P2784" s="54" t="n">
        <x:f>ROUND(J2784*L2784,2)</x:f>
        <x:v>1228.86</x:v>
      </x:c>
      <x:c r="Q2784" s="54" t="n">
        <x:f>ROUND(O2784-P2784,2)</x:f>
        <x:v>986.8</x:v>
      </x:c>
      <x:c r="R2784" s="55" t="n">
        <x:f>IF(O2784=0,0,ROUND(Q2784/O2784,4))</x:f>
        <x:v>0.4454</x:v>
      </x:c>
      <x:c r="S2784" s="53" t="n">
        <x:v>2</x:v>
      </x:c>
      <x:c r="T2784" t="str">
        <x:v>Entregue</x:v>
      </x:c>
      <x:c r="U2784" t="n">
        <x:v>2</x:v>
      </x:c>
      <x:c r="V2784" t="str"/>
    </x:row>
    <x:row r="2785">
      <x:c r="A2785" s="52" t="n">
        <x:v>46181</x:v>
      </x:c>
      <x:c r="B2785" t="str">
        <x:v>PED-102784</x:v>
      </x:c>
      <x:c r="C2785" t="str">
        <x:v>Cliente 074</x:v>
      </x:c>
      <x:c r="D2785" t="str">
        <x:v>GO</x:v>
      </x:c>
      <x:c r="E2785" t="str">
        <x:v>Centro-Oeste</x:v>
      </x:c>
      <x:c r="F2785" t="str">
        <x:v>Loja</x:v>
      </x:c>
      <x:c r="G2785" t="str">
        <x:v>Acessórios</x:v>
      </x:c>
      <x:c r="H2785" t="str">
        <x:v>Hub USB-C</x:v>
      </x:c>
      <x:c r="I2785" t="str">
        <x:v>Bruno</x:v>
      </x:c>
      <x:c r="J2785" s="53" t="n">
        <x:v>2</x:v>
      </x:c>
      <x:c r="K2785" s="54" t="n">
        <x:v>302.69</x:v>
      </x:c>
      <x:c r="L2785" s="54" t="n">
        <x:v>136.02</x:v>
      </x:c>
      <x:c r="M2785" s="55" t="n">
        <x:v>0.0077</x:v>
      </x:c>
      <x:c r="N2785" s="54" t="n">
        <x:f>ROUND(J2785*K2785,2)</x:f>
        <x:v>605.38</x:v>
      </x:c>
      <x:c r="O2785" s="54" t="n">
        <x:f>ROUND(N2785*(1-M2785),2)</x:f>
        <x:v>600.72</x:v>
      </x:c>
      <x:c r="P2785" s="54" t="n">
        <x:f>ROUND(J2785*L2785,2)</x:f>
        <x:v>272.04</x:v>
      </x:c>
      <x:c r="Q2785" s="54" t="n">
        <x:f>ROUND(O2785-P2785,2)</x:f>
        <x:v>328.68</x:v>
      </x:c>
      <x:c r="R2785" s="55" t="n">
        <x:f>IF(O2785=0,0,ROUND(Q2785/O2785,4))</x:f>
        <x:v>0.5471</x:v>
      </x:c>
      <x:c r="S2785" s="53" t="n">
        <x:v>14</x:v>
      </x:c>
      <x:c r="T2785" t="str">
        <x:v>Entregue com atraso</x:v>
      </x:c>
      <x:c r="U2785" t="n">
        <x:v>2</x:v>
      </x:c>
      <x:c r="V2785" t="str"/>
    </x:row>
    <x:row r="2786">
      <x:c r="A2786" s="52" t="n">
        <x:v>46132</x:v>
      </x:c>
      <x:c r="B2786" t="str">
        <x:v>PED-102785</x:v>
      </x:c>
      <x:c r="C2786" t="str">
        <x:v>Cliente 086</x:v>
      </x:c>
      <x:c r="D2786" t="str">
        <x:v>PA</x:v>
      </x:c>
      <x:c r="E2786" t="str">
        <x:v>Norte</x:v>
      </x:c>
      <x:c r="F2786" t="str">
        <x:v>Televendas</x:v>
      </x:c>
      <x:c r="G2786" t="str">
        <x:v>Escritório</x:v>
      </x:c>
      <x:c r="H2786" t="str">
        <x:v>Luminária LED</x:v>
      </x:c>
      <x:c r="I2786" t="str">
        <x:v>Ana</x:v>
      </x:c>
      <x:c r="J2786" s="53" t="n">
        <x:v>3</x:v>
      </x:c>
      <x:c r="K2786" s="54" t="n">
        <x:v>263.76</x:v>
      </x:c>
      <x:c r="L2786" s="54" t="n">
        <x:v>123.95</x:v>
      </x:c>
      <x:c r="M2786" s="55" t="n">
        <x:v>0.0766</x:v>
      </x:c>
      <x:c r="N2786" s="54" t="n">
        <x:f>ROUND(J2786*K2786,2)</x:f>
        <x:v>791.28</x:v>
      </x:c>
      <x:c r="O2786" s="54" t="n">
        <x:f>ROUND(N2786*(1-M2786),2)</x:f>
        <x:v>730.67</x:v>
      </x:c>
      <x:c r="P2786" s="54" t="n">
        <x:f>ROUND(J2786*L2786,2)</x:f>
        <x:v>371.85</x:v>
      </x:c>
      <x:c r="Q2786" s="54" t="n">
        <x:f>ROUND(O2786-P2786,2)</x:f>
        <x:v>358.82</x:v>
      </x:c>
      <x:c r="R2786" s="55" t="n">
        <x:f>IF(O2786=0,0,ROUND(Q2786/O2786,4))</x:f>
        <x:v>0.4911</x:v>
      </x:c>
      <x:c r="S2786" s="53" t="n">
        <x:v>8</x:v>
      </x:c>
      <x:c r="T2786" t="str">
        <x:v>Entregue</x:v>
      </x:c>
      <x:c r="U2786" t="n">
        <x:v>2</x:v>
      </x:c>
      <x:c r="V2786" t="str"/>
    </x:row>
    <x:row r="2787">
      <x:c r="A2787" s="52" t="n">
        <x:v>46131</x:v>
      </x:c>
      <x:c r="B2787" t="str">
        <x:v>PED-102786</x:v>
      </x:c>
      <x:c r="C2787" t="str">
        <x:v>Cliente 033</x:v>
      </x:c>
      <x:c r="D2787" t="str">
        <x:v>CE</x:v>
      </x:c>
      <x:c r="E2787" t="str">
        <x:v>Nordeste</x:v>
      </x:c>
      <x:c r="F2787" t="str">
        <x:v>Marketplace</x:v>
      </x:c>
      <x:c r="G2787" t="str">
        <x:v>Tecnologia</x:v>
      </x:c>
      <x:c r="H2787" t="str">
        <x:v>Headset Office</x:v>
      </x:c>
      <x:c r="I2787" t="str">
        <x:v>Bruno</x:v>
      </x:c>
      <x:c r="J2787" s="53" t="n">
        <x:v>8</x:v>
      </x:c>
      <x:c r="K2787" s="54" t="n">
        <x:v>377.44</x:v>
      </x:c>
      <x:c r="L2787" s="54" t="n">
        <x:v>210.15</x:v>
      </x:c>
      <x:c r="M2787" s="55" t="n">
        <x:v>0.1112</x:v>
      </x:c>
      <x:c r="N2787" s="54" t="n">
        <x:f>ROUND(J2787*K2787,2)</x:f>
        <x:v>3019.52</x:v>
      </x:c>
      <x:c r="O2787" s="54" t="n">
        <x:f>ROUND(N2787*(1-M2787),2)</x:f>
        <x:v>2683.75</x:v>
      </x:c>
      <x:c r="P2787" s="54" t="n">
        <x:f>ROUND(J2787*L2787,2)</x:f>
        <x:v>1681.2</x:v>
      </x:c>
      <x:c r="Q2787" s="54" t="n">
        <x:f>ROUND(O2787-P2787,2)</x:f>
        <x:v>1002.55</x:v>
      </x:c>
      <x:c r="R2787" s="55" t="n">
        <x:f>IF(O2787=0,0,ROUND(Q2787/O2787,4))</x:f>
        <x:v>0.3736</x:v>
      </x:c>
      <x:c r="S2787" s="53" t="n">
        <x:v>7</x:v>
      </x:c>
      <x:c r="T2787" t="str">
        <x:v>Entregue</x:v>
      </x:c>
      <x:c r="U2787" t="n">
        <x:v>4</x:v>
      </x:c>
      <x:c r="V2787" t="str"/>
    </x:row>
    <x:row r="2788">
      <x:c r="A2788" s="52" t="n">
        <x:v>46113</x:v>
      </x:c>
      <x:c r="B2788" t="str">
        <x:v>PED-102787</x:v>
      </x:c>
      <x:c r="C2788" t="str">
        <x:v>Cliente 120</x:v>
      </x:c>
      <x:c r="D2788" t="str">
        <x:v>DF</x:v>
      </x:c>
      <x:c r="E2788" t="str">
        <x:v>Centro-Oeste</x:v>
      </x:c>
      <x:c r="F2788" t="str">
        <x:v>E-commerce</x:v>
      </x:c>
      <x:c r="G2788" t="str">
        <x:v>Acessórios</x:v>
      </x:c>
      <x:c r="H2788" t="str">
        <x:v>Mochila Executiva</x:v>
      </x:c>
      <x:c r="I2788" t="str">
        <x:v>Ana</x:v>
      </x:c>
      <x:c r="J2788" s="53" t="n">
        <x:v>1</x:v>
      </x:c>
      <x:c r="K2788" s="54" t="n">
        <x:v>433.59</x:v>
      </x:c>
      <x:c r="L2788" s="54" t="n">
        <x:v>191.96</x:v>
      </x:c>
      <x:c r="M2788" s="55" t="n">
        <x:v>0</x:v>
      </x:c>
      <x:c r="N2788" s="54" t="n">
        <x:f>ROUND(J2788*K2788,2)</x:f>
        <x:v>433.59</x:v>
      </x:c>
      <x:c r="O2788" s="54" t="n">
        <x:f>ROUND(N2788*(1-M2788),2)</x:f>
        <x:v>433.59</x:v>
      </x:c>
      <x:c r="P2788" s="54" t="n">
        <x:f>ROUND(J2788*L2788,2)</x:f>
        <x:v>191.96</x:v>
      </x:c>
      <x:c r="Q2788" s="54" t="n">
        <x:f>ROUND(O2788-P2788,2)</x:f>
        <x:v>241.63</x:v>
      </x:c>
      <x:c r="R2788" s="55" t="n">
        <x:f>IF(O2788=0,0,ROUND(Q2788/O2788,4))</x:f>
        <x:v>0.5573</x:v>
      </x:c>
      <x:c r="S2788" s="53" t="n">
        <x:v>11</x:v>
      </x:c>
      <x:c r="T2788" t="str">
        <x:v>Entregue com atraso</x:v>
      </x:c>
      <x:c r="U2788" t="n">
        <x:v>5</x:v>
      </x:c>
      <x:c r="V2788" t="str"/>
    </x:row>
    <x:row r="2789">
      <x:c r="A2789" s="52" t="n">
        <x:v>46183</x:v>
      </x:c>
      <x:c r="B2789" t="str">
        <x:v>PED-102788</x:v>
      </x:c>
      <x:c r="C2789" t="str">
        <x:v>Cliente 051</x:v>
      </x:c>
      <x:c r="D2789" t="str">
        <x:v>GO</x:v>
      </x:c>
      <x:c r="E2789" t="str">
        <x:v>Centro-Oeste</x:v>
      </x:c>
      <x:c r="F2789" t="str">
        <x:v>Marketplace</x:v>
      </x:c>
      <x:c r="G2789" t="str">
        <x:v>Acessórios</x:v>
      </x:c>
      <x:c r="H2789" t="str">
        <x:v>Webcam HD</x:v>
      </x:c>
      <x:c r="I2789" t="str">
        <x:v>Carla</x:v>
      </x:c>
      <x:c r="J2789" s="53" t="n">
        <x:v>1</x:v>
      </x:c>
      <x:c r="K2789" s="54" t="n">
        <x:v>536.94</x:v>
      </x:c>
      <x:c r="L2789" s="54" t="n">
        <x:v>234.48</x:v>
      </x:c>
      <x:c r="M2789" s="55" t="n">
        <x:v>0.038</x:v>
      </x:c>
      <x:c r="N2789" s="54" t="n">
        <x:f>ROUND(J2789*K2789,2)</x:f>
        <x:v>536.94</x:v>
      </x:c>
      <x:c r="O2789" s="54" t="n">
        <x:f>ROUND(N2789*(1-M2789),2)</x:f>
        <x:v>516.54</x:v>
      </x:c>
      <x:c r="P2789" s="54" t="n">
        <x:f>ROUND(J2789*L2789,2)</x:f>
        <x:v>234.48</x:v>
      </x:c>
      <x:c r="Q2789" s="54" t="n">
        <x:f>ROUND(O2789-P2789,2)</x:f>
        <x:v>282.06</x:v>
      </x:c>
      <x:c r="R2789" s="55" t="n">
        <x:f>IF(O2789=0,0,ROUND(Q2789/O2789,4))</x:f>
        <x:v>0.5461</x:v>
      </x:c>
      <x:c r="S2789" s="53" t="n">
        <x:v>10</x:v>
      </x:c>
      <x:c r="T2789" t="str">
        <x:v>Entregue</x:v>
      </x:c>
      <x:c r="U2789" t="n">
        <x:v>4</x:v>
      </x:c>
      <x:c r="V2789" t="str"/>
    </x:row>
    <x:row r="2790">
      <x:c r="A2790" s="52" t="n">
        <x:v>46054</x:v>
      </x:c>
      <x:c r="B2790" t="str">
        <x:v>PED-102789</x:v>
      </x:c>
      <x:c r="C2790" t="str">
        <x:v>Cliente 066</x:v>
      </x:c>
      <x:c r="D2790" t="str">
        <x:v>PE</x:v>
      </x:c>
      <x:c r="E2790" t="str">
        <x:v>Nordeste</x:v>
      </x:c>
      <x:c r="F2790" t="str">
        <x:v>Televendas</x:v>
      </x:c>
      <x:c r="G2790" t="str">
        <x:v>Escritório</x:v>
      </x:c>
      <x:c r="H2790" t="str">
        <x:v>Cadeira Ergonômica</x:v>
      </x:c>
      <x:c r="I2790" t="str">
        <x:v>Ana</x:v>
      </x:c>
      <x:c r="J2790" s="53" t="n">
        <x:v>2</x:v>
      </x:c>
      <x:c r="K2790" s="54" t="n">
        <x:v>2171.06</x:v>
      </x:c>
      <x:c r="L2790" s="54" t="n">
        <x:v>1412.88</x:v>
      </x:c>
      <x:c r="M2790" s="55" t="n">
        <x:v>0.0739</x:v>
      </x:c>
      <x:c r="N2790" s="54" t="n">
        <x:f>ROUND(J2790*K2790,2)</x:f>
        <x:v>4342.12</x:v>
      </x:c>
      <x:c r="O2790" s="54" t="n">
        <x:f>ROUND(N2790*(1-M2790),2)</x:f>
        <x:v>4021.24</x:v>
      </x:c>
      <x:c r="P2790" s="54" t="n">
        <x:f>ROUND(J2790*L2790,2)</x:f>
        <x:v>2825.76</x:v>
      </x:c>
      <x:c r="Q2790" s="54" t="n">
        <x:f>ROUND(O2790-P2790,2)</x:f>
        <x:v>1195.48</x:v>
      </x:c>
      <x:c r="R2790" s="55" t="n">
        <x:f>IF(O2790=0,0,ROUND(Q2790/O2790,4))</x:f>
        <x:v>0.2973</x:v>
      </x:c>
      <x:c r="S2790" s="53" t="n">
        <x:v>2</x:v>
      </x:c>
      <x:c r="T2790" t="str">
        <x:v>Entregue</x:v>
      </x:c>
      <x:c r="U2790" t="n">
        <x:v>2</x:v>
      </x:c>
      <x:c r="V2790" t="str"/>
    </x:row>
    <x:row r="2791">
      <x:c r="A2791" s="52" t="n">
        <x:v>46195</x:v>
      </x:c>
      <x:c r="B2791" t="str">
        <x:v>PED-102790</x:v>
      </x:c>
      <x:c r="C2791" t="str">
        <x:v>Cliente 036</x:v>
      </x:c>
      <x:c r="D2791" t="str">
        <x:v>CE</x:v>
      </x:c>
      <x:c r="E2791" t="str">
        <x:v>Nordeste</x:v>
      </x:c>
      <x:c r="F2791" t="str">
        <x:v>E-commerce</x:v>
      </x:c>
      <x:c r="G2791" t="str">
        <x:v>Acessórios</x:v>
      </x:c>
      <x:c r="H2791" t="str">
        <x:v>Webcam HD</x:v>
      </x:c>
      <x:c r="I2791" t="str">
        <x:v>Bruno</x:v>
      </x:c>
      <x:c r="J2791" s="53" t="n">
        <x:v>5</x:v>
      </x:c>
      <x:c r="K2791" s="54" t="n">
        <x:v>487.06</x:v>
      </x:c>
      <x:c r="L2791" s="54" t="n">
        <x:v>252.33</x:v>
      </x:c>
      <x:c r="M2791" s="55" t="n">
        <x:v>0</x:v>
      </x:c>
      <x:c r="N2791" s="54" t="n">
        <x:f>ROUND(J2791*K2791,2)</x:f>
        <x:v>2435.3</x:v>
      </x:c>
      <x:c r="O2791" s="54" t="n">
        <x:f>ROUND(N2791*(1-M2791),2)</x:f>
        <x:v>2435.3</x:v>
      </x:c>
      <x:c r="P2791" s="54" t="n">
        <x:f>ROUND(J2791*L2791,2)</x:f>
        <x:v>1261.65</x:v>
      </x:c>
      <x:c r="Q2791" s="54" t="n">
        <x:f>ROUND(O2791-P2791,2)</x:f>
        <x:v>1173.65</x:v>
      </x:c>
      <x:c r="R2791" s="55" t="n">
        <x:f>IF(O2791=0,0,ROUND(Q2791/O2791,4))</x:f>
        <x:v>0.4819</x:v>
      </x:c>
      <x:c r="S2791" s="53" t="n">
        <x:v>14</x:v>
      </x:c>
      <x:c r="T2791" t="str">
        <x:v>Entregue com atraso</x:v>
      </x:c>
      <x:c r="U2791" t="n">
        <x:v>3</x:v>
      </x:c>
      <x:c r="V2791" t="str"/>
    </x:row>
    <x:row r="2792">
      <x:c r="A2792" s="52" t="n">
        <x:v>46168</x:v>
      </x:c>
      <x:c r="B2792" t="str">
        <x:v>PED-102791</x:v>
      </x:c>
      <x:c r="C2792" t="str">
        <x:v>Cliente 089</x:v>
      </x:c>
      <x:c r="D2792" t="str">
        <x:v>SP</x:v>
      </x:c>
      <x:c r="E2792" t="str">
        <x:v>Sudeste</x:v>
      </x:c>
      <x:c r="F2792" t="str">
        <x:v>Televendas</x:v>
      </x:c>
      <x:c r="G2792" t="str">
        <x:v>Casa</x:v>
      </x:c>
      <x:c r="H2792" t="str">
        <x:v>Purificador</x:v>
      </x:c>
      <x:c r="I2792" t="str">
        <x:v>Isabela</x:v>
      </x:c>
      <x:c r="J2792" s="53" t="n">
        <x:v>2</x:v>
      </x:c>
      <x:c r="K2792" s="54" t="n">
        <x:v>1300.54</x:v>
      </x:c>
      <x:c r="L2792" s="54" t="n">
        <x:v>791.72</x:v>
      </x:c>
      <x:c r="M2792" s="55" t="n">
        <x:v>0.0585</x:v>
      </x:c>
      <x:c r="N2792" s="54" t="n">
        <x:f>ROUND(J2792*K2792,2)</x:f>
        <x:v>2601.08</x:v>
      </x:c>
      <x:c r="O2792" s="54" t="n">
        <x:f>ROUND(N2792*(1-M2792),2)</x:f>
        <x:v>2448.92</x:v>
      </x:c>
      <x:c r="P2792" s="54" t="n">
        <x:f>ROUND(J2792*L2792,2)</x:f>
        <x:v>1583.44</x:v>
      </x:c>
      <x:c r="Q2792" s="54" t="n">
        <x:f>ROUND(O2792-P2792,2)</x:f>
        <x:v>865.48</x:v>
      </x:c>
      <x:c r="R2792" s="55" t="n">
        <x:f>IF(O2792=0,0,ROUND(Q2792/O2792,4))</x:f>
        <x:v>0.3534</x:v>
      </x:c>
      <x:c r="S2792" s="53" t="n">
        <x:v>14</x:v>
      </x:c>
      <x:c r="T2792" t="str">
        <x:v>Entregue com atraso</x:v>
      </x:c>
      <x:c r="U2792" t="n">
        <x:v>3</x:v>
      </x:c>
      <x:c r="V2792" t="str"/>
    </x:row>
    <x:row r="2793">
      <x:c r="A2793" s="52" t="n">
        <x:v>46077</x:v>
      </x:c>
      <x:c r="B2793" t="str">
        <x:v>PED-102792</x:v>
      </x:c>
      <x:c r="C2793" t="str">
        <x:v>Cliente 090</x:v>
      </x:c>
      <x:c r="D2793" t="str">
        <x:v>MG</x:v>
      </x:c>
      <x:c r="E2793" t="str">
        <x:v>Sudeste</x:v>
      </x:c>
      <x:c r="F2793" t="str">
        <x:v>E-commerce</x:v>
      </x:c>
      <x:c r="G2793" t="str">
        <x:v>Acessórios</x:v>
      </x:c>
      <x:c r="H2793" t="str">
        <x:v>Mochila Executiva</x:v>
      </x:c>
      <x:c r="I2793" t="str">
        <x:v>Diego</x:v>
      </x:c>
      <x:c r="J2793" s="53" t="n">
        <x:v>6</x:v>
      </x:c>
      <x:c r="K2793" s="54" t="n">
        <x:v>443.75</x:v>
      </x:c>
      <x:c r="L2793" s="54" t="n">
        <x:v>185.6</x:v>
      </x:c>
      <x:c r="M2793" s="55" t="n">
        <x:v>0.1154</x:v>
      </x:c>
      <x:c r="N2793" s="54" t="n">
        <x:f>ROUND(J2793*K2793,2)</x:f>
        <x:v>2662.5</x:v>
      </x:c>
      <x:c r="O2793" s="54" t="n">
        <x:f>ROUND(N2793*(1-M2793),2)</x:f>
        <x:v>2355.25</x:v>
      </x:c>
      <x:c r="P2793" s="54" t="n">
        <x:f>ROUND(J2793*L2793,2)</x:f>
        <x:v>1113.6</x:v>
      </x:c>
      <x:c r="Q2793" s="54" t="n">
        <x:f>ROUND(O2793-P2793,2)</x:f>
        <x:v>1241.65</x:v>
      </x:c>
      <x:c r="R2793" s="55" t="n">
        <x:f>IF(O2793=0,0,ROUND(Q2793/O2793,4))</x:f>
        <x:v>0.5272</x:v>
      </x:c>
      <x:c r="S2793" s="53" t="n">
        <x:v>4</x:v>
      </x:c>
      <x:c r="T2793" t="str">
        <x:v>Entregue</x:v>
      </x:c>
      <x:c r="U2793" t="n">
        <x:v>5</x:v>
      </x:c>
      <x:c r="V2793" t="str"/>
    </x:row>
    <x:row r="2794">
      <x:c r="A2794" s="52" t="n">
        <x:v>46152</x:v>
      </x:c>
      <x:c r="B2794" t="str">
        <x:v>PED-102793</x:v>
      </x:c>
      <x:c r="C2794" t="str">
        <x:v>Cliente 113</x:v>
      </x:c>
      <x:c r="D2794" t="str">
        <x:v>SP</x:v>
      </x:c>
      <x:c r="E2794" t="str">
        <x:v>Sudeste</x:v>
      </x:c>
      <x:c r="F2794" t="str">
        <x:v>E-commerce</x:v>
      </x:c>
      <x:c r="G2794" t="str">
        <x:v>Casa</x:v>
      </x:c>
      <x:c r="H2794" t="str">
        <x:v>Cafeteira Smart</x:v>
      </x:c>
      <x:c r="I2794" t="str">
        <x:v>Ana</x:v>
      </x:c>
      <x:c r="J2794" s="53" t="n">
        <x:v>1</x:v>
      </x:c>
      <x:c r="K2794" s="54" t="n">
        <x:v>810.4</x:v>
      </x:c>
      <x:c r="L2794" s="54" t="n">
        <x:v>473.68</x:v>
      </x:c>
      <x:c r="M2794" s="55" t="n">
        <x:v>0.1268</x:v>
      </x:c>
      <x:c r="N2794" s="54" t="n">
        <x:f>ROUND(J2794*K2794,2)</x:f>
        <x:v>810.4</x:v>
      </x:c>
      <x:c r="O2794" s="54" t="n">
        <x:f>ROUND(N2794*(1-M2794),2)</x:f>
        <x:v>707.64</x:v>
      </x:c>
      <x:c r="P2794" s="54" t="n">
        <x:f>ROUND(J2794*L2794,2)</x:f>
        <x:v>473.68</x:v>
      </x:c>
      <x:c r="Q2794" s="54" t="n">
        <x:f>ROUND(O2794-P2794,2)</x:f>
        <x:v>233.96</x:v>
      </x:c>
      <x:c r="R2794" s="55" t="n">
        <x:f>IF(O2794=0,0,ROUND(Q2794/O2794,4))</x:f>
        <x:v>0.3306</x:v>
      </x:c>
      <x:c r="S2794" s="53" t="n">
        <x:v>2</x:v>
      </x:c>
      <x:c r="T2794" t="str">
        <x:v>Entregue</x:v>
      </x:c>
      <x:c r="U2794" t="n">
        <x:v>4</x:v>
      </x:c>
      <x:c r="V2794" t="str"/>
    </x:row>
    <x:row r="2795">
      <x:c r="A2795" s="52" t="n">
        <x:v>46177</x:v>
      </x:c>
      <x:c r="B2795" t="str">
        <x:v>PED-102794</x:v>
      </x:c>
      <x:c r="C2795" t="str">
        <x:v>Cliente 047</x:v>
      </x:c>
      <x:c r="D2795" t="str">
        <x:v>PR</x:v>
      </x:c>
      <x:c r="E2795" t="str">
        <x:v>Sul</x:v>
      </x:c>
      <x:c r="F2795" t="str">
        <x:v>Televendas</x:v>
      </x:c>
      <x:c r="G2795" t="str">
        <x:v>Escritório</x:v>
      </x:c>
      <x:c r="H2795" t="str">
        <x:v>Cadeira Ergonômica</x:v>
      </x:c>
      <x:c r="I2795" t="str">
        <x:v>Carla</x:v>
      </x:c>
      <x:c r="J2795" s="53" t="n">
        <x:v>6</x:v>
      </x:c>
      <x:c r="K2795" s="54" t="n">
        <x:v>2111.21</x:v>
      </x:c>
      <x:c r="L2795" s="54" t="n">
        <x:v>1427.81</x:v>
      </x:c>
      <x:c r="M2795" s="55" t="n">
        <x:v>0.0125</x:v>
      </x:c>
      <x:c r="N2795" s="54" t="n">
        <x:f>ROUND(J2795*K2795,2)</x:f>
        <x:v>12667.26</x:v>
      </x:c>
      <x:c r="O2795" s="54" t="n">
        <x:f>ROUND(N2795*(1-M2795),2)</x:f>
        <x:v>12508.92</x:v>
      </x:c>
      <x:c r="P2795" s="54" t="n">
        <x:f>ROUND(J2795*L2795,2)</x:f>
        <x:v>8566.86</x:v>
      </x:c>
      <x:c r="Q2795" s="54" t="n">
        <x:f>ROUND(O2795-P2795,2)</x:f>
        <x:v>3942.06</x:v>
      </x:c>
      <x:c r="R2795" s="55" t="n">
        <x:f>IF(O2795=0,0,ROUND(Q2795/O2795,4))</x:f>
        <x:v>0.3151</x:v>
      </x:c>
      <x:c r="S2795" s="53" t="n">
        <x:v>9</x:v>
      </x:c>
      <x:c r="T2795" t="str">
        <x:v>Entregue</x:v>
      </x:c>
      <x:c r="U2795" t="n">
        <x:v>2</x:v>
      </x:c>
      <x:c r="V2795" t="str"/>
    </x:row>
    <x:row r="2796">
      <x:c r="A2796" s="52" t="n">
        <x:v>46208</x:v>
      </x:c>
      <x:c r="B2796" t="str">
        <x:v>PED-102795</x:v>
      </x:c>
      <x:c r="C2796" t="str">
        <x:v>Cliente 044</x:v>
      </x:c>
      <x:c r="D2796" t="str">
        <x:v>BA</x:v>
      </x:c>
      <x:c r="E2796" t="str">
        <x:v>Nordeste</x:v>
      </x:c>
      <x:c r="F2796" t="str">
        <x:v>Marketplace</x:v>
      </x:c>
      <x:c r="G2796" t="str">
        <x:v>Acessórios</x:v>
      </x:c>
      <x:c r="H2796" t="str">
        <x:v>Webcam HD</x:v>
      </x:c>
      <x:c r="I2796" t="str">
        <x:v>João</x:v>
      </x:c>
      <x:c r="J2796" s="53" t="n">
        <x:v>7</x:v>
      </x:c>
      <x:c r="K2796" s="54" t="n">
        <x:v>520.33</x:v>
      </x:c>
      <x:c r="L2796" s="54" t="n">
        <x:v>257.51</x:v>
      </x:c>
      <x:c r="M2796" s="55" t="n">
        <x:v>0.1427</x:v>
      </x:c>
      <x:c r="N2796" s="54" t="n">
        <x:f>ROUND(J2796*K2796,2)</x:f>
        <x:v>3642.31</x:v>
      </x:c>
      <x:c r="O2796" s="54" t="n">
        <x:f>ROUND(N2796*(1-M2796),2)</x:f>
        <x:v>3122.55</x:v>
      </x:c>
      <x:c r="P2796" s="54" t="n">
        <x:f>ROUND(J2796*L2796,2)</x:f>
        <x:v>1802.57</x:v>
      </x:c>
      <x:c r="Q2796" s="54" t="n">
        <x:f>ROUND(O2796-P2796,2)</x:f>
        <x:v>1319.98</x:v>
      </x:c>
      <x:c r="R2796" s="55" t="n">
        <x:f>IF(O2796=0,0,ROUND(Q2796/O2796,4))</x:f>
        <x:v>0.4227</x:v>
      </x:c>
      <x:c r="S2796" s="53" t="n">
        <x:v>14</x:v>
      </x:c>
      <x:c r="T2796" t="str">
        <x:v>Entregue com atraso</x:v>
      </x:c>
      <x:c r="U2796" t="n">
        <x:v>2</x:v>
      </x:c>
      <x:c r="V2796" t="str"/>
    </x:row>
    <x:row r="2797">
      <x:c r="A2797" s="52" t="n">
        <x:v>46108</x:v>
      </x:c>
      <x:c r="B2797" t="str">
        <x:v>PED-102796</x:v>
      </x:c>
      <x:c r="C2797" t="str">
        <x:v>Cliente 026</x:v>
      </x:c>
      <x:c r="D2797" t="str">
        <x:v>DF</x:v>
      </x:c>
      <x:c r="E2797" t="str">
        <x:v>Centro-Oeste</x:v>
      </x:c>
      <x:c r="F2797" t="str">
        <x:v>Televendas</x:v>
      </x:c>
      <x:c r="G2797" t="str">
        <x:v>Acessórios</x:v>
      </x:c>
      <x:c r="H2797" t="str">
        <x:v>Mochila Executiva</x:v>
      </x:c>
      <x:c r="I2797" t="str">
        <x:v>Elaine</x:v>
      </x:c>
      <x:c r="J2797" s="53" t="n">
        <x:v>2</x:v>
      </x:c>
      <x:c r="K2797" s="54" t="n">
        <x:v>408.78</x:v>
      </x:c>
      <x:c r="L2797" s="54" t="n">
        <x:v>184.51</x:v>
      </x:c>
      <x:c r="M2797" s="55" t="n">
        <x:v>0</x:v>
      </x:c>
      <x:c r="N2797" s="54" t="n">
        <x:f>ROUND(J2797*K2797,2)</x:f>
        <x:v>817.56</x:v>
      </x:c>
      <x:c r="O2797" s="54" t="n">
        <x:f>ROUND(N2797*(1-M2797),2)</x:f>
        <x:v>817.56</x:v>
      </x:c>
      <x:c r="P2797" s="54" t="n">
        <x:f>ROUND(J2797*L2797,2)</x:f>
        <x:v>369.02</x:v>
      </x:c>
      <x:c r="Q2797" s="54" t="n">
        <x:f>ROUND(O2797-P2797,2)</x:f>
        <x:v>448.54</x:v>
      </x:c>
      <x:c r="R2797" s="55" t="n">
        <x:f>IF(O2797=0,0,ROUND(Q2797/O2797,4))</x:f>
        <x:v>0.5486</x:v>
      </x:c>
      <x:c r="S2797" s="53" t="n">
        <x:v>7</x:v>
      </x:c>
      <x:c r="T2797" t="str">
        <x:v>Entregue</x:v>
      </x:c>
      <x:c r="U2797" t="n">
        <x:v>3</x:v>
      </x:c>
      <x:c r="V2797" t="str"/>
    </x:row>
    <x:row r="2798">
      <x:c r="A2798" s="52" t="n">
        <x:v>46177</x:v>
      </x:c>
      <x:c r="B2798" t="str">
        <x:v>PED-102797</x:v>
      </x:c>
      <x:c r="C2798" t="str">
        <x:v>Cliente 083</x:v>
      </x:c>
      <x:c r="D2798" t="str">
        <x:v>DF</x:v>
      </x:c>
      <x:c r="E2798" t="str">
        <x:v>Centro-Oeste</x:v>
      </x:c>
      <x:c r="F2798" t="str">
        <x:v>Marketplace</x:v>
      </x:c>
      <x:c r="G2798" t="str">
        <x:v>Acessórios</x:v>
      </x:c>
      <x:c r="H2798" t="str">
        <x:v>Webcam HD</x:v>
      </x:c>
      <x:c r="I2798" t="str">
        <x:v>Isabela</x:v>
      </x:c>
      <x:c r="J2798" s="53" t="n">
        <x:v>7</x:v>
      </x:c>
      <x:c r="K2798" s="54" t="n">
        <x:v>530.48</x:v>
      </x:c>
      <x:c r="L2798" s="54" t="n">
        <x:v>244.83</x:v>
      </x:c>
      <x:c r="M2798" s="55" t="n">
        <x:v>0.035</x:v>
      </x:c>
      <x:c r="N2798" s="54" t="n">
        <x:f>ROUND(J2798*K2798,2)</x:f>
        <x:v>3713.36</x:v>
      </x:c>
      <x:c r="O2798" s="54" t="n">
        <x:f>ROUND(N2798*(1-M2798),2)</x:f>
        <x:v>3583.39</x:v>
      </x:c>
      <x:c r="P2798" s="54" t="n">
        <x:f>ROUND(J2798*L2798,2)</x:f>
        <x:v>1713.81</x:v>
      </x:c>
      <x:c r="Q2798" s="54" t="n">
        <x:f>ROUND(O2798-P2798,2)</x:f>
        <x:v>1869.58</x:v>
      </x:c>
      <x:c r="R2798" s="55" t="n">
        <x:f>IF(O2798=0,0,ROUND(Q2798/O2798,4))</x:f>
        <x:v>0.5217</x:v>
      </x:c>
      <x:c r="S2798" s="53" t="n">
        <x:v>8</x:v>
      </x:c>
      <x:c r="T2798" t="str">
        <x:v>Entregue</x:v>
      </x:c>
      <x:c r="U2798" t="n">
        <x:v>5</x:v>
      </x:c>
      <x:c r="V2798" t="str"/>
    </x:row>
    <x:row r="2799">
      <x:c r="A2799" s="52" t="n">
        <x:v>46216</x:v>
      </x:c>
      <x:c r="B2799" t="str">
        <x:v>PED-102798</x:v>
      </x:c>
      <x:c r="C2799" t="str">
        <x:v>Cliente 050</x:v>
      </x:c>
      <x:c r="D2799" t="str">
        <x:v>CE</x:v>
      </x:c>
      <x:c r="E2799" t="str">
        <x:v>Nordeste</x:v>
      </x:c>
      <x:c r="F2799" t="str">
        <x:v>Loja</x:v>
      </x:c>
      <x:c r="G2799" t="str">
        <x:v>Tecnologia</x:v>
      </x:c>
      <x:c r="H2799" t="str">
        <x:v>Monitor 27</x:v>
      </x:c>
      <x:c r="I2799" t="str">
        <x:v>Felipe</x:v>
      </x:c>
      <x:c r="J2799" s="53" t="n">
        <x:v>4</x:v>
      </x:c>
      <x:c r="K2799" s="54" t="n">
        <x:v>1671.44</x:v>
      </x:c>
      <x:c r="L2799" s="54" t="n">
        <x:v>1099.05</x:v>
      </x:c>
      <x:c r="M2799" s="55" t="n">
        <x:v>0</x:v>
      </x:c>
      <x:c r="N2799" s="54" t="n">
        <x:f>ROUND(J2799*K2799,2)</x:f>
        <x:v>6685.76</x:v>
      </x:c>
      <x:c r="O2799" s="54" t="n">
        <x:f>ROUND(N2799*(1-M2799),2)</x:f>
        <x:v>6685.76</x:v>
      </x:c>
      <x:c r="P2799" s="54" t="n">
        <x:f>ROUND(J2799*L2799,2)</x:f>
        <x:v>4396.2</x:v>
      </x:c>
      <x:c r="Q2799" s="54" t="n">
        <x:f>ROUND(O2799-P2799,2)</x:f>
        <x:v>2289.56</x:v>
      </x:c>
      <x:c r="R2799" s="55" t="n">
        <x:f>IF(O2799=0,0,ROUND(Q2799/O2799,4))</x:f>
        <x:v>0.3425</x:v>
      </x:c>
      <x:c r="S2799" s="53" t="n">
        <x:v>12</x:v>
      </x:c>
      <x:c r="T2799" t="str">
        <x:v>Entregue com atraso</x:v>
      </x:c>
      <x:c r="U2799" t="n">
        <x:v>5</x:v>
      </x:c>
      <x:c r="V2799" t="str"/>
    </x:row>
    <x:row r="2800">
      <x:c r="A2800" s="52" t="n">
        <x:v>46181</x:v>
      </x:c>
      <x:c r="B2800" t="str">
        <x:v>PED-102799</x:v>
      </x:c>
      <x:c r="C2800" t="str">
        <x:v>Cliente 102</x:v>
      </x:c>
      <x:c r="D2800" t="str">
        <x:v>SC</x:v>
      </x:c>
      <x:c r="E2800" t="str">
        <x:v>Sul</x:v>
      </x:c>
      <x:c r="F2800" t="str">
        <x:v>E-commerce</x:v>
      </x:c>
      <x:c r="G2800" t="str">
        <x:v>Casa</x:v>
      </x:c>
      <x:c r="H2800" t="str">
        <x:v>Cafeteira Smart</x:v>
      </x:c>
      <x:c r="I2800" t="str">
        <x:v>Isabela</x:v>
      </x:c>
      <x:c r="J2800" s="53" t="n">
        <x:v>6</x:v>
      </x:c>
      <x:c r="K2800" s="54" t="n">
        <x:v>807.72</x:v>
      </x:c>
      <x:c r="L2800" s="54" t="n">
        <x:v>473.39</x:v>
      </x:c>
      <x:c r="M2800" s="55" t="n">
        <x:v>0.026</x:v>
      </x:c>
      <x:c r="N2800" s="54" t="n">
        <x:f>ROUND(J2800*K2800,2)</x:f>
        <x:v>4846.32</x:v>
      </x:c>
      <x:c r="O2800" s="54" t="n">
        <x:f>ROUND(N2800*(1-M2800),2)</x:f>
        <x:v>4720.32</x:v>
      </x:c>
      <x:c r="P2800" s="54" t="n">
        <x:f>ROUND(J2800*L2800,2)</x:f>
        <x:v>2840.34</x:v>
      </x:c>
      <x:c r="Q2800" s="54" t="n">
        <x:f>ROUND(O2800-P2800,2)</x:f>
        <x:v>1879.98</x:v>
      </x:c>
      <x:c r="R2800" s="55" t="n">
        <x:f>IF(O2800=0,0,ROUND(Q2800/O2800,4))</x:f>
        <x:v>0.3983</x:v>
      </x:c>
      <x:c r="S2800" s="53" t="n">
        <x:v>11</x:v>
      </x:c>
      <x:c r="T2800" t="str">
        <x:v>Entregue com atraso</x:v>
      </x:c>
      <x:c r="U2800" t="n">
        <x:v>4</x:v>
      </x:c>
      <x:c r="V2800" t="str"/>
    </x:row>
    <x:row r="2801">
      <x:c r="A2801" s="52" t="n">
        <x:v>46131</x:v>
      </x:c>
      <x:c r="B2801" t="str">
        <x:v>PED-102800</x:v>
      </x:c>
      <x:c r="C2801" t="str">
        <x:v>Cliente 116</x:v>
      </x:c>
      <x:c r="D2801" t="str">
        <x:v>PR</x:v>
      </x:c>
      <x:c r="E2801" t="str">
        <x:v>Sul</x:v>
      </x:c>
      <x:c r="F2801" t="str">
        <x:v>E-commerce</x:v>
      </x:c>
      <x:c r="G2801" t="str">
        <x:v>Escritório</x:v>
      </x:c>
      <x:c r="H2801" t="str">
        <x:v>Luminária LED</x:v>
      </x:c>
      <x:c r="I2801" t="str">
        <x:v>Isabela</x:v>
      </x:c>
      <x:c r="J2801" s="53" t="n">
        <x:v>5</x:v>
      </x:c>
      <x:c r="K2801" s="54" t="n">
        <x:v>244.58</x:v>
      </x:c>
      <x:c r="L2801" s="54" t="n">
        <x:v>117.17</x:v>
      </x:c>
      <x:c r="M2801" s="55" t="n">
        <x:v>0</x:v>
      </x:c>
      <x:c r="N2801" s="54" t="n">
        <x:f>ROUND(J2801*K2801,2)</x:f>
        <x:v>1222.9</x:v>
      </x:c>
      <x:c r="O2801" s="54" t="n">
        <x:f>ROUND(N2801*(1-M2801),2)</x:f>
        <x:v>1222.9</x:v>
      </x:c>
      <x:c r="P2801" s="54" t="n">
        <x:f>ROUND(J2801*L2801,2)</x:f>
        <x:v>585.85</x:v>
      </x:c>
      <x:c r="Q2801" s="54" t="n">
        <x:f>ROUND(O2801-P2801,2)</x:f>
        <x:v>637.05</x:v>
      </x:c>
      <x:c r="R2801" s="55" t="n">
        <x:f>IF(O2801=0,0,ROUND(Q2801/O2801,4))</x:f>
        <x:v>0.5209</x:v>
      </x:c>
      <x:c r="S2801" s="53" t="n">
        <x:v>7</x:v>
      </x:c>
      <x:c r="T2801" t="str">
        <x:v>Entregue</x:v>
      </x:c>
      <x:c r="U2801" t="n">
        <x:v>3</x:v>
      </x:c>
      <x:c r="V2801" t="str"/>
    </x:row>
    <x:row r="2802">
      <x:c r="A2802" s="52" t="n">
        <x:v>46119</x:v>
      </x:c>
      <x:c r="B2802" t="str">
        <x:v>PED-102801</x:v>
      </x:c>
      <x:c r="C2802" t="str">
        <x:v>Cliente 081</x:v>
      </x:c>
      <x:c r="D2802" t="str">
        <x:v>SC</x:v>
      </x:c>
      <x:c r="E2802" t="str">
        <x:v>Sul</x:v>
      </x:c>
      <x:c r="F2802" t="str">
        <x:v>Loja</x:v>
      </x:c>
      <x:c r="G2802" t="str">
        <x:v>Tecnologia</x:v>
      </x:c>
      <x:c r="H2802" t="str">
        <x:v>Headset Office</x:v>
      </x:c>
      <x:c r="I2802" t="str">
        <x:v>Carla</x:v>
      </x:c>
      <x:c r="J2802" s="53" t="n">
        <x:v>5</x:v>
      </x:c>
      <x:c r="K2802" s="54" t="n">
        <x:v>367.51</x:v>
      </x:c>
      <x:c r="L2802" s="54" t="n">
        <x:v>212.23</x:v>
      </x:c>
      <x:c r="M2802" s="55" t="n">
        <x:v>0</x:v>
      </x:c>
      <x:c r="N2802" s="54" t="n">
        <x:f>ROUND(J2802*K2802,2)</x:f>
        <x:v>1837.55</x:v>
      </x:c>
      <x:c r="O2802" s="54" t="n">
        <x:f>ROUND(N2802*(1-M2802),2)</x:f>
        <x:v>1837.55</x:v>
      </x:c>
      <x:c r="P2802" s="54" t="n">
        <x:f>ROUND(J2802*L2802,2)</x:f>
        <x:v>1061.15</x:v>
      </x:c>
      <x:c r="Q2802" s="54" t="n">
        <x:f>ROUND(O2802-P2802,2)</x:f>
        <x:v>776.4</x:v>
      </x:c>
      <x:c r="R2802" s="55" t="n">
        <x:f>IF(O2802=0,0,ROUND(Q2802/O2802,4))</x:f>
        <x:v>0.4225</x:v>
      </x:c>
      <x:c r="S2802" s="53" t="n">
        <x:v>13</x:v>
      </x:c>
      <x:c r="T2802" t="str">
        <x:v>Entregue com atraso</x:v>
      </x:c>
      <x:c r="U2802" t="n">
        <x:v>5</x:v>
      </x:c>
      <x:c r="V2802" t="str"/>
    </x:row>
    <x:row r="2803">
      <x:c r="A2803" s="52" t="n">
        <x:v>46115</x:v>
      </x:c>
      <x:c r="B2803" t="str">
        <x:v>PED-102802</x:v>
      </x:c>
      <x:c r="C2803" t="str">
        <x:v>Cliente 023</x:v>
      </x:c>
      <x:c r="D2803" t="str">
        <x:v>RS</x:v>
      </x:c>
      <x:c r="E2803" t="str">
        <x:v>Sul</x:v>
      </x:c>
      <x:c r="F2803" t="str">
        <x:v>Televendas</x:v>
      </x:c>
      <x:c r="G2803" t="str">
        <x:v>Acessórios</x:v>
      </x:c>
      <x:c r="H2803" t="str">
        <x:v>Mochila Executiva</x:v>
      </x:c>
      <x:c r="I2803" t="str">
        <x:v>Ana</x:v>
      </x:c>
      <x:c r="J2803" s="53" t="n">
        <x:v>5</x:v>
      </x:c>
      <x:c r="K2803" s="54" t="n">
        <x:v>418.08</x:v>
      </x:c>
      <x:c r="L2803" s="54" t="n">
        <x:v>193.1</x:v>
      </x:c>
      <x:c r="M2803" s="55" t="n">
        <x:v>0.0009</x:v>
      </x:c>
      <x:c r="N2803" s="54" t="n">
        <x:f>ROUND(J2803*K2803,2)</x:f>
        <x:v>2090.4</x:v>
      </x:c>
      <x:c r="O2803" s="54" t="n">
        <x:f>ROUND(N2803*(1-M2803),2)</x:f>
        <x:v>2088.52</x:v>
      </x:c>
      <x:c r="P2803" s="54" t="n">
        <x:f>ROUND(J2803*L2803,2)</x:f>
        <x:v>965.5</x:v>
      </x:c>
      <x:c r="Q2803" s="54" t="n">
        <x:f>ROUND(O2803-P2803,2)</x:f>
        <x:v>1123.02</x:v>
      </x:c>
      <x:c r="R2803" s="55" t="n">
        <x:f>IF(O2803=0,0,ROUND(Q2803/O2803,4))</x:f>
        <x:v>0.5377</x:v>
      </x:c>
      <x:c r="S2803" s="53" t="n">
        <x:v>11</x:v>
      </x:c>
      <x:c r="T2803" t="str">
        <x:v>Entregue com atraso</x:v>
      </x:c>
      <x:c r="U2803" t="n">
        <x:v>4</x:v>
      </x:c>
      <x:c r="V2803" t="str"/>
    </x:row>
    <x:row r="2804">
      <x:c r="A2804" s="52" t="n">
        <x:v>46165</x:v>
      </x:c>
      <x:c r="B2804" t="str">
        <x:v>PED-102803</x:v>
      </x:c>
      <x:c r="C2804" t="str">
        <x:v>Cliente 067</x:v>
      </x:c>
      <x:c r="D2804" t="str">
        <x:v>CE</x:v>
      </x:c>
      <x:c r="E2804" t="str">
        <x:v>Nordeste</x:v>
      </x:c>
      <x:c r="F2804" t="str">
        <x:v>Televendas</x:v>
      </x:c>
      <x:c r="G2804" t="str">
        <x:v>Tecnologia</x:v>
      </x:c>
      <x:c r="H2804" t="str">
        <x:v>Notebook Pro</x:v>
      </x:c>
      <x:c r="I2804" t="str">
        <x:v>Ana</x:v>
      </x:c>
      <x:c r="J2804" s="53" t="n">
        <x:v>3</x:v>
      </x:c>
      <x:c r="K2804" s="54" t="n">
        <x:v>6128.05</x:v>
      </x:c>
      <x:c r="L2804" s="54" t="n">
        <x:v>4340.38</x:v>
      </x:c>
      <x:c r="M2804" s="55" t="n">
        <x:v>0</x:v>
      </x:c>
      <x:c r="N2804" s="54" t="n">
        <x:f>ROUND(J2804*K2804,2)</x:f>
        <x:v>18384.15</x:v>
      </x:c>
      <x:c r="O2804" s="54" t="n">
        <x:f>ROUND(N2804*(1-M2804),2)</x:f>
        <x:v>18384.15</x:v>
      </x:c>
      <x:c r="P2804" s="54" t="n">
        <x:f>ROUND(J2804*L2804,2)</x:f>
        <x:v>13021.14</x:v>
      </x:c>
      <x:c r="Q2804" s="54" t="n">
        <x:f>ROUND(O2804-P2804,2)</x:f>
        <x:v>5363.01</x:v>
      </x:c>
      <x:c r="R2804" s="55" t="n">
        <x:f>IF(O2804=0,0,ROUND(Q2804/O2804,4))</x:f>
        <x:v>0.2917</x:v>
      </x:c>
      <x:c r="S2804" s="53" t="n">
        <x:v>3</x:v>
      </x:c>
      <x:c r="T2804" t="str">
        <x:v>Entregue</x:v>
      </x:c>
      <x:c r="U2804" t="n">
        <x:v>2</x:v>
      </x:c>
      <x:c r="V2804" t="str"/>
    </x:row>
    <x:row r="2805">
      <x:c r="A2805" s="52" t="n">
        <x:v>46032</x:v>
      </x:c>
      <x:c r="B2805" t="str">
        <x:v>PED-102804</x:v>
      </x:c>
      <x:c r="C2805" t="str">
        <x:v>Cliente 056</x:v>
      </x:c>
      <x:c r="D2805" t="str">
        <x:v>PR</x:v>
      </x:c>
      <x:c r="E2805" t="str">
        <x:v>Sul</x:v>
      </x:c>
      <x:c r="F2805" t="str">
        <x:v>E-commerce</x:v>
      </x:c>
      <x:c r="G2805" t="str">
        <x:v>Tecnologia</x:v>
      </x:c>
      <x:c r="H2805" t="str">
        <x:v>Notebook Pro</x:v>
      </x:c>
      <x:c r="I2805" t="str">
        <x:v>Ana</x:v>
      </x:c>
      <x:c r="J2805" s="53" t="n">
        <x:v>6</x:v>
      </x:c>
      <x:c r="K2805" s="54" t="n">
        <x:v>5939.25</x:v>
      </x:c>
      <x:c r="L2805" s="54" t="n">
        <x:v>4201.83</x:v>
      </x:c>
      <x:c r="M2805" s="55" t="n">
        <x:v>0</x:v>
      </x:c>
      <x:c r="N2805" s="54" t="n">
        <x:f>ROUND(J2805*K2805,2)</x:f>
        <x:v>35635.5</x:v>
      </x:c>
      <x:c r="O2805" s="54" t="n">
        <x:f>ROUND(N2805*(1-M2805),2)</x:f>
        <x:v>35635.5</x:v>
      </x:c>
      <x:c r="P2805" s="54" t="n">
        <x:f>ROUND(J2805*L2805,2)</x:f>
        <x:v>25210.98</x:v>
      </x:c>
      <x:c r="Q2805" s="54" t="n">
        <x:f>ROUND(O2805-P2805,2)</x:f>
        <x:v>10424.52</x:v>
      </x:c>
      <x:c r="R2805" s="55" t="n">
        <x:f>IF(O2805=0,0,ROUND(Q2805/O2805,4))</x:f>
        <x:v>0.2925</x:v>
      </x:c>
      <x:c r="S2805" s="53" t="n">
        <x:v>8</x:v>
      </x:c>
      <x:c r="T2805" t="str">
        <x:v>Entregue</x:v>
      </x:c>
      <x:c r="U2805" t="n">
        <x:v>2</x:v>
      </x:c>
      <x:c r="V2805" t="str"/>
    </x:row>
    <x:row r="2806">
      <x:c r="A2806" s="52" t="n">
        <x:v>46099</x:v>
      </x:c>
      <x:c r="B2806" t="str">
        <x:v>PED-102805</x:v>
      </x:c>
      <x:c r="C2806" t="str">
        <x:v>Cliente 017</x:v>
      </x:c>
      <x:c r="D2806" t="str">
        <x:v>BA</x:v>
      </x:c>
      <x:c r="E2806" t="str">
        <x:v>Nordeste</x:v>
      </x:c>
      <x:c r="F2806" t="str">
        <x:v>Televendas</x:v>
      </x:c>
      <x:c r="G2806" t="str">
        <x:v>Acessórios</x:v>
      </x:c>
      <x:c r="H2806" t="str">
        <x:v>Webcam HD</x:v>
      </x:c>
      <x:c r="I2806" t="str">
        <x:v>João</x:v>
      </x:c>
      <x:c r="J2806" s="53" t="n">
        <x:v>5</x:v>
      </x:c>
      <x:c r="K2806" s="54" t="n">
        <x:v>504.96</x:v>
      </x:c>
      <x:c r="L2806" s="54" t="n">
        <x:v>252.23</x:v>
      </x:c>
      <x:c r="M2806" s="55" t="n">
        <x:v>0</x:v>
      </x:c>
      <x:c r="N2806" s="54" t="n">
        <x:f>ROUND(J2806*K2806,2)</x:f>
        <x:v>2524.8</x:v>
      </x:c>
      <x:c r="O2806" s="54" t="n">
        <x:f>ROUND(N2806*(1-M2806),2)</x:f>
        <x:v>2524.8</x:v>
      </x:c>
      <x:c r="P2806" s="54" t="n">
        <x:f>ROUND(J2806*L2806,2)</x:f>
        <x:v>1261.15</x:v>
      </x:c>
      <x:c r="Q2806" s="54" t="n">
        <x:f>ROUND(O2806-P2806,2)</x:f>
        <x:v>1263.65</x:v>
      </x:c>
      <x:c r="R2806" s="55" t="n">
        <x:f>IF(O2806=0,0,ROUND(Q2806/O2806,4))</x:f>
        <x:v>0.5005</x:v>
      </x:c>
      <x:c r="S2806" s="53" t="n">
        <x:v>10</x:v>
      </x:c>
      <x:c r="T2806" t="str">
        <x:v>Entregue</x:v>
      </x:c>
      <x:c r="U2806" t="n">
        <x:v>2</x:v>
      </x:c>
      <x:c r="V2806" t="str"/>
    </x:row>
    <x:row r="2807">
      <x:c r="A2807" s="52" t="n">
        <x:v>46175</x:v>
      </x:c>
      <x:c r="B2807" t="str">
        <x:v>PED-102806</x:v>
      </x:c>
      <x:c r="C2807" t="str">
        <x:v>Cliente 118</x:v>
      </x:c>
      <x:c r="D2807" t="str">
        <x:v>SC</x:v>
      </x:c>
      <x:c r="E2807" t="str">
        <x:v>Sul</x:v>
      </x:c>
      <x:c r="F2807" t="str">
        <x:v>Marketplace</x:v>
      </x:c>
      <x:c r="G2807" t="str">
        <x:v>Escritório</x:v>
      </x:c>
      <x:c r="H2807" t="str">
        <x:v>Mesa Ajustável</x:v>
      </x:c>
      <x:c r="I2807" t="str">
        <x:v>Gabriela</x:v>
      </x:c>
      <x:c r="J2807" s="53" t="n">
        <x:v>5</x:v>
      </x:c>
      <x:c r="K2807" s="54" t="n">
        <x:v>2679.88</x:v>
      </x:c>
      <x:c r="L2807" s="54" t="n">
        <x:v>1794.45</x:v>
      </x:c>
      <x:c r="M2807" s="55" t="n">
        <x:v>0.0999</x:v>
      </x:c>
      <x:c r="N2807" s="54" t="n">
        <x:f>ROUND(J2807*K2807,2)</x:f>
        <x:v>13399.4</x:v>
      </x:c>
      <x:c r="O2807" s="54" t="n">
        <x:f>ROUND(N2807*(1-M2807),2)</x:f>
        <x:v>12060.8</x:v>
      </x:c>
      <x:c r="P2807" s="54" t="n">
        <x:f>ROUND(J2807*L2807,2)</x:f>
        <x:v>8972.25</x:v>
      </x:c>
      <x:c r="Q2807" s="54" t="n">
        <x:f>ROUND(O2807-P2807,2)</x:f>
        <x:v>3088.55</x:v>
      </x:c>
      <x:c r="R2807" s="55" t="n">
        <x:f>IF(O2807=0,0,ROUND(Q2807/O2807,4))</x:f>
        <x:v>0.2561</x:v>
      </x:c>
      <x:c r="S2807" s="53" t="n">
        <x:v>14</x:v>
      </x:c>
      <x:c r="T2807" t="str">
        <x:v>Entregue com atraso</x:v>
      </x:c>
      <x:c r="U2807" t="n">
        <x:v>5</x:v>
      </x:c>
      <x:c r="V2807" t="str"/>
    </x:row>
    <x:row r="2808">
      <x:c r="A2808" s="52" t="n">
        <x:v>46174</x:v>
      </x:c>
      <x:c r="B2808" t="str">
        <x:v>PED-102807</x:v>
      </x:c>
      <x:c r="C2808" t="str">
        <x:v>Cliente 108</x:v>
      </x:c>
      <x:c r="D2808" t="str">
        <x:v>BA</x:v>
      </x:c>
      <x:c r="E2808" t="str">
        <x:v>Nordeste</x:v>
      </x:c>
      <x:c r="F2808" t="str">
        <x:v>Marketplace</x:v>
      </x:c>
      <x:c r="G2808" t="str">
        <x:v>Casa</x:v>
      </x:c>
      <x:c r="H2808" t="str">
        <x:v>Aspirador Robô</x:v>
      </x:c>
      <x:c r="I2808" t="str">
        <x:v>Diego</x:v>
      </x:c>
      <x:c r="J2808" s="53" t="n">
        <x:v>5</x:v>
      </x:c>
      <x:c r="K2808" s="54" t="n">
        <x:v>1958.52</x:v>
      </x:c>
      <x:c r="L2808" s="54" t="n">
        <x:v>1226.44</x:v>
      </x:c>
      <x:c r="M2808" s="55" t="n">
        <x:v>0.1195</x:v>
      </x:c>
      <x:c r="N2808" s="54" t="n">
        <x:f>ROUND(J2808*K2808,2)</x:f>
        <x:v>9792.6</x:v>
      </x:c>
      <x:c r="O2808" s="54" t="n">
        <x:f>ROUND(N2808*(1-M2808),2)</x:f>
        <x:v>8622.38</x:v>
      </x:c>
      <x:c r="P2808" s="54" t="n">
        <x:f>ROUND(J2808*L2808,2)</x:f>
        <x:v>6132.2</x:v>
      </x:c>
      <x:c r="Q2808" s="54" t="n">
        <x:f>ROUND(O2808-P2808,2)</x:f>
        <x:v>2490.18</x:v>
      </x:c>
      <x:c r="R2808" s="55" t="n">
        <x:f>IF(O2808=0,0,ROUND(Q2808/O2808,4))</x:f>
        <x:v>0.2888</x:v>
      </x:c>
      <x:c r="S2808" s="53" t="n">
        <x:v>4</x:v>
      </x:c>
      <x:c r="T2808" t="str">
        <x:v>Entregue</x:v>
      </x:c>
      <x:c r="U2808" t="n">
        <x:v>2</x:v>
      </x:c>
      <x:c r="V2808" t="str"/>
    </x:row>
    <x:row r="2809">
      <x:c r="A2809" s="52" t="n">
        <x:v>46098</x:v>
      </x:c>
      <x:c r="B2809" t="str">
        <x:v>PED-102808</x:v>
      </x:c>
      <x:c r="C2809" t="str">
        <x:v>Cliente 077</x:v>
      </x:c>
      <x:c r="D2809" t="str">
        <x:v>RS</x:v>
      </x:c>
      <x:c r="E2809" t="str">
        <x:v>Sul</x:v>
      </x:c>
      <x:c r="F2809" t="str">
        <x:v>E-commerce</x:v>
      </x:c>
      <x:c r="G2809" t="str">
        <x:v>Escritório</x:v>
      </x:c>
      <x:c r="H2809" t="str">
        <x:v>Mesa Ajustável</x:v>
      </x:c>
      <x:c r="I2809" t="str">
        <x:v>Ana</x:v>
      </x:c>
      <x:c r="J2809" s="53" t="n">
        <x:v>4</x:v>
      </x:c>
      <x:c r="K2809" s="54" t="n">
        <x:v>2953.03</x:v>
      </x:c>
      <x:c r="L2809" s="54" t="n">
        <x:v>1761.98</x:v>
      </x:c>
      <x:c r="M2809" s="55" t="n">
        <x:v>0.1287</x:v>
      </x:c>
      <x:c r="N2809" s="54" t="n">
        <x:f>ROUND(J2809*K2809,2)</x:f>
        <x:v>11812.12</x:v>
      </x:c>
      <x:c r="O2809" s="54" t="n">
        <x:f>ROUND(N2809*(1-M2809),2)</x:f>
        <x:v>10291.9</x:v>
      </x:c>
      <x:c r="P2809" s="54" t="n">
        <x:f>ROUND(J2809*L2809,2)</x:f>
        <x:v>7047.92</x:v>
      </x:c>
      <x:c r="Q2809" s="54" t="n">
        <x:f>ROUND(O2809-P2809,2)</x:f>
        <x:v>3243.98</x:v>
      </x:c>
      <x:c r="R2809" s="55" t="n">
        <x:f>IF(O2809=0,0,ROUND(Q2809/O2809,4))</x:f>
        <x:v>0.3152</x:v>
      </x:c>
      <x:c r="S2809" s="53" t="n">
        <x:v>8</x:v>
      </x:c>
      <x:c r="T2809" t="str">
        <x:v>Entregue</x:v>
      </x:c>
      <x:c r="U2809" t="n">
        <x:v>5</x:v>
      </x:c>
      <x:c r="V2809" t="str"/>
    </x:row>
    <x:row r="2810">
      <x:c r="A2810" s="52" t="n">
        <x:v>46186</x:v>
      </x:c>
      <x:c r="B2810" t="str">
        <x:v>PED-102809</x:v>
      </x:c>
      <x:c r="C2810" t="str">
        <x:v>Cliente 060</x:v>
      </x:c>
      <x:c r="D2810" t="str">
        <x:v>CE</x:v>
      </x:c>
      <x:c r="E2810" t="str">
        <x:v>Nordeste</x:v>
      </x:c>
      <x:c r="F2810" t="str">
        <x:v>Marketplace</x:v>
      </x:c>
      <x:c r="G2810" t="str">
        <x:v>Acessórios</x:v>
      </x:c>
      <x:c r="H2810" t="str">
        <x:v>Mochila Executiva</x:v>
      </x:c>
      <x:c r="I2810" t="str">
        <x:v>Felipe</x:v>
      </x:c>
      <x:c r="J2810" s="53" t="n">
        <x:v>7</x:v>
      </x:c>
      <x:c r="K2810" s="54" t="n">
        <x:v>443.61</x:v>
      </x:c>
      <x:c r="L2810" s="54" t="n">
        <x:v>190.36</x:v>
      </x:c>
      <x:c r="M2810" s="55" t="n">
        <x:v>0.035</x:v>
      </x:c>
      <x:c r="N2810" s="54" t="n">
        <x:f>ROUND(J2810*K2810,2)</x:f>
        <x:v>3105.27</x:v>
      </x:c>
      <x:c r="O2810" s="54" t="n">
        <x:f>ROUND(N2810*(1-M2810),2)</x:f>
        <x:v>2996.59</x:v>
      </x:c>
      <x:c r="P2810" s="54" t="n">
        <x:f>ROUND(J2810*L2810,2)</x:f>
        <x:v>1332.52</x:v>
      </x:c>
      <x:c r="Q2810" s="54" t="n">
        <x:f>ROUND(O2810-P2810,2)</x:f>
        <x:v>1664.07</x:v>
      </x:c>
      <x:c r="R2810" s="55" t="n">
        <x:f>IF(O2810=0,0,ROUND(Q2810/O2810,4))</x:f>
        <x:v>0.5553</x:v>
      </x:c>
      <x:c r="S2810" s="53" t="n">
        <x:v>9</x:v>
      </x:c>
      <x:c r="T2810" t="str">
        <x:v>Entregue</x:v>
      </x:c>
      <x:c r="U2810" t="n">
        <x:v>5</x:v>
      </x:c>
      <x:c r="V2810" t="str"/>
    </x:row>
    <x:row r="2811">
      <x:c r="A2811" s="52" t="n">
        <x:v>46074</x:v>
      </x:c>
      <x:c r="B2811" t="str">
        <x:v>PED-102810</x:v>
      </x:c>
      <x:c r="C2811" t="str">
        <x:v>Cliente 013</x:v>
      </x:c>
      <x:c r="D2811" t="str">
        <x:v>SP</x:v>
      </x:c>
      <x:c r="E2811" t="str">
        <x:v>Sudeste</x:v>
      </x:c>
      <x:c r="F2811" t="str">
        <x:v>Marketplace</x:v>
      </x:c>
      <x:c r="G2811" t="str">
        <x:v>Acessórios</x:v>
      </x:c>
      <x:c r="H2811" t="str">
        <x:v>Hub USB-C</x:v>
      </x:c>
      <x:c r="I2811" t="str">
        <x:v>Felipe</x:v>
      </x:c>
      <x:c r="J2811" s="53" t="n">
        <x:v>7</x:v>
      </x:c>
      <x:c r="K2811" s="54" t="n">
        <x:v>326.29</x:v>
      </x:c>
      <x:c r="L2811" s="54" t="n">
        <x:v>134.52</x:v>
      </x:c>
      <x:c r="M2811" s="55" t="n">
        <x:v>0.035</x:v>
      </x:c>
      <x:c r="N2811" s="54" t="n">
        <x:f>ROUND(J2811*K2811,2)</x:f>
        <x:v>2284.03</x:v>
      </x:c>
      <x:c r="O2811" s="54" t="n">
        <x:f>ROUND(N2811*(1-M2811),2)</x:f>
        <x:v>2204.09</x:v>
      </x:c>
      <x:c r="P2811" s="54" t="n">
        <x:f>ROUND(J2811*L2811,2)</x:f>
        <x:v>941.64</x:v>
      </x:c>
      <x:c r="Q2811" s="54" t="n">
        <x:f>ROUND(O2811-P2811,2)</x:f>
        <x:v>1262.45</x:v>
      </x:c>
      <x:c r="R2811" s="55" t="n">
        <x:f>IF(O2811=0,0,ROUND(Q2811/O2811,4))</x:f>
        <x:v>0.5728</x:v>
      </x:c>
      <x:c r="S2811" s="53" t="n">
        <x:v>12</x:v>
      </x:c>
      <x:c r="T2811" t="str">
        <x:v>Entregue com atraso</x:v>
      </x:c>
      <x:c r="U2811" t="n">
        <x:v>3</x:v>
      </x:c>
      <x:c r="V2811" t="str"/>
    </x:row>
    <x:row r="2812">
      <x:c r="A2812" s="52" t="n">
        <x:v>46115</x:v>
      </x:c>
      <x:c r="B2812" t="str">
        <x:v>PED-102078</x:v>
      </x:c>
      <x:c r="C2812" t="str">
        <x:v>Cliente 037</x:v>
      </x:c>
      <x:c r="D2812" t="str">
        <x:v>AM</x:v>
      </x:c>
      <x:c r="E2812" t="str">
        <x:v>Norte</x:v>
      </x:c>
      <x:c r="F2812" t="str">
        <x:v>Loja</x:v>
      </x:c>
      <x:c r="G2812" t="str">
        <x:v>Escritório</x:v>
      </x:c>
      <x:c r="H2812" t="str">
        <x:v>Cadeira Ergonômica</x:v>
      </x:c>
      <x:c r="I2812" t="str">
        <x:v>Diego</x:v>
      </x:c>
      <x:c r="J2812" s="53" t="n">
        <x:v>6</x:v>
      </x:c>
      <x:c r="K2812" s="54" t="n">
        <x:v>2224.22</x:v>
      </x:c>
      <x:c r="L2812" s="54" t="n">
        <x:v>1458.67</x:v>
      </x:c>
      <x:c r="M2812" s="55" t="n">
        <x:v>0</x:v>
      </x:c>
      <x:c r="N2812" s="54" t="n">
        <x:f>ROUND(J2812*K2812,2)</x:f>
        <x:v>13345.32</x:v>
      </x:c>
      <x:c r="O2812" s="54" t="n">
        <x:f>ROUND(N2812*(1-M2812),2)</x:f>
        <x:v>13345.32</x:v>
      </x:c>
      <x:c r="P2812" s="54" t="n">
        <x:f>ROUND(J2812*L2812,2)</x:f>
        <x:v>8752.02</x:v>
      </x:c>
      <x:c r="Q2812" s="54" t="n">
        <x:f>ROUND(O2812-P2812,2)</x:f>
        <x:v>4593.3</x:v>
      </x:c>
      <x:c r="R2812" s="55" t="n">
        <x:f>IF(O2812=0,0,ROUND(Q2812/O2812,4))</x:f>
        <x:v>0.3442</x:v>
      </x:c>
      <x:c r="S2812" s="53" t="n">
        <x:v>3</x:v>
      </x:c>
      <x:c r="T2812" t="str">
        <x:v>Cancelado</x:v>
      </x:c>
      <x:c r="U2812"/>
      <x:c r="V2812" t="str"/>
    </x:row>
    <x:row r="2813">
      <x:c r="A2813" s="52" t="n">
        <x:v>46097</x:v>
      </x:c>
      <x:c r="B2813" t="str">
        <x:v>PED-102812</x:v>
      </x:c>
      <x:c r="C2813" t="str">
        <x:v>Cliente 042</x:v>
      </x:c>
      <x:c r="D2813" t="str">
        <x:v>RJ</x:v>
      </x:c>
      <x:c r="E2813" t="str">
        <x:v>Sudeste</x:v>
      </x:c>
      <x:c r="F2813" t="str">
        <x:v>Loja</x:v>
      </x:c>
      <x:c r="G2813" t="str">
        <x:v>Acessórios</x:v>
      </x:c>
      <x:c r="H2813" t="str">
        <x:v>Hub USB-C</x:v>
      </x:c>
      <x:c r="I2813" t="str">
        <x:v>Elaine</x:v>
      </x:c>
      <x:c r="J2813" s="53" t="n">
        <x:v>7</x:v>
      </x:c>
      <x:c r="K2813" s="54" t="n">
        <x:v>309.8</x:v>
      </x:c>
      <x:c r="L2813" s="54" t="n">
        <x:v>137.15</x:v>
      </x:c>
      <x:c r="M2813" s="55" t="n">
        <x:v>0.021</x:v>
      </x:c>
      <x:c r="N2813" s="54" t="n">
        <x:f>ROUND(J2813*K2813,2)</x:f>
        <x:v>2168.6</x:v>
      </x:c>
      <x:c r="O2813" s="54" t="n">
        <x:f>ROUND(N2813*(1-M2813),2)</x:f>
        <x:v>2123.06</x:v>
      </x:c>
      <x:c r="P2813" s="54" t="n">
        <x:f>ROUND(J2813*L2813,2)</x:f>
        <x:v>960.05</x:v>
      </x:c>
      <x:c r="Q2813" s="54" t="n">
        <x:f>ROUND(O2813-P2813,2)</x:f>
        <x:v>1163.01</x:v>
      </x:c>
      <x:c r="R2813" s="55" t="n">
        <x:f>IF(O2813=0,0,ROUND(Q2813/O2813,4))</x:f>
        <x:v>0.5478</x:v>
      </x:c>
      <x:c r="S2813" s="53" t="n">
        <x:v>7</x:v>
      </x:c>
      <x:c r="T2813" t="str">
        <x:v>Entregue</x:v>
      </x:c>
      <x:c r="U2813" t="n">
        <x:v>4</x:v>
      </x:c>
      <x:c r="V2813" t="str"/>
    </x:row>
    <x:row r="2814">
      <x:c r="A2814" s="52" t="n">
        <x:v>46051</x:v>
      </x:c>
      <x:c r="B2814" t="str">
        <x:v>PED-102813</x:v>
      </x:c>
      <x:c r="C2814" t="str">
        <x:v>Cliente 037</x:v>
      </x:c>
      <x:c r="D2814" t="str">
        <x:v>AM</x:v>
      </x:c>
      <x:c r="E2814" t="str">
        <x:v>Norte</x:v>
      </x:c>
      <x:c r="F2814" t="str">
        <x:v>E-commerce</x:v>
      </x:c>
      <x:c r="G2814" t="str">
        <x:v>Escritório</x:v>
      </x:c>
      <x:c r="H2814" t="str">
        <x:v>Mesa Ajustável</x:v>
      </x:c>
      <x:c r="I2814" t="str">
        <x:v>Henrique</x:v>
      </x:c>
      <x:c r="J2814" s="53" t="n">
        <x:v>2</x:v>
      </x:c>
      <x:c r="K2814" s="54" t="n">
        <x:v>2839</x:v>
      </x:c>
      <x:c r="L2814" s="54" t="n">
        <x:v>1891.93</x:v>
      </x:c>
      <x:c r="M2814" s="55" t="n">
        <x:v>0</x:v>
      </x:c>
      <x:c r="N2814" s="54" t="n">
        <x:f>ROUND(J2814*K2814,2)</x:f>
        <x:v>5678</x:v>
      </x:c>
      <x:c r="O2814" s="54" t="n">
        <x:f>ROUND(N2814*(1-M2814),2)</x:f>
        <x:v>5678</x:v>
      </x:c>
      <x:c r="P2814" s="54" t="n">
        <x:f>ROUND(J2814*L2814,2)</x:f>
        <x:v>3783.86</x:v>
      </x:c>
      <x:c r="Q2814" s="54" t="n">
        <x:f>ROUND(O2814-P2814,2)</x:f>
        <x:v>1894.14</x:v>
      </x:c>
      <x:c r="R2814" s="55" t="n">
        <x:f>IF(O2814=0,0,ROUND(Q2814/O2814,4))</x:f>
        <x:v>0.3336</x:v>
      </x:c>
      <x:c r="S2814" s="53" t="n">
        <x:v>6</x:v>
      </x:c>
      <x:c r="T2814" t="str">
        <x:v>Cancelado</x:v>
      </x:c>
      <x:c r="U2814"/>
      <x:c r="V2814" t="str"/>
    </x:row>
    <x:row r="2815">
      <x:c r="A2815" s="52" t="n">
        <x:v>46080</x:v>
      </x:c>
      <x:c r="B2815" t="str">
        <x:v>PED-102814</x:v>
      </x:c>
      <x:c r="C2815" t="str">
        <x:v>Cliente 118</x:v>
      </x:c>
      <x:c r="D2815" t="str">
        <x:v>MG</x:v>
      </x:c>
      <x:c r="E2815" t="str">
        <x:v>Sudeste</x:v>
      </x:c>
      <x:c r="F2815" t="str">
        <x:v>Televendas</x:v>
      </x:c>
      <x:c r="G2815" t="str">
        <x:v>Acessórios</x:v>
      </x:c>
      <x:c r="H2815" t="str">
        <x:v>Webcam HD</x:v>
      </x:c>
      <x:c r="I2815" t="str">
        <x:v>Ana</x:v>
      </x:c>
      <x:c r="J2815" s="53" t="n">
        <x:v>7</x:v>
      </x:c>
      <x:c r="K2815" s="54" t="n">
        <x:v>521.67</x:v>
      </x:c>
      <x:c r="L2815" s="54" t="n">
        <x:v>246.98</x:v>
      </x:c>
      <x:c r="M2815" s="55" t="n">
        <x:v>0</x:v>
      </x:c>
      <x:c r="N2815" s="54" t="n">
        <x:f>ROUND(J2815*K2815,2)</x:f>
        <x:v>3651.69</x:v>
      </x:c>
      <x:c r="O2815" s="54" t="n">
        <x:f>ROUND(N2815*(1-M2815),2)</x:f>
        <x:v>3651.69</x:v>
      </x:c>
      <x:c r="P2815" s="54" t="n">
        <x:f>ROUND(J2815*L2815,2)</x:f>
        <x:v>1728.86</x:v>
      </x:c>
      <x:c r="Q2815" s="54" t="n">
        <x:f>ROUND(O2815-P2815,2)</x:f>
        <x:v>1922.83</x:v>
      </x:c>
      <x:c r="R2815" s="55" t="n">
        <x:f>IF(O2815=0,0,ROUND(Q2815/O2815,4))</x:f>
        <x:v>0.5266</x:v>
      </x:c>
      <x:c r="S2815" s="53" t="n">
        <x:v>5</x:v>
      </x:c>
      <x:c r="T2815" t="str">
        <x:v>Entregue</x:v>
      </x:c>
      <x:c r="U2815" t="n">
        <x:v>4</x:v>
      </x:c>
      <x:c r="V2815" t="str"/>
    </x:row>
    <x:row r="2816">
      <x:c r="A2816" s="52" t="n">
        <x:v>46117</x:v>
      </x:c>
      <x:c r="B2816" t="str">
        <x:v>PED-102815</x:v>
      </x:c>
      <x:c r="C2816" t="str">
        <x:v>Cliente 002</x:v>
      </x:c>
      <x:c r="D2816" t="str">
        <x:v>PE</x:v>
      </x:c>
      <x:c r="E2816" t="str">
        <x:v>Nordeste</x:v>
      </x:c>
      <x:c r="F2816" t="str">
        <x:v>Marketplace</x:v>
      </x:c>
      <x:c r="G2816" t="str">
        <x:v>Escritório</x:v>
      </x:c>
      <x:c r="H2816" t="str">
        <x:v>Luminária LED</x:v>
      </x:c>
      <x:c r="I2816" t="str">
        <x:v>Isabela</x:v>
      </x:c>
      <x:c r="J2816" s="53" t="n">
        <x:v>4</x:v>
      </x:c>
      <x:c r="K2816" s="54" t="n">
        <x:v>257.14</x:v>
      </x:c>
      <x:c r="L2816" s="54" t="n">
        <x:v>122.58</x:v>
      </x:c>
      <x:c r="M2816" s="55" t="n">
        <x:v>0.1209</x:v>
      </x:c>
      <x:c r="N2816" s="54" t="n">
        <x:f>ROUND(J2816*K2816,2)</x:f>
        <x:v>1028.56</x:v>
      </x:c>
      <x:c r="O2816" s="54" t="n">
        <x:f>ROUND(N2816*(1-M2816),2)</x:f>
        <x:v>904.21</x:v>
      </x:c>
      <x:c r="P2816" s="54" t="n">
        <x:f>ROUND(J2816*L2816,2)</x:f>
        <x:v>490.32</x:v>
      </x:c>
      <x:c r="Q2816" s="54" t="n">
        <x:f>ROUND(O2816-P2816,2)</x:f>
        <x:v>413.89</x:v>
      </x:c>
      <x:c r="R2816" s="55" t="n">
        <x:f>IF(O2816=0,0,ROUND(Q2816/O2816,4))</x:f>
        <x:v>0.4577</x:v>
      </x:c>
      <x:c r="S2816" s="53" t="n">
        <x:v>6</x:v>
      </x:c>
      <x:c r="T2816" t="str">
        <x:v>Entregue</x:v>
      </x:c>
      <x:c r="U2816" t="n">
        <x:v>4</x:v>
      </x:c>
      <x:c r="V2816" t="str"/>
    </x:row>
    <x:row r="2817">
      <x:c r="A2817" s="52" t="n">
        <x:v>46193</x:v>
      </x:c>
      <x:c r="B2817" t="str">
        <x:v>PED-102816</x:v>
      </x:c>
      <x:c r="C2817" t="str">
        <x:v>Cliente 052</x:v>
      </x:c>
      <x:c r="D2817" t="str">
        <x:v>RJ</x:v>
      </x:c>
      <x:c r="E2817" t="str">
        <x:v>Sudeste</x:v>
      </x:c>
      <x:c r="F2817" t="str">
        <x:v>Marketplace</x:v>
      </x:c>
      <x:c r="G2817" t="str">
        <x:v>Tecnologia</x:v>
      </x:c>
      <x:c r="H2817" t="str">
        <x:v>Notebook Pro</x:v>
      </x:c>
      <x:c r="I2817" t="str">
        <x:v>Gabriela</x:v>
      </x:c>
      <x:c r="J2817" s="53" t="n">
        <x:v>6</x:v>
      </x:c>
      <x:c r="K2817" s="54" t="n">
        <x:v>5804.3</x:v>
      </x:c>
      <x:c r="L2817" s="54" t="n">
        <x:v>4278.84</x:v>
      </x:c>
      <x:c r="M2817" s="55" t="n">
        <x:v>0.0849</x:v>
      </x:c>
      <x:c r="N2817" s="54" t="n">
        <x:f>ROUND(J2817*K2817,2)</x:f>
        <x:v>34825.8</x:v>
      </x:c>
      <x:c r="O2817" s="54" t="n">
        <x:f>ROUND(N2817*(1-M2817),2)</x:f>
        <x:v>31869.09</x:v>
      </x:c>
      <x:c r="P2817" s="54" t="n">
        <x:f>ROUND(J2817*L2817,2)</x:f>
        <x:v>25673.04</x:v>
      </x:c>
      <x:c r="Q2817" s="54" t="n">
        <x:f>ROUND(O2817-P2817,2)</x:f>
        <x:v>6196.05</x:v>
      </x:c>
      <x:c r="R2817" s="55" t="n">
        <x:f>IF(O2817=0,0,ROUND(Q2817/O2817,4))</x:f>
        <x:v>0.1944</x:v>
      </x:c>
      <x:c r="S2817" s="53" t="n">
        <x:v>9</x:v>
      </x:c>
      <x:c r="T2817" t="str">
        <x:v>Entregue</x:v>
      </x:c>
      <x:c r="U2817" t="n">
        <x:v>2</x:v>
      </x:c>
      <x:c r="V2817" t="str"/>
    </x:row>
    <x:row r="2818">
      <x:c r="A2818" s="52" t="n">
        <x:v>46086</x:v>
      </x:c>
      <x:c r="B2818" t="str">
        <x:v>PED-102817</x:v>
      </x:c>
      <x:c r="C2818" t="str">
        <x:v>Cliente 093</x:v>
      </x:c>
      <x:c r="D2818" t="str">
        <x:v>SC</x:v>
      </x:c>
      <x:c r="E2818" t="str">
        <x:v>Sul</x:v>
      </x:c>
      <x:c r="F2818" t="str">
        <x:v>E-commerce</x:v>
      </x:c>
      <x:c r="G2818" t="str">
        <x:v>Escritório</x:v>
      </x:c>
      <x:c r="H2818" t="str">
        <x:v>Cadeira Ergonômica</x:v>
      </x:c>
      <x:c r="I2818" t="str">
        <x:v>Isabela</x:v>
      </x:c>
      <x:c r="J2818" s="53" t="n">
        <x:v>5</x:v>
      </x:c>
      <x:c r="K2818" s="54" t="n">
        <x:v>2285.02</x:v>
      </x:c>
      <x:c r="L2818" s="54" t="n">
        <x:v>1449.75</x:v>
      </x:c>
      <x:c r="M2818" s="55" t="n">
        <x:v>0</x:v>
      </x:c>
      <x:c r="N2818" s="54" t="n">
        <x:f>ROUND(J2818*K2818,2)</x:f>
        <x:v>11425.1</x:v>
      </x:c>
      <x:c r="O2818" s="54" t="n">
        <x:f>ROUND(N2818*(1-M2818),2)</x:f>
        <x:v>11425.1</x:v>
      </x:c>
      <x:c r="P2818" s="54" t="n">
        <x:f>ROUND(J2818*L2818,2)</x:f>
        <x:v>7248.75</x:v>
      </x:c>
      <x:c r="Q2818" s="54" t="n">
        <x:f>ROUND(O2818-P2818,2)</x:f>
        <x:v>4176.35</x:v>
      </x:c>
      <x:c r="R2818" s="55" t="n">
        <x:f>IF(O2818=0,0,ROUND(Q2818/O2818,4))</x:f>
        <x:v>0.3655</x:v>
      </x:c>
      <x:c r="S2818" s="53" t="n">
        <x:v>3</x:v>
      </x:c>
      <x:c r="T2818" t="str">
        <x:v>Entregue</x:v>
      </x:c>
      <x:c r="U2818" t="n">
        <x:v>3</x:v>
      </x:c>
      <x:c r="V2818" t="str"/>
    </x:row>
    <x:row r="2819">
      <x:c r="A2819" s="52" t="n">
        <x:v>46094</x:v>
      </x:c>
      <x:c r="B2819" t="str">
        <x:v>PED-102818</x:v>
      </x:c>
      <x:c r="C2819" t="str">
        <x:v>Cliente 082</x:v>
      </x:c>
      <x:c r="D2819" t="str">
        <x:v>RJ</x:v>
      </x:c>
      <x:c r="E2819" t="str">
        <x:v>Sudeste</x:v>
      </x:c>
      <x:c r="F2819" t="str">
        <x:v>Marketplace</x:v>
      </x:c>
      <x:c r="G2819" t="str">
        <x:v>Escritório</x:v>
      </x:c>
      <x:c r="H2819" t="str">
        <x:v>Luminária LED</x:v>
      </x:c>
      <x:c r="I2819" t="str">
        <x:v>Gabriela</x:v>
      </x:c>
      <x:c r="J2819" s="53" t="n">
        <x:v>5</x:v>
      </x:c>
      <x:c r="K2819" s="54" t="n">
        <x:v>248.1</x:v>
      </x:c>
      <x:c r="L2819" s="54" t="n">
        <x:v>123.1</x:v>
      </x:c>
      <x:c r="M2819" s="55" t="n">
        <x:v>0.0375</x:v>
      </x:c>
      <x:c r="N2819" s="54" t="n">
        <x:f>ROUND(J2819*K2819,2)</x:f>
        <x:v>1240.5</x:v>
      </x:c>
      <x:c r="O2819" s="54" t="n">
        <x:f>ROUND(N2819*(1-M2819),2)</x:f>
        <x:v>1193.98</x:v>
      </x:c>
      <x:c r="P2819" s="54" t="n">
        <x:f>ROUND(J2819*L2819,2)</x:f>
        <x:v>615.5</x:v>
      </x:c>
      <x:c r="Q2819" s="54" t="n">
        <x:f>ROUND(O2819-P2819,2)</x:f>
        <x:v>578.48</x:v>
      </x:c>
      <x:c r="R2819" s="55" t="n">
        <x:f>IF(O2819=0,0,ROUND(Q2819/O2819,4))</x:f>
        <x:v>0.4845</x:v>
      </x:c>
      <x:c r="S2819" s="53" t="n">
        <x:v>7</x:v>
      </x:c>
      <x:c r="T2819" t="str">
        <x:v>Entregue</x:v>
      </x:c>
      <x:c r="U2819" t="n">
        <x:v>2</x:v>
      </x:c>
      <x:c r="V2819" t="str"/>
    </x:row>
    <x:row r="2820">
      <x:c r="A2820" s="52" t="n">
        <x:v>46230</x:v>
      </x:c>
      <x:c r="B2820" t="str">
        <x:v>PED-102819</x:v>
      </x:c>
      <x:c r="C2820" t="str">
        <x:v>Cliente 104</x:v>
      </x:c>
      <x:c r="D2820" t="str">
        <x:v>MT</x:v>
      </x:c>
      <x:c r="E2820" t="str">
        <x:v>Centro-Oeste</x:v>
      </x:c>
      <x:c r="F2820" t="str">
        <x:v>Televendas</x:v>
      </x:c>
      <x:c r="G2820" t="str">
        <x:v>Escritório</x:v>
      </x:c>
      <x:c r="H2820" t="str">
        <x:v>Mesa Ajustável</x:v>
      </x:c>
      <x:c r="I2820" t="str">
        <x:v>João</x:v>
      </x:c>
      <x:c r="J2820" s="53" t="n">
        <x:v>5</x:v>
      </x:c>
      <x:c r="K2820" s="54" t="n">
        <x:v>2798.97</x:v>
      </x:c>
      <x:c r="L2820" s="54" t="n">
        <x:v>1887.6</x:v>
      </x:c>
      <x:c r="M2820" s="55" t="n">
        <x:v>0.1165</x:v>
      </x:c>
      <x:c r="N2820" s="54" t="n">
        <x:f>ROUND(J2820*K2820,2)</x:f>
        <x:v>13994.85</x:v>
      </x:c>
      <x:c r="O2820" s="54" t="n">
        <x:f>ROUND(N2820*(1-M2820),2)</x:f>
        <x:v>12364.45</x:v>
      </x:c>
      <x:c r="P2820" s="54" t="n">
        <x:f>ROUND(J2820*L2820,2)</x:f>
        <x:v>9438</x:v>
      </x:c>
      <x:c r="Q2820" s="54" t="n">
        <x:f>ROUND(O2820-P2820,2)</x:f>
        <x:v>2926.45</x:v>
      </x:c>
      <x:c r="R2820" s="55" t="n">
        <x:f>IF(O2820=0,0,ROUND(Q2820/O2820,4))</x:f>
        <x:v>0.2367</x:v>
      </x:c>
      <x:c r="S2820" s="53" t="n">
        <x:v>9</x:v>
      </x:c>
      <x:c r="T2820" t="str">
        <x:v>Entregue</x:v>
      </x:c>
      <x:c r="U2820" t="n">
        <x:v>2</x:v>
      </x:c>
      <x:c r="V2820" t="str"/>
    </x:row>
    <x:row r="2821">
      <x:c r="A2821" s="52" t="n">
        <x:v>46088</x:v>
      </x:c>
      <x:c r="B2821" t="str">
        <x:v>PED-102820</x:v>
      </x:c>
      <x:c r="C2821" t="str">
        <x:v>Cliente 058</x:v>
      </x:c>
      <x:c r="D2821" t="str">
        <x:v>MG</x:v>
      </x:c>
      <x:c r="E2821" t="str">
        <x:v>Sudeste</x:v>
      </x:c>
      <x:c r="F2821" t="str">
        <x:v>Marketplace</x:v>
      </x:c>
      <x:c r="G2821" t="str">
        <x:v>Casa</x:v>
      </x:c>
      <x:c r="H2821" t="str">
        <x:v>Aspirador Robô</x:v>
      </x:c>
      <x:c r="I2821" t="str">
        <x:v>Henrique</x:v>
      </x:c>
      <x:c r="J2821" s="53" t="n">
        <x:v>5</x:v>
      </x:c>
      <x:c r="K2821" s="54" t="n">
        <x:v>1837.14</x:v>
      </x:c>
      <x:c r="L2821" s="54" t="n">
        <x:v>1157.43</x:v>
      </x:c>
      <x:c r="M2821" s="55" t="n">
        <x:v>0.035</x:v>
      </x:c>
      <x:c r="N2821" s="54" t="n">
        <x:f>ROUND(J2821*K2821,2)</x:f>
        <x:v>9185.7</x:v>
      </x:c>
      <x:c r="O2821" s="54" t="n">
        <x:f>ROUND(N2821*(1-M2821),2)</x:f>
        <x:v>8864.2</x:v>
      </x:c>
      <x:c r="P2821" s="54" t="n">
        <x:f>ROUND(J2821*L2821,2)</x:f>
        <x:v>5787.15</x:v>
      </x:c>
      <x:c r="Q2821" s="54" t="n">
        <x:f>ROUND(O2821-P2821,2)</x:f>
        <x:v>3077.05</x:v>
      </x:c>
      <x:c r="R2821" s="55" t="n">
        <x:f>IF(O2821=0,0,ROUND(Q2821/O2821,4))</x:f>
        <x:v>0.3471</x:v>
      </x:c>
      <x:c r="S2821" s="53" t="n">
        <x:v>2</x:v>
      </x:c>
      <x:c r="T2821" t="str">
        <x:v>Entregue</x:v>
      </x:c>
      <x:c r="U2821" t="n">
        <x:v>3</x:v>
      </x:c>
      <x:c r="V2821" t="str"/>
    </x:row>
    <x:row r="2822">
      <x:c r="A2822" s="52" t="n">
        <x:v>46160</x:v>
      </x:c>
      <x:c r="B2822" t="str">
        <x:v>PED-102821</x:v>
      </x:c>
      <x:c r="C2822" t="str">
        <x:v>Cliente 048</x:v>
      </x:c>
      <x:c r="D2822" t="str">
        <x:v>MA</x:v>
      </x:c>
      <x:c r="E2822" t="str">
        <x:v>Nordeste</x:v>
      </x:c>
      <x:c r="F2822" t="str">
        <x:v>E-commerce</x:v>
      </x:c>
      <x:c r="G2822" t="str">
        <x:v>Tecnologia</x:v>
      </x:c>
      <x:c r="H2822" t="str">
        <x:v>Headset Office</x:v>
      </x:c>
      <x:c r="I2822" t="str">
        <x:v>Ana</x:v>
      </x:c>
      <x:c r="J2822" s="53" t="n">
        <x:v>3</x:v>
      </x:c>
      <x:c r="K2822" s="54" t="n">
        <x:v>387.86</x:v>
      </x:c>
      <x:c r="L2822" s="54" t="n">
        <x:v>211.84</x:v>
      </x:c>
      <x:c r="M2822" s="55" t="n">
        <x:v>0.0379</x:v>
      </x:c>
      <x:c r="N2822" s="54" t="n">
        <x:f>ROUND(J2822*K2822,2)</x:f>
        <x:v>1163.58</x:v>
      </x:c>
      <x:c r="O2822" s="54" t="n">
        <x:f>ROUND(N2822*(1-M2822),2)</x:f>
        <x:v>1119.48</x:v>
      </x:c>
      <x:c r="P2822" s="54" t="n">
        <x:f>ROUND(J2822*L2822,2)</x:f>
        <x:v>635.52</x:v>
      </x:c>
      <x:c r="Q2822" s="54" t="n">
        <x:f>ROUND(O2822-P2822,2)</x:f>
        <x:v>483.96</x:v>
      </x:c>
      <x:c r="R2822" s="55" t="n">
        <x:f>IF(O2822=0,0,ROUND(Q2822/O2822,4))</x:f>
        <x:v>0.4323</x:v>
      </x:c>
      <x:c r="S2822" s="53" t="n">
        <x:v>14</x:v>
      </x:c>
      <x:c r="T2822" t="str">
        <x:v>Entregue com atraso</x:v>
      </x:c>
      <x:c r="U2822" t="n">
        <x:v>2</x:v>
      </x:c>
      <x:c r="V2822" t="str"/>
    </x:row>
    <x:row r="2823">
      <x:c r="A2823" s="52" t="n">
        <x:v>46224</x:v>
      </x:c>
      <x:c r="B2823" t="str">
        <x:v>PED-102822</x:v>
      </x:c>
      <x:c r="C2823" t="str">
        <x:v>Cliente 030</x:v>
      </x:c>
      <x:c r="D2823" t="str">
        <x:v>ES</x:v>
      </x:c>
      <x:c r="E2823" t="str">
        <x:v>Sudeste</x:v>
      </x:c>
      <x:c r="F2823" t="str">
        <x:v>Loja</x:v>
      </x:c>
      <x:c r="G2823" t="str">
        <x:v>Casa</x:v>
      </x:c>
      <x:c r="H2823" t="str">
        <x:v>Aspirador Robô</x:v>
      </x:c>
      <x:c r="I2823" t="str">
        <x:v>Isabela</x:v>
      </x:c>
      <x:c r="J2823" s="53" t="n">
        <x:v>1</x:v>
      </x:c>
      <x:c r="K2823" s="54" t="n">
        <x:v>1855.71</x:v>
      </x:c>
      <x:c r="L2823" s="54" t="n">
        <x:v>1174.41</x:v>
      </x:c>
      <x:c r="M2823" s="55" t="n">
        <x:v>0</x:v>
      </x:c>
      <x:c r="N2823" s="54" t="n">
        <x:f>ROUND(J2823*K2823,2)</x:f>
        <x:v>1855.71</x:v>
      </x:c>
      <x:c r="O2823" s="54" t="n">
        <x:f>ROUND(N2823*(1-M2823),2)</x:f>
        <x:v>1855.71</x:v>
      </x:c>
      <x:c r="P2823" s="54" t="n">
        <x:f>ROUND(J2823*L2823,2)</x:f>
        <x:v>1174.41</x:v>
      </x:c>
      <x:c r="Q2823" s="54" t="n">
        <x:f>ROUND(O2823-P2823,2)</x:f>
        <x:v>681.3</x:v>
      </x:c>
      <x:c r="R2823" s="55" t="n">
        <x:f>IF(O2823=0,0,ROUND(Q2823/O2823,4))</x:f>
        <x:v>0.3671</x:v>
      </x:c>
      <x:c r="S2823" s="53" t="n">
        <x:v>5</x:v>
      </x:c>
      <x:c r="T2823" t="str">
        <x:v>Entregue</x:v>
      </x:c>
      <x:c r="U2823" t="n">
        <x:v>4</x:v>
      </x:c>
      <x:c r="V2823" t="str"/>
    </x:row>
    <x:row r="2824">
      <x:c r="A2824" s="52" t="n">
        <x:v>46170</x:v>
      </x:c>
      <x:c r="B2824" t="str">
        <x:v>PED-102823</x:v>
      </x:c>
      <x:c r="C2824" t="str">
        <x:v>Cliente 004</x:v>
      </x:c>
      <x:c r="D2824" t="str">
        <x:v>RJ</x:v>
      </x:c>
      <x:c r="E2824" t="str">
        <x:v>Sudeste</x:v>
      </x:c>
      <x:c r="F2824" t="str">
        <x:v>Loja</x:v>
      </x:c>
      <x:c r="G2824" t="str">
        <x:v>Escritório</x:v>
      </x:c>
      <x:c r="H2824" t="str">
        <x:v>Cadeira Ergonômica</x:v>
      </x:c>
      <x:c r="I2824" t="str">
        <x:v>Isabela</x:v>
      </x:c>
      <x:c r="J2824" s="53" t="n">
        <x:v>6</x:v>
      </x:c>
      <x:c r="K2824" s="54" t="n">
        <x:v>2313.71</x:v>
      </x:c>
      <x:c r="L2824" s="54" t="n">
        <x:v>1448.61</x:v>
      </x:c>
      <x:c r="M2824" s="55" t="n">
        <x:v>0.1117</x:v>
      </x:c>
      <x:c r="N2824" s="54" t="n">
        <x:f>ROUND(J2824*K2824,2)</x:f>
        <x:v>13882.26</x:v>
      </x:c>
      <x:c r="O2824" s="54" t="n">
        <x:f>ROUND(N2824*(1-M2824),2)</x:f>
        <x:v>12331.61</x:v>
      </x:c>
      <x:c r="P2824" s="54" t="n">
        <x:f>ROUND(J2824*L2824,2)</x:f>
        <x:v>8691.66</x:v>
      </x:c>
      <x:c r="Q2824" s="54" t="n">
        <x:f>ROUND(O2824-P2824,2)</x:f>
        <x:v>3639.95</x:v>
      </x:c>
      <x:c r="R2824" s="55" t="n">
        <x:f>IF(O2824=0,0,ROUND(Q2824/O2824,4))</x:f>
        <x:v>0.2952</x:v>
      </x:c>
      <x:c r="S2824" s="53" t="n">
        <x:v>10</x:v>
      </x:c>
      <x:c r="T2824" t="str">
        <x:v>Entregue</x:v>
      </x:c>
      <x:c r="U2824" t="n">
        <x:v>2</x:v>
      </x:c>
      <x:c r="V2824" t="str"/>
    </x:row>
    <x:row r="2825">
      <x:c r="A2825" s="52" t="n">
        <x:v>46073</x:v>
      </x:c>
      <x:c r="B2825" t="str">
        <x:v>PED-102824</x:v>
      </x:c>
      <x:c r="C2825" t="str">
        <x:v>Cliente 089</x:v>
      </x:c>
      <x:c r="D2825" t="str">
        <x:v>BA</x:v>
      </x:c>
      <x:c r="E2825" t="str">
        <x:v>Nordeste</x:v>
      </x:c>
      <x:c r="F2825" t="str">
        <x:v>Loja</x:v>
      </x:c>
      <x:c r="G2825" t="str">
        <x:v>Casa</x:v>
      </x:c>
      <x:c r="H2825" t="str">
        <x:v>Cafeteira Smart</x:v>
      </x:c>
      <x:c r="I2825" t="str">
        <x:v>Elaine</x:v>
      </x:c>
      <x:c r="J2825" s="53" t="n">
        <x:v>2</x:v>
      </x:c>
      <x:c r="K2825" s="54" t="n">
        <x:v>786.63</x:v>
      </x:c>
      <x:c r="L2825" s="54" t="n">
        <x:v>485.14</x:v>
      </x:c>
      <x:c r="M2825" s="55" t="n">
        <x:v>0.1069</x:v>
      </x:c>
      <x:c r="N2825" s="54" t="n">
        <x:f>ROUND(J2825*K2825,2)</x:f>
        <x:v>1573.26</x:v>
      </x:c>
      <x:c r="O2825" s="54" t="n">
        <x:f>ROUND(N2825*(1-M2825),2)</x:f>
        <x:v>1405.08</x:v>
      </x:c>
      <x:c r="P2825" s="54" t="n">
        <x:f>ROUND(J2825*L2825,2)</x:f>
        <x:v>970.28</x:v>
      </x:c>
      <x:c r="Q2825" s="54" t="n">
        <x:f>ROUND(O2825-P2825,2)</x:f>
        <x:v>434.8</x:v>
      </x:c>
      <x:c r="R2825" s="55" t="n">
        <x:f>IF(O2825=0,0,ROUND(Q2825/O2825,4))</x:f>
        <x:v>0.3094</x:v>
      </x:c>
      <x:c r="S2825" s="53" t="n">
        <x:v>9</x:v>
      </x:c>
      <x:c r="T2825" t="str">
        <x:v>Entregue</x:v>
      </x:c>
      <x:c r="U2825" t="n">
        <x:v>2</x:v>
      </x:c>
      <x:c r="V2825" t="str"/>
    </x:row>
    <x:row r="2826">
      <x:c r="A2826" s="52" t="n">
        <x:v>46139</x:v>
      </x:c>
      <x:c r="B2826" t="str">
        <x:v>PED-102825</x:v>
      </x:c>
      <x:c r="C2826" t="str">
        <x:v>Cliente 084</x:v>
      </x:c>
      <x:c r="D2826" t="str">
        <x:v>DF</x:v>
      </x:c>
      <x:c r="E2826" t="str">
        <x:v>Centro-Oeste</x:v>
      </x:c>
      <x:c r="F2826" t="str">
        <x:v>Televendas</x:v>
      </x:c>
      <x:c r="G2826" t="str">
        <x:v>Escritório</x:v>
      </x:c>
      <x:c r="H2826" t="str">
        <x:v>Mesa Ajustável</x:v>
      </x:c>
      <x:c r="I2826" t="str">
        <x:v>Elaine</x:v>
      </x:c>
      <x:c r="J2826" s="53" t="n">
        <x:v>3</x:v>
      </x:c>
      <x:c r="K2826" s="54" t="n">
        <x:v>2655.47</x:v>
      </x:c>
      <x:c r="L2826" s="54" t="n">
        <x:v>1754.76</x:v>
      </x:c>
      <x:c r="M2826" s="55" t="n">
        <x:v>0.0089</x:v>
      </x:c>
      <x:c r="N2826" s="54" t="n">
        <x:f>ROUND(J2826*K2826,2)</x:f>
        <x:v>7966.41</x:v>
      </x:c>
      <x:c r="O2826" s="54" t="n">
        <x:f>ROUND(N2826*(1-M2826),2)</x:f>
        <x:v>7895.51</x:v>
      </x:c>
      <x:c r="P2826" s="54" t="n">
        <x:f>ROUND(J2826*L2826,2)</x:f>
        <x:v>5264.28</x:v>
      </x:c>
      <x:c r="Q2826" s="54" t="n">
        <x:f>ROUND(O2826-P2826,2)</x:f>
        <x:v>2631.23</x:v>
      </x:c>
      <x:c r="R2826" s="55" t="n">
        <x:f>IF(O2826=0,0,ROUND(Q2826/O2826,4))</x:f>
        <x:v>0.3333</x:v>
      </x:c>
      <x:c r="S2826" s="53" t="n">
        <x:v>7</x:v>
      </x:c>
      <x:c r="T2826" t="str">
        <x:v>Entregue</x:v>
      </x:c>
      <x:c r="U2826" t="n">
        <x:v>4</x:v>
      </x:c>
      <x:c r="V2826" t="str"/>
    </x:row>
    <x:row r="2827">
      <x:c r="A2827" s="52" t="n">
        <x:v>46045</x:v>
      </x:c>
      <x:c r="B2827" t="str">
        <x:v>PED-102826</x:v>
      </x:c>
      <x:c r="C2827" t="str">
        <x:v>Cliente 002</x:v>
      </x:c>
      <x:c r="D2827" t="str">
        <x:v>MA</x:v>
      </x:c>
      <x:c r="E2827" t="str">
        <x:v>Nordeste</x:v>
      </x:c>
      <x:c r="F2827" t="str">
        <x:v>Marketplace</x:v>
      </x:c>
      <x:c r="G2827" t="str">
        <x:v>Acessórios</x:v>
      </x:c>
      <x:c r="H2827" t="str">
        <x:v>Mochila Executiva</x:v>
      </x:c>
      <x:c r="I2827" t="str">
        <x:v>João</x:v>
      </x:c>
      <x:c r="J2827" s="53" t="n">
        <x:v>3</x:v>
      </x:c>
      <x:c r="K2827" s="54" t="n">
        <x:v>449.22</x:v>
      </x:c>
      <x:c r="L2827" s="54" t="n">
        <x:v>200.48</x:v>
      </x:c>
      <x:c r="M2827" s="55" t="n">
        <x:v>0.1212</x:v>
      </x:c>
      <x:c r="N2827" s="54" t="n">
        <x:f>ROUND(J2827*K2827,2)</x:f>
        <x:v>1347.66</x:v>
      </x:c>
      <x:c r="O2827" s="54" t="n">
        <x:f>ROUND(N2827*(1-M2827),2)</x:f>
        <x:v>1184.32</x:v>
      </x:c>
      <x:c r="P2827" s="54" t="n">
        <x:f>ROUND(J2827*L2827,2)</x:f>
        <x:v>601.44</x:v>
      </x:c>
      <x:c r="Q2827" s="54" t="n">
        <x:f>ROUND(O2827-P2827,2)</x:f>
        <x:v>582.88</x:v>
      </x:c>
      <x:c r="R2827" s="55" t="n">
        <x:f>IF(O2827=0,0,ROUND(Q2827/O2827,4))</x:f>
        <x:v>0.4922</x:v>
      </x:c>
      <x:c r="S2827" s="53" t="n">
        <x:v>13</x:v>
      </x:c>
      <x:c r="T2827" t="str">
        <x:v>Entregue com atraso</x:v>
      </x:c>
      <x:c r="U2827" t="n">
        <x:v>4</x:v>
      </x:c>
      <x:c r="V2827" t="str"/>
    </x:row>
    <x:row r="2828">
      <x:c r="A2828" s="52" t="n">
        <x:v>46134</x:v>
      </x:c>
      <x:c r="B2828" t="str">
        <x:v>PED-102827</x:v>
      </x:c>
      <x:c r="C2828" t="str">
        <x:v>Cliente 078</x:v>
      </x:c>
      <x:c r="D2828" t="str">
        <x:v>GO</x:v>
      </x:c>
      <x:c r="E2828" t="str">
        <x:v>Centro-Oeste</x:v>
      </x:c>
      <x:c r="F2828" t="str">
        <x:v>Marketplace</x:v>
      </x:c>
      <x:c r="G2828" t="str">
        <x:v>Escritório</x:v>
      </x:c>
      <x:c r="H2828" t="str">
        <x:v>Cadeira Ergonômica</x:v>
      </x:c>
      <x:c r="I2828" t="str">
        <x:v>Diego</x:v>
      </x:c>
      <x:c r="J2828" s="53" t="n">
        <x:v>7</x:v>
      </x:c>
      <x:c r="K2828" s="54" t="n">
        <x:v>2203.36</x:v>
      </x:c>
      <x:c r="L2828" s="54" t="n">
        <x:v>1451.92</x:v>
      </x:c>
      <x:c r="M2828" s="55" t="n">
        <x:v>0.035</x:v>
      </x:c>
      <x:c r="N2828" s="54" t="n">
        <x:f>ROUND(J2828*K2828,2)</x:f>
        <x:v>15423.52</x:v>
      </x:c>
      <x:c r="O2828" s="54" t="n">
        <x:f>ROUND(N2828*(1-M2828),2)</x:f>
        <x:v>14883.7</x:v>
      </x:c>
      <x:c r="P2828" s="54" t="n">
        <x:f>ROUND(J2828*L2828,2)</x:f>
        <x:v>10163.44</x:v>
      </x:c>
      <x:c r="Q2828" s="54" t="n">
        <x:f>ROUND(O2828-P2828,2)</x:f>
        <x:v>4720.26</x:v>
      </x:c>
      <x:c r="R2828" s="55" t="n">
        <x:f>IF(O2828=0,0,ROUND(Q2828/O2828,4))</x:f>
        <x:v>0.3171</x:v>
      </x:c>
      <x:c r="S2828" s="53" t="n">
        <x:v>4</x:v>
      </x:c>
      <x:c r="T2828" t="str">
        <x:v>Entregue</x:v>
      </x:c>
      <x:c r="U2828" t="n">
        <x:v>2</x:v>
      </x:c>
      <x:c r="V2828" t="str"/>
    </x:row>
    <x:row r="2829">
      <x:c r="A2829" s="52" t="n">
        <x:v>46100</x:v>
      </x:c>
      <x:c r="B2829" t="str">
        <x:v>PED-102828</x:v>
      </x:c>
      <x:c r="C2829" t="str">
        <x:v>Cliente 029</x:v>
      </x:c>
      <x:c r="D2829" t="str">
        <x:v>RS</x:v>
      </x:c>
      <x:c r="E2829" t="str">
        <x:v>Sul</x:v>
      </x:c>
      <x:c r="F2829" t="str">
        <x:v>Televendas</x:v>
      </x:c>
      <x:c r="G2829" t="str">
        <x:v>Escritório</x:v>
      </x:c>
      <x:c r="H2829" t="str">
        <x:v>Luminária LED</x:v>
      </x:c>
      <x:c r="I2829" t="str">
        <x:v>Elaine</x:v>
      </x:c>
      <x:c r="J2829" s="53" t="n">
        <x:v>8</x:v>
      </x:c>
      <x:c r="K2829" s="54" t="n">
        <x:v>261.78</x:v>
      </x:c>
      <x:c r="L2829" s="54" t="n">
        <x:v>121.76</x:v>
      </x:c>
      <x:c r="M2829" s="55" t="n">
        <x:v>0.1278</x:v>
      </x:c>
      <x:c r="N2829" s="54" t="n">
        <x:f>ROUND(J2829*K2829,2)</x:f>
        <x:v>2094.24</x:v>
      </x:c>
      <x:c r="O2829" s="54" t="n">
        <x:f>ROUND(N2829*(1-M2829),2)</x:f>
        <x:v>1826.6</x:v>
      </x:c>
      <x:c r="P2829" s="54" t="n">
        <x:f>ROUND(J2829*L2829,2)</x:f>
        <x:v>974.08</x:v>
      </x:c>
      <x:c r="Q2829" s="54" t="n">
        <x:f>ROUND(O2829-P2829,2)</x:f>
        <x:v>852.52</x:v>
      </x:c>
      <x:c r="R2829" s="55" t="n">
        <x:f>IF(O2829=0,0,ROUND(Q2829/O2829,4))</x:f>
        <x:v>0.4667</x:v>
      </x:c>
      <x:c r="S2829" s="53" t="n">
        <x:v>7</x:v>
      </x:c>
      <x:c r="T2829" t="str">
        <x:v>Entregue</x:v>
      </x:c>
      <x:c r="U2829" t="n">
        <x:v>4</x:v>
      </x:c>
      <x:c r="V2829" t="str"/>
    </x:row>
    <x:row r="2830">
      <x:c r="A2830" s="52" t="n">
        <x:v>46079</x:v>
      </x:c>
      <x:c r="B2830" t="str">
        <x:v>PED-102829</x:v>
      </x:c>
      <x:c r="C2830" t="str">
        <x:v>Cliente 062</x:v>
      </x:c>
      <x:c r="D2830" t="str">
        <x:v>RJ</x:v>
      </x:c>
      <x:c r="E2830" t="str">
        <x:v>Sudeste</x:v>
      </x:c>
      <x:c r="F2830" t="str">
        <x:v>Loja</x:v>
      </x:c>
      <x:c r="G2830" t="str">
        <x:v>Acessórios</x:v>
      </x:c>
      <x:c r="H2830" t="str">
        <x:v>Hub USB-C</x:v>
      </x:c>
      <x:c r="I2830" t="str">
        <x:v>Ana</x:v>
      </x:c>
      <x:c r="J2830" s="53" t="n">
        <x:v>2</x:v>
      </x:c>
      <x:c r="K2830" s="54" t="n">
        <x:v>329.84</x:v>
      </x:c>
      <x:c r="L2830" s="54" t="n">
        <x:v>132.36</x:v>
      </x:c>
      <x:c r="M2830" s="55" t="n">
        <x:v>0</x:v>
      </x:c>
      <x:c r="N2830" s="54" t="n">
        <x:f>ROUND(J2830*K2830,2)</x:f>
        <x:v>659.68</x:v>
      </x:c>
      <x:c r="O2830" s="54" t="n">
        <x:f>ROUND(N2830*(1-M2830),2)</x:f>
        <x:v>659.68</x:v>
      </x:c>
      <x:c r="P2830" s="54" t="n">
        <x:f>ROUND(J2830*L2830,2)</x:f>
        <x:v>264.72</x:v>
      </x:c>
      <x:c r="Q2830" s="54" t="n">
        <x:f>ROUND(O2830-P2830,2)</x:f>
        <x:v>394.96</x:v>
      </x:c>
      <x:c r="R2830" s="55" t="n">
        <x:f>IF(O2830=0,0,ROUND(Q2830/O2830,4))</x:f>
        <x:v>0.5987</x:v>
      </x:c>
      <x:c r="S2830" s="53" t="n">
        <x:v>13</x:v>
      </x:c>
      <x:c r="T2830" t="str">
        <x:v>Entregue com atraso</x:v>
      </x:c>
      <x:c r="U2830" t="n">
        <x:v>4</x:v>
      </x:c>
      <x:c r="V2830" t="str"/>
    </x:row>
    <x:row r="2831">
      <x:c r="A2831" s="52" t="n">
        <x:v>46217</x:v>
      </x:c>
      <x:c r="B2831" t="str">
        <x:v>PED-102830</x:v>
      </x:c>
      <x:c r="C2831" t="str">
        <x:v>Cliente 088</x:v>
      </x:c>
      <x:c r="D2831" t="str">
        <x:v>BA</x:v>
      </x:c>
      <x:c r="E2831" t="str">
        <x:v>Nordeste</x:v>
      </x:c>
      <x:c r="F2831" t="str">
        <x:v>Marketplace</x:v>
      </x:c>
      <x:c r="G2831" t="str">
        <x:v>Tecnologia</x:v>
      </x:c>
      <x:c r="H2831" t="str">
        <x:v>Notebook Pro</x:v>
      </x:c>
      <x:c r="I2831" t="str">
        <x:v>Ana</x:v>
      </x:c>
      <x:c r="J2831" s="53" t="n">
        <x:v>1</x:v>
      </x:c>
      <x:c r="K2831" s="54" t="n">
        <x:v>5939.05</x:v>
      </x:c>
      <x:c r="L2831" s="54" t="n">
        <x:v>4532.13</x:v>
      </x:c>
      <x:c r="M2831" s="55" t="n">
        <x:v>0.035</x:v>
      </x:c>
      <x:c r="N2831" s="54" t="n">
        <x:f>ROUND(J2831*K2831,2)</x:f>
        <x:v>5939.05</x:v>
      </x:c>
      <x:c r="O2831" s="54" t="n">
        <x:f>ROUND(N2831*(1-M2831),2)</x:f>
        <x:v>5731.18</x:v>
      </x:c>
      <x:c r="P2831" s="54" t="n">
        <x:f>ROUND(J2831*L2831,2)</x:f>
        <x:v>4532.13</x:v>
      </x:c>
      <x:c r="Q2831" s="54" t="n">
        <x:f>ROUND(O2831-P2831,2)</x:f>
        <x:v>1199.05</x:v>
      </x:c>
      <x:c r="R2831" s="55" t="n">
        <x:f>IF(O2831=0,0,ROUND(Q2831/O2831,4))</x:f>
        <x:v>0.2092</x:v>
      </x:c>
      <x:c r="S2831" s="53" t="n">
        <x:v>6</x:v>
      </x:c>
      <x:c r="T2831" t="str">
        <x:v>Entregue</x:v>
      </x:c>
      <x:c r="U2831" t="n">
        <x:v>3</x:v>
      </x:c>
      <x:c r="V2831" t="str"/>
    </x:row>
    <x:row r="2832">
      <x:c r="A2832" s="52" t="n">
        <x:v>46053</x:v>
      </x:c>
      <x:c r="B2832" t="str">
        <x:v>PED-102831</x:v>
      </x:c>
      <x:c r="C2832" t="str">
        <x:v>Cliente 009</x:v>
      </x:c>
      <x:c r="D2832" t="str">
        <x:v>BA</x:v>
      </x:c>
      <x:c r="E2832" t="str">
        <x:v>Nordeste</x:v>
      </x:c>
      <x:c r="F2832" t="str">
        <x:v>E-commerce</x:v>
      </x:c>
      <x:c r="G2832" t="str">
        <x:v>Escritório</x:v>
      </x:c>
      <x:c r="H2832" t="str">
        <x:v>Luminária LED</x:v>
      </x:c>
      <x:c r="I2832" t="str">
        <x:v>Isabela</x:v>
      </x:c>
      <x:c r="J2832" s="53" t="n">
        <x:v>3</x:v>
      </x:c>
      <x:c r="K2832" s="54" t="n">
        <x:v>272.12</x:v>
      </x:c>
      <x:c r="L2832" s="54" t="n">
        <x:v>122.91</x:v>
      </x:c>
      <x:c r="M2832" s="55" t="n">
        <x:v>0</x:v>
      </x:c>
      <x:c r="N2832" s="54" t="n">
        <x:f>ROUND(J2832*K2832,2)</x:f>
        <x:v>816.36</x:v>
      </x:c>
      <x:c r="O2832" s="54" t="n">
        <x:f>ROUND(N2832*(1-M2832),2)</x:f>
        <x:v>816.36</x:v>
      </x:c>
      <x:c r="P2832" s="54" t="n">
        <x:f>ROUND(J2832*L2832,2)</x:f>
        <x:v>368.73</x:v>
      </x:c>
      <x:c r="Q2832" s="54" t="n">
        <x:f>ROUND(O2832-P2832,2)</x:f>
        <x:v>447.63</x:v>
      </x:c>
      <x:c r="R2832" s="55" t="n">
        <x:f>IF(O2832=0,0,ROUND(Q2832/O2832,4))</x:f>
        <x:v>0.5483</x:v>
      </x:c>
      <x:c r="S2832" s="53" t="n">
        <x:v>9</x:v>
      </x:c>
      <x:c r="T2832" t="str">
        <x:v>Entregue</x:v>
      </x:c>
      <x:c r="U2832" t="n">
        <x:v>5</x:v>
      </x:c>
      <x:c r="V2832" t="str"/>
    </x:row>
    <x:row r="2833">
      <x:c r="A2833" s="52" t="n">
        <x:v>46069</x:v>
      </x:c>
      <x:c r="B2833" t="str">
        <x:v>PED-102832</x:v>
      </x:c>
      <x:c r="C2833" t="str">
        <x:v>Cliente 037</x:v>
      </x:c>
      <x:c r="D2833" t="str">
        <x:v>RS</x:v>
      </x:c>
      <x:c r="E2833" t="str">
        <x:v>Sul</x:v>
      </x:c>
      <x:c r="F2833" t="str">
        <x:v>Marketplace</x:v>
      </x:c>
      <x:c r="G2833" t="str">
        <x:v>Acessórios</x:v>
      </x:c>
      <x:c r="H2833" t="str">
        <x:v>Hub USB-C</x:v>
      </x:c>
      <x:c r="I2833" t="str">
        <x:v>Gabriela</x:v>
      </x:c>
      <x:c r="J2833" s="53" t="n">
        <x:v>3</x:v>
      </x:c>
      <x:c r="K2833" s="54" t="n">
        <x:v>334.96</x:v>
      </x:c>
      <x:c r="L2833" s="54" t="n">
        <x:v>134.54</x:v>
      </x:c>
      <x:c r="M2833" s="55" t="n">
        <x:v>0.1101</x:v>
      </x:c>
      <x:c r="N2833" s="54" t="n">
        <x:f>ROUND(J2833*K2833,2)</x:f>
        <x:v>1004.88</x:v>
      </x:c>
      <x:c r="O2833" s="54" t="n">
        <x:f>ROUND(N2833*(1-M2833),2)</x:f>
        <x:v>894.24</x:v>
      </x:c>
      <x:c r="P2833" s="54" t="n">
        <x:f>ROUND(J2833*L2833,2)</x:f>
        <x:v>403.62</x:v>
      </x:c>
      <x:c r="Q2833" s="54" t="n">
        <x:f>ROUND(O2833-P2833,2)</x:f>
        <x:v>490.62</x:v>
      </x:c>
      <x:c r="R2833" s="55" t="n">
        <x:f>IF(O2833=0,0,ROUND(Q2833/O2833,4))</x:f>
        <x:v>0.5486</x:v>
      </x:c>
      <x:c r="S2833" s="53" t="n">
        <x:v>7</x:v>
      </x:c>
      <x:c r="T2833" t="str">
        <x:v>Entregue</x:v>
      </x:c>
      <x:c r="U2833" t="n">
        <x:v>2</x:v>
      </x:c>
      <x:c r="V2833" t="str"/>
    </x:row>
    <x:row r="2834">
      <x:c r="A2834" s="52" t="n">
        <x:v>46037</x:v>
      </x:c>
      <x:c r="B2834" t="str">
        <x:v>PED-102833</x:v>
      </x:c>
      <x:c r="C2834" t="str">
        <x:v>Cliente 044</x:v>
      </x:c>
      <x:c r="D2834" t="str">
        <x:v>AM</x:v>
      </x:c>
      <x:c r="E2834" t="str">
        <x:v>Norte</x:v>
      </x:c>
      <x:c r="F2834" t="str">
        <x:v>Marketplace</x:v>
      </x:c>
      <x:c r="G2834" t="str">
        <x:v>Acessórios</x:v>
      </x:c>
      <x:c r="H2834" t="str">
        <x:v>Mochila Executiva</x:v>
      </x:c>
      <x:c r="I2834" t="str">
        <x:v>Elaine</x:v>
      </x:c>
      <x:c r="J2834" s="53" t="n">
        <x:v>7</x:v>
      </x:c>
      <x:c r="K2834" s="54" t="n">
        <x:v>428.8</x:v>
      </x:c>
      <x:c r="L2834" s="54" t="n">
        <x:v>201.94</x:v>
      </x:c>
      <x:c r="M2834" s="55" t="n">
        <x:v>0.0816</x:v>
      </x:c>
      <x:c r="N2834" s="54" t="n">
        <x:f>ROUND(J2834*K2834,2)</x:f>
        <x:v>3001.6</x:v>
      </x:c>
      <x:c r="O2834" s="54" t="n">
        <x:f>ROUND(N2834*(1-M2834),2)</x:f>
        <x:v>2756.67</x:v>
      </x:c>
      <x:c r="P2834" s="54" t="n">
        <x:f>ROUND(J2834*L2834,2)</x:f>
        <x:v>1413.58</x:v>
      </x:c>
      <x:c r="Q2834" s="54" t="n">
        <x:f>ROUND(O2834-P2834,2)</x:f>
        <x:v>1343.09</x:v>
      </x:c>
      <x:c r="R2834" s="55" t="n">
        <x:f>IF(O2834=0,0,ROUND(Q2834/O2834,4))</x:f>
        <x:v>0.4872</x:v>
      </x:c>
      <x:c r="S2834" s="53" t="n">
        <x:v>2</x:v>
      </x:c>
      <x:c r="T2834" t="str">
        <x:v>Entregue</x:v>
      </x:c>
      <x:c r="U2834" t="n">
        <x:v>4</x:v>
      </x:c>
      <x:c r="V2834" t="str"/>
    </x:row>
    <x:row r="2835">
      <x:c r="A2835" s="52" t="n">
        <x:v>46065</x:v>
      </x:c>
      <x:c r="B2835" t="str">
        <x:v>PED-102834</x:v>
      </x:c>
      <x:c r="C2835" t="str">
        <x:v>Cliente 099</x:v>
      </x:c>
      <x:c r="D2835" t="str">
        <x:v>ES</x:v>
      </x:c>
      <x:c r="E2835" t="str">
        <x:v>Sudeste</x:v>
      </x:c>
      <x:c r="F2835" t="str">
        <x:v>E-commerce</x:v>
      </x:c>
      <x:c r="G2835" t="str">
        <x:v>Casa</x:v>
      </x:c>
      <x:c r="H2835" t="str">
        <x:v>Aspirador Robô</x:v>
      </x:c>
      <x:c r="I2835" t="str">
        <x:v>Elaine</x:v>
      </x:c>
      <x:c r="J2835" s="53" t="n">
        <x:v>6</x:v>
      </x:c>
      <x:c r="K2835" s="54" t="n">
        <x:v>1901.59</x:v>
      </x:c>
      <x:c r="L2835" s="54" t="n">
        <x:v>1164.49</x:v>
      </x:c>
      <x:c r="M2835" s="55" t="n">
        <x:v>0</x:v>
      </x:c>
      <x:c r="N2835" s="54" t="n">
        <x:f>ROUND(J2835*K2835,2)</x:f>
        <x:v>11409.54</x:v>
      </x:c>
      <x:c r="O2835" s="54" t="n">
        <x:f>ROUND(N2835*(1-M2835),2)</x:f>
        <x:v>11409.54</x:v>
      </x:c>
      <x:c r="P2835" s="54" t="n">
        <x:f>ROUND(J2835*L2835,2)</x:f>
        <x:v>6986.94</x:v>
      </x:c>
      <x:c r="Q2835" s="54" t="n">
        <x:f>ROUND(O2835-P2835,2)</x:f>
        <x:v>4422.6</x:v>
      </x:c>
      <x:c r="R2835" s="55" t="n">
        <x:f>IF(O2835=0,0,ROUND(Q2835/O2835,4))</x:f>
        <x:v>0.3876</x:v>
      </x:c>
      <x:c r="S2835" s="53" t="n">
        <x:v>14</x:v>
      </x:c>
      <x:c r="T2835" t="str">
        <x:v>Entregue com atraso</x:v>
      </x:c>
      <x:c r="U2835" t="n">
        <x:v>2</x:v>
      </x:c>
      <x:c r="V2835" t="str"/>
    </x:row>
    <x:row r="2836">
      <x:c r="A2836" s="52" t="n">
        <x:v>46172</x:v>
      </x:c>
      <x:c r="B2836" t="str">
        <x:v>PED-102835</x:v>
      </x:c>
      <x:c r="C2836" t="str">
        <x:v>Cliente 053</x:v>
      </x:c>
      <x:c r="D2836" t="str">
        <x:v>AM</x:v>
      </x:c>
      <x:c r="E2836" t="str">
        <x:v>Norte</x:v>
      </x:c>
      <x:c r="F2836" t="str">
        <x:v>Loja</x:v>
      </x:c>
      <x:c r="G2836" t="str">
        <x:v>Casa</x:v>
      </x:c>
      <x:c r="H2836" t="str">
        <x:v>Cafeteira Smart</x:v>
      </x:c>
      <x:c r="I2836" t="str">
        <x:v>Ana</x:v>
      </x:c>
      <x:c r="J2836" s="53" t="n">
        <x:v>2</x:v>
      </x:c>
      <x:c r="K2836" s="54" t="n">
        <x:v>812.73</x:v>
      </x:c>
      <x:c r="L2836" s="54" t="n">
        <x:v>464.15</x:v>
      </x:c>
      <x:c r="M2836" s="55" t="n">
        <x:v>0.0348</x:v>
      </x:c>
      <x:c r="N2836" s="54" t="n">
        <x:f>ROUND(J2836*K2836,2)</x:f>
        <x:v>1625.46</x:v>
      </x:c>
      <x:c r="O2836" s="54" t="n">
        <x:f>ROUND(N2836*(1-M2836),2)</x:f>
        <x:v>1568.89</x:v>
      </x:c>
      <x:c r="P2836" s="54" t="n">
        <x:f>ROUND(J2836*L2836,2)</x:f>
        <x:v>928.3</x:v>
      </x:c>
      <x:c r="Q2836" s="54" t="n">
        <x:f>ROUND(O2836-P2836,2)</x:f>
        <x:v>640.59</x:v>
      </x:c>
      <x:c r="R2836" s="55" t="n">
        <x:f>IF(O2836=0,0,ROUND(Q2836/O2836,4))</x:f>
        <x:v>0.4083</x:v>
      </x:c>
      <x:c r="S2836" s="53" t="n">
        <x:v>10</x:v>
      </x:c>
      <x:c r="T2836" t="str">
        <x:v>Entregue</x:v>
      </x:c>
      <x:c r="U2836" t="n">
        <x:v>3</x:v>
      </x:c>
      <x:c r="V2836" t="str"/>
    </x:row>
    <x:row r="2837">
      <x:c r="A2837" s="52" t="n">
        <x:v>46138</x:v>
      </x:c>
      <x:c r="B2837" t="str">
        <x:v>PED-102836</x:v>
      </x:c>
      <x:c r="C2837" t="str">
        <x:v>Cliente 007</x:v>
      </x:c>
      <x:c r="D2837" t="str">
        <x:v>ES</x:v>
      </x:c>
      <x:c r="E2837" t="str">
        <x:v>Sudeste</x:v>
      </x:c>
      <x:c r="F2837" t="str">
        <x:v>Marketplace</x:v>
      </x:c>
      <x:c r="G2837" t="str">
        <x:v>Escritório</x:v>
      </x:c>
      <x:c r="H2837" t="str">
        <x:v>Luminária LED</x:v>
      </x:c>
      <x:c r="I2837" t="str">
        <x:v>Bruno</x:v>
      </x:c>
      <x:c r="J2837" s="53" t="n">
        <x:v>5</x:v>
      </x:c>
      <x:c r="K2837" s="54" t="n">
        <x:v>249.28</x:v>
      </x:c>
      <x:c r="L2837" s="54" t="n">
        <x:v>116.96</x:v>
      </x:c>
      <x:c r="M2837" s="55" t="n">
        <x:v>0.035</x:v>
      </x:c>
      <x:c r="N2837" s="54" t="n">
        <x:f>ROUND(J2837*K2837,2)</x:f>
        <x:v>1246.4</x:v>
      </x:c>
      <x:c r="O2837" s="54" t="n">
        <x:f>ROUND(N2837*(1-M2837),2)</x:f>
        <x:v>1202.78</x:v>
      </x:c>
      <x:c r="P2837" s="54" t="n">
        <x:f>ROUND(J2837*L2837,2)</x:f>
        <x:v>584.8</x:v>
      </x:c>
      <x:c r="Q2837" s="54" t="n">
        <x:f>ROUND(O2837-P2837,2)</x:f>
        <x:v>617.98</x:v>
      </x:c>
      <x:c r="R2837" s="55" t="n">
        <x:f>IF(O2837=0,0,ROUND(Q2837/O2837,4))</x:f>
        <x:v>0.5138</x:v>
      </x:c>
      <x:c r="S2837" s="53" t="n">
        <x:v>8</x:v>
      </x:c>
      <x:c r="T2837" t="str">
        <x:v>Entregue</x:v>
      </x:c>
      <x:c r="U2837" t="n">
        <x:v>5</x:v>
      </x:c>
      <x:c r="V2837" t="str"/>
    </x:row>
    <x:row r="2838">
      <x:c r="A2838" s="52" t="n">
        <x:v>46097</x:v>
      </x:c>
      <x:c r="B2838" t="str">
        <x:v>PED-102837</x:v>
      </x:c>
      <x:c r="C2838" t="str">
        <x:v>Cliente 091</x:v>
      </x:c>
      <x:c r="D2838" t="str">
        <x:v>CE</x:v>
      </x:c>
      <x:c r="E2838" t="str">
        <x:v>Nordeste</x:v>
      </x:c>
      <x:c r="F2838" t="str">
        <x:v>E-commerce</x:v>
      </x:c>
      <x:c r="G2838" t="str">
        <x:v>Tecnologia</x:v>
      </x:c>
      <x:c r="H2838" t="str">
        <x:v>Notebook Pro</x:v>
      </x:c>
      <x:c r="I2838" t="str">
        <x:v>Henrique</x:v>
      </x:c>
      <x:c r="J2838" s="53" t="n">
        <x:v>3</x:v>
      </x:c>
      <x:c r="K2838" s="54" t="n">
        <x:v>5568.03</x:v>
      </x:c>
      <x:c r="L2838" s="54" t="n">
        <x:v>4360.49</x:v>
      </x:c>
      <x:c r="M2838" s="55" t="n">
        <x:v>0</x:v>
      </x:c>
      <x:c r="N2838" s="54" t="n">
        <x:f>ROUND(J2838*K2838,2)</x:f>
        <x:v>16704.09</x:v>
      </x:c>
      <x:c r="O2838" s="54" t="n">
        <x:f>ROUND(N2838*(1-M2838),2)</x:f>
        <x:v>16704.09</x:v>
      </x:c>
      <x:c r="P2838" s="54" t="n">
        <x:f>ROUND(J2838*L2838,2)</x:f>
        <x:v>13081.47</x:v>
      </x:c>
      <x:c r="Q2838" s="54" t="n">
        <x:f>ROUND(O2838-P2838,2)</x:f>
        <x:v>3622.62</x:v>
      </x:c>
      <x:c r="R2838" s="55" t="n">
        <x:f>IF(O2838=0,0,ROUND(Q2838/O2838,4))</x:f>
        <x:v>0.2169</x:v>
      </x:c>
      <x:c r="S2838" s="53" t="n">
        <x:v>8</x:v>
      </x:c>
      <x:c r="T2838" t="str">
        <x:v>Entregue</x:v>
      </x:c>
      <x:c r="U2838" t="n">
        <x:v>3</x:v>
      </x:c>
      <x:c r="V2838" t="str"/>
    </x:row>
    <x:row r="2839">
      <x:c r="A2839" s="52" t="n">
        <x:v>46144</x:v>
      </x:c>
      <x:c r="B2839" t="str">
        <x:v>PED-102838</x:v>
      </x:c>
      <x:c r="C2839" t="str">
        <x:v>Cliente 023</x:v>
      </x:c>
      <x:c r="D2839" t="str">
        <x:v>PE</x:v>
      </x:c>
      <x:c r="E2839" t="str">
        <x:v>Nordeste</x:v>
      </x:c>
      <x:c r="F2839" t="str">
        <x:v>Televendas</x:v>
      </x:c>
      <x:c r="G2839" t="str">
        <x:v>Casa</x:v>
      </x:c>
      <x:c r="H2839" t="str">
        <x:v>Cafeteira Smart</x:v>
      </x:c>
      <x:c r="I2839" t="str">
        <x:v>Bruno</x:v>
      </x:c>
      <x:c r="J2839" s="53" t="n">
        <x:v>3</x:v>
      </x:c>
      <x:c r="K2839" s="54" t="n">
        <x:v>818.98</x:v>
      </x:c>
      <x:c r="L2839" s="54" t="n">
        <x:v>453.61</x:v>
      </x:c>
      <x:c r="M2839" s="55" t="n">
        <x:v>0.0288</x:v>
      </x:c>
      <x:c r="N2839" s="54" t="n">
        <x:f>ROUND(J2839*K2839,2)</x:f>
        <x:v>2456.94</x:v>
      </x:c>
      <x:c r="O2839" s="54" t="n">
        <x:f>ROUND(N2839*(1-M2839),2)</x:f>
        <x:v>2386.18</x:v>
      </x:c>
      <x:c r="P2839" s="54" t="n">
        <x:f>ROUND(J2839*L2839,2)</x:f>
        <x:v>1360.83</x:v>
      </x:c>
      <x:c r="Q2839" s="54" t="n">
        <x:f>ROUND(O2839-P2839,2)</x:f>
        <x:v>1025.35</x:v>
      </x:c>
      <x:c r="R2839" s="55" t="n">
        <x:f>IF(O2839=0,0,ROUND(Q2839/O2839,4))</x:f>
        <x:v>0.4297</x:v>
      </x:c>
      <x:c r="S2839" s="53" t="n">
        <x:v>11</x:v>
      </x:c>
      <x:c r="T2839" t="str">
        <x:v>Entregue com atraso</x:v>
      </x:c>
      <x:c r="U2839" t="n">
        <x:v>5</x:v>
      </x:c>
      <x:c r="V2839" t="str"/>
    </x:row>
    <x:row r="2840">
      <x:c r="A2840" s="52" t="n">
        <x:v>46177</x:v>
      </x:c>
      <x:c r="B2840" t="str">
        <x:v>PED-102839</x:v>
      </x:c>
      <x:c r="C2840" t="str">
        <x:v>Cliente 120</x:v>
      </x:c>
      <x:c r="D2840" t="str">
        <x:v>ES</x:v>
      </x:c>
      <x:c r="E2840" t="str">
        <x:v>Sudeste</x:v>
      </x:c>
      <x:c r="F2840" t="str">
        <x:v>Televendas</x:v>
      </x:c>
      <x:c r="G2840" t="str">
        <x:v>Acessórios</x:v>
      </x:c>
      <x:c r="H2840" t="str">
        <x:v>Hub USB-C</x:v>
      </x:c>
      <x:c r="I2840" t="str">
        <x:v>João</x:v>
      </x:c>
      <x:c r="J2840" s="53" t="n">
        <x:v>6</x:v>
      </x:c>
      <x:c r="K2840" s="54" t="n">
        <x:v>325.09</x:v>
      </x:c>
      <x:c r="L2840" s="54" t="n">
        <x:v>138.96</x:v>
      </x:c>
      <x:c r="M2840" s="55" t="n">
        <x:v>0</x:v>
      </x:c>
      <x:c r="N2840" s="54" t="n">
        <x:f>ROUND(J2840*K2840,2)</x:f>
        <x:v>1950.54</x:v>
      </x:c>
      <x:c r="O2840" s="54" t="n">
        <x:f>ROUND(N2840*(1-M2840),2)</x:f>
        <x:v>1950.54</x:v>
      </x:c>
      <x:c r="P2840" s="54" t="n">
        <x:f>ROUND(J2840*L2840,2)</x:f>
        <x:v>833.76</x:v>
      </x:c>
      <x:c r="Q2840" s="54" t="n">
        <x:f>ROUND(O2840-P2840,2)</x:f>
        <x:v>1116.78</x:v>
      </x:c>
      <x:c r="R2840" s="55" t="n">
        <x:f>IF(O2840=0,0,ROUND(Q2840/O2840,4))</x:f>
        <x:v>0.5725</x:v>
      </x:c>
      <x:c r="S2840" s="53" t="n">
        <x:v>2</x:v>
      </x:c>
      <x:c r="T2840" t="str">
        <x:v>Entregue</x:v>
      </x:c>
      <x:c r="U2840" t="n">
        <x:v>4</x:v>
      </x:c>
      <x:c r="V2840" t="str"/>
    </x:row>
    <x:row r="2841">
      <x:c r="A2841" s="52" t="n">
        <x:v>46199</x:v>
      </x:c>
      <x:c r="B2841" t="str">
        <x:v>PED-102840</x:v>
      </x:c>
      <x:c r="C2841" t="str">
        <x:v>Cliente 073</x:v>
      </x:c>
      <x:c r="D2841" t="str">
        <x:v>MG</x:v>
      </x:c>
      <x:c r="E2841" t="str">
        <x:v>Sudeste</x:v>
      </x:c>
      <x:c r="F2841" t="str">
        <x:v>Loja</x:v>
      </x:c>
      <x:c r="G2841" t="str">
        <x:v>Tecnologia</x:v>
      </x:c>
      <x:c r="H2841" t="str">
        <x:v>Notebook Pro</x:v>
      </x:c>
      <x:c r="I2841" t="str">
        <x:v>João</x:v>
      </x:c>
      <x:c r="J2841" s="53" t="n">
        <x:v>5</x:v>
      </x:c>
      <x:c r="K2841" s="54" t="n">
        <x:v>5743.81</x:v>
      </x:c>
      <x:c r="L2841" s="54" t="n">
        <x:v>4357.61</x:v>
      </x:c>
      <x:c r="M2841" s="55" t="n">
        <x:v>0.128</x:v>
      </x:c>
      <x:c r="N2841" s="54" t="n">
        <x:f>ROUND(J2841*K2841,2)</x:f>
        <x:v>28719.05</x:v>
      </x:c>
      <x:c r="O2841" s="54" t="n">
        <x:f>ROUND(N2841*(1-M2841),2)</x:f>
        <x:v>25043.01</x:v>
      </x:c>
      <x:c r="P2841" s="54" t="n">
        <x:f>ROUND(J2841*L2841,2)</x:f>
        <x:v>21788.05</x:v>
      </x:c>
      <x:c r="Q2841" s="54" t="n">
        <x:f>ROUND(O2841-P2841,2)</x:f>
        <x:v>3254.96</x:v>
      </x:c>
      <x:c r="R2841" s="55" t="n">
        <x:f>IF(O2841=0,0,ROUND(Q2841/O2841,4))</x:f>
        <x:v>0.13</x:v>
      </x:c>
      <x:c r="S2841" s="53" t="n">
        <x:v>8</x:v>
      </x:c>
      <x:c r="T2841" t="str">
        <x:v>Entregue</x:v>
      </x:c>
      <x:c r="U2841" t="n">
        <x:v>4</x:v>
      </x:c>
      <x:c r="V2841" t="str"/>
    </x:row>
    <x:row r="2842">
      <x:c r="A2842" s="52" t="n">
        <x:v>46052</x:v>
      </x:c>
      <x:c r="B2842" t="str">
        <x:v>PED-102841</x:v>
      </x:c>
      <x:c r="C2842" t="str">
        <x:v>Cliente 020</x:v>
      </x:c>
      <x:c r="D2842" t="str">
        <x:v>BA</x:v>
      </x:c>
      <x:c r="E2842" t="str">
        <x:v>Nordeste</x:v>
      </x:c>
      <x:c r="F2842" t="str">
        <x:v>Marketplace</x:v>
      </x:c>
      <x:c r="G2842" t="str">
        <x:v>Casa</x:v>
      </x:c>
      <x:c r="H2842" t="str">
        <x:v>Aspirador Robô</x:v>
      </x:c>
      <x:c r="I2842" t="str">
        <x:v>Felipe</x:v>
      </x:c>
      <x:c r="J2842" s="53" t="n">
        <x:v>4</x:v>
      </x:c>
      <x:c r="K2842" s="54" t="n">
        <x:v>1865.29</x:v>
      </x:c>
      <x:c r="L2842" s="54" t="n">
        <x:v>1184.91</x:v>
      </x:c>
      <x:c r="M2842" s="55" t="n">
        <x:v>0.1412</x:v>
      </x:c>
      <x:c r="N2842" s="54" t="n">
        <x:f>ROUND(J2842*K2842,2)</x:f>
        <x:v>7461.16</x:v>
      </x:c>
      <x:c r="O2842" s="54" t="n">
        <x:f>ROUND(N2842*(1-M2842),2)</x:f>
        <x:v>6407.64</x:v>
      </x:c>
      <x:c r="P2842" s="54" t="n">
        <x:f>ROUND(J2842*L2842,2)</x:f>
        <x:v>4739.64</x:v>
      </x:c>
      <x:c r="Q2842" s="54" t="n">
        <x:f>ROUND(O2842-P2842,2)</x:f>
        <x:v>1668</x:v>
      </x:c>
      <x:c r="R2842" s="55" t="n">
        <x:f>IF(O2842=0,0,ROUND(Q2842/O2842,4))</x:f>
        <x:v>0.2603</x:v>
      </x:c>
      <x:c r="S2842" s="53" t="n">
        <x:v>11</x:v>
      </x:c>
      <x:c r="T2842" t="str">
        <x:v>Entregue com atraso</x:v>
      </x:c>
      <x:c r="U2842" t="n">
        <x:v>4</x:v>
      </x:c>
      <x:c r="V2842" t="str"/>
    </x:row>
    <x:row r="2843">
      <x:c r="A2843" s="52" t="n">
        <x:v>46137</x:v>
      </x:c>
      <x:c r="B2843" t="str">
        <x:v>PED-102842</x:v>
      </x:c>
      <x:c r="C2843" t="str">
        <x:v>Cliente 095</x:v>
      </x:c>
      <x:c r="D2843" t="str">
        <x:v>PR</x:v>
      </x:c>
      <x:c r="E2843" t="str">
        <x:v>Sul</x:v>
      </x:c>
      <x:c r="F2843" t="str">
        <x:v>E-commerce</x:v>
      </x:c>
      <x:c r="G2843" t="str">
        <x:v>Escritório</x:v>
      </x:c>
      <x:c r="H2843" t="str">
        <x:v>Mesa Ajustável</x:v>
      </x:c>
      <x:c r="I2843" t="str">
        <x:v>Henrique</x:v>
      </x:c>
      <x:c r="J2843" s="53" t="n">
        <x:v>5</x:v>
      </x:c>
      <x:c r="K2843" s="54" t="n">
        <x:v>2710.6</x:v>
      </x:c>
      <x:c r="L2843" s="54" t="n">
        <x:v>1822.62</x:v>
      </x:c>
      <x:c r="M2843" s="55" t="n">
        <x:v>0</x:v>
      </x:c>
      <x:c r="N2843" s="54" t="n">
        <x:f>ROUND(J2843*K2843,2)</x:f>
        <x:v>13553</x:v>
      </x:c>
      <x:c r="O2843" s="54" t="n">
        <x:f>ROUND(N2843*(1-M2843),2)</x:f>
        <x:v>13553</x:v>
      </x:c>
      <x:c r="P2843" s="54" t="n">
        <x:f>ROUND(J2843*L2843,2)</x:f>
        <x:v>9113.1</x:v>
      </x:c>
      <x:c r="Q2843" s="54" t="n">
        <x:f>ROUND(O2843-P2843,2)</x:f>
        <x:v>4439.9</x:v>
      </x:c>
      <x:c r="R2843" s="55" t="n">
        <x:f>IF(O2843=0,0,ROUND(Q2843/O2843,4))</x:f>
        <x:v>0.3276</x:v>
      </x:c>
      <x:c r="S2843" s="53" t="n">
        <x:v>13</x:v>
      </x:c>
      <x:c r="T2843" t="str">
        <x:v>Entregue com atraso</x:v>
      </x:c>
      <x:c r="U2843" t="n">
        <x:v>3</x:v>
      </x:c>
      <x:c r="V2843" t="str"/>
    </x:row>
    <x:row r="2844">
      <x:c r="A2844" s="52" t="n">
        <x:v>46183</x:v>
      </x:c>
      <x:c r="B2844" t="str">
        <x:v>PED-102843</x:v>
      </x:c>
      <x:c r="C2844" t="str">
        <x:v>Cliente 116</x:v>
      </x:c>
      <x:c r="D2844" t="str">
        <x:v>DF</x:v>
      </x:c>
      <x:c r="E2844" t="str">
        <x:v>Centro-Oeste</x:v>
      </x:c>
      <x:c r="F2844" t="str">
        <x:v>Marketplace</x:v>
      </x:c>
      <x:c r="G2844" t="str">
        <x:v>Tecnologia</x:v>
      </x:c>
      <x:c r="H2844" t="str">
        <x:v>Notebook Pro</x:v>
      </x:c>
      <x:c r="I2844" t="str">
        <x:v>Elaine</x:v>
      </x:c>
      <x:c r="J2844" s="53" t="n">
        <x:v>3</x:v>
      </x:c>
      <x:c r="K2844" s="54" t="n">
        <x:v>5733.18</x:v>
      </x:c>
      <x:c r="L2844" s="54" t="n">
        <x:v>4187.47</x:v>
      </x:c>
      <x:c r="M2844" s="55" t="n">
        <x:v>0.035</x:v>
      </x:c>
      <x:c r="N2844" s="54" t="n">
        <x:f>ROUND(J2844*K2844,2)</x:f>
        <x:v>17199.54</x:v>
      </x:c>
      <x:c r="O2844" s="54" t="n">
        <x:f>ROUND(N2844*(1-M2844),2)</x:f>
        <x:v>16597.56</x:v>
      </x:c>
      <x:c r="P2844" s="54" t="n">
        <x:f>ROUND(J2844*L2844,2)</x:f>
        <x:v>12562.41</x:v>
      </x:c>
      <x:c r="Q2844" s="54" t="n">
        <x:f>ROUND(O2844-P2844,2)</x:f>
        <x:v>4035.15</x:v>
      </x:c>
      <x:c r="R2844" s="55" t="n">
        <x:f>IF(O2844=0,0,ROUND(Q2844/O2844,4))</x:f>
        <x:v>0.2431</x:v>
      </x:c>
      <x:c r="S2844" s="53" t="n">
        <x:v>13</x:v>
      </x:c>
      <x:c r="T2844" t="str">
        <x:v>Entregue com atraso</x:v>
      </x:c>
      <x:c r="U2844" t="n">
        <x:v>2</x:v>
      </x:c>
      <x:c r="V2844" t="str"/>
    </x:row>
    <x:row r="2845">
      <x:c r="A2845" s="52" t="n">
        <x:v>46157</x:v>
      </x:c>
      <x:c r="B2845" t="str">
        <x:v>PED-102844</x:v>
      </x:c>
      <x:c r="C2845" t="str">
        <x:v>Cliente 058</x:v>
      </x:c>
      <x:c r="D2845" t="str">
        <x:v>MG</x:v>
      </x:c>
      <x:c r="E2845" t="str">
        <x:v>Sudeste</x:v>
      </x:c>
      <x:c r="F2845" t="str">
        <x:v>Marketplace</x:v>
      </x:c>
      <x:c r="G2845" t="str">
        <x:v>Acessórios</x:v>
      </x:c>
      <x:c r="H2845" t="str">
        <x:v>Webcam HD</x:v>
      </x:c>
      <x:c r="I2845" t="str">
        <x:v>Elaine</x:v>
      </x:c>
      <x:c r="J2845" s="53" t="n">
        <x:v>5</x:v>
      </x:c>
      <x:c r="K2845" s="54" t="n">
        <x:v>493.47</x:v>
      </x:c>
      <x:c r="L2845" s="54" t="n">
        <x:v>237.11</x:v>
      </x:c>
      <x:c r="M2845" s="55" t="n">
        <x:v>0.1649</x:v>
      </x:c>
      <x:c r="N2845" s="54" t="n">
        <x:f>ROUND(J2845*K2845,2)</x:f>
        <x:v>2467.35</x:v>
      </x:c>
      <x:c r="O2845" s="54" t="n">
        <x:f>ROUND(N2845*(1-M2845),2)</x:f>
        <x:v>2060.48</x:v>
      </x:c>
      <x:c r="P2845" s="54" t="n">
        <x:f>ROUND(J2845*L2845,2)</x:f>
        <x:v>1185.55</x:v>
      </x:c>
      <x:c r="Q2845" s="54" t="n">
        <x:f>ROUND(O2845-P2845,2)</x:f>
        <x:v>874.93</x:v>
      </x:c>
      <x:c r="R2845" s="55" t="n">
        <x:f>IF(O2845=0,0,ROUND(Q2845/O2845,4))</x:f>
        <x:v>0.4246</x:v>
      </x:c>
      <x:c r="S2845" s="53" t="n">
        <x:v>2</x:v>
      </x:c>
      <x:c r="T2845" t="str">
        <x:v>Cancelado</x:v>
      </x:c>
      <x:c r="U2845"/>
      <x:c r="V2845" t="str"/>
    </x:row>
    <x:row r="2846">
      <x:c r="A2846" s="52" t="n">
        <x:v>46179</x:v>
      </x:c>
      <x:c r="B2846" t="str">
        <x:v>PED-102845</x:v>
      </x:c>
      <x:c r="C2846" t="str">
        <x:v>Cliente 094</x:v>
      </x:c>
      <x:c r="D2846" t="str">
        <x:v>PE</x:v>
      </x:c>
      <x:c r="E2846" t="str">
        <x:v>Nordeste</x:v>
      </x:c>
      <x:c r="F2846" t="str">
        <x:v>Televendas</x:v>
      </x:c>
      <x:c r="G2846" t="str">
        <x:v>Acessórios</x:v>
      </x:c>
      <x:c r="H2846" t="str">
        <x:v>Mochila Executiva</x:v>
      </x:c>
      <x:c r="I2846" t="str">
        <x:v>Bruno</x:v>
      </x:c>
      <x:c r="J2846" s="53" t="n">
        <x:v>8</x:v>
      </x:c>
      <x:c r="K2846" s="54" t="n">
        <x:v>421.63</x:v>
      </x:c>
      <x:c r="L2846" s="54" t="n">
        <x:v>199.73</x:v>
      </x:c>
      <x:c r="M2846" s="55" t="n">
        <x:v>0.0011</x:v>
      </x:c>
      <x:c r="N2846" s="54" t="n">
        <x:f>ROUND(J2846*K2846,2)</x:f>
        <x:v>3373.04</x:v>
      </x:c>
      <x:c r="O2846" s="54" t="n">
        <x:f>ROUND(N2846*(1-M2846),2)</x:f>
        <x:v>3369.33</x:v>
      </x:c>
      <x:c r="P2846" s="54" t="n">
        <x:f>ROUND(J2846*L2846,2)</x:f>
        <x:v>1597.84</x:v>
      </x:c>
      <x:c r="Q2846" s="54" t="n">
        <x:f>ROUND(O2846-P2846,2)</x:f>
        <x:v>1771.49</x:v>
      </x:c>
      <x:c r="R2846" s="55" t="n">
        <x:f>IF(O2846=0,0,ROUND(Q2846/O2846,4))</x:f>
        <x:v>0.5258</x:v>
      </x:c>
      <x:c r="S2846" s="53" t="n">
        <x:v>4</x:v>
      </x:c>
      <x:c r="T2846" t="str">
        <x:v>Entregue</x:v>
      </x:c>
      <x:c r="U2846" t="n">
        <x:v>4</x:v>
      </x:c>
      <x:c r="V2846" t="str"/>
    </x:row>
    <x:row r="2847">
      <x:c r="A2847" s="52" t="n">
        <x:v>46135</x:v>
      </x:c>
      <x:c r="B2847" t="str">
        <x:v>PED-102846</x:v>
      </x:c>
      <x:c r="C2847" t="str">
        <x:v>Cliente 005</x:v>
      </x:c>
      <x:c r="D2847" t="str">
        <x:v>SC</x:v>
      </x:c>
      <x:c r="E2847" t="str">
        <x:v>Sul</x:v>
      </x:c>
      <x:c r="F2847" t="str">
        <x:v>E-commerce</x:v>
      </x:c>
      <x:c r="G2847" t="str">
        <x:v>Tecnologia</x:v>
      </x:c>
      <x:c r="H2847" t="str">
        <x:v>Headset Office</x:v>
      </x:c>
      <x:c r="I2847" t="str">
        <x:v>Isabela</x:v>
      </x:c>
      <x:c r="J2847" s="53" t="n">
        <x:v>4</x:v>
      </x:c>
      <x:c r="K2847" s="54" t="n">
        <x:v>405</x:v>
      </x:c>
      <x:c r="L2847" s="54" t="n">
        <x:v>204.03</x:v>
      </x:c>
      <x:c r="M2847" s="55" t="n">
        <x:v>0.0546</x:v>
      </x:c>
      <x:c r="N2847" s="54" t="n">
        <x:f>ROUND(J2847*K2847,2)</x:f>
        <x:v>1620</x:v>
      </x:c>
      <x:c r="O2847" s="54" t="n">
        <x:f>ROUND(N2847*(1-M2847),2)</x:f>
        <x:v>1531.55</x:v>
      </x:c>
      <x:c r="P2847" s="54" t="n">
        <x:f>ROUND(J2847*L2847,2)</x:f>
        <x:v>816.12</x:v>
      </x:c>
      <x:c r="Q2847" s="54" t="n">
        <x:f>ROUND(O2847-P2847,2)</x:f>
        <x:v>715.43</x:v>
      </x:c>
      <x:c r="R2847" s="55" t="n">
        <x:f>IF(O2847=0,0,ROUND(Q2847/O2847,4))</x:f>
        <x:v>0.4671</x:v>
      </x:c>
      <x:c r="S2847" s="53" t="n">
        <x:v>5</x:v>
      </x:c>
      <x:c r="T2847" t="str">
        <x:v>Entregue</x:v>
      </x:c>
      <x:c r="U2847" t="n">
        <x:v>2</x:v>
      </x:c>
      <x:c r="V2847" t="str"/>
    </x:row>
    <x:row r="2848">
      <x:c r="A2848" s="52" t="n">
        <x:v>46163</x:v>
      </x:c>
      <x:c r="B2848" t="str">
        <x:v>PED-102847</x:v>
      </x:c>
      <x:c r="C2848" t="str">
        <x:v>Cliente 119</x:v>
      </x:c>
      <x:c r="D2848" t="str">
        <x:v>SP</x:v>
      </x:c>
      <x:c r="E2848" t="str">
        <x:v>Sudeste</x:v>
      </x:c>
      <x:c r="F2848" t="str">
        <x:v>Televendas</x:v>
      </x:c>
      <x:c r="G2848" t="str">
        <x:v>Escritório</x:v>
      </x:c>
      <x:c r="H2848" t="str">
        <x:v>Cadeira Ergonômica</x:v>
      </x:c>
      <x:c r="I2848" t="str">
        <x:v>Felipe</x:v>
      </x:c>
      <x:c r="J2848" s="53" t="n">
        <x:v>6</x:v>
      </x:c>
      <x:c r="K2848" s="54" t="n">
        <x:v>2134.31</x:v>
      </x:c>
      <x:c r="L2848" s="54" t="n">
        <x:v>1473.66</x:v>
      </x:c>
      <x:c r="M2848" s="55" t="n">
        <x:v>0</x:v>
      </x:c>
      <x:c r="N2848" s="54" t="n">
        <x:f>ROUND(J2848*K2848,2)</x:f>
        <x:v>12805.86</x:v>
      </x:c>
      <x:c r="O2848" s="54" t="n">
        <x:f>ROUND(N2848*(1-M2848),2)</x:f>
        <x:v>12805.86</x:v>
      </x:c>
      <x:c r="P2848" s="54" t="n">
        <x:f>ROUND(J2848*L2848,2)</x:f>
        <x:v>8841.96</x:v>
      </x:c>
      <x:c r="Q2848" s="54" t="n">
        <x:f>ROUND(O2848-P2848,2)</x:f>
        <x:v>3963.9</x:v>
      </x:c>
      <x:c r="R2848" s="55" t="n">
        <x:f>IF(O2848=0,0,ROUND(Q2848/O2848,4))</x:f>
        <x:v>0.3095</x:v>
      </x:c>
      <x:c r="S2848" s="53" t="n">
        <x:v>3</x:v>
      </x:c>
      <x:c r="T2848" t="str">
        <x:v>Entregue</x:v>
      </x:c>
      <x:c r="U2848" t="n">
        <x:v>4</x:v>
      </x:c>
      <x:c r="V2848" t="str"/>
    </x:row>
    <x:row r="2849">
      <x:c r="A2849" s="52" t="n">
        <x:v>46052</x:v>
      </x:c>
      <x:c r="B2849" t="str">
        <x:v>PED-102848</x:v>
      </x:c>
      <x:c r="C2849" t="str">
        <x:v>Cliente 048</x:v>
      </x:c>
      <x:c r="D2849" t="str">
        <x:v>PA</x:v>
      </x:c>
      <x:c r="E2849" t="str">
        <x:v>Norte</x:v>
      </x:c>
      <x:c r="F2849" t="str">
        <x:v>Loja</x:v>
      </x:c>
      <x:c r="G2849" t="str">
        <x:v>Acessórios</x:v>
      </x:c>
      <x:c r="H2849" t="str">
        <x:v>Mochila Executiva</x:v>
      </x:c>
      <x:c r="I2849" t="str">
        <x:v>Carla</x:v>
      </x:c>
      <x:c r="J2849" s="53" t="n">
        <x:v>1</x:v>
      </x:c>
      <x:c r="K2849" s="54" t="n">
        <x:v>404.7</x:v>
      </x:c>
      <x:c r="L2849" s="54" t="n">
        <x:v>193.96</x:v>
      </x:c>
      <x:c r="M2849" s="55" t="n">
        <x:v>0</x:v>
      </x:c>
      <x:c r="N2849" s="54" t="n">
        <x:f>ROUND(J2849*K2849,2)</x:f>
        <x:v>404.7</x:v>
      </x:c>
      <x:c r="O2849" s="54" t="n">
        <x:f>ROUND(N2849*(1-M2849),2)</x:f>
        <x:v>404.7</x:v>
      </x:c>
      <x:c r="P2849" s="54" t="n">
        <x:f>ROUND(J2849*L2849,2)</x:f>
        <x:v>193.96</x:v>
      </x:c>
      <x:c r="Q2849" s="54" t="n">
        <x:f>ROUND(O2849-P2849,2)</x:f>
        <x:v>210.74</x:v>
      </x:c>
      <x:c r="R2849" s="55" t="n">
        <x:f>IF(O2849=0,0,ROUND(Q2849/O2849,4))</x:f>
        <x:v>0.5207</x:v>
      </x:c>
      <x:c r="S2849" s="53" t="n">
        <x:v>19</x:v>
      </x:c>
      <x:c r="T2849" t="str">
        <x:v>Entregue com atraso</x:v>
      </x:c>
      <x:c r="U2849" t="n">
        <x:v>2</x:v>
      </x:c>
      <x:c r="V2849" t="str">
        <x:v>Ocorrência logística</x:v>
      </x:c>
    </x:row>
    <x:row r="2850">
      <x:c r="A2850" s="52" t="n">
        <x:v>46160</x:v>
      </x:c>
      <x:c r="B2850" t="str">
        <x:v>PED-102849</x:v>
      </x:c>
      <x:c r="C2850" t="str">
        <x:v>Cliente 105</x:v>
      </x:c>
      <x:c r="D2850" t="str">
        <x:v>MT</x:v>
      </x:c>
      <x:c r="E2850" t="str">
        <x:v>Centro-Oeste</x:v>
      </x:c>
      <x:c r="F2850" t="str">
        <x:v>E-commerce</x:v>
      </x:c>
      <x:c r="G2850" t="str">
        <x:v>Escritório</x:v>
      </x:c>
      <x:c r="H2850" t="str">
        <x:v>Luminária LED</x:v>
      </x:c>
      <x:c r="I2850" t="str">
        <x:v>Felipe</x:v>
      </x:c>
      <x:c r="J2850" s="53" t="n">
        <x:v>5</x:v>
      </x:c>
      <x:c r="K2850" s="54" t="n">
        <x:v>251.98</x:v>
      </x:c>
      <x:c r="L2850" s="54" t="n">
        <x:v>114.49</x:v>
      </x:c>
      <x:c r="M2850" s="55" t="n">
        <x:v>0.027</x:v>
      </x:c>
      <x:c r="N2850" s="54" t="n">
        <x:f>ROUND(J2850*K2850,2)</x:f>
        <x:v>1259.9</x:v>
      </x:c>
      <x:c r="O2850" s="54" t="n">
        <x:f>ROUND(N2850*(1-M2850),2)</x:f>
        <x:v>1225.88</x:v>
      </x:c>
      <x:c r="P2850" s="54" t="n">
        <x:f>ROUND(J2850*L2850,2)</x:f>
        <x:v>572.45</x:v>
      </x:c>
      <x:c r="Q2850" s="54" t="n">
        <x:f>ROUND(O2850-P2850,2)</x:f>
        <x:v>653.43</x:v>
      </x:c>
      <x:c r="R2850" s="55" t="n">
        <x:f>IF(O2850=0,0,ROUND(Q2850/O2850,4))</x:f>
        <x:v>0.533</x:v>
      </x:c>
      <x:c r="S2850" s="53" t="n">
        <x:v>12</x:v>
      </x:c>
      <x:c r="T2850" t="str">
        <x:v>Entregue com atraso</x:v>
      </x:c>
      <x:c r="U2850" t="n">
        <x:v>4</x:v>
      </x:c>
      <x:c r="V2850" t="str"/>
    </x:row>
    <x:row r="2851">
      <x:c r="A2851" s="52" t="n">
        <x:v>46210</x:v>
      </x:c>
      <x:c r="B2851" t="str">
        <x:v>PED-102850</x:v>
      </x:c>
      <x:c r="C2851" t="str">
        <x:v>Cliente 057</x:v>
      </x:c>
      <x:c r="D2851" t="str">
        <x:v>PR</x:v>
      </x:c>
      <x:c r="E2851" t="str">
        <x:v>Sul</x:v>
      </x:c>
      <x:c r="F2851" t="str">
        <x:v>Marketplace</x:v>
      </x:c>
      <x:c r="G2851" t="str">
        <x:v>Tecnologia</x:v>
      </x:c>
      <x:c r="H2851" t="str">
        <x:v>Monitor 27</x:v>
      </x:c>
      <x:c r="I2851" t="str">
        <x:v>João</x:v>
      </x:c>
      <x:c r="J2851" s="53" t="n">
        <x:v>7</x:v>
      </x:c>
      <x:c r="K2851" s="54" t="n">
        <x:v>1766.77</x:v>
      </x:c>
      <x:c r="L2851" s="54" t="n">
        <x:v>1088.97</x:v>
      </x:c>
      <x:c r="M2851" s="55" t="n">
        <x:v>0.1359</x:v>
      </x:c>
      <x:c r="N2851" s="54" t="n">
        <x:f>ROUND(J2851*K2851,2)</x:f>
        <x:v>12367.39</x:v>
      </x:c>
      <x:c r="O2851" s="54" t="n">
        <x:f>ROUND(N2851*(1-M2851),2)</x:f>
        <x:v>10686.66</x:v>
      </x:c>
      <x:c r="P2851" s="54" t="n">
        <x:f>ROUND(J2851*L2851,2)</x:f>
        <x:v>7622.79</x:v>
      </x:c>
      <x:c r="Q2851" s="54" t="n">
        <x:f>ROUND(O2851-P2851,2)</x:f>
        <x:v>3063.87</x:v>
      </x:c>
      <x:c r="R2851" s="55" t="n">
        <x:f>IF(O2851=0,0,ROUND(Q2851/O2851,4))</x:f>
        <x:v>0.2867</x:v>
      </x:c>
      <x:c r="S2851" s="53" t="n">
        <x:v>13</x:v>
      </x:c>
      <x:c r="T2851" t="str">
        <x:v>Entregue com atraso</x:v>
      </x:c>
      <x:c r="U2851" t="n">
        <x:v>5</x:v>
      </x:c>
      <x:c r="V2851" t="str"/>
    </x:row>
    <x:row r="2852">
      <x:c r="A2852" s="52" t="n">
        <x:v>46138</x:v>
      </x:c>
      <x:c r="B2852" t="str">
        <x:v>PED-102851</x:v>
      </x:c>
      <x:c r="C2852" t="str">
        <x:v>Cliente 067</x:v>
      </x:c>
      <x:c r="D2852" t="str">
        <x:v>AM</x:v>
      </x:c>
      <x:c r="E2852" t="str">
        <x:v>Norte</x:v>
      </x:c>
      <x:c r="F2852" t="str">
        <x:v>E-commerce</x:v>
      </x:c>
      <x:c r="G2852" t="str">
        <x:v>Acessórios</x:v>
      </x:c>
      <x:c r="H2852" t="str">
        <x:v>Mochila Executiva</x:v>
      </x:c>
      <x:c r="I2852" t="str">
        <x:v>Felipe</x:v>
      </x:c>
      <x:c r="J2852" s="53" t="n">
        <x:v>4</x:v>
      </x:c>
      <x:c r="K2852" s="54" t="n">
        <x:v>410.81</x:v>
      </x:c>
      <x:c r="L2852" s="54" t="n">
        <x:v>190.66</x:v>
      </x:c>
      <x:c r="M2852" s="55" t="n">
        <x:v>0.0903</x:v>
      </x:c>
      <x:c r="N2852" s="54" t="n">
        <x:f>ROUND(J2852*K2852,2)</x:f>
        <x:v>1643.24</x:v>
      </x:c>
      <x:c r="O2852" s="54" t="n">
        <x:f>ROUND(N2852*(1-M2852),2)</x:f>
        <x:v>1494.86</x:v>
      </x:c>
      <x:c r="P2852" s="54" t="n">
        <x:f>ROUND(J2852*L2852,2)</x:f>
        <x:v>762.64</x:v>
      </x:c>
      <x:c r="Q2852" s="54" t="n">
        <x:f>ROUND(O2852-P2852,2)</x:f>
        <x:v>732.22</x:v>
      </x:c>
      <x:c r="R2852" s="55" t="n">
        <x:f>IF(O2852=0,0,ROUND(Q2852/O2852,4))</x:f>
        <x:v>0.4898</x:v>
      </x:c>
      <x:c r="S2852" s="53" t="n">
        <x:v>9</x:v>
      </x:c>
      <x:c r="T2852" t="str">
        <x:v>Entregue</x:v>
      </x:c>
      <x:c r="U2852" t="n">
        <x:v>3</x:v>
      </x:c>
      <x:c r="V2852" t="str"/>
    </x:row>
    <x:row r="2853">
      <x:c r="A2853" s="52" t="n">
        <x:v>46082</x:v>
      </x:c>
      <x:c r="B2853" t="str">
        <x:v>PED-102852</x:v>
      </x:c>
      <x:c r="C2853" t="str">
        <x:v>Cliente 015</x:v>
      </x:c>
      <x:c r="D2853" t="str">
        <x:v>BA</x:v>
      </x:c>
      <x:c r="E2853" t="str">
        <x:v>Nordeste</x:v>
      </x:c>
      <x:c r="F2853" t="str">
        <x:v>E-commerce</x:v>
      </x:c>
      <x:c r="G2853" t="str">
        <x:v>Escritório</x:v>
      </x:c>
      <x:c r="H2853" t="str">
        <x:v>Luminária LED</x:v>
      </x:c>
      <x:c r="I2853" t="str">
        <x:v>Gabriela</x:v>
      </x:c>
      <x:c r="J2853" s="53" t="n">
        <x:v>1</x:v>
      </x:c>
      <x:c r="K2853" s="54" t="n">
        <x:v>275.34</x:v>
      </x:c>
      <x:c r="L2853" s="54" t="n">
        <x:v>122.78</x:v>
      </x:c>
      <x:c r="M2853" s="55" t="n">
        <x:v>0</x:v>
      </x:c>
      <x:c r="N2853" s="54" t="n">
        <x:f>ROUND(J2853*K2853,2)</x:f>
        <x:v>275.34</x:v>
      </x:c>
      <x:c r="O2853" s="54" t="n">
        <x:f>ROUND(N2853*(1-M2853),2)</x:f>
        <x:v>275.34</x:v>
      </x:c>
      <x:c r="P2853" s="54" t="n">
        <x:f>ROUND(J2853*L2853,2)</x:f>
        <x:v>122.78</x:v>
      </x:c>
      <x:c r="Q2853" s="54" t="n">
        <x:f>ROUND(O2853-P2853,2)</x:f>
        <x:v>152.56</x:v>
      </x:c>
      <x:c r="R2853" s="55" t="n">
        <x:f>IF(O2853=0,0,ROUND(Q2853/O2853,4))</x:f>
        <x:v>0.5541</x:v>
      </x:c>
      <x:c r="S2853" s="53" t="n">
        <x:v>2</x:v>
      </x:c>
      <x:c r="T2853" t="str">
        <x:v>Entregue</x:v>
      </x:c>
      <x:c r="U2853" t="n">
        <x:v>3</x:v>
      </x:c>
      <x:c r="V2853" t="str"/>
    </x:row>
    <x:row r="2854">
      <x:c r="A2854" s="52" t="n">
        <x:v>46210</x:v>
      </x:c>
      <x:c r="B2854" t="str">
        <x:v>PED-102853</x:v>
      </x:c>
      <x:c r="C2854" t="str">
        <x:v>Cliente 072</x:v>
      </x:c>
      <x:c r="D2854" t="str">
        <x:v>RJ</x:v>
      </x:c>
      <x:c r="E2854" t="str">
        <x:v>Sudeste</x:v>
      </x:c>
      <x:c r="F2854" t="str">
        <x:v>Televendas</x:v>
      </x:c>
      <x:c r="G2854" t="str">
        <x:v>Tecnologia</x:v>
      </x:c>
      <x:c r="H2854" t="str">
        <x:v>Headset Office</x:v>
      </x:c>
      <x:c r="I2854" t="str">
        <x:v>Isabela</x:v>
      </x:c>
      <x:c r="J2854" s="53" t="n">
        <x:v>8</x:v>
      </x:c>
      <x:c r="K2854" s="54" t="n">
        <x:v>386.59</x:v>
      </x:c>
      <x:c r="L2854" s="54" t="n">
        <x:v>206.14</x:v>
      </x:c>
      <x:c r="M2854" s="55" t="n">
        <x:v>0.0905</x:v>
      </x:c>
      <x:c r="N2854" s="54" t="n">
        <x:f>ROUND(J2854*K2854,2)</x:f>
        <x:v>3092.72</x:v>
      </x:c>
      <x:c r="O2854" s="54" t="n">
        <x:f>ROUND(N2854*(1-M2854),2)</x:f>
        <x:v>2812.83</x:v>
      </x:c>
      <x:c r="P2854" s="54" t="n">
        <x:f>ROUND(J2854*L2854,2)</x:f>
        <x:v>1649.12</x:v>
      </x:c>
      <x:c r="Q2854" s="54" t="n">
        <x:f>ROUND(O2854-P2854,2)</x:f>
        <x:v>1163.71</x:v>
      </x:c>
      <x:c r="R2854" s="55" t="n">
        <x:f>IF(O2854=0,0,ROUND(Q2854/O2854,4))</x:f>
        <x:v>0.4137</x:v>
      </x:c>
      <x:c r="S2854" s="53" t="n">
        <x:v>13</x:v>
      </x:c>
      <x:c r="T2854" t="str">
        <x:v>Entregue com atraso</x:v>
      </x:c>
      <x:c r="U2854" t="n">
        <x:v>4</x:v>
      </x:c>
      <x:c r="V2854" t="str"/>
    </x:row>
    <x:row r="2855">
      <x:c r="A2855" s="52" t="n">
        <x:v>46042</x:v>
      </x:c>
      <x:c r="B2855" t="str">
        <x:v>PED-102854</x:v>
      </x:c>
      <x:c r="C2855" t="str">
        <x:v>Cliente 044</x:v>
      </x:c>
      <x:c r="D2855" t="str">
        <x:v>CE</x:v>
      </x:c>
      <x:c r="E2855" t="str">
        <x:v>Nordeste</x:v>
      </x:c>
      <x:c r="F2855" t="str">
        <x:v>Loja</x:v>
      </x:c>
      <x:c r="G2855" t="str">
        <x:v>Escritório</x:v>
      </x:c>
      <x:c r="H2855" t="str">
        <x:v>Mesa Ajustável</x:v>
      </x:c>
      <x:c r="I2855" t="str">
        <x:v>Gabriela</x:v>
      </x:c>
      <x:c r="J2855" s="53" t="n">
        <x:v>4</x:v>
      </x:c>
      <x:c r="K2855" s="54" t="n">
        <x:v>2803.71</x:v>
      </x:c>
      <x:c r="L2855" s="54" t="n">
        <x:v>1943.67</x:v>
      </x:c>
      <x:c r="M2855" s="55" t="n">
        <x:v>0.0743</x:v>
      </x:c>
      <x:c r="N2855" s="54" t="n">
        <x:f>ROUND(J2855*K2855,2)</x:f>
        <x:v>11214.84</x:v>
      </x:c>
      <x:c r="O2855" s="54" t="n">
        <x:f>ROUND(N2855*(1-M2855),2)</x:f>
        <x:v>10381.58</x:v>
      </x:c>
      <x:c r="P2855" s="54" t="n">
        <x:f>ROUND(J2855*L2855,2)</x:f>
        <x:v>7774.68</x:v>
      </x:c>
      <x:c r="Q2855" s="54" t="n">
        <x:f>ROUND(O2855-P2855,2)</x:f>
        <x:v>2606.9</x:v>
      </x:c>
      <x:c r="R2855" s="55" t="n">
        <x:f>IF(O2855=0,0,ROUND(Q2855/O2855,4))</x:f>
        <x:v>0.2511</x:v>
      </x:c>
      <x:c r="S2855" s="53" t="n">
        <x:v>4</x:v>
      </x:c>
      <x:c r="T2855" t="str">
        <x:v>Entregue</x:v>
      </x:c>
      <x:c r="U2855" t="n">
        <x:v>5</x:v>
      </x:c>
      <x:c r="V2855" t="str"/>
    </x:row>
    <x:row r="2856">
      <x:c r="A2856" s="52" t="n">
        <x:v>46107</x:v>
      </x:c>
      <x:c r="B2856" t="str">
        <x:v>PED-102855</x:v>
      </x:c>
      <x:c r="C2856" t="str">
        <x:v>Cliente 016</x:v>
      </x:c>
      <x:c r="D2856" t="str">
        <x:v>ES</x:v>
      </x:c>
      <x:c r="E2856" t="str">
        <x:v>Sudeste</x:v>
      </x:c>
      <x:c r="F2856" t="str">
        <x:v>Televendas</x:v>
      </x:c>
      <x:c r="G2856" t="str">
        <x:v>Escritório</x:v>
      </x:c>
      <x:c r="H2856" t="str">
        <x:v>Cadeira Ergonômica</x:v>
      </x:c>
      <x:c r="I2856" t="str">
        <x:v>Bruno</x:v>
      </x:c>
      <x:c r="J2856" s="53" t="n">
        <x:v>3</x:v>
      </x:c>
      <x:c r="K2856" s="54" t="n">
        <x:v>2192.73</x:v>
      </x:c>
      <x:c r="L2856" s="54" t="n">
        <x:v>1460.2</x:v>
      </x:c>
      <x:c r="M2856" s="55" t="n">
        <x:v>0.0472</x:v>
      </x:c>
      <x:c r="N2856" s="54" t="n">
        <x:f>ROUND(J2856*K2856,2)</x:f>
        <x:v>6578.19</x:v>
      </x:c>
      <x:c r="O2856" s="54" t="n">
        <x:f>ROUND(N2856*(1-M2856),2)</x:f>
        <x:v>6267.7</x:v>
      </x:c>
      <x:c r="P2856" s="54" t="n">
        <x:f>ROUND(J2856*L2856,2)</x:f>
        <x:v>4380.6</x:v>
      </x:c>
      <x:c r="Q2856" s="54" t="n">
        <x:f>ROUND(O2856-P2856,2)</x:f>
        <x:v>1887.1</x:v>
      </x:c>
      <x:c r="R2856" s="55" t="n">
        <x:f>IF(O2856=0,0,ROUND(Q2856/O2856,4))</x:f>
        <x:v>0.3011</x:v>
      </x:c>
      <x:c r="S2856" s="53" t="n">
        <x:v>2</x:v>
      </x:c>
      <x:c r="T2856" t="str">
        <x:v>Entregue</x:v>
      </x:c>
      <x:c r="U2856" t="n">
        <x:v>4</x:v>
      </x:c>
      <x:c r="V2856" t="str"/>
    </x:row>
    <x:row r="2857">
      <x:c r="A2857" s="52" t="n">
        <x:v>46074</x:v>
      </x:c>
      <x:c r="B2857" t="str">
        <x:v>PED-102856</x:v>
      </x:c>
      <x:c r="C2857" t="str">
        <x:v>Cliente 105</x:v>
      </x:c>
      <x:c r="D2857" t="str">
        <x:v>MT</x:v>
      </x:c>
      <x:c r="E2857" t="str">
        <x:v>Centro-Oeste</x:v>
      </x:c>
      <x:c r="F2857" t="str">
        <x:v>E-commerce</x:v>
      </x:c>
      <x:c r="G2857" t="str">
        <x:v>Casa</x:v>
      </x:c>
      <x:c r="H2857" t="str">
        <x:v>Cafeteira Smart</x:v>
      </x:c>
      <x:c r="I2857" t="str">
        <x:v>Bruno</x:v>
      </x:c>
      <x:c r="J2857" s="53" t="n">
        <x:v>6</x:v>
      </x:c>
      <x:c r="K2857" s="54" t="n">
        <x:v>761.98</x:v>
      </x:c>
      <x:c r="L2857" s="54" t="n">
        <x:v>457.62</x:v>
      </x:c>
      <x:c r="M2857" s="55" t="n">
        <x:v>0.0433</x:v>
      </x:c>
      <x:c r="N2857" s="54" t="n">
        <x:f>ROUND(J2857*K2857,2)</x:f>
        <x:v>4571.88</x:v>
      </x:c>
      <x:c r="O2857" s="54" t="n">
        <x:f>ROUND(N2857*(1-M2857),2)</x:f>
        <x:v>4373.92</x:v>
      </x:c>
      <x:c r="P2857" s="54" t="n">
        <x:f>ROUND(J2857*L2857,2)</x:f>
        <x:v>2745.72</x:v>
      </x:c>
      <x:c r="Q2857" s="54" t="n">
        <x:f>ROUND(O2857-P2857,2)</x:f>
        <x:v>1628.2</x:v>
      </x:c>
      <x:c r="R2857" s="55" t="n">
        <x:f>IF(O2857=0,0,ROUND(Q2857/O2857,4))</x:f>
        <x:v>0.3723</x:v>
      </x:c>
      <x:c r="S2857" s="53" t="n">
        <x:v>5</x:v>
      </x:c>
      <x:c r="T2857" t="str">
        <x:v>Entregue</x:v>
      </x:c>
      <x:c r="U2857" t="n">
        <x:v>4</x:v>
      </x:c>
      <x:c r="V2857" t="str"/>
    </x:row>
    <x:row r="2858">
      <x:c r="A2858" s="52" t="n">
        <x:v>46101</x:v>
      </x:c>
      <x:c r="B2858" t="str">
        <x:v>PED-102857</x:v>
      </x:c>
      <x:c r="C2858" t="str">
        <x:v>Cliente 113</x:v>
      </x:c>
      <x:c r="D2858" t="str">
        <x:v>MA</x:v>
      </x:c>
      <x:c r="E2858" t="str">
        <x:v>Nordeste</x:v>
      </x:c>
      <x:c r="F2858" t="str">
        <x:v>Televendas</x:v>
      </x:c>
      <x:c r="G2858" t="str">
        <x:v>Escritório</x:v>
      </x:c>
      <x:c r="H2858" t="str">
        <x:v>Cadeira Ergonômica</x:v>
      </x:c>
      <x:c r="I2858" t="str">
        <x:v>Isabela</x:v>
      </x:c>
      <x:c r="J2858" s="53" t="n">
        <x:v>2</x:v>
      </x:c>
      <x:c r="K2858" s="54" t="n">
        <x:v>2311.43</x:v>
      </x:c>
      <x:c r="L2858" s="54" t="n">
        <x:v>1479.41</x:v>
      </x:c>
      <x:c r="M2858" s="55" t="n">
        <x:v>0.0664</x:v>
      </x:c>
      <x:c r="N2858" s="54" t="n">
        <x:f>ROUND(J2858*K2858,2)</x:f>
        <x:v>4622.86</x:v>
      </x:c>
      <x:c r="O2858" s="54" t="n">
        <x:f>ROUND(N2858*(1-M2858),2)</x:f>
        <x:v>4315.9</x:v>
      </x:c>
      <x:c r="P2858" s="54" t="n">
        <x:f>ROUND(J2858*L2858,2)</x:f>
        <x:v>2958.82</x:v>
      </x:c>
      <x:c r="Q2858" s="54" t="n">
        <x:f>ROUND(O2858-P2858,2)</x:f>
        <x:v>1357.08</x:v>
      </x:c>
      <x:c r="R2858" s="55" t="n">
        <x:f>IF(O2858=0,0,ROUND(Q2858/O2858,4))</x:f>
        <x:v>0.3144</x:v>
      </x:c>
      <x:c r="S2858" s="53" t="n">
        <x:v>12</x:v>
      </x:c>
      <x:c r="T2858" t="str">
        <x:v>Entregue com atraso</x:v>
      </x:c>
      <x:c r="U2858" t="n">
        <x:v>3</x:v>
      </x:c>
      <x:c r="V2858" t="str"/>
    </x:row>
    <x:row r="2859">
      <x:c r="A2859" s="52" t="n">
        <x:v>46212</x:v>
      </x:c>
      <x:c r="B2859" t="str">
        <x:v>PED-102858</x:v>
      </x:c>
      <x:c r="C2859" t="str">
        <x:v>Cliente 039</x:v>
      </x:c>
      <x:c r="D2859" t="str">
        <x:v>MA</x:v>
      </x:c>
      <x:c r="E2859" t="str">
        <x:v>Nordeste</x:v>
      </x:c>
      <x:c r="F2859" t="str">
        <x:v>Loja</x:v>
      </x:c>
      <x:c r="G2859" t="str">
        <x:v>Escritório</x:v>
      </x:c>
      <x:c r="H2859" t="str">
        <x:v>Mesa Ajustável</x:v>
      </x:c>
      <x:c r="I2859" t="str">
        <x:v>Elaine</x:v>
      </x:c>
      <x:c r="J2859" s="53" t="n">
        <x:v>7</x:v>
      </x:c>
      <x:c r="K2859" s="54" t="n">
        <x:v>2674.78</x:v>
      </x:c>
      <x:c r="L2859" s="54" t="n">
        <x:v>1881.47</x:v>
      </x:c>
      <x:c r="M2859" s="55" t="n">
        <x:v>0</x:v>
      </x:c>
      <x:c r="N2859" s="54" t="n">
        <x:f>ROUND(J2859*K2859,2)</x:f>
        <x:v>18723.46</x:v>
      </x:c>
      <x:c r="O2859" s="54" t="n">
        <x:f>ROUND(N2859*(1-M2859),2)</x:f>
        <x:v>18723.46</x:v>
      </x:c>
      <x:c r="P2859" s="54" t="n">
        <x:f>ROUND(J2859*L2859,2)</x:f>
        <x:v>13170.29</x:v>
      </x:c>
      <x:c r="Q2859" s="54" t="n">
        <x:f>ROUND(O2859-P2859,2)</x:f>
        <x:v>5553.17</x:v>
      </x:c>
      <x:c r="R2859" s="55" t="n">
        <x:f>IF(O2859=0,0,ROUND(Q2859/O2859,4))</x:f>
        <x:v>0.2966</x:v>
      </x:c>
      <x:c r="S2859" s="53" t="n">
        <x:v>12</x:v>
      </x:c>
      <x:c r="T2859" t="str">
        <x:v>Cancelado</x:v>
      </x:c>
      <x:c r="U2859"/>
      <x:c r="V2859" t="str"/>
    </x:row>
    <x:row r="2860">
      <x:c r="A2860" s="52" t="n">
        <x:v>46132</x:v>
      </x:c>
      <x:c r="B2860" t="str">
        <x:v>PED-102859</x:v>
      </x:c>
      <x:c r="C2860" t="str">
        <x:v>Cliente 014</x:v>
      </x:c>
      <x:c r="D2860" t="str">
        <x:v>MA</x:v>
      </x:c>
      <x:c r="E2860" t="str">
        <x:v>Nordeste</x:v>
      </x:c>
      <x:c r="F2860" t="str">
        <x:v>Marketplace</x:v>
      </x:c>
      <x:c r="G2860" t="str">
        <x:v>Acessórios</x:v>
      </x:c>
      <x:c r="H2860" t="str">
        <x:v>Webcam HD</x:v>
      </x:c>
      <x:c r="I2860" t="str">
        <x:v>João</x:v>
      </x:c>
      <x:c r="J2860" s="53" t="n">
        <x:v>8</x:v>
      </x:c>
      <x:c r="K2860" s="54" t="n">
        <x:v>531.31</x:v>
      </x:c>
      <x:c r="L2860" s="54" t="n">
        <x:v>246.59</x:v>
      </x:c>
      <x:c r="M2860" s="55" t="n">
        <x:v>0.035</x:v>
      </x:c>
      <x:c r="N2860" s="54" t="n">
        <x:f>ROUND(J2860*K2860,2)</x:f>
        <x:v>4250.48</x:v>
      </x:c>
      <x:c r="O2860" s="54" t="n">
        <x:f>ROUND(N2860*(1-M2860),2)</x:f>
        <x:v>4101.71</x:v>
      </x:c>
      <x:c r="P2860" s="54" t="n">
        <x:f>ROUND(J2860*L2860,2)</x:f>
        <x:v>1972.72</x:v>
      </x:c>
      <x:c r="Q2860" s="54" t="n">
        <x:f>ROUND(O2860-P2860,2)</x:f>
        <x:v>2128.99</x:v>
      </x:c>
      <x:c r="R2860" s="55" t="n">
        <x:f>IF(O2860=0,0,ROUND(Q2860/O2860,4))</x:f>
        <x:v>0.519</x:v>
      </x:c>
      <x:c r="S2860" s="53" t="n">
        <x:v>7</x:v>
      </x:c>
      <x:c r="T2860" t="str">
        <x:v>Entregue</x:v>
      </x:c>
      <x:c r="U2860" t="n">
        <x:v>3</x:v>
      </x:c>
      <x:c r="V2860" t="str"/>
    </x:row>
    <x:row r="2861">
      <x:c r="A2861" s="52" t="n">
        <x:v>46219</x:v>
      </x:c>
      <x:c r="B2861" t="str">
        <x:v>PED-102860</x:v>
      </x:c>
      <x:c r="C2861" t="str">
        <x:v>Cliente 071</x:v>
      </x:c>
      <x:c r="D2861" t="str">
        <x:v>RS</x:v>
      </x:c>
      <x:c r="E2861" t="str">
        <x:v>Sul</x:v>
      </x:c>
      <x:c r="F2861" t="str">
        <x:v>Loja</x:v>
      </x:c>
      <x:c r="G2861" t="str">
        <x:v>Escritório</x:v>
      </x:c>
      <x:c r="H2861" t="str">
        <x:v>Cadeira Ergonômica</x:v>
      </x:c>
      <x:c r="I2861" t="str">
        <x:v>Felipe</x:v>
      </x:c>
      <x:c r="J2861" s="53" t="n">
        <x:v>3</x:v>
      </x:c>
      <x:c r="K2861" s="54" t="n">
        <x:v>2227.02</x:v>
      </x:c>
      <x:c r="L2861" s="54" t="n">
        <x:v>1398.37</x:v>
      </x:c>
      <x:c r="M2861" s="55" t="n">
        <x:v>0</x:v>
      </x:c>
      <x:c r="N2861" s="54" t="n">
        <x:f>ROUND(J2861*K2861,2)</x:f>
        <x:v>6681.06</x:v>
      </x:c>
      <x:c r="O2861" s="54" t="n">
        <x:f>ROUND(N2861*(1-M2861),2)</x:f>
        <x:v>6681.06</x:v>
      </x:c>
      <x:c r="P2861" s="54" t="n">
        <x:f>ROUND(J2861*L2861,2)</x:f>
        <x:v>4195.11</x:v>
      </x:c>
      <x:c r="Q2861" s="54" t="n">
        <x:f>ROUND(O2861-P2861,2)</x:f>
        <x:v>2485.95</x:v>
      </x:c>
      <x:c r="R2861" s="55" t="n">
        <x:f>IF(O2861=0,0,ROUND(Q2861/O2861,4))</x:f>
        <x:v>0.3721</x:v>
      </x:c>
      <x:c r="S2861" s="53" t="n">
        <x:v>3</x:v>
      </x:c>
      <x:c r="T2861" t="str">
        <x:v>Entregue</x:v>
      </x:c>
      <x:c r="U2861" t="n">
        <x:v>2</x:v>
      </x:c>
      <x:c r="V2861" t="str"/>
    </x:row>
    <x:row r="2862">
      <x:c r="A2862" s="52" t="n">
        <x:v>46067</x:v>
      </x:c>
      <x:c r="B2862" t="str">
        <x:v>PED-102861</x:v>
      </x:c>
      <x:c r="C2862" t="str">
        <x:v>Cliente 008</x:v>
      </x:c>
      <x:c r="D2862" t="str">
        <x:v>CE</x:v>
      </x:c>
      <x:c r="E2862" t="str">
        <x:v>Nordeste</x:v>
      </x:c>
      <x:c r="F2862" t="str">
        <x:v>Televendas</x:v>
      </x:c>
      <x:c r="G2862" t="str">
        <x:v>Escritório</x:v>
      </x:c>
      <x:c r="H2862" t="str">
        <x:v>Mesa Ajustável</x:v>
      </x:c>
      <x:c r="I2862" t="str">
        <x:v>João</x:v>
      </x:c>
      <x:c r="J2862" s="53" t="n">
        <x:v>5</x:v>
      </x:c>
      <x:c r="K2862" s="54" t="n">
        <x:v>2781.44</x:v>
      </x:c>
      <x:c r="L2862" s="54" t="n">
        <x:v>1921.79</x:v>
      </x:c>
      <x:c r="M2862" s="55" t="n">
        <x:v>0.0704</x:v>
      </x:c>
      <x:c r="N2862" s="54" t="n">
        <x:f>ROUND(J2862*K2862,2)</x:f>
        <x:v>13907.2</x:v>
      </x:c>
      <x:c r="O2862" s="54" t="n">
        <x:f>ROUND(N2862*(1-M2862),2)</x:f>
        <x:v>12928.13</x:v>
      </x:c>
      <x:c r="P2862" s="54" t="n">
        <x:f>ROUND(J2862*L2862,2)</x:f>
        <x:v>9608.95</x:v>
      </x:c>
      <x:c r="Q2862" s="54" t="n">
        <x:f>ROUND(O2862-P2862,2)</x:f>
        <x:v>3319.18</x:v>
      </x:c>
      <x:c r="R2862" s="55" t="n">
        <x:f>IF(O2862=0,0,ROUND(Q2862/O2862,4))</x:f>
        <x:v>0.2567</x:v>
      </x:c>
      <x:c r="S2862" s="53" t="n">
        <x:v>14</x:v>
      </x:c>
      <x:c r="T2862" t="str">
        <x:v>Entregue com atraso</x:v>
      </x:c>
      <x:c r="U2862" t="n">
        <x:v>2</x:v>
      </x:c>
      <x:c r="V2862" t="str"/>
    </x:row>
    <x:row r="2863">
      <x:c r="A2863" s="52" t="n">
        <x:v>46037</x:v>
      </x:c>
      <x:c r="B2863" t="str">
        <x:v>PED-102862</x:v>
      </x:c>
      <x:c r="C2863" t="str">
        <x:v>Cliente 095</x:v>
      </x:c>
      <x:c r="D2863" t="str">
        <x:v>MG</x:v>
      </x:c>
      <x:c r="E2863" t="str">
        <x:v>Sudeste</x:v>
      </x:c>
      <x:c r="F2863" t="str">
        <x:v>E-commerce</x:v>
      </x:c>
      <x:c r="G2863" t="str">
        <x:v>Tecnologia</x:v>
      </x:c>
      <x:c r="H2863" t="str">
        <x:v>Headset Office</x:v>
      </x:c>
      <x:c r="I2863" t="str">
        <x:v>Elaine</x:v>
      </x:c>
      <x:c r="J2863" s="53" t="n">
        <x:v>6</x:v>
      </x:c>
      <x:c r="K2863" s="54" t="n">
        <x:v>381.12</x:v>
      </x:c>
      <x:c r="L2863" s="54" t="n">
        <x:v>211.13</x:v>
      </x:c>
      <x:c r="M2863" s="55" t="n">
        <x:v>0</x:v>
      </x:c>
      <x:c r="N2863" s="54" t="n">
        <x:f>ROUND(J2863*K2863,2)</x:f>
        <x:v>2286.72</x:v>
      </x:c>
      <x:c r="O2863" s="54" t="n">
        <x:f>ROUND(N2863*(1-M2863),2)</x:f>
        <x:v>2286.72</x:v>
      </x:c>
      <x:c r="P2863" s="54" t="n">
        <x:f>ROUND(J2863*L2863,2)</x:f>
        <x:v>1266.78</x:v>
      </x:c>
      <x:c r="Q2863" s="54" t="n">
        <x:f>ROUND(O2863-P2863,2)</x:f>
        <x:v>1019.94</x:v>
      </x:c>
      <x:c r="R2863" s="55" t="n">
        <x:f>IF(O2863=0,0,ROUND(Q2863/O2863,4))</x:f>
        <x:v>0.446</x:v>
      </x:c>
      <x:c r="S2863" s="53" t="n">
        <x:v>4</x:v>
      </x:c>
      <x:c r="T2863" t="str">
        <x:v>Entregue</x:v>
      </x:c>
      <x:c r="U2863" t="n">
        <x:v>2</x:v>
      </x:c>
      <x:c r="V2863" t="str"/>
    </x:row>
    <x:row r="2864">
      <x:c r="A2864" s="52" t="n">
        <x:v>46217</x:v>
      </x:c>
      <x:c r="B2864" t="str">
        <x:v>PED-102863</x:v>
      </x:c>
      <x:c r="C2864" t="str">
        <x:v>Cliente 013</x:v>
      </x:c>
      <x:c r="D2864" t="str">
        <x:v>GO</x:v>
      </x:c>
      <x:c r="E2864" t="str">
        <x:v>Centro-Oeste</x:v>
      </x:c>
      <x:c r="F2864" t="str">
        <x:v>Marketplace</x:v>
      </x:c>
      <x:c r="G2864" t="str">
        <x:v>Acessórios</x:v>
      </x:c>
      <x:c r="H2864" t="str">
        <x:v>Mochila Executiva</x:v>
      </x:c>
      <x:c r="I2864" t="str">
        <x:v>Felipe</x:v>
      </x:c>
      <x:c r="J2864" s="53" t="n">
        <x:v>2</x:v>
      </x:c>
      <x:c r="K2864" s="54" t="n">
        <x:v>431.6</x:v>
      </x:c>
      <x:c r="L2864" s="54" t="n">
        <x:v>195.84</x:v>
      </x:c>
      <x:c r="M2864" s="55" t="n">
        <x:v>0.035</x:v>
      </x:c>
      <x:c r="N2864" s="54" t="n">
        <x:f>ROUND(J2864*K2864,2)</x:f>
        <x:v>863.2</x:v>
      </x:c>
      <x:c r="O2864" s="54" t="n">
        <x:f>ROUND(N2864*(1-M2864),2)</x:f>
        <x:v>832.99</x:v>
      </x:c>
      <x:c r="P2864" s="54" t="n">
        <x:f>ROUND(J2864*L2864,2)</x:f>
        <x:v>391.68</x:v>
      </x:c>
      <x:c r="Q2864" s="54" t="n">
        <x:f>ROUND(O2864-P2864,2)</x:f>
        <x:v>441.31</x:v>
      </x:c>
      <x:c r="R2864" s="55" t="n">
        <x:f>IF(O2864=0,0,ROUND(Q2864/O2864,4))</x:f>
        <x:v>0.5298</x:v>
      </x:c>
      <x:c r="S2864" s="53" t="n">
        <x:v>10</x:v>
      </x:c>
      <x:c r="T2864" t="str">
        <x:v>Entregue</x:v>
      </x:c>
      <x:c r="U2864" t="n">
        <x:v>5</x:v>
      </x:c>
      <x:c r="V2864" t="str"/>
    </x:row>
    <x:row r="2865">
      <x:c r="A2865" s="52" t="n">
        <x:v>46234</x:v>
      </x:c>
      <x:c r="B2865" t="str">
        <x:v>PED-102864</x:v>
      </x:c>
      <x:c r="C2865" t="str">
        <x:v>Cliente 031</x:v>
      </x:c>
      <x:c r="D2865" t="str">
        <x:v>MT</x:v>
      </x:c>
      <x:c r="E2865" t="str">
        <x:v>Centro-Oeste</x:v>
      </x:c>
      <x:c r="F2865" t="str">
        <x:v>E-commerce</x:v>
      </x:c>
      <x:c r="G2865" t="str">
        <x:v>Tecnologia</x:v>
      </x:c>
      <x:c r="H2865" t="str">
        <x:v>Notebook Pro</x:v>
      </x:c>
      <x:c r="I2865" t="str">
        <x:v>Bruno</x:v>
      </x:c>
      <x:c r="J2865" s="53" t="n">
        <x:v>3</x:v>
      </x:c>
      <x:c r="K2865" s="54" t="n">
        <x:v>5556.22</x:v>
      </x:c>
      <x:c r="L2865" s="54" t="n">
        <x:v>4351.37</x:v>
      </x:c>
      <x:c r="M2865" s="55" t="n">
        <x:v>0.0501</x:v>
      </x:c>
      <x:c r="N2865" s="54" t="n">
        <x:f>ROUND(J2865*K2865,2)</x:f>
        <x:v>16668.66</x:v>
      </x:c>
      <x:c r="O2865" s="54" t="n">
        <x:f>ROUND(N2865*(1-M2865),2)</x:f>
        <x:v>15833.56</x:v>
      </x:c>
      <x:c r="P2865" s="54" t="n">
        <x:f>ROUND(J2865*L2865,2)</x:f>
        <x:v>13054.11</x:v>
      </x:c>
      <x:c r="Q2865" s="54" t="n">
        <x:f>ROUND(O2865-P2865,2)</x:f>
        <x:v>2779.45</x:v>
      </x:c>
      <x:c r="R2865" s="55" t="n">
        <x:f>IF(O2865=0,0,ROUND(Q2865/O2865,4))</x:f>
        <x:v>0.1755</x:v>
      </x:c>
      <x:c r="S2865" s="53" t="n">
        <x:v>7</x:v>
      </x:c>
      <x:c r="T2865" t="str">
        <x:v>Entregue</x:v>
      </x:c>
      <x:c r="U2865" t="n">
        <x:v>5</x:v>
      </x:c>
      <x:c r="V2865" t="str"/>
    </x:row>
    <x:row r="2866">
      <x:c r="A2866" s="52" t="n">
        <x:v>46207</x:v>
      </x:c>
      <x:c r="B2866" t="str">
        <x:v>PED-102865</x:v>
      </x:c>
      <x:c r="C2866" t="str">
        <x:v>Cliente 091</x:v>
      </x:c>
      <x:c r="D2866" t="str">
        <x:v>RJ</x:v>
      </x:c>
      <x:c r="E2866" t="str">
        <x:v>Sudeste</x:v>
      </x:c>
      <x:c r="F2866" t="str">
        <x:v>E-commerce</x:v>
      </x:c>
      <x:c r="G2866" t="str">
        <x:v>Tecnologia</x:v>
      </x:c>
      <x:c r="H2866" t="str">
        <x:v>Monitor 27</x:v>
      </x:c>
      <x:c r="I2866" t="str">
        <x:v>Carla</x:v>
      </x:c>
      <x:c r="J2866" s="53" t="n">
        <x:v>5</x:v>
      </x:c>
      <x:c r="K2866" s="54" t="n">
        <x:v>1767.25</x:v>
      </x:c>
      <x:c r="L2866" s="54" t="n">
        <x:v>1118.54</x:v>
      </x:c>
      <x:c r="M2866" s="55" t="n">
        <x:v>0</x:v>
      </x:c>
      <x:c r="N2866" s="54" t="n">
        <x:f>ROUND(J2866*K2866,2)</x:f>
        <x:v>8836.25</x:v>
      </x:c>
      <x:c r="O2866" s="54" t="n">
        <x:f>ROUND(N2866*(1-M2866),2)</x:f>
        <x:v>8836.25</x:v>
      </x:c>
      <x:c r="P2866" s="54" t="n">
        <x:f>ROUND(J2866*L2866,2)</x:f>
        <x:v>5592.7</x:v>
      </x:c>
      <x:c r="Q2866" s="54" t="n">
        <x:f>ROUND(O2866-P2866,2)</x:f>
        <x:v>3243.55</x:v>
      </x:c>
      <x:c r="R2866" s="55" t="n">
        <x:f>IF(O2866=0,0,ROUND(Q2866/O2866,4))</x:f>
        <x:v>0.3671</x:v>
      </x:c>
      <x:c r="S2866" s="53" t="n">
        <x:v>12</x:v>
      </x:c>
      <x:c r="T2866" t="str">
        <x:v>Entregue com atraso</x:v>
      </x:c>
      <x:c r="U2866" t="n">
        <x:v>4</x:v>
      </x:c>
      <x:c r="V2866" t="str"/>
    </x:row>
    <x:row r="2867">
      <x:c r="A2867" s="52" t="n">
        <x:v>46233</x:v>
      </x:c>
      <x:c r="B2867" t="str">
        <x:v>PED-102866</x:v>
      </x:c>
      <x:c r="C2867" t="str">
        <x:v>Cliente 100</x:v>
      </x:c>
      <x:c r="D2867" t="str">
        <x:v>MA</x:v>
      </x:c>
      <x:c r="E2867" t="str">
        <x:v>Nordeste</x:v>
      </x:c>
      <x:c r="F2867" t="str">
        <x:v>Loja</x:v>
      </x:c>
      <x:c r="G2867" t="str">
        <x:v>Acessórios</x:v>
      </x:c>
      <x:c r="H2867" t="str">
        <x:v>Mochila Executiva</x:v>
      </x:c>
      <x:c r="I2867" t="str">
        <x:v>Diego</x:v>
      </x:c>
      <x:c r="J2867" s="53" t="n">
        <x:v>4</x:v>
      </x:c>
      <x:c r="K2867" s="54" t="n">
        <x:v>413.83</x:v>
      </x:c>
      <x:c r="L2867" s="54" t="n">
        <x:v>193.63</x:v>
      </x:c>
      <x:c r="M2867" s="55" t="n">
        <x:v>0.0498</x:v>
      </x:c>
      <x:c r="N2867" s="54" t="n">
        <x:f>ROUND(J2867*K2867,2)</x:f>
        <x:v>1655.32</x:v>
      </x:c>
      <x:c r="O2867" s="54" t="n">
        <x:f>ROUND(N2867*(1-M2867),2)</x:f>
        <x:v>1572.89</x:v>
      </x:c>
      <x:c r="P2867" s="54" t="n">
        <x:f>ROUND(J2867*L2867,2)</x:f>
        <x:v>774.52</x:v>
      </x:c>
      <x:c r="Q2867" s="54" t="n">
        <x:f>ROUND(O2867-P2867,2)</x:f>
        <x:v>798.37</x:v>
      </x:c>
      <x:c r="R2867" s="55" t="n">
        <x:f>IF(O2867=0,0,ROUND(Q2867/O2867,4))</x:f>
        <x:v>0.5076</x:v>
      </x:c>
      <x:c r="S2867" s="53" t="n">
        <x:v>4</x:v>
      </x:c>
      <x:c r="T2867" t="str">
        <x:v>Entregue</x:v>
      </x:c>
      <x:c r="U2867" t="n">
        <x:v>2</x:v>
      </x:c>
      <x:c r="V2867" t="str"/>
    </x:row>
    <x:row r="2868">
      <x:c r="A2868" s="52" t="n">
        <x:v>46188</x:v>
      </x:c>
      <x:c r="B2868" t="str">
        <x:v>PED-102867</x:v>
      </x:c>
      <x:c r="C2868" t="str">
        <x:v>Cliente 086</x:v>
      </x:c>
      <x:c r="D2868" t="str">
        <x:v>PE</x:v>
      </x:c>
      <x:c r="E2868" t="str">
        <x:v>Nordeste</x:v>
      </x:c>
      <x:c r="F2868" t="str">
        <x:v>Televendas</x:v>
      </x:c>
      <x:c r="G2868" t="str">
        <x:v>Casa</x:v>
      </x:c>
      <x:c r="H2868" t="str">
        <x:v>Cafeteira Smart</x:v>
      </x:c>
      <x:c r="I2868" t="str">
        <x:v>Ana</x:v>
      </x:c>
      <x:c r="J2868" s="53" t="n">
        <x:v>4</x:v>
      </x:c>
      <x:c r="K2868" s="54" t="n">
        <x:v>802.3</x:v>
      </x:c>
      <x:c r="L2868" s="54" t="n">
        <x:v>488.48</x:v>
      </x:c>
      <x:c r="M2868" s="55" t="n">
        <x:v>0</x:v>
      </x:c>
      <x:c r="N2868" s="54" t="n">
        <x:f>ROUND(J2868*K2868,2)</x:f>
        <x:v>3209.2</x:v>
      </x:c>
      <x:c r="O2868" s="54" t="n">
        <x:f>ROUND(N2868*(1-M2868),2)</x:f>
        <x:v>3209.2</x:v>
      </x:c>
      <x:c r="P2868" s="54" t="n">
        <x:f>ROUND(J2868*L2868,2)</x:f>
        <x:v>1953.92</x:v>
      </x:c>
      <x:c r="Q2868" s="54" t="n">
        <x:f>ROUND(O2868-P2868,2)</x:f>
        <x:v>1255.28</x:v>
      </x:c>
      <x:c r="R2868" s="55" t="n">
        <x:f>IF(O2868=0,0,ROUND(Q2868/O2868,4))</x:f>
        <x:v>0.3912</x:v>
      </x:c>
      <x:c r="S2868" s="53" t="n">
        <x:v>10</x:v>
      </x:c>
      <x:c r="T2868" t="str">
        <x:v>Entregue</x:v>
      </x:c>
      <x:c r="U2868" t="n">
        <x:v>5</x:v>
      </x:c>
      <x:c r="V2868" t="str"/>
    </x:row>
    <x:row r="2869">
      <x:c r="A2869" s="52" t="n">
        <x:v>46229</x:v>
      </x:c>
      <x:c r="B2869" t="str">
        <x:v>PED-102868</x:v>
      </x:c>
      <x:c r="C2869" t="str">
        <x:v>Cliente 054</x:v>
      </x:c>
      <x:c r="D2869" t="str">
        <x:v>MT</x:v>
      </x:c>
      <x:c r="E2869" t="str">
        <x:v>Centro-Oeste</x:v>
      </x:c>
      <x:c r="F2869" t="str">
        <x:v>Marketplace</x:v>
      </x:c>
      <x:c r="G2869" t="str">
        <x:v>Casa</x:v>
      </x:c>
      <x:c r="H2869" t="str">
        <x:v>Cafeteira Smart</x:v>
      </x:c>
      <x:c r="I2869" t="str">
        <x:v>Henrique</x:v>
      </x:c>
      <x:c r="J2869" s="53" t="n">
        <x:v>1</x:v>
      </x:c>
      <x:c r="K2869" s="54" t="n">
        <x:v>806.91</x:v>
      </x:c>
      <x:c r="L2869" s="54" t="n">
        <x:v>440.79</x:v>
      </x:c>
      <x:c r="M2869" s="55" t="n">
        <x:v>0.1172</x:v>
      </x:c>
      <x:c r="N2869" s="54" t="n">
        <x:f>ROUND(J2869*K2869,2)</x:f>
        <x:v>806.91</x:v>
      </x:c>
      <x:c r="O2869" s="54" t="n">
        <x:f>ROUND(N2869*(1-M2869),2)</x:f>
        <x:v>712.34</x:v>
      </x:c>
      <x:c r="P2869" s="54" t="n">
        <x:f>ROUND(J2869*L2869,2)</x:f>
        <x:v>440.79</x:v>
      </x:c>
      <x:c r="Q2869" s="54" t="n">
        <x:f>ROUND(O2869-P2869,2)</x:f>
        <x:v>271.55</x:v>
      </x:c>
      <x:c r="R2869" s="55" t="n">
        <x:f>IF(O2869=0,0,ROUND(Q2869/O2869,4))</x:f>
        <x:v>0.3812</x:v>
      </x:c>
      <x:c r="S2869" s="53" t="n">
        <x:v>3</x:v>
      </x:c>
      <x:c r="T2869" t="str">
        <x:v>Cancelado</x:v>
      </x:c>
      <x:c r="U2869"/>
      <x:c r="V2869" t="str"/>
    </x:row>
    <x:row r="2870">
      <x:c r="A2870" s="52" t="n">
        <x:v>46138</x:v>
      </x:c>
      <x:c r="B2870" t="str">
        <x:v>PED-102869</x:v>
      </x:c>
      <x:c r="C2870" t="str">
        <x:v>Cliente 022</x:v>
      </x:c>
      <x:c r="D2870" t="str">
        <x:v>RS</x:v>
      </x:c>
      <x:c r="E2870" t="str">
        <x:v>Sul</x:v>
      </x:c>
      <x:c r="F2870" t="str">
        <x:v>Televendas</x:v>
      </x:c>
      <x:c r="G2870" t="str">
        <x:v>Casa</x:v>
      </x:c>
      <x:c r="H2870" t="str">
        <x:v>Cafeteira Smart</x:v>
      </x:c>
      <x:c r="I2870" t="str">
        <x:v>Isabela</x:v>
      </x:c>
      <x:c r="J2870" s="53" t="n">
        <x:v>7</x:v>
      </x:c>
      <x:c r="K2870" s="54" t="n">
        <x:v>834.68</x:v>
      </x:c>
      <x:c r="L2870" s="54" t="n">
        <x:v>437.37</x:v>
      </x:c>
      <x:c r="M2870" s="55" t="n">
        <x:v>0.0087</x:v>
      </x:c>
      <x:c r="N2870" s="54" t="n">
        <x:f>ROUND(J2870*K2870,2)</x:f>
        <x:v>5842.76</x:v>
      </x:c>
      <x:c r="O2870" s="54" t="n">
        <x:f>ROUND(N2870*(1-M2870),2)</x:f>
        <x:v>5791.93</x:v>
      </x:c>
      <x:c r="P2870" s="54" t="n">
        <x:f>ROUND(J2870*L2870,2)</x:f>
        <x:v>3061.59</x:v>
      </x:c>
      <x:c r="Q2870" s="54" t="n">
        <x:f>ROUND(O2870-P2870,2)</x:f>
        <x:v>2730.34</x:v>
      </x:c>
      <x:c r="R2870" s="55" t="n">
        <x:f>IF(O2870=0,0,ROUND(Q2870/O2870,4))</x:f>
        <x:v>0.4714</x:v>
      </x:c>
      <x:c r="S2870" s="53" t="n">
        <x:v>7</x:v>
      </x:c>
      <x:c r="T2870" t="str">
        <x:v>Entregue</x:v>
      </x:c>
      <x:c r="U2870" t="n">
        <x:v>3</x:v>
      </x:c>
      <x:c r="V2870" t="str"/>
    </x:row>
    <x:row r="2871">
      <x:c r="A2871" s="52" t="n">
        <x:v>46205</x:v>
      </x:c>
      <x:c r="B2871" t="str">
        <x:v>PED-102870</x:v>
      </x:c>
      <x:c r="C2871" t="str">
        <x:v>Cliente 082</x:v>
      </x:c>
      <x:c r="D2871" t="str">
        <x:v>RS</x:v>
      </x:c>
      <x:c r="E2871" t="str">
        <x:v>Sul</x:v>
      </x:c>
      <x:c r="F2871" t="str">
        <x:v>Loja</x:v>
      </x:c>
      <x:c r="G2871" t="str">
        <x:v>Acessórios</x:v>
      </x:c>
      <x:c r="H2871" t="str">
        <x:v>Hub USB-C</x:v>
      </x:c>
      <x:c r="I2871" t="str">
        <x:v>Isabela</x:v>
      </x:c>
      <x:c r="J2871" s="53" t="n">
        <x:v>3</x:v>
      </x:c>
      <x:c r="K2871" s="54" t="n">
        <x:v>302.81</x:v>
      </x:c>
      <x:c r="L2871" s="54" t="n">
        <x:v>140.28</x:v>
      </x:c>
      <x:c r="M2871" s="55" t="n">
        <x:v>0.0427</x:v>
      </x:c>
      <x:c r="N2871" s="54" t="n">
        <x:f>ROUND(J2871*K2871,2)</x:f>
        <x:v>908.43</x:v>
      </x:c>
      <x:c r="O2871" s="54" t="n">
        <x:f>ROUND(N2871*(1-M2871),2)</x:f>
        <x:v>869.64</x:v>
      </x:c>
      <x:c r="P2871" s="54" t="n">
        <x:f>ROUND(J2871*L2871,2)</x:f>
        <x:v>420.84</x:v>
      </x:c>
      <x:c r="Q2871" s="54" t="n">
        <x:f>ROUND(O2871-P2871,2)</x:f>
        <x:v>448.8</x:v>
      </x:c>
      <x:c r="R2871" s="55" t="n">
        <x:f>IF(O2871=0,0,ROUND(Q2871/O2871,4))</x:f>
        <x:v>0.5161</x:v>
      </x:c>
      <x:c r="S2871" s="53" t="n">
        <x:v>10</x:v>
      </x:c>
      <x:c r="T2871" t="str">
        <x:v>Entregue</x:v>
      </x:c>
      <x:c r="U2871" t="n">
        <x:v>5</x:v>
      </x:c>
      <x:c r="V2871" t="str"/>
    </x:row>
    <x:row r="2872">
      <x:c r="A2872" s="52" t="n">
        <x:v>46028</x:v>
      </x:c>
      <x:c r="B2872" t="str">
        <x:v>PED-102871</x:v>
      </x:c>
      <x:c r="C2872" t="str">
        <x:v>Cliente 106</x:v>
      </x:c>
      <x:c r="D2872" t="str">
        <x:v>MT</x:v>
      </x:c>
      <x:c r="E2872" t="str">
        <x:v>Centro-Oeste</x:v>
      </x:c>
      <x:c r="F2872" t="str">
        <x:v>Loja</x:v>
      </x:c>
      <x:c r="G2872" t="str">
        <x:v>Casa</x:v>
      </x:c>
      <x:c r="H2872" t="str">
        <x:v>Cafeteira Smart</x:v>
      </x:c>
      <x:c r="I2872" t="str">
        <x:v>Ana</x:v>
      </x:c>
      <x:c r="J2872" s="53" t="n">
        <x:v>1</x:v>
      </x:c>
      <x:c r="K2872" s="54" t="n">
        <x:v>813.13</x:v>
      </x:c>
      <x:c r="L2872" s="54" t="n">
        <x:v>450.52</x:v>
      </x:c>
      <x:c r="M2872" s="55" t="n">
        <x:v>0</x:v>
      </x:c>
      <x:c r="N2872" s="54" t="n">
        <x:f>ROUND(J2872*K2872,2)</x:f>
        <x:v>813.13</x:v>
      </x:c>
      <x:c r="O2872" s="54" t="n">
        <x:f>ROUND(N2872*(1-M2872),2)</x:f>
        <x:v>813.13</x:v>
      </x:c>
      <x:c r="P2872" s="54" t="n">
        <x:f>ROUND(J2872*L2872,2)</x:f>
        <x:v>450.52</x:v>
      </x:c>
      <x:c r="Q2872" s="54" t="n">
        <x:f>ROUND(O2872-P2872,2)</x:f>
        <x:v>362.61</x:v>
      </x:c>
      <x:c r="R2872" s="55" t="n">
        <x:f>IF(O2872=0,0,ROUND(Q2872/O2872,4))</x:f>
        <x:v>0.4459</x:v>
      </x:c>
      <x:c r="S2872" s="53" t="n">
        <x:v>2</x:v>
      </x:c>
      <x:c r="T2872" t="str">
        <x:v>Entregue</x:v>
      </x:c>
      <x:c r="U2872" t="n">
        <x:v>4</x:v>
      </x:c>
      <x:c r="V2872" t="str"/>
    </x:row>
    <x:row r="2873">
      <x:c r="A2873" s="52" t="n">
        <x:v>46199</x:v>
      </x:c>
      <x:c r="B2873" t="str">
        <x:v>PED-102872</x:v>
      </x:c>
      <x:c r="C2873" t="str">
        <x:v>Cliente 055</x:v>
      </x:c>
      <x:c r="D2873" t="str">
        <x:v>ES</x:v>
      </x:c>
      <x:c r="E2873" t="str">
        <x:v>Sudeste</x:v>
      </x:c>
      <x:c r="F2873" t="str">
        <x:v>Loja</x:v>
      </x:c>
      <x:c r="G2873" t="str">
        <x:v>Tecnologia</x:v>
      </x:c>
      <x:c r="H2873" t="str">
        <x:v>Notebook Pro</x:v>
      </x:c>
      <x:c r="I2873" t="str">
        <x:v>Carla</x:v>
      </x:c>
      <x:c r="J2873" s="53" t="n">
        <x:v>3</x:v>
      </x:c>
      <x:c r="K2873" s="54" t="n">
        <x:v>6074.11</x:v>
      </x:c>
      <x:c r="L2873" s="54" t="n">
        <x:v>4258.55</x:v>
      </x:c>
      <x:c r="M2873" s="55" t="n">
        <x:v>0</x:v>
      </x:c>
      <x:c r="N2873" s="54" t="n">
        <x:f>ROUND(J2873*K2873,2)</x:f>
        <x:v>18222.33</x:v>
      </x:c>
      <x:c r="O2873" s="54" t="n">
        <x:f>ROUND(N2873*(1-M2873),2)</x:f>
        <x:v>18222.33</x:v>
      </x:c>
      <x:c r="P2873" s="54" t="n">
        <x:f>ROUND(J2873*L2873,2)</x:f>
        <x:v>12775.65</x:v>
      </x:c>
      <x:c r="Q2873" s="54" t="n">
        <x:f>ROUND(O2873-P2873,2)</x:f>
        <x:v>5446.68</x:v>
      </x:c>
      <x:c r="R2873" s="55" t="n">
        <x:f>IF(O2873=0,0,ROUND(Q2873/O2873,4))</x:f>
        <x:v>0.2989</x:v>
      </x:c>
      <x:c r="S2873" s="53" t="n">
        <x:v>13</x:v>
      </x:c>
      <x:c r="T2873" t="str">
        <x:v>Entregue com atraso</x:v>
      </x:c>
      <x:c r="U2873" t="n">
        <x:v>2</x:v>
      </x:c>
      <x:c r="V2873" t="str"/>
    </x:row>
    <x:row r="2874">
      <x:c r="A2874" s="52" t="n">
        <x:v>46190</x:v>
      </x:c>
      <x:c r="B2874" t="str">
        <x:v>PED-102873</x:v>
      </x:c>
      <x:c r="C2874" t="str">
        <x:v>Cliente 008</x:v>
      </x:c>
      <x:c r="D2874" t="str">
        <x:v>RJ</x:v>
      </x:c>
      <x:c r="E2874" t="str">
        <x:v>Sudeste</x:v>
      </x:c>
      <x:c r="F2874" t="str">
        <x:v>Televendas</x:v>
      </x:c>
      <x:c r="G2874" t="str">
        <x:v>Acessórios</x:v>
      </x:c>
      <x:c r="H2874" t="str">
        <x:v>Mochila Executiva</x:v>
      </x:c>
      <x:c r="I2874" t="str">
        <x:v>Isabela</x:v>
      </x:c>
      <x:c r="J2874" s="53" t="n">
        <x:v>1</x:v>
      </x:c>
      <x:c r="K2874" s="54" t="n">
        <x:v>442.36</x:v>
      </x:c>
      <x:c r="L2874" s="54" t="n">
        <x:v>197.06</x:v>
      </x:c>
      <x:c r="M2874" s="55" t="n">
        <x:v>0.0432</x:v>
      </x:c>
      <x:c r="N2874" s="54" t="n">
        <x:f>ROUND(J2874*K2874,2)</x:f>
        <x:v>442.36</x:v>
      </x:c>
      <x:c r="O2874" s="54" t="n">
        <x:f>ROUND(N2874*(1-M2874),2)</x:f>
        <x:v>423.25</x:v>
      </x:c>
      <x:c r="P2874" s="54" t="n">
        <x:f>ROUND(J2874*L2874,2)</x:f>
        <x:v>197.06</x:v>
      </x:c>
      <x:c r="Q2874" s="54" t="n">
        <x:f>ROUND(O2874-P2874,2)</x:f>
        <x:v>226.19</x:v>
      </x:c>
      <x:c r="R2874" s="55" t="n">
        <x:f>IF(O2874=0,0,ROUND(Q2874/O2874,4))</x:f>
        <x:v>0.5344</x:v>
      </x:c>
      <x:c r="S2874" s="53" t="n">
        <x:v>4</x:v>
      </x:c>
      <x:c r="T2874" t="str">
        <x:v>Entregue</x:v>
      </x:c>
      <x:c r="U2874" t="n">
        <x:v>3</x:v>
      </x:c>
      <x:c r="V2874" t="str"/>
    </x:row>
    <x:row r="2875">
      <x:c r="A2875" s="52" t="n">
        <x:v>46121</x:v>
      </x:c>
      <x:c r="B2875" t="str">
        <x:v>PED-102874</x:v>
      </x:c>
      <x:c r="C2875" t="str">
        <x:v>Cliente 009</x:v>
      </x:c>
      <x:c r="D2875" t="str">
        <x:v>SC</x:v>
      </x:c>
      <x:c r="E2875" t="str">
        <x:v>Sul</x:v>
      </x:c>
      <x:c r="F2875" t="str">
        <x:v>Marketplace</x:v>
      </x:c>
      <x:c r="G2875" t="str">
        <x:v>Casa</x:v>
      </x:c>
      <x:c r="H2875" t="str">
        <x:v>Cafeteira Smart</x:v>
      </x:c>
      <x:c r="I2875" t="str">
        <x:v>Felipe</x:v>
      </x:c>
      <x:c r="J2875" s="53" t="n">
        <x:v>2</x:v>
      </x:c>
      <x:c r="K2875" s="54" t="n">
        <x:v>834.58</x:v>
      </x:c>
      <x:c r="L2875" s="54" t="n">
        <x:v>455.84</x:v>
      </x:c>
      <x:c r="M2875" s="55" t="n">
        <x:v>0.0516</x:v>
      </x:c>
      <x:c r="N2875" s="54" t="n">
        <x:f>ROUND(J2875*K2875,2)</x:f>
        <x:v>1669.16</x:v>
      </x:c>
      <x:c r="O2875" s="54" t="n">
        <x:f>ROUND(N2875*(1-M2875),2)</x:f>
        <x:v>1583.03</x:v>
      </x:c>
      <x:c r="P2875" s="54" t="n">
        <x:f>ROUND(J2875*L2875,2)</x:f>
        <x:v>911.68</x:v>
      </x:c>
      <x:c r="Q2875" s="54" t="n">
        <x:f>ROUND(O2875-P2875,2)</x:f>
        <x:v>671.35</x:v>
      </x:c>
      <x:c r="R2875" s="55" t="n">
        <x:f>IF(O2875=0,0,ROUND(Q2875/O2875,4))</x:f>
        <x:v>0.4241</x:v>
      </x:c>
      <x:c r="S2875" s="53" t="n">
        <x:v>10</x:v>
      </x:c>
      <x:c r="T2875" t="str">
        <x:v>Cancelado</x:v>
      </x:c>
      <x:c r="U2875"/>
      <x:c r="V2875" t="str"/>
    </x:row>
    <x:row r="2876">
      <x:c r="A2876" s="52" t="n">
        <x:v>46120</x:v>
      </x:c>
      <x:c r="B2876" t="str">
        <x:v>PED-102875</x:v>
      </x:c>
      <x:c r="C2876" t="str">
        <x:v>Cliente 023</x:v>
      </x:c>
      <x:c r="D2876" t="str">
        <x:v>BA</x:v>
      </x:c>
      <x:c r="E2876" t="str">
        <x:v>Nordeste</x:v>
      </x:c>
      <x:c r="F2876" t="str">
        <x:v>Televendas</x:v>
      </x:c>
      <x:c r="G2876" t="str">
        <x:v>Escritório</x:v>
      </x:c>
      <x:c r="H2876" t="str">
        <x:v>Luminária LED</x:v>
      </x:c>
      <x:c r="I2876" t="str">
        <x:v>Felipe</x:v>
      </x:c>
      <x:c r="J2876" s="53" t="n">
        <x:v>4</x:v>
      </x:c>
      <x:c r="K2876" s="54" t="n">
        <x:v>273.29</x:v>
      </x:c>
      <x:c r="L2876" s="54" t="n">
        <x:v>122.33</x:v>
      </x:c>
      <x:c r="M2876" s="55" t="n">
        <x:v>0.0556</x:v>
      </x:c>
      <x:c r="N2876" s="54" t="n">
        <x:f>ROUND(J2876*K2876,2)</x:f>
        <x:v>1093.16</x:v>
      </x:c>
      <x:c r="O2876" s="54" t="n">
        <x:f>ROUND(N2876*(1-M2876),2)</x:f>
        <x:v>1032.38</x:v>
      </x:c>
      <x:c r="P2876" s="54" t="n">
        <x:f>ROUND(J2876*L2876,2)</x:f>
        <x:v>489.32</x:v>
      </x:c>
      <x:c r="Q2876" s="54" t="n">
        <x:f>ROUND(O2876-P2876,2)</x:f>
        <x:v>543.06</x:v>
      </x:c>
      <x:c r="R2876" s="55" t="n">
        <x:f>IF(O2876=0,0,ROUND(Q2876/O2876,4))</x:f>
        <x:v>0.526</x:v>
      </x:c>
      <x:c r="S2876" s="53" t="n">
        <x:v>5</x:v>
      </x:c>
      <x:c r="T2876" t="str">
        <x:v>Entregue</x:v>
      </x:c>
      <x:c r="U2876" t="n">
        <x:v>5</x:v>
      </x:c>
      <x:c r="V2876" t="str"/>
    </x:row>
    <x:row r="2877">
      <x:c r="A2877" s="52" t="n">
        <x:v>46209</x:v>
      </x:c>
      <x:c r="B2877" t="str">
        <x:v>PED-102876</x:v>
      </x:c>
      <x:c r="C2877" t="str">
        <x:v>Cliente 039</x:v>
      </x:c>
      <x:c r="D2877" t="str">
        <x:v>DF</x:v>
      </x:c>
      <x:c r="E2877" t="str">
        <x:v>Centro-Oeste</x:v>
      </x:c>
      <x:c r="F2877" t="str">
        <x:v>Loja</x:v>
      </x:c>
      <x:c r="G2877" t="str">
        <x:v>Acessórios</x:v>
      </x:c>
      <x:c r="H2877" t="str">
        <x:v>Webcam HD</x:v>
      </x:c>
      <x:c r="I2877" t="str">
        <x:v>Carla</x:v>
      </x:c>
      <x:c r="J2877" s="53" t="n">
        <x:v>6</x:v>
      </x:c>
      <x:c r="K2877" s="54" t="n">
        <x:v>531.62</x:v>
      </x:c>
      <x:c r="L2877" s="54" t="n">
        <x:v>234.44</x:v>
      </x:c>
      <x:c r="M2877" s="55" t="n">
        <x:v>0.0541</x:v>
      </x:c>
      <x:c r="N2877" s="54" t="n">
        <x:f>ROUND(J2877*K2877,2)</x:f>
        <x:v>3189.72</x:v>
      </x:c>
      <x:c r="O2877" s="54" t="n">
        <x:f>ROUND(N2877*(1-M2877),2)</x:f>
        <x:v>3017.16</x:v>
      </x:c>
      <x:c r="P2877" s="54" t="n">
        <x:f>ROUND(J2877*L2877,2)</x:f>
        <x:v>1406.64</x:v>
      </x:c>
      <x:c r="Q2877" s="54" t="n">
        <x:f>ROUND(O2877-P2877,2)</x:f>
        <x:v>1610.52</x:v>
      </x:c>
      <x:c r="R2877" s="55" t="n">
        <x:f>IF(O2877=0,0,ROUND(Q2877/O2877,4))</x:f>
        <x:v>0.5338</x:v>
      </x:c>
      <x:c r="S2877" s="53" t="n">
        <x:v>9</x:v>
      </x:c>
      <x:c r="T2877" t="str">
        <x:v>Entregue</x:v>
      </x:c>
      <x:c r="U2877" t="n">
        <x:v>2</x:v>
      </x:c>
      <x:c r="V2877" t="str"/>
    </x:row>
    <x:row r="2878">
      <x:c r="A2878" s="52" t="n">
        <x:v>46233</x:v>
      </x:c>
      <x:c r="B2878" t="str">
        <x:v>PED-102877</x:v>
      </x:c>
      <x:c r="C2878" t="str">
        <x:v>Cliente 114</x:v>
      </x:c>
      <x:c r="D2878" t="str">
        <x:v>MA</x:v>
      </x:c>
      <x:c r="E2878" t="str">
        <x:v>Nordeste</x:v>
      </x:c>
      <x:c r="F2878" t="str">
        <x:v>Marketplace</x:v>
      </x:c>
      <x:c r="G2878" t="str">
        <x:v>Casa</x:v>
      </x:c>
      <x:c r="H2878" t="str">
        <x:v>Purificador</x:v>
      </x:c>
      <x:c r="I2878" t="str">
        <x:v>Gabriela</x:v>
      </x:c>
      <x:c r="J2878" s="53" t="n">
        <x:v>8</x:v>
      </x:c>
      <x:c r="K2878" s="54" t="n">
        <x:v>1254.11</x:v>
      </x:c>
      <x:c r="L2878" s="54" t="n">
        <x:v>792.87</x:v>
      </x:c>
      <x:c r="M2878" s="55" t="n">
        <x:v>0.1527</x:v>
      </x:c>
      <x:c r="N2878" s="54" t="n">
        <x:f>ROUND(J2878*K2878,2)</x:f>
        <x:v>10032.88</x:v>
      </x:c>
      <x:c r="O2878" s="54" t="n">
        <x:f>ROUND(N2878*(1-M2878),2)</x:f>
        <x:v>8500.86</x:v>
      </x:c>
      <x:c r="P2878" s="54" t="n">
        <x:f>ROUND(J2878*L2878,2)</x:f>
        <x:v>6342.96</x:v>
      </x:c>
      <x:c r="Q2878" s="54" t="n">
        <x:f>ROUND(O2878-P2878,2)</x:f>
        <x:v>2157.9</x:v>
      </x:c>
      <x:c r="R2878" s="55" t="n">
        <x:f>IF(O2878=0,0,ROUND(Q2878/O2878,4))</x:f>
        <x:v>0.2538</x:v>
      </x:c>
      <x:c r="S2878" s="53" t="n">
        <x:v>6</x:v>
      </x:c>
      <x:c r="T2878" t="str">
        <x:v>Entregue</x:v>
      </x:c>
      <x:c r="U2878" t="n">
        <x:v>3</x:v>
      </x:c>
      <x:c r="V2878" t="str"/>
    </x:row>
    <x:row r="2879">
      <x:c r="A2879" s="52" t="n">
        <x:v>46054</x:v>
      </x:c>
      <x:c r="B2879" t="str">
        <x:v>PED-102878</x:v>
      </x:c>
      <x:c r="C2879" t="str">
        <x:v>Cliente 116</x:v>
      </x:c>
      <x:c r="D2879" t="str">
        <x:v>BA</x:v>
      </x:c>
      <x:c r="E2879" t="str">
        <x:v>Nordeste</x:v>
      </x:c>
      <x:c r="F2879" t="str">
        <x:v>Televendas</x:v>
      </x:c>
      <x:c r="G2879" t="str">
        <x:v>Casa</x:v>
      </x:c>
      <x:c r="H2879" t="str">
        <x:v>Purificador</x:v>
      </x:c>
      <x:c r="I2879" t="str">
        <x:v>Felipe</x:v>
      </x:c>
      <x:c r="J2879" s="53" t="n">
        <x:v>4</x:v>
      </x:c>
      <x:c r="K2879" s="54" t="n">
        <x:v>1228.61</x:v>
      </x:c>
      <x:c r="L2879" s="54" t="n">
        <x:v>835.71</x:v>
      </x:c>
      <x:c r="M2879" s="55" t="n">
        <x:v>0.0977</x:v>
      </x:c>
      <x:c r="N2879" s="54" t="n">
        <x:f>ROUND(J2879*K2879,2)</x:f>
        <x:v>4914.44</x:v>
      </x:c>
      <x:c r="O2879" s="54" t="n">
        <x:f>ROUND(N2879*(1-M2879),2)</x:f>
        <x:v>4434.3</x:v>
      </x:c>
      <x:c r="P2879" s="54" t="n">
        <x:f>ROUND(J2879*L2879,2)</x:f>
        <x:v>3342.84</x:v>
      </x:c>
      <x:c r="Q2879" s="54" t="n">
        <x:f>ROUND(O2879-P2879,2)</x:f>
        <x:v>1091.46</x:v>
      </x:c>
      <x:c r="R2879" s="55" t="n">
        <x:f>IF(O2879=0,0,ROUND(Q2879/O2879,4))</x:f>
        <x:v>0.2461</x:v>
      </x:c>
      <x:c r="S2879" s="53" t="n">
        <x:v>6</x:v>
      </x:c>
      <x:c r="T2879" t="str">
        <x:v>Entregue</x:v>
      </x:c>
      <x:c r="U2879" t="n">
        <x:v>4</x:v>
      </x:c>
      <x:c r="V2879" t="str"/>
    </x:row>
    <x:row r="2880">
      <x:c r="A2880" s="52" t="n">
        <x:v>46139</x:v>
      </x:c>
      <x:c r="B2880" t="str">
        <x:v>PED-102879</x:v>
      </x:c>
      <x:c r="C2880" t="str">
        <x:v>Cliente 055</x:v>
      </x:c>
      <x:c r="D2880" t="str">
        <x:v>GO</x:v>
      </x:c>
      <x:c r="E2880" t="str">
        <x:v>Centro-Oeste</x:v>
      </x:c>
      <x:c r="F2880" t="str">
        <x:v>Televendas</x:v>
      </x:c>
      <x:c r="G2880" t="str">
        <x:v>Escritório</x:v>
      </x:c>
      <x:c r="H2880" t="str">
        <x:v>Cadeira Ergonômica</x:v>
      </x:c>
      <x:c r="I2880" t="str">
        <x:v>Bruno</x:v>
      </x:c>
      <x:c r="J2880" s="53" t="n">
        <x:v>4</x:v>
      </x:c>
      <x:c r="K2880" s="54" t="n">
        <x:v>2100.18</x:v>
      </x:c>
      <x:c r="L2880" s="54" t="n">
        <x:v>1359.02</x:v>
      </x:c>
      <x:c r="M2880" s="55" t="n">
        <x:v>0</x:v>
      </x:c>
      <x:c r="N2880" s="54" t="n">
        <x:f>ROUND(J2880*K2880,2)</x:f>
        <x:v>8400.72</x:v>
      </x:c>
      <x:c r="O2880" s="54" t="n">
        <x:f>ROUND(N2880*(1-M2880),2)</x:f>
        <x:v>8400.72</x:v>
      </x:c>
      <x:c r="P2880" s="54" t="n">
        <x:f>ROUND(J2880*L2880,2)</x:f>
        <x:v>5436.08</x:v>
      </x:c>
      <x:c r="Q2880" s="54" t="n">
        <x:f>ROUND(O2880-P2880,2)</x:f>
        <x:v>2964.64</x:v>
      </x:c>
      <x:c r="R2880" s="55" t="n">
        <x:f>IF(O2880=0,0,ROUND(Q2880/O2880,4))</x:f>
        <x:v>0.3529</x:v>
      </x:c>
      <x:c r="S2880" s="53" t="n">
        <x:v>7</x:v>
      </x:c>
      <x:c r="T2880" t="str">
        <x:v>Entregue</x:v>
      </x:c>
      <x:c r="U2880" t="n">
        <x:v>2</x:v>
      </x:c>
      <x:c r="V2880" t="str"/>
    </x:row>
    <x:row r="2881">
      <x:c r="A2881" s="52" t="n">
        <x:v>46231</x:v>
      </x:c>
      <x:c r="B2881" t="str">
        <x:v>PED-102880</x:v>
      </x:c>
      <x:c r="C2881" t="str">
        <x:v>Cliente 108</x:v>
      </x:c>
      <x:c r="D2881" t="str">
        <x:v>BA</x:v>
      </x:c>
      <x:c r="E2881" t="str">
        <x:v>Nordeste</x:v>
      </x:c>
      <x:c r="F2881" t="str">
        <x:v>Loja</x:v>
      </x:c>
      <x:c r="G2881" t="str">
        <x:v>Tecnologia</x:v>
      </x:c>
      <x:c r="H2881" t="str">
        <x:v>Headset Office</x:v>
      </x:c>
      <x:c r="I2881" t="str">
        <x:v>Isabela</x:v>
      </x:c>
      <x:c r="J2881" s="53" t="n">
        <x:v>4</x:v>
      </x:c>
      <x:c r="K2881" s="54" t="n">
        <x:v>373.96</x:v>
      </x:c>
      <x:c r="L2881" s="54" t="n">
        <x:v>217.42</x:v>
      </x:c>
      <x:c r="M2881" s="55" t="n">
        <x:v>0</x:v>
      </x:c>
      <x:c r="N2881" s="54" t="n">
        <x:f>ROUND(J2881*K2881,2)</x:f>
        <x:v>1495.84</x:v>
      </x:c>
      <x:c r="O2881" s="54" t="n">
        <x:f>ROUND(N2881*(1-M2881),2)</x:f>
        <x:v>1495.84</x:v>
      </x:c>
      <x:c r="P2881" s="54" t="n">
        <x:f>ROUND(J2881*L2881,2)</x:f>
        <x:v>869.68</x:v>
      </x:c>
      <x:c r="Q2881" s="54" t="n">
        <x:f>ROUND(O2881-P2881,2)</x:f>
        <x:v>626.16</x:v>
      </x:c>
      <x:c r="R2881" s="55" t="n">
        <x:f>IF(O2881=0,0,ROUND(Q2881/O2881,4))</x:f>
        <x:v>0.4186</x:v>
      </x:c>
      <x:c r="S2881" s="53" t="n">
        <x:v>9</x:v>
      </x:c>
      <x:c r="T2881" t="str">
        <x:v>Entregue</x:v>
      </x:c>
      <x:c r="U2881" t="n">
        <x:v>5</x:v>
      </x:c>
      <x:c r="V2881" t="str"/>
    </x:row>
    <x:row r="2882">
      <x:c r="A2882" s="52" t="n">
        <x:v>46145</x:v>
      </x:c>
      <x:c r="B2882" t="str">
        <x:v>PED-102881</x:v>
      </x:c>
      <x:c r="C2882" t="str">
        <x:v>Cliente 060</x:v>
      </x:c>
      <x:c r="D2882" t="str">
        <x:v>PA</x:v>
      </x:c>
      <x:c r="E2882" t="str">
        <x:v>Norte</x:v>
      </x:c>
      <x:c r="F2882" t="str">
        <x:v>E-commerce</x:v>
      </x:c>
      <x:c r="G2882" t="str">
        <x:v>Escritório</x:v>
      </x:c>
      <x:c r="H2882" t="str">
        <x:v>Luminária LED</x:v>
      </x:c>
      <x:c r="I2882" t="str">
        <x:v>Ana</x:v>
      </x:c>
      <x:c r="J2882" s="53" t="n">
        <x:v>4</x:v>
      </x:c>
      <x:c r="K2882" s="54" t="n">
        <x:v>253.29</x:v>
      </x:c>
      <x:c r="L2882" s="54" t="n">
        <x:v>118.21</x:v>
      </x:c>
      <x:c r="M2882" s="55" t="n">
        <x:v>0.1018</x:v>
      </x:c>
      <x:c r="N2882" s="54" t="n">
        <x:f>ROUND(J2882*K2882,2)</x:f>
        <x:v>1013.16</x:v>
      </x:c>
      <x:c r="O2882" s="54" t="n">
        <x:f>ROUND(N2882*(1-M2882),2)</x:f>
        <x:v>910.02</x:v>
      </x:c>
      <x:c r="P2882" s="54" t="n">
        <x:f>ROUND(J2882*L2882,2)</x:f>
        <x:v>472.84</x:v>
      </x:c>
      <x:c r="Q2882" s="54" t="n">
        <x:f>ROUND(O2882-P2882,2)</x:f>
        <x:v>437.18</x:v>
      </x:c>
      <x:c r="R2882" s="55" t="n">
        <x:f>IF(O2882=0,0,ROUND(Q2882/O2882,4))</x:f>
        <x:v>0.4804</x:v>
      </x:c>
      <x:c r="S2882" s="53" t="n">
        <x:v>14</x:v>
      </x:c>
      <x:c r="T2882" t="str">
        <x:v>Entregue com atraso</x:v>
      </x:c>
      <x:c r="U2882" t="n">
        <x:v>5</x:v>
      </x:c>
      <x:c r="V2882" t="str"/>
    </x:row>
    <x:row r="2883">
      <x:c r="A2883" s="52" t="n">
        <x:v>46198</x:v>
      </x:c>
      <x:c r="B2883" t="str">
        <x:v>PED-102882</x:v>
      </x:c>
      <x:c r="C2883" t="str">
        <x:v>Cliente 106</x:v>
      </x:c>
      <x:c r="D2883" t="str">
        <x:v>RJ</x:v>
      </x:c>
      <x:c r="E2883" t="str">
        <x:v>Sudeste</x:v>
      </x:c>
      <x:c r="F2883" t="str">
        <x:v>E-commerce</x:v>
      </x:c>
      <x:c r="G2883" t="str">
        <x:v>Casa</x:v>
      </x:c>
      <x:c r="H2883" t="str">
        <x:v>Aspirador Robô</x:v>
      </x:c>
      <x:c r="I2883" t="str">
        <x:v>Carla</x:v>
      </x:c>
      <x:c r="J2883" s="53" t="n">
        <x:v>2</x:v>
      </x:c>
      <x:c r="K2883" s="54" t="n">
        <x:v>1796.76</x:v>
      </x:c>
      <x:c r="L2883" s="54" t="n">
        <x:v>1150.79</x:v>
      </x:c>
      <x:c r="M2883" s="55" t="n">
        <x:v>0</x:v>
      </x:c>
      <x:c r="N2883" s="54" t="n">
        <x:f>ROUND(J2883*K2883,2)</x:f>
        <x:v>3593.52</x:v>
      </x:c>
      <x:c r="O2883" s="54" t="n">
        <x:f>ROUND(N2883*(1-M2883),2)</x:f>
        <x:v>3593.52</x:v>
      </x:c>
      <x:c r="P2883" s="54" t="n">
        <x:f>ROUND(J2883*L2883,2)</x:f>
        <x:v>2301.58</x:v>
      </x:c>
      <x:c r="Q2883" s="54" t="n">
        <x:f>ROUND(O2883-P2883,2)</x:f>
        <x:v>1291.94</x:v>
      </x:c>
      <x:c r="R2883" s="55" t="n">
        <x:f>IF(O2883=0,0,ROUND(Q2883/O2883,4))</x:f>
        <x:v>0.3595</x:v>
      </x:c>
      <x:c r="S2883" s="53" t="n">
        <x:v>12</x:v>
      </x:c>
      <x:c r="T2883" t="str">
        <x:v>Entregue com atraso</x:v>
      </x:c>
      <x:c r="U2883" t="n">
        <x:v>5</x:v>
      </x:c>
      <x:c r="V2883" t="str"/>
    </x:row>
    <x:row r="2884">
      <x:c r="A2884" s="52" t="n">
        <x:v>46023</x:v>
      </x:c>
      <x:c r="B2884" t="str">
        <x:v>PED-102883</x:v>
      </x:c>
      <x:c r="C2884" t="str">
        <x:v>Cliente 115</x:v>
      </x:c>
      <x:c r="D2884" t="str">
        <x:v>MA</x:v>
      </x:c>
      <x:c r="E2884" t="str">
        <x:v>Nordeste</x:v>
      </x:c>
      <x:c r="F2884" t="str">
        <x:v>Loja</x:v>
      </x:c>
      <x:c r="G2884" t="str">
        <x:v>Escritório</x:v>
      </x:c>
      <x:c r="H2884" t="str">
        <x:v>Cadeira Ergonômica</x:v>
      </x:c>
      <x:c r="I2884" t="str">
        <x:v>Elaine</x:v>
      </x:c>
      <x:c r="J2884" s="53" t="n">
        <x:v>7</x:v>
      </x:c>
      <x:c r="K2884" s="54" t="n">
        <x:v>2228.34</x:v>
      </x:c>
      <x:c r="L2884" s="54" t="n">
        <x:v>1445.32</x:v>
      </x:c>
      <x:c r="M2884" s="55" t="n">
        <x:v>0</x:v>
      </x:c>
      <x:c r="N2884" s="54" t="n">
        <x:f>ROUND(J2884*K2884,2)</x:f>
        <x:v>15598.38</x:v>
      </x:c>
      <x:c r="O2884" s="54" t="n">
        <x:f>ROUND(N2884*(1-M2884),2)</x:f>
        <x:v>15598.38</x:v>
      </x:c>
      <x:c r="P2884" s="54" t="n">
        <x:f>ROUND(J2884*L2884,2)</x:f>
        <x:v>10117.24</x:v>
      </x:c>
      <x:c r="Q2884" s="54" t="n">
        <x:f>ROUND(O2884-P2884,2)</x:f>
        <x:v>5481.14</x:v>
      </x:c>
      <x:c r="R2884" s="55" t="n">
        <x:f>IF(O2884=0,0,ROUND(Q2884/O2884,4))</x:f>
        <x:v>0.3514</x:v>
      </x:c>
      <x:c r="S2884" s="53" t="n">
        <x:v>9</x:v>
      </x:c>
      <x:c r="T2884" t="str">
        <x:v>Entregue</x:v>
      </x:c>
      <x:c r="U2884" t="n">
        <x:v>3</x:v>
      </x:c>
      <x:c r="V2884" t="str"/>
    </x:row>
    <x:row r="2885">
      <x:c r="A2885" s="52" t="n">
        <x:v>46161</x:v>
      </x:c>
      <x:c r="B2885" t="str">
        <x:v>PED-102884</x:v>
      </x:c>
      <x:c r="C2885" t="str">
        <x:v>Cliente 014</x:v>
      </x:c>
      <x:c r="D2885" t="str">
        <x:v>MT</x:v>
      </x:c>
      <x:c r="E2885" t="str">
        <x:v>Centro-Oeste</x:v>
      </x:c>
      <x:c r="F2885" t="str">
        <x:v>Loja</x:v>
      </x:c>
      <x:c r="G2885" t="str">
        <x:v>Tecnologia</x:v>
      </x:c>
      <x:c r="H2885" t="str">
        <x:v>Monitor 27</x:v>
      </x:c>
      <x:c r="I2885" t="str">
        <x:v>Henrique</x:v>
      </x:c>
      <x:c r="J2885" s="53" t="n">
        <x:v>2</x:v>
      </x:c>
      <x:c r="K2885" s="54" t="n">
        <x:v>1675.07</x:v>
      </x:c>
      <x:c r="L2885" s="54" t="n">
        <x:v>1037.31</x:v>
      </x:c>
      <x:c r="M2885" s="55" t="n">
        <x:v>0.0131</x:v>
      </x:c>
      <x:c r="N2885" s="54" t="n">
        <x:f>ROUND(J2885*K2885,2)</x:f>
        <x:v>3350.14</x:v>
      </x:c>
      <x:c r="O2885" s="54" t="n">
        <x:f>ROUND(N2885*(1-M2885),2)</x:f>
        <x:v>3306.25</x:v>
      </x:c>
      <x:c r="P2885" s="54" t="n">
        <x:f>ROUND(J2885*L2885,2)</x:f>
        <x:v>2074.62</x:v>
      </x:c>
      <x:c r="Q2885" s="54" t="n">
        <x:f>ROUND(O2885-P2885,2)</x:f>
        <x:v>1231.63</x:v>
      </x:c>
      <x:c r="R2885" s="55" t="n">
        <x:f>IF(O2885=0,0,ROUND(Q2885/O2885,4))</x:f>
        <x:v>0.3725</x:v>
      </x:c>
      <x:c r="S2885" s="53" t="n">
        <x:v>12</x:v>
      </x:c>
      <x:c r="T2885" t="str">
        <x:v>Entregue com atraso</x:v>
      </x:c>
      <x:c r="U2885" t="n">
        <x:v>2</x:v>
      </x:c>
      <x:c r="V2885" t="str"/>
    </x:row>
    <x:row r="2886">
      <x:c r="A2886" s="52" t="n">
        <x:v>46027</x:v>
      </x:c>
      <x:c r="B2886" t="str">
        <x:v>PED-102885</x:v>
      </x:c>
      <x:c r="C2886" t="str">
        <x:v>Cliente 043</x:v>
      </x:c>
      <x:c r="D2886" t="str">
        <x:v>SC</x:v>
      </x:c>
      <x:c r="E2886" t="str">
        <x:v>Sul</x:v>
      </x:c>
      <x:c r="F2886" t="str">
        <x:v>Marketplace</x:v>
      </x:c>
      <x:c r="G2886" t="str">
        <x:v>Casa</x:v>
      </x:c>
      <x:c r="H2886" t="str">
        <x:v>Purificador</x:v>
      </x:c>
      <x:c r="I2886" t="str">
        <x:v>Ana</x:v>
      </x:c>
      <x:c r="J2886" s="53" t="n">
        <x:v>4</x:v>
      </x:c>
      <x:c r="K2886" s="54" t="n">
        <x:v>1231.48</x:v>
      </x:c>
      <x:c r="L2886" s="54" t="n">
        <x:v>780.4</x:v>
      </x:c>
      <x:c r="M2886" s="55" t="n">
        <x:v>0.1639</x:v>
      </x:c>
      <x:c r="N2886" s="54" t="n">
        <x:f>ROUND(J2886*K2886,2)</x:f>
        <x:v>4925.92</x:v>
      </x:c>
      <x:c r="O2886" s="54" t="n">
        <x:f>ROUND(N2886*(1-M2886),2)</x:f>
        <x:v>4118.56</x:v>
      </x:c>
      <x:c r="P2886" s="54" t="n">
        <x:f>ROUND(J2886*L2886,2)</x:f>
        <x:v>3121.6</x:v>
      </x:c>
      <x:c r="Q2886" s="54" t="n">
        <x:f>ROUND(O2886-P2886,2)</x:f>
        <x:v>996.96</x:v>
      </x:c>
      <x:c r="R2886" s="55" t="n">
        <x:f>IF(O2886=0,0,ROUND(Q2886/O2886,4))</x:f>
        <x:v>0.2421</x:v>
      </x:c>
      <x:c r="S2886" s="53" t="n">
        <x:v>10</x:v>
      </x:c>
      <x:c r="T2886" t="str">
        <x:v>Entregue</x:v>
      </x:c>
      <x:c r="U2886" t="n">
        <x:v>2</x:v>
      </x:c>
      <x:c r="V2886" t="str"/>
    </x:row>
    <x:row r="2887">
      <x:c r="A2887" s="52" t="n">
        <x:v>46141</x:v>
      </x:c>
      <x:c r="B2887" t="str">
        <x:v>PED-102886</x:v>
      </x:c>
      <x:c r="C2887" t="str">
        <x:v>Cliente 070</x:v>
      </x:c>
      <x:c r="D2887" t="str">
        <x:v>SC</x:v>
      </x:c>
      <x:c r="E2887" t="str">
        <x:v>Sul</x:v>
      </x:c>
      <x:c r="F2887" t="str">
        <x:v>Televendas</x:v>
      </x:c>
      <x:c r="G2887" t="str">
        <x:v>Acessórios</x:v>
      </x:c>
      <x:c r="H2887" t="str">
        <x:v>Hub USB-C</x:v>
      </x:c>
      <x:c r="I2887" t="str">
        <x:v>João</x:v>
      </x:c>
      <x:c r="J2887" s="53" t="n">
        <x:v>4</x:v>
      </x:c>
      <x:c r="K2887" s="54" t="n">
        <x:v>309.88</x:v>
      </x:c>
      <x:c r="L2887" s="54" t="n">
        <x:v>136.32</x:v>
      </x:c>
      <x:c r="M2887" s="55" t="n">
        <x:v>0</x:v>
      </x:c>
      <x:c r="N2887" s="54" t="n">
        <x:f>ROUND(J2887*K2887,2)</x:f>
        <x:v>1239.52</x:v>
      </x:c>
      <x:c r="O2887" s="54" t="n">
        <x:f>ROUND(N2887*(1-M2887),2)</x:f>
        <x:v>1239.52</x:v>
      </x:c>
      <x:c r="P2887" s="54" t="n">
        <x:f>ROUND(J2887*L2887,2)</x:f>
        <x:v>545.28</x:v>
      </x:c>
      <x:c r="Q2887" s="54" t="n">
        <x:f>ROUND(O2887-P2887,2)</x:f>
        <x:v>694.24</x:v>
      </x:c>
      <x:c r="R2887" s="55" t="n">
        <x:f>IF(O2887=0,0,ROUND(Q2887/O2887,4))</x:f>
        <x:v>0.5601</x:v>
      </x:c>
      <x:c r="S2887" s="53" t="n">
        <x:v>9</x:v>
      </x:c>
      <x:c r="T2887" t="str">
        <x:v>Entregue</x:v>
      </x:c>
      <x:c r="U2887" t="n">
        <x:v>5</x:v>
      </x:c>
      <x:c r="V2887" t="str"/>
    </x:row>
    <x:row r="2888">
      <x:c r="A2888" s="52" t="n">
        <x:v>46213</x:v>
      </x:c>
      <x:c r="B2888" t="str">
        <x:v>PED-102887</x:v>
      </x:c>
      <x:c r="C2888" t="str">
        <x:v>Cliente 023</x:v>
      </x:c>
      <x:c r="D2888" t="str">
        <x:v>PR</x:v>
      </x:c>
      <x:c r="E2888" t="str">
        <x:v>Sul</x:v>
      </x:c>
      <x:c r="F2888" t="str">
        <x:v>Marketplace</x:v>
      </x:c>
      <x:c r="G2888" t="str">
        <x:v>Escritório</x:v>
      </x:c>
      <x:c r="H2888" t="str">
        <x:v>Mesa Ajustável</x:v>
      </x:c>
      <x:c r="I2888" t="str">
        <x:v>Gabriela</x:v>
      </x:c>
      <x:c r="J2888" s="53" t="n">
        <x:v>2</x:v>
      </x:c>
      <x:c r="K2888" s="54" t="n">
        <x:v>2936.32</x:v>
      </x:c>
      <x:c r="L2888" s="54" t="n">
        <x:v>1886.07</x:v>
      </x:c>
      <x:c r="M2888" s="55" t="n">
        <x:v>0.035</x:v>
      </x:c>
      <x:c r="N2888" s="54" t="n">
        <x:f>ROUND(J2888*K2888,2)</x:f>
        <x:v>5872.64</x:v>
      </x:c>
      <x:c r="O2888" s="54" t="n">
        <x:f>ROUND(N2888*(1-M2888),2)</x:f>
        <x:v>5667.1</x:v>
      </x:c>
      <x:c r="P2888" s="54" t="n">
        <x:f>ROUND(J2888*L2888,2)</x:f>
        <x:v>3772.14</x:v>
      </x:c>
      <x:c r="Q2888" s="54" t="n">
        <x:f>ROUND(O2888-P2888,2)</x:f>
        <x:v>1894.96</x:v>
      </x:c>
      <x:c r="R2888" s="55" t="n">
        <x:f>IF(O2888=0,0,ROUND(Q2888/O2888,4))</x:f>
        <x:v>0.3344</x:v>
      </x:c>
      <x:c r="S2888" s="53" t="n">
        <x:v>10</x:v>
      </x:c>
      <x:c r="T2888" t="str">
        <x:v>Entregue</x:v>
      </x:c>
      <x:c r="U2888" t="n">
        <x:v>4</x:v>
      </x:c>
      <x:c r="V2888" t="str"/>
    </x:row>
    <x:row r="2889">
      <x:c r="A2889" s="52" t="n">
        <x:v>46048</x:v>
      </x:c>
      <x:c r="B2889" t="str">
        <x:v>PED-102888</x:v>
      </x:c>
      <x:c r="C2889" t="str">
        <x:v>Cliente 044</x:v>
      </x:c>
      <x:c r="D2889" t="str">
        <x:v>CE</x:v>
      </x:c>
      <x:c r="E2889" t="str">
        <x:v>Nordeste</x:v>
      </x:c>
      <x:c r="F2889" t="str">
        <x:v>Loja</x:v>
      </x:c>
      <x:c r="G2889" t="str">
        <x:v>Acessórios</x:v>
      </x:c>
      <x:c r="H2889" t="str">
        <x:v>Mochila Executiva</x:v>
      </x:c>
      <x:c r="I2889" t="str">
        <x:v>Gabriela</x:v>
      </x:c>
      <x:c r="J2889" s="53" t="n">
        <x:v>7</x:v>
      </x:c>
      <x:c r="K2889" s="54" t="n">
        <x:v>429.59</x:v>
      </x:c>
      <x:c r="L2889" s="54" t="n">
        <x:v>196.37</x:v>
      </x:c>
      <x:c r="M2889" s="55" t="n">
        <x:v>0</x:v>
      </x:c>
      <x:c r="N2889" s="54" t="n">
        <x:f>ROUND(J2889*K2889,2)</x:f>
        <x:v>3007.13</x:v>
      </x:c>
      <x:c r="O2889" s="54" t="n">
        <x:f>ROUND(N2889*(1-M2889),2)</x:f>
        <x:v>3007.13</x:v>
      </x:c>
      <x:c r="P2889" s="54" t="n">
        <x:f>ROUND(J2889*L2889,2)</x:f>
        <x:v>1374.59</x:v>
      </x:c>
      <x:c r="Q2889" s="54" t="n">
        <x:f>ROUND(O2889-P2889,2)</x:f>
        <x:v>1632.54</x:v>
      </x:c>
      <x:c r="R2889" s="55" t="n">
        <x:f>IF(O2889=0,0,ROUND(Q2889/O2889,4))</x:f>
        <x:v>0.5429</x:v>
      </x:c>
      <x:c r="S2889" s="53" t="n">
        <x:v>6</x:v>
      </x:c>
      <x:c r="T2889" t="str">
        <x:v>Entregue</x:v>
      </x:c>
      <x:c r="U2889" t="n">
        <x:v>5</x:v>
      </x:c>
      <x:c r="V2889" t="str"/>
    </x:row>
    <x:row r="2890">
      <x:c r="A2890" s="52" t="n">
        <x:v>46071</x:v>
      </x:c>
      <x:c r="B2890" t="str">
        <x:v>PED-102889</x:v>
      </x:c>
      <x:c r="C2890" t="str">
        <x:v>Cliente 019</x:v>
      </x:c>
      <x:c r="D2890" t="str">
        <x:v>GO</x:v>
      </x:c>
      <x:c r="E2890" t="str">
        <x:v>Centro-Oeste</x:v>
      </x:c>
      <x:c r="F2890" t="str">
        <x:v>Televendas</x:v>
      </x:c>
      <x:c r="G2890" t="str">
        <x:v>Tecnologia</x:v>
      </x:c>
      <x:c r="H2890" t="str">
        <x:v>Headset Office</x:v>
      </x:c>
      <x:c r="I2890" t="str">
        <x:v>Ana</x:v>
      </x:c>
      <x:c r="J2890" s="53" t="n">
        <x:v>6</x:v>
      </x:c>
      <x:c r="K2890" s="54" t="n">
        <x:v>372.81</x:v>
      </x:c>
      <x:c r="L2890" s="54" t="n">
        <x:v>219.22</x:v>
      </x:c>
      <x:c r="M2890" s="55" t="n">
        <x:v>0.0333</x:v>
      </x:c>
      <x:c r="N2890" s="54" t="n">
        <x:f>ROUND(J2890*K2890,2)</x:f>
        <x:v>2236.86</x:v>
      </x:c>
      <x:c r="O2890" s="54" t="n">
        <x:f>ROUND(N2890*(1-M2890),2)</x:f>
        <x:v>2162.37</x:v>
      </x:c>
      <x:c r="P2890" s="54" t="n">
        <x:f>ROUND(J2890*L2890,2)</x:f>
        <x:v>1315.32</x:v>
      </x:c>
      <x:c r="Q2890" s="54" t="n">
        <x:f>ROUND(O2890-P2890,2)</x:f>
        <x:v>847.05</x:v>
      </x:c>
      <x:c r="R2890" s="55" t="n">
        <x:f>IF(O2890=0,0,ROUND(Q2890/O2890,4))</x:f>
        <x:v>0.3917</x:v>
      </x:c>
      <x:c r="S2890" s="53" t="n">
        <x:v>12</x:v>
      </x:c>
      <x:c r="T2890" t="str">
        <x:v>Entregue com atraso</x:v>
      </x:c>
      <x:c r="U2890" t="n">
        <x:v>3</x:v>
      </x:c>
      <x:c r="V2890" t="str"/>
    </x:row>
    <x:row r="2891">
      <x:c r="A2891" s="52" t="n">
        <x:v>46157</x:v>
      </x:c>
      <x:c r="B2891" t="str">
        <x:v>PED-102890</x:v>
      </x:c>
      <x:c r="C2891" t="str">
        <x:v>Cliente 110</x:v>
      </x:c>
      <x:c r="D2891" t="str">
        <x:v>MA</x:v>
      </x:c>
      <x:c r="E2891" t="str">
        <x:v>Nordeste</x:v>
      </x:c>
      <x:c r="F2891" t="str">
        <x:v>Marketplace</x:v>
      </x:c>
      <x:c r="G2891" t="str">
        <x:v>Casa</x:v>
      </x:c>
      <x:c r="H2891" t="str">
        <x:v>Purificador</x:v>
      </x:c>
      <x:c r="I2891" t="str">
        <x:v>Diego</x:v>
      </x:c>
      <x:c r="J2891" s="53" t="n">
        <x:v>1</x:v>
      </x:c>
      <x:c r="K2891" s="54" t="n">
        <x:v>1316.29</x:v>
      </x:c>
      <x:c r="L2891" s="54" t="n">
        <x:v>789.02</x:v>
      </x:c>
      <x:c r="M2891" s="55" t="n">
        <x:v>0.035</x:v>
      </x:c>
      <x:c r="N2891" s="54" t="n">
        <x:f>ROUND(J2891*K2891,2)</x:f>
        <x:v>1316.29</x:v>
      </x:c>
      <x:c r="O2891" s="54" t="n">
        <x:f>ROUND(N2891*(1-M2891),2)</x:f>
        <x:v>1270.22</x:v>
      </x:c>
      <x:c r="P2891" s="54" t="n">
        <x:f>ROUND(J2891*L2891,2)</x:f>
        <x:v>789.02</x:v>
      </x:c>
      <x:c r="Q2891" s="54" t="n">
        <x:f>ROUND(O2891-P2891,2)</x:f>
        <x:v>481.2</x:v>
      </x:c>
      <x:c r="R2891" s="55" t="n">
        <x:f>IF(O2891=0,0,ROUND(Q2891/O2891,4))</x:f>
        <x:v>0.3788</x:v>
      </x:c>
      <x:c r="S2891" s="53" t="n">
        <x:v>11</x:v>
      </x:c>
      <x:c r="T2891" t="str">
        <x:v>Entregue com atraso</x:v>
      </x:c>
      <x:c r="U2891" t="n">
        <x:v>2</x:v>
      </x:c>
      <x:c r="V2891" t="str"/>
    </x:row>
    <x:row r="2892">
      <x:c r="A2892" s="52" t="n">
        <x:v>46156</x:v>
      </x:c>
      <x:c r="B2892" t="str">
        <x:v>PED-102891</x:v>
      </x:c>
      <x:c r="C2892" t="str">
        <x:v>Cliente 120</x:v>
      </x:c>
      <x:c r="D2892" t="str">
        <x:v>SC</x:v>
      </x:c>
      <x:c r="E2892" t="str">
        <x:v>Sul</x:v>
      </x:c>
      <x:c r="F2892" t="str">
        <x:v>E-commerce</x:v>
      </x:c>
      <x:c r="G2892" t="str">
        <x:v>Tecnologia</x:v>
      </x:c>
      <x:c r="H2892" t="str">
        <x:v>Monitor 27</x:v>
      </x:c>
      <x:c r="I2892" t="str">
        <x:v>Diego</x:v>
      </x:c>
      <x:c r="J2892" s="53" t="n">
        <x:v>3</x:v>
      </x:c>
      <x:c r="K2892" s="54" t="n">
        <x:v>1743.71</x:v>
      </x:c>
      <x:c r="L2892" s="54" t="n">
        <x:v>1085.71</x:v>
      </x:c>
      <x:c r="M2892" s="55" t="n">
        <x:v>0</x:v>
      </x:c>
      <x:c r="N2892" s="54" t="n">
        <x:f>ROUND(J2892*K2892,2)</x:f>
        <x:v>5231.13</x:v>
      </x:c>
      <x:c r="O2892" s="54" t="n">
        <x:f>ROUND(N2892*(1-M2892),2)</x:f>
        <x:v>5231.13</x:v>
      </x:c>
      <x:c r="P2892" s="54" t="n">
        <x:f>ROUND(J2892*L2892,2)</x:f>
        <x:v>3257.13</x:v>
      </x:c>
      <x:c r="Q2892" s="54" t="n">
        <x:f>ROUND(O2892-P2892,2)</x:f>
        <x:v>1974</x:v>
      </x:c>
      <x:c r="R2892" s="55" t="n">
        <x:f>IF(O2892=0,0,ROUND(Q2892/O2892,4))</x:f>
        <x:v>0.3774</x:v>
      </x:c>
      <x:c r="S2892" s="53" t="n">
        <x:v>6</x:v>
      </x:c>
      <x:c r="T2892" t="str">
        <x:v>Entregue</x:v>
      </x:c>
      <x:c r="U2892" t="n">
        <x:v>5</x:v>
      </x:c>
      <x:c r="V2892" t="str"/>
    </x:row>
    <x:row r="2893">
      <x:c r="A2893" s="52" t="n">
        <x:v>46226</x:v>
      </x:c>
      <x:c r="B2893" t="str">
        <x:v>PED-102892</x:v>
      </x:c>
      <x:c r="C2893" t="str">
        <x:v>Cliente 032</x:v>
      </x:c>
      <x:c r="D2893" t="str">
        <x:v>MT</x:v>
      </x:c>
      <x:c r="E2893" t="str">
        <x:v>Centro-Oeste</x:v>
      </x:c>
      <x:c r="F2893" t="str">
        <x:v>Marketplace</x:v>
      </x:c>
      <x:c r="G2893" t="str">
        <x:v>Tecnologia</x:v>
      </x:c>
      <x:c r="H2893" t="str">
        <x:v>Headset Office</x:v>
      </x:c>
      <x:c r="I2893" t="str">
        <x:v>João</x:v>
      </x:c>
      <x:c r="J2893" s="53" t="n">
        <x:v>2</x:v>
      </x:c>
      <x:c r="K2893" s="54" t="n">
        <x:v>369.8</x:v>
      </x:c>
      <x:c r="L2893" s="54" t="n">
        <x:v>205.19</x:v>
      </x:c>
      <x:c r="M2893" s="55" t="n">
        <x:v>0.0393</x:v>
      </x:c>
      <x:c r="N2893" s="54" t="n">
        <x:f>ROUND(J2893*K2893,2)</x:f>
        <x:v>739.6</x:v>
      </x:c>
      <x:c r="O2893" s="54" t="n">
        <x:f>ROUND(N2893*(1-M2893),2)</x:f>
        <x:v>710.53</x:v>
      </x:c>
      <x:c r="P2893" s="54" t="n">
        <x:f>ROUND(J2893*L2893,2)</x:f>
        <x:v>410.38</x:v>
      </x:c>
      <x:c r="Q2893" s="54" t="n">
        <x:f>ROUND(O2893-P2893,2)</x:f>
        <x:v>300.15</x:v>
      </x:c>
      <x:c r="R2893" s="55" t="n">
        <x:f>IF(O2893=0,0,ROUND(Q2893/O2893,4))</x:f>
        <x:v>0.4224</x:v>
      </x:c>
      <x:c r="S2893" s="53" t="n">
        <x:v>13</x:v>
      </x:c>
      <x:c r="T2893" t="str">
        <x:v>Entregue com atraso</x:v>
      </x:c>
      <x:c r="U2893" t="n">
        <x:v>4</x:v>
      </x:c>
      <x:c r="V2893" t="str"/>
    </x:row>
    <x:row r="2894">
      <x:c r="A2894" s="52" t="n">
        <x:v>46214</x:v>
      </x:c>
      <x:c r="B2894" t="str">
        <x:v>PED-102893</x:v>
      </x:c>
      <x:c r="C2894" t="str">
        <x:v>Cliente 047</x:v>
      </x:c>
      <x:c r="D2894" t="str">
        <x:v>AM</x:v>
      </x:c>
      <x:c r="E2894" t="str">
        <x:v>Norte</x:v>
      </x:c>
      <x:c r="F2894" t="str">
        <x:v>Marketplace</x:v>
      </x:c>
      <x:c r="G2894" t="str">
        <x:v>Tecnologia</x:v>
      </x:c>
      <x:c r="H2894" t="str">
        <x:v>Notebook Pro</x:v>
      </x:c>
      <x:c r="I2894" t="str">
        <x:v>Ana</x:v>
      </x:c>
      <x:c r="J2894" s="53" t="n">
        <x:v>3</x:v>
      </x:c>
      <x:c r="K2894" s="54" t="n">
        <x:v>5841.67</x:v>
      </x:c>
      <x:c r="L2894" s="54" t="n">
        <x:v>4406.67</x:v>
      </x:c>
      <x:c r="M2894" s="55" t="n">
        <x:v>0.1471</x:v>
      </x:c>
      <x:c r="N2894" s="54" t="n">
        <x:f>ROUND(J2894*K2894,2)</x:f>
        <x:v>17525.01</x:v>
      </x:c>
      <x:c r="O2894" s="54" t="n">
        <x:f>ROUND(N2894*(1-M2894),2)</x:f>
        <x:v>14947.08</x:v>
      </x:c>
      <x:c r="P2894" s="54" t="n">
        <x:f>ROUND(J2894*L2894,2)</x:f>
        <x:v>13220.01</x:v>
      </x:c>
      <x:c r="Q2894" s="54" t="n">
        <x:f>ROUND(O2894-P2894,2)</x:f>
        <x:v>1727.07</x:v>
      </x:c>
      <x:c r="R2894" s="55" t="n">
        <x:f>IF(O2894=0,0,ROUND(Q2894/O2894,4))</x:f>
        <x:v>0.1155</x:v>
      </x:c>
      <x:c r="S2894" s="53" t="n">
        <x:v>2</x:v>
      </x:c>
      <x:c r="T2894" t="str">
        <x:v>Entregue</x:v>
      </x:c>
      <x:c r="U2894" t="n">
        <x:v>5</x:v>
      </x:c>
      <x:c r="V2894" t="str"/>
    </x:row>
    <x:row r="2895">
      <x:c r="A2895" s="52" t="n">
        <x:v>46115</x:v>
      </x:c>
      <x:c r="B2895" t="str">
        <x:v>PED-102894</x:v>
      </x:c>
      <x:c r="C2895" t="str">
        <x:v>Cliente 037</x:v>
      </x:c>
      <x:c r="D2895" t="str">
        <x:v>ES</x:v>
      </x:c>
      <x:c r="E2895" t="str">
        <x:v>Sudeste</x:v>
      </x:c>
      <x:c r="F2895" t="str">
        <x:v>Loja</x:v>
      </x:c>
      <x:c r="G2895" t="str">
        <x:v>Casa</x:v>
      </x:c>
      <x:c r="H2895" t="str">
        <x:v>Aspirador Robô</x:v>
      </x:c>
      <x:c r="I2895" t="str">
        <x:v>Elaine</x:v>
      </x:c>
      <x:c r="J2895" s="53" t="n">
        <x:v>8</x:v>
      </x:c>
      <x:c r="K2895" s="54" t="n">
        <x:v>1917.76</x:v>
      </x:c>
      <x:c r="L2895" s="54" t="n">
        <x:v>1208.22</x:v>
      </x:c>
      <x:c r="M2895" s="55" t="n">
        <x:v>0.1054</x:v>
      </x:c>
      <x:c r="N2895" s="54" t="n">
        <x:f>ROUND(J2895*K2895,2)</x:f>
        <x:v>15342.08</x:v>
      </x:c>
      <x:c r="O2895" s="54" t="n">
        <x:f>ROUND(N2895*(1-M2895),2)</x:f>
        <x:v>13725.02</x:v>
      </x:c>
      <x:c r="P2895" s="54" t="n">
        <x:f>ROUND(J2895*L2895,2)</x:f>
        <x:v>9665.76</x:v>
      </x:c>
      <x:c r="Q2895" s="54" t="n">
        <x:f>ROUND(O2895-P2895,2)</x:f>
        <x:v>4059.26</x:v>
      </x:c>
      <x:c r="R2895" s="55" t="n">
        <x:f>IF(O2895=0,0,ROUND(Q2895/O2895,4))</x:f>
        <x:v>0.2958</x:v>
      </x:c>
      <x:c r="S2895" s="53" t="n">
        <x:v>4</x:v>
      </x:c>
      <x:c r="T2895" t="str">
        <x:v>Entregue</x:v>
      </x:c>
      <x:c r="U2895" t="n">
        <x:v>3</x:v>
      </x:c>
      <x:c r="V2895" t="str"/>
    </x:row>
    <x:row r="2896">
      <x:c r="A2896" s="52" t="n">
        <x:v>46101</x:v>
      </x:c>
      <x:c r="B2896" t="str">
        <x:v>PED-102895</x:v>
      </x:c>
      <x:c r="C2896" t="str">
        <x:v>Cliente 101</x:v>
      </x:c>
      <x:c r="D2896" t="str">
        <x:v>PR</x:v>
      </x:c>
      <x:c r="E2896" t="str">
        <x:v>Sul</x:v>
      </x:c>
      <x:c r="F2896" t="str">
        <x:v>Marketplace</x:v>
      </x:c>
      <x:c r="G2896" t="str">
        <x:v>Acessórios</x:v>
      </x:c>
      <x:c r="H2896" t="str">
        <x:v>Webcam HD</x:v>
      </x:c>
      <x:c r="I2896" t="str">
        <x:v>João</x:v>
      </x:c>
      <x:c r="J2896" s="53" t="n">
        <x:v>4</x:v>
      </x:c>
      <x:c r="K2896" s="54" t="n">
        <x:v>516.68</x:v>
      </x:c>
      <x:c r="L2896" s="54" t="n">
        <x:v>232.83</x:v>
      </x:c>
      <x:c r="M2896" s="55" t="n">
        <x:v>0.035</x:v>
      </x:c>
      <x:c r="N2896" s="54" t="n">
        <x:f>ROUND(J2896*K2896,2)</x:f>
        <x:v>2066.72</x:v>
      </x:c>
      <x:c r="O2896" s="54" t="n">
        <x:f>ROUND(N2896*(1-M2896),2)</x:f>
        <x:v>1994.38</x:v>
      </x:c>
      <x:c r="P2896" s="54" t="n">
        <x:f>ROUND(J2896*L2896,2)</x:f>
        <x:v>931.32</x:v>
      </x:c>
      <x:c r="Q2896" s="54" t="n">
        <x:f>ROUND(O2896-P2896,2)</x:f>
        <x:v>1063.06</x:v>
      </x:c>
      <x:c r="R2896" s="55" t="n">
        <x:f>IF(O2896=0,0,ROUND(Q2896/O2896,4))</x:f>
        <x:v>0.533</x:v>
      </x:c>
      <x:c r="S2896" s="53" t="n">
        <x:v>5</x:v>
      </x:c>
      <x:c r="T2896" t="str">
        <x:v>Entregue</x:v>
      </x:c>
      <x:c r="U2896" t="n">
        <x:v>4</x:v>
      </x:c>
      <x:c r="V2896" t="str"/>
    </x:row>
    <x:row r="2897">
      <x:c r="A2897" s="52" t="n">
        <x:v>46230</x:v>
      </x:c>
      <x:c r="B2897" t="str">
        <x:v>PED-102896</x:v>
      </x:c>
      <x:c r="C2897" t="str">
        <x:v>Cliente 050</x:v>
      </x:c>
      <x:c r="D2897" t="str">
        <x:v>PR</x:v>
      </x:c>
      <x:c r="E2897" t="str">
        <x:v>Sul</x:v>
      </x:c>
      <x:c r="F2897" t="str">
        <x:v>E-commerce</x:v>
      </x:c>
      <x:c r="G2897" t="str">
        <x:v>Escritório</x:v>
      </x:c>
      <x:c r="H2897" t="str">
        <x:v>Luminária LED</x:v>
      </x:c>
      <x:c r="I2897" t="str">
        <x:v>Ana</x:v>
      </x:c>
      <x:c r="J2897" s="53" t="n">
        <x:v>7</x:v>
      </x:c>
      <x:c r="K2897" s="54" t="n">
        <x:v>268.63</x:v>
      </x:c>
      <x:c r="L2897" s="54" t="n">
        <x:v>121.47</x:v>
      </x:c>
      <x:c r="M2897" s="55" t="n">
        <x:v>0.0222</x:v>
      </x:c>
      <x:c r="N2897" s="54" t="n">
        <x:f>ROUND(J2897*K2897,2)</x:f>
        <x:v>1880.41</x:v>
      </x:c>
      <x:c r="O2897" s="54" t="n">
        <x:f>ROUND(N2897*(1-M2897),2)</x:f>
        <x:v>1838.66</x:v>
      </x:c>
      <x:c r="P2897" s="54" t="n">
        <x:f>ROUND(J2897*L2897,2)</x:f>
        <x:v>850.29</x:v>
      </x:c>
      <x:c r="Q2897" s="54" t="n">
        <x:f>ROUND(O2897-P2897,2)</x:f>
        <x:v>988.37</x:v>
      </x:c>
      <x:c r="R2897" s="55" t="n">
        <x:f>IF(O2897=0,0,ROUND(Q2897/O2897,4))</x:f>
        <x:v>0.5375</x:v>
      </x:c>
      <x:c r="S2897" s="53" t="n">
        <x:v>9</x:v>
      </x:c>
      <x:c r="T2897" t="str">
        <x:v>Entregue</x:v>
      </x:c>
      <x:c r="U2897" t="n">
        <x:v>5</x:v>
      </x:c>
      <x:c r="V2897" t="str"/>
    </x:row>
    <x:row r="2898">
      <x:c r="A2898" s="52" t="n">
        <x:v>46130</x:v>
      </x:c>
      <x:c r="B2898" t="str">
        <x:v>PED-102897</x:v>
      </x:c>
      <x:c r="C2898" t="str">
        <x:v>Cliente 026</x:v>
      </x:c>
      <x:c r="D2898" t="str">
        <x:v>SP</x:v>
      </x:c>
      <x:c r="E2898" t="str">
        <x:v>Sudeste</x:v>
      </x:c>
      <x:c r="F2898" t="str">
        <x:v>Televendas</x:v>
      </x:c>
      <x:c r="G2898" t="str">
        <x:v>Casa</x:v>
      </x:c>
      <x:c r="H2898" t="str">
        <x:v>Aspirador Robô</x:v>
      </x:c>
      <x:c r="I2898" t="str">
        <x:v>Isabela</x:v>
      </x:c>
      <x:c r="J2898" s="53" t="n">
        <x:v>8</x:v>
      </x:c>
      <x:c r="K2898" s="54" t="n">
        <x:v>1898.56</x:v>
      </x:c>
      <x:c r="L2898" s="54" t="n">
        <x:v>1170.76</x:v>
      </x:c>
      <x:c r="M2898" s="55" t="n">
        <x:v>0</x:v>
      </x:c>
      <x:c r="N2898" s="54" t="n">
        <x:f>ROUND(J2898*K2898,2)</x:f>
        <x:v>15188.48</x:v>
      </x:c>
      <x:c r="O2898" s="54" t="n">
        <x:f>ROUND(N2898*(1-M2898),2)</x:f>
        <x:v>15188.48</x:v>
      </x:c>
      <x:c r="P2898" s="54" t="n">
        <x:f>ROUND(J2898*L2898,2)</x:f>
        <x:v>9366.08</x:v>
      </x:c>
      <x:c r="Q2898" s="54" t="n">
        <x:f>ROUND(O2898-P2898,2)</x:f>
        <x:v>5822.4</x:v>
      </x:c>
      <x:c r="R2898" s="55" t="n">
        <x:f>IF(O2898=0,0,ROUND(Q2898/O2898,4))</x:f>
        <x:v>0.3833</x:v>
      </x:c>
      <x:c r="S2898" s="53" t="n">
        <x:v>8</x:v>
      </x:c>
      <x:c r="T2898" t="str">
        <x:v>Entregue</x:v>
      </x:c>
      <x:c r="U2898" t="n">
        <x:v>4</x:v>
      </x:c>
      <x:c r="V2898" t="str"/>
    </x:row>
    <x:row r="2899">
      <x:c r="A2899" s="52" t="n">
        <x:v>46041</x:v>
      </x:c>
      <x:c r="B2899" t="str">
        <x:v>PED-102898</x:v>
      </x:c>
      <x:c r="C2899" t="str">
        <x:v>Cliente 056</x:v>
      </x:c>
      <x:c r="D2899" t="str">
        <x:v>RS</x:v>
      </x:c>
      <x:c r="E2899" t="str">
        <x:v>Sul</x:v>
      </x:c>
      <x:c r="F2899" t="str">
        <x:v>Televendas</x:v>
      </x:c>
      <x:c r="G2899" t="str">
        <x:v>Acessórios</x:v>
      </x:c>
      <x:c r="H2899" t="str">
        <x:v>Webcam HD</x:v>
      </x:c>
      <x:c r="I2899" t="str">
        <x:v>João</x:v>
      </x:c>
      <x:c r="J2899" s="53" t="n">
        <x:v>7</x:v>
      </x:c>
      <x:c r="K2899" s="54" t="n">
        <x:v>533.6</x:v>
      </x:c>
      <x:c r="L2899" s="54" t="n">
        <x:v>245.81</x:v>
      </x:c>
      <x:c r="M2899" s="55" t="n">
        <x:v>0</x:v>
      </x:c>
      <x:c r="N2899" s="54" t="n">
        <x:f>ROUND(J2899*K2899,2)</x:f>
        <x:v>3735.2</x:v>
      </x:c>
      <x:c r="O2899" s="54" t="n">
        <x:f>ROUND(N2899*(1-M2899),2)</x:f>
        <x:v>3735.2</x:v>
      </x:c>
      <x:c r="P2899" s="54" t="n">
        <x:f>ROUND(J2899*L2899,2)</x:f>
        <x:v>1720.67</x:v>
      </x:c>
      <x:c r="Q2899" s="54" t="n">
        <x:f>ROUND(O2899-P2899,2)</x:f>
        <x:v>2014.53</x:v>
      </x:c>
      <x:c r="R2899" s="55" t="n">
        <x:f>IF(O2899=0,0,ROUND(Q2899/O2899,4))</x:f>
        <x:v>0.5393</x:v>
      </x:c>
      <x:c r="S2899" s="53" t="n">
        <x:v>3</x:v>
      </x:c>
      <x:c r="T2899" t="str">
        <x:v>Entregue</x:v>
      </x:c>
      <x:c r="U2899" t="n">
        <x:v>2</x:v>
      </x:c>
      <x:c r="V2899" t="str"/>
    </x:row>
    <x:row r="2900">
      <x:c r="A2900" s="52" t="n">
        <x:v>46101</x:v>
      </x:c>
      <x:c r="B2900" t="str">
        <x:v>PED-102899</x:v>
      </x:c>
      <x:c r="C2900" t="str">
        <x:v>Cliente 090</x:v>
      </x:c>
      <x:c r="D2900" t="str">
        <x:v>AM</x:v>
      </x:c>
      <x:c r="E2900" t="str">
        <x:v>Norte</x:v>
      </x:c>
      <x:c r="F2900" t="str">
        <x:v>Loja</x:v>
      </x:c>
      <x:c r="G2900" t="str">
        <x:v>Escritório</x:v>
      </x:c>
      <x:c r="H2900" t="str">
        <x:v>Luminária LED</x:v>
      </x:c>
      <x:c r="I2900" t="str">
        <x:v>Gabriela</x:v>
      </x:c>
      <x:c r="J2900" s="53" t="n">
        <x:v>1</x:v>
      </x:c>
      <x:c r="K2900" s="54" t="n">
        <x:v>246.71</x:v>
      </x:c>
      <x:c r="L2900" s="54" t="n">
        <x:v>127.77</x:v>
      </x:c>
      <x:c r="M2900" s="55" t="n">
        <x:v>0.0564</x:v>
      </x:c>
      <x:c r="N2900" s="54" t="n">
        <x:f>ROUND(J2900*K2900,2)</x:f>
        <x:v>246.71</x:v>
      </x:c>
      <x:c r="O2900" s="54" t="n">
        <x:f>ROUND(N2900*(1-M2900),2)</x:f>
        <x:v>232.8</x:v>
      </x:c>
      <x:c r="P2900" s="54" t="n">
        <x:f>ROUND(J2900*L2900,2)</x:f>
        <x:v>127.77</x:v>
      </x:c>
      <x:c r="Q2900" s="54" t="n">
        <x:f>ROUND(O2900-P2900,2)</x:f>
        <x:v>105.03</x:v>
      </x:c>
      <x:c r="R2900" s="55" t="n">
        <x:f>IF(O2900=0,0,ROUND(Q2900/O2900,4))</x:f>
        <x:v>0.4512</x:v>
      </x:c>
      <x:c r="S2900" s="53" t="n">
        <x:v>11</x:v>
      </x:c>
      <x:c r="T2900" t="str">
        <x:v>Entregue com atraso</x:v>
      </x:c>
      <x:c r="U2900" t="n">
        <x:v>4</x:v>
      </x:c>
      <x:c r="V2900" t="str"/>
    </x:row>
    <x:row r="2901">
      <x:c r="A2901" s="52" t="n">
        <x:v>46047</x:v>
      </x:c>
      <x:c r="B2901" t="str">
        <x:v>PED-102900</x:v>
      </x:c>
      <x:c r="C2901" t="str">
        <x:v>Cliente 043</x:v>
      </x:c>
      <x:c r="D2901" t="str">
        <x:v>SP</x:v>
      </x:c>
      <x:c r="E2901" t="str">
        <x:v>Sudeste</x:v>
      </x:c>
      <x:c r="F2901" t="str">
        <x:v>Televendas</x:v>
      </x:c>
      <x:c r="G2901" t="str">
        <x:v>Acessórios</x:v>
      </x:c>
      <x:c r="H2901" t="str">
        <x:v>Webcam HD</x:v>
      </x:c>
      <x:c r="I2901" t="str">
        <x:v>Gabriela</x:v>
      </x:c>
      <x:c r="J2901" s="53" t="n">
        <x:v>3</x:v>
      </x:c>
      <x:c r="K2901" s="54" t="n">
        <x:v>522.25</x:v>
      </x:c>
      <x:c r="L2901" s="54" t="n">
        <x:v>238.35</x:v>
      </x:c>
      <x:c r="M2901" s="55" t="n">
        <x:v>0.052</x:v>
      </x:c>
      <x:c r="N2901" s="54" t="n">
        <x:f>ROUND(J2901*K2901,2)</x:f>
        <x:v>1566.75</x:v>
      </x:c>
      <x:c r="O2901" s="54" t="n">
        <x:f>ROUND(N2901*(1-M2901),2)</x:f>
        <x:v>1485.28</x:v>
      </x:c>
      <x:c r="P2901" s="54" t="n">
        <x:f>ROUND(J2901*L2901,2)</x:f>
        <x:v>715.05</x:v>
      </x:c>
      <x:c r="Q2901" s="54" t="n">
        <x:f>ROUND(O2901-P2901,2)</x:f>
        <x:v>770.23</x:v>
      </x:c>
      <x:c r="R2901" s="55" t="n">
        <x:f>IF(O2901=0,0,ROUND(Q2901/O2901,4))</x:f>
        <x:v>0.5186</x:v>
      </x:c>
      <x:c r="S2901" s="53" t="n">
        <x:v>5</x:v>
      </x:c>
      <x:c r="T2901" t="str">
        <x:v>Entregue</x:v>
      </x:c>
      <x:c r="U2901" t="n">
        <x:v>2</x:v>
      </x:c>
      <x:c r="V2901" t="str"/>
    </x:row>
    <x:row r="2902">
      <x:c r="A2902" s="52" t="n">
        <x:v>46227</x:v>
      </x:c>
      <x:c r="B2902" t="str">
        <x:v>PED-102901</x:v>
      </x:c>
      <x:c r="C2902" t="str">
        <x:v>Cliente 088</x:v>
      </x:c>
      <x:c r="D2902" t="str">
        <x:v>SP</x:v>
      </x:c>
      <x:c r="E2902" t="str">
        <x:v>Sudeste</x:v>
      </x:c>
      <x:c r="F2902" t="str">
        <x:v>Marketplace</x:v>
      </x:c>
      <x:c r="G2902" t="str">
        <x:v>Escritório</x:v>
      </x:c>
      <x:c r="H2902" t="str">
        <x:v>Mesa Ajustável</x:v>
      </x:c>
      <x:c r="I2902" t="str">
        <x:v>Gabriela</x:v>
      </x:c>
      <x:c r="J2902" s="53" t="n">
        <x:v>8</x:v>
      </x:c>
      <x:c r="K2902" s="54" t="n">
        <x:v>2833.45</x:v>
      </x:c>
      <x:c r="L2902" s="54" t="n">
        <x:v>1831.55</x:v>
      </x:c>
      <x:c r="M2902" s="55" t="n">
        <x:v>0.035</x:v>
      </x:c>
      <x:c r="N2902" s="54" t="n">
        <x:f>ROUND(J2902*K2902,2)</x:f>
        <x:v>22667.6</x:v>
      </x:c>
      <x:c r="O2902" s="54" t="n">
        <x:f>ROUND(N2902*(1-M2902),2)</x:f>
        <x:v>21874.23</x:v>
      </x:c>
      <x:c r="P2902" s="54" t="n">
        <x:f>ROUND(J2902*L2902,2)</x:f>
        <x:v>14652.4</x:v>
      </x:c>
      <x:c r="Q2902" s="54" t="n">
        <x:f>ROUND(O2902-P2902,2)</x:f>
        <x:v>7221.83</x:v>
      </x:c>
      <x:c r="R2902" s="55" t="n">
        <x:f>IF(O2902=0,0,ROUND(Q2902/O2902,4))</x:f>
        <x:v>0.3302</x:v>
      </x:c>
      <x:c r="S2902" s="53" t="n">
        <x:v>8</x:v>
      </x:c>
      <x:c r="T2902" t="str">
        <x:v>Entregue</x:v>
      </x:c>
      <x:c r="U2902" t="n">
        <x:v>5</x:v>
      </x:c>
      <x:c r="V2902" t="str"/>
    </x:row>
    <x:row r="2903">
      <x:c r="A2903" s="52" t="n">
        <x:v>46181</x:v>
      </x:c>
      <x:c r="B2903" t="str">
        <x:v>PED-102902</x:v>
      </x:c>
      <x:c r="C2903" t="str">
        <x:v>Cliente 078</x:v>
      </x:c>
      <x:c r="D2903" t="str">
        <x:v>SC</x:v>
      </x:c>
      <x:c r="E2903" t="str">
        <x:v>Sul</x:v>
      </x:c>
      <x:c r="F2903" t="str">
        <x:v>Televendas</x:v>
      </x:c>
      <x:c r="G2903" t="str">
        <x:v>Casa</x:v>
      </x:c>
      <x:c r="H2903" t="str">
        <x:v>Cafeteira Smart</x:v>
      </x:c>
      <x:c r="I2903" t="str">
        <x:v>Carla</x:v>
      </x:c>
      <x:c r="J2903" s="53" t="n">
        <x:v>5</x:v>
      </x:c>
      <x:c r="K2903" s="54" t="n">
        <x:v>820.49</x:v>
      </x:c>
      <x:c r="L2903" s="54" t="n">
        <x:v>475.22</x:v>
      </x:c>
      <x:c r="M2903" s="55" t="n">
        <x:v>0</x:v>
      </x:c>
      <x:c r="N2903" s="54" t="n">
        <x:f>ROUND(J2903*K2903,2)</x:f>
        <x:v>4102.45</x:v>
      </x:c>
      <x:c r="O2903" s="54" t="n">
        <x:f>ROUND(N2903*(1-M2903),2)</x:f>
        <x:v>4102.45</x:v>
      </x:c>
      <x:c r="P2903" s="54" t="n">
        <x:f>ROUND(J2903*L2903,2)</x:f>
        <x:v>2376.1</x:v>
      </x:c>
      <x:c r="Q2903" s="54" t="n">
        <x:f>ROUND(O2903-P2903,2)</x:f>
        <x:v>1726.35</x:v>
      </x:c>
      <x:c r="R2903" s="55" t="n">
        <x:f>IF(O2903=0,0,ROUND(Q2903/O2903,4))</x:f>
        <x:v>0.4208</x:v>
      </x:c>
      <x:c r="S2903" s="53" t="n">
        <x:v>9</x:v>
      </x:c>
      <x:c r="T2903" t="str">
        <x:v>Entregue</x:v>
      </x:c>
      <x:c r="U2903" t="n">
        <x:v>4</x:v>
      </x:c>
      <x:c r="V2903" t="str"/>
    </x:row>
    <x:row r="2904">
      <x:c r="A2904" s="52" t="n">
        <x:v>46167</x:v>
      </x:c>
      <x:c r="B2904" t="str">
        <x:v>PED-102903</x:v>
      </x:c>
      <x:c r="C2904" t="str">
        <x:v>Cliente 065</x:v>
      </x:c>
      <x:c r="D2904" t="str">
        <x:v>MA</x:v>
      </x:c>
      <x:c r="E2904" t="str">
        <x:v>Nordeste</x:v>
      </x:c>
      <x:c r="F2904" t="str">
        <x:v>E-commerce</x:v>
      </x:c>
      <x:c r="G2904" t="str">
        <x:v>Tecnologia</x:v>
      </x:c>
      <x:c r="H2904" t="str">
        <x:v>Monitor 27</x:v>
      </x:c>
      <x:c r="I2904" t="str">
        <x:v>Ana</x:v>
      </x:c>
      <x:c r="J2904" s="53" t="n">
        <x:v>5</x:v>
      </x:c>
      <x:c r="K2904" s="54" t="n">
        <x:v>1668.09</x:v>
      </x:c>
      <x:c r="L2904" s="54" t="n">
        <x:v>1145.32</x:v>
      </x:c>
      <x:c r="M2904" s="55" t="n">
        <x:v>0</x:v>
      </x:c>
      <x:c r="N2904" s="54" t="n">
        <x:f>ROUND(J2904*K2904,2)</x:f>
        <x:v>8340.45</x:v>
      </x:c>
      <x:c r="O2904" s="54" t="n">
        <x:f>ROUND(N2904*(1-M2904),2)</x:f>
        <x:v>8340.45</x:v>
      </x:c>
      <x:c r="P2904" s="54" t="n">
        <x:f>ROUND(J2904*L2904,2)</x:f>
        <x:v>5726.6</x:v>
      </x:c>
      <x:c r="Q2904" s="54" t="n">
        <x:f>ROUND(O2904-P2904,2)</x:f>
        <x:v>2613.85</x:v>
      </x:c>
      <x:c r="R2904" s="55" t="n">
        <x:f>IF(O2904=0,0,ROUND(Q2904/O2904,4))</x:f>
        <x:v>0.3134</x:v>
      </x:c>
      <x:c r="S2904" s="53" t="n">
        <x:v>8</x:v>
      </x:c>
      <x:c r="T2904" t="str">
        <x:v>Entregue</x:v>
      </x:c>
      <x:c r="U2904" t="n">
        <x:v>4</x:v>
      </x:c>
      <x:c r="V2904" t="str"/>
    </x:row>
    <x:row r="2905">
      <x:c r="A2905" s="52" t="n">
        <x:v>46097</x:v>
      </x:c>
      <x:c r="B2905" t="str">
        <x:v>PED-102904</x:v>
      </x:c>
      <x:c r="C2905" t="str">
        <x:v>Cliente 110</x:v>
      </x:c>
      <x:c r="D2905" t="str">
        <x:v>PE</x:v>
      </x:c>
      <x:c r="E2905" t="str">
        <x:v>Nordeste</x:v>
      </x:c>
      <x:c r="F2905" t="str">
        <x:v>E-commerce</x:v>
      </x:c>
      <x:c r="G2905" t="str">
        <x:v>Escritório</x:v>
      </x:c>
      <x:c r="H2905" t="str">
        <x:v>Luminária LED</x:v>
      </x:c>
      <x:c r="I2905" t="str">
        <x:v>Diego</x:v>
      </x:c>
      <x:c r="J2905" s="53" t="n">
        <x:v>4</x:v>
      </x:c>
      <x:c r="K2905" s="54" t="n">
        <x:v>251.83</x:v>
      </x:c>
      <x:c r="L2905" s="54" t="n">
        <x:v>122.23</x:v>
      </x:c>
      <x:c r="M2905" s="55" t="n">
        <x:v>0</x:v>
      </x:c>
      <x:c r="N2905" s="54" t="n">
        <x:f>ROUND(J2905*K2905,2)</x:f>
        <x:v>1007.32</x:v>
      </x:c>
      <x:c r="O2905" s="54" t="n">
        <x:f>ROUND(N2905*(1-M2905),2)</x:f>
        <x:v>1007.32</x:v>
      </x:c>
      <x:c r="P2905" s="54" t="n">
        <x:f>ROUND(J2905*L2905,2)</x:f>
        <x:v>488.92</x:v>
      </x:c>
      <x:c r="Q2905" s="54" t="n">
        <x:f>ROUND(O2905-P2905,2)</x:f>
        <x:v>518.4</x:v>
      </x:c>
      <x:c r="R2905" s="55" t="n">
        <x:f>IF(O2905=0,0,ROUND(Q2905/O2905,4))</x:f>
        <x:v>0.5146</x:v>
      </x:c>
      <x:c r="S2905" s="53" t="n">
        <x:v>7</x:v>
      </x:c>
      <x:c r="T2905" t="str">
        <x:v>Entregue</x:v>
      </x:c>
      <x:c r="U2905" t="n">
        <x:v>2</x:v>
      </x:c>
      <x:c r="V2905" t="str"/>
    </x:row>
    <x:row r="2906">
      <x:c r="A2906" s="52" t="n">
        <x:v>46024</x:v>
      </x:c>
      <x:c r="B2906" t="str">
        <x:v>PED-102905</x:v>
      </x:c>
      <x:c r="C2906" t="str">
        <x:v>Cliente 027</x:v>
      </x:c>
      <x:c r="D2906" t="str">
        <x:v>DF</x:v>
      </x:c>
      <x:c r="E2906" t="str">
        <x:v>Centro-Oeste</x:v>
      </x:c>
      <x:c r="F2906" t="str">
        <x:v>Loja</x:v>
      </x:c>
      <x:c r="G2906" t="str">
        <x:v>Casa</x:v>
      </x:c>
      <x:c r="H2906" t="str">
        <x:v>Cafeteira Smart</x:v>
      </x:c>
      <x:c r="I2906" t="str">
        <x:v>João</x:v>
      </x:c>
      <x:c r="J2906" s="53" t="n">
        <x:v>4</x:v>
      </x:c>
      <x:c r="K2906" s="54" t="n">
        <x:v>768.73</x:v>
      </x:c>
      <x:c r="L2906" s="54" t="n">
        <x:v>440.06</x:v>
      </x:c>
      <x:c r="M2906" s="55" t="n">
        <x:v>0</x:v>
      </x:c>
      <x:c r="N2906" s="54" t="n">
        <x:f>ROUND(J2906*K2906,2)</x:f>
        <x:v>3074.92</x:v>
      </x:c>
      <x:c r="O2906" s="54" t="n">
        <x:f>ROUND(N2906*(1-M2906),2)</x:f>
        <x:v>3074.92</x:v>
      </x:c>
      <x:c r="P2906" s="54" t="n">
        <x:f>ROUND(J2906*L2906,2)</x:f>
        <x:v>1760.24</x:v>
      </x:c>
      <x:c r="Q2906" s="54" t="n">
        <x:f>ROUND(O2906-P2906,2)</x:f>
        <x:v>1314.68</x:v>
      </x:c>
      <x:c r="R2906" s="55" t="n">
        <x:f>IF(O2906=0,0,ROUND(Q2906/O2906,4))</x:f>
        <x:v>0.4275</x:v>
      </x:c>
      <x:c r="S2906" s="53" t="n">
        <x:v>11</x:v>
      </x:c>
      <x:c r="T2906" t="str">
        <x:v>Entregue com atraso</x:v>
      </x:c>
      <x:c r="U2906" t="n">
        <x:v>5</x:v>
      </x:c>
      <x:c r="V2906" t="str"/>
    </x:row>
    <x:row r="2907">
      <x:c r="A2907" s="52" t="n">
        <x:v>46206</x:v>
      </x:c>
      <x:c r="B2907" t="str">
        <x:v>PED-102906</x:v>
      </x:c>
      <x:c r="C2907" t="str">
        <x:v>Cliente 031</x:v>
      </x:c>
      <x:c r="D2907" t="str">
        <x:v>SC</x:v>
      </x:c>
      <x:c r="E2907" t="str">
        <x:v>Sul</x:v>
      </x:c>
      <x:c r="F2907" t="str">
        <x:v>Loja</x:v>
      </x:c>
      <x:c r="G2907" t="str">
        <x:v>Acessórios</x:v>
      </x:c>
      <x:c r="H2907" t="str">
        <x:v>Mochila Executiva</x:v>
      </x:c>
      <x:c r="I2907" t="str">
        <x:v>Diego</x:v>
      </x:c>
      <x:c r="J2907" s="53" t="n">
        <x:v>7</x:v>
      </x:c>
      <x:c r="K2907" s="54" t="n">
        <x:v>415.73</x:v>
      </x:c>
      <x:c r="L2907" s="54" t="n">
        <x:v>184.63</x:v>
      </x:c>
      <x:c r="M2907" s="55" t="n">
        <x:v>0</x:v>
      </x:c>
      <x:c r="N2907" s="54" t="n">
        <x:f>ROUND(J2907*K2907,2)</x:f>
        <x:v>2910.11</x:v>
      </x:c>
      <x:c r="O2907" s="54" t="n">
        <x:f>ROUND(N2907*(1-M2907),2)</x:f>
        <x:v>2910.11</x:v>
      </x:c>
      <x:c r="P2907" s="54" t="n">
        <x:f>ROUND(J2907*L2907,2)</x:f>
        <x:v>1292.41</x:v>
      </x:c>
      <x:c r="Q2907" s="54" t="n">
        <x:f>ROUND(O2907-P2907,2)</x:f>
        <x:v>1617.7</x:v>
      </x:c>
      <x:c r="R2907" s="55" t="n">
        <x:f>IF(O2907=0,0,ROUND(Q2907/O2907,4))</x:f>
        <x:v>0.5559</x:v>
      </x:c>
      <x:c r="S2907" s="53" t="n">
        <x:v>6</x:v>
      </x:c>
      <x:c r="T2907" t="str">
        <x:v>Entregue</x:v>
      </x:c>
      <x:c r="U2907" t="n">
        <x:v>4</x:v>
      </x:c>
      <x:c r="V2907" t="str"/>
    </x:row>
    <x:row r="2908">
      <x:c r="A2908" s="52" t="n">
        <x:v>46036</x:v>
      </x:c>
      <x:c r="B2908" t="str">
        <x:v>PED-102907</x:v>
      </x:c>
      <x:c r="C2908" t="str">
        <x:v>Cliente 031</x:v>
      </x:c>
      <x:c r="D2908" t="str">
        <x:v>PE</x:v>
      </x:c>
      <x:c r="E2908" t="str">
        <x:v>Nordeste</x:v>
      </x:c>
      <x:c r="F2908" t="str">
        <x:v>Loja</x:v>
      </x:c>
      <x:c r="G2908" t="str">
        <x:v>Escritório</x:v>
      </x:c>
      <x:c r="H2908" t="str">
        <x:v>Cadeira Ergonômica</x:v>
      </x:c>
      <x:c r="I2908" t="str">
        <x:v>Gabriela</x:v>
      </x:c>
      <x:c r="J2908" s="53" t="n">
        <x:v>2</x:v>
      </x:c>
      <x:c r="K2908" s="54" t="n">
        <x:v>2091.36</x:v>
      </x:c>
      <x:c r="L2908" s="54" t="n">
        <x:v>1505.18</x:v>
      </x:c>
      <x:c r="M2908" s="55" t="n">
        <x:v>0</x:v>
      </x:c>
      <x:c r="N2908" s="54" t="n">
        <x:f>ROUND(J2908*K2908,2)</x:f>
        <x:v>4182.72</x:v>
      </x:c>
      <x:c r="O2908" s="54" t="n">
        <x:f>ROUND(N2908*(1-M2908),2)</x:f>
        <x:v>4182.72</x:v>
      </x:c>
      <x:c r="P2908" s="54" t="n">
        <x:f>ROUND(J2908*L2908,2)</x:f>
        <x:v>3010.36</x:v>
      </x:c>
      <x:c r="Q2908" s="54" t="n">
        <x:f>ROUND(O2908-P2908,2)</x:f>
        <x:v>1172.36</x:v>
      </x:c>
      <x:c r="R2908" s="55" t="n">
        <x:f>IF(O2908=0,0,ROUND(Q2908/O2908,4))</x:f>
        <x:v>0.2803</x:v>
      </x:c>
      <x:c r="S2908" s="53" t="n">
        <x:v>9</x:v>
      </x:c>
      <x:c r="T2908" t="str">
        <x:v>Entregue</x:v>
      </x:c>
      <x:c r="U2908" t="n">
        <x:v>3</x:v>
      </x:c>
      <x:c r="V2908" t="str"/>
    </x:row>
    <x:row r="2909">
      <x:c r="A2909" s="52" t="n">
        <x:v>46073</x:v>
      </x:c>
      <x:c r="B2909" t="str">
        <x:v>PED-102908</x:v>
      </x:c>
      <x:c r="C2909" t="str">
        <x:v>Cliente 065</x:v>
      </x:c>
      <x:c r="D2909" t="str">
        <x:v>PE</x:v>
      </x:c>
      <x:c r="E2909" t="str">
        <x:v>Nordeste</x:v>
      </x:c>
      <x:c r="F2909" t="str">
        <x:v>Loja</x:v>
      </x:c>
      <x:c r="G2909" t="str">
        <x:v>Casa</x:v>
      </x:c>
      <x:c r="H2909" t="str">
        <x:v>Aspirador Robô</x:v>
      </x:c>
      <x:c r="I2909" t="str">
        <x:v>Felipe</x:v>
      </x:c>
      <x:c r="J2909" s="53" t="n">
        <x:v>2</x:v>
      </x:c>
      <x:c r="K2909" s="54" t="n">
        <x:v>1924.37</x:v>
      </x:c>
      <x:c r="L2909" s="54" t="n">
        <x:v>1198.06</x:v>
      </x:c>
      <x:c r="M2909" s="55" t="n">
        <x:v>0</x:v>
      </x:c>
      <x:c r="N2909" s="54" t="n">
        <x:f>ROUND(J2909*K2909,2)</x:f>
        <x:v>3848.74</x:v>
      </x:c>
      <x:c r="O2909" s="54" t="n">
        <x:f>ROUND(N2909*(1-M2909),2)</x:f>
        <x:v>3848.74</x:v>
      </x:c>
      <x:c r="P2909" s="54" t="n">
        <x:f>ROUND(J2909*L2909,2)</x:f>
        <x:v>2396.12</x:v>
      </x:c>
      <x:c r="Q2909" s="54" t="n">
        <x:f>ROUND(O2909-P2909,2)</x:f>
        <x:v>1452.62</x:v>
      </x:c>
      <x:c r="R2909" s="55" t="n">
        <x:f>IF(O2909=0,0,ROUND(Q2909/O2909,4))</x:f>
        <x:v>0.3774</x:v>
      </x:c>
      <x:c r="S2909" s="53" t="n">
        <x:v>4</x:v>
      </x:c>
      <x:c r="T2909" t="str">
        <x:v>Entregue</x:v>
      </x:c>
      <x:c r="U2909" t="n">
        <x:v>2</x:v>
      </x:c>
      <x:c r="V2909" t="str"/>
    </x:row>
    <x:row r="2910">
      <x:c r="A2910" s="52" t="n">
        <x:v>46134</x:v>
      </x:c>
      <x:c r="B2910" t="str">
        <x:v>PED-102909</x:v>
      </x:c>
      <x:c r="C2910" t="str">
        <x:v>Cliente 081</x:v>
      </x:c>
      <x:c r="D2910" t="str">
        <x:v>MT</x:v>
      </x:c>
      <x:c r="E2910" t="str">
        <x:v>Centro-Oeste</x:v>
      </x:c>
      <x:c r="F2910" t="str">
        <x:v>E-commerce</x:v>
      </x:c>
      <x:c r="G2910" t="str">
        <x:v>Casa</x:v>
      </x:c>
      <x:c r="H2910" t="str">
        <x:v>Cafeteira Smart</x:v>
      </x:c>
      <x:c r="I2910" t="str">
        <x:v>Bruno</x:v>
      </x:c>
      <x:c r="J2910" s="53" t="n">
        <x:v>5</x:v>
      </x:c>
      <x:c r="K2910" s="54" t="n">
        <x:v>761.2</x:v>
      </x:c>
      <x:c r="L2910" s="54" t="n">
        <x:v>441.31</x:v>
      </x:c>
      <x:c r="M2910" s="55" t="n">
        <x:v>0.0386</x:v>
      </x:c>
      <x:c r="N2910" s="54" t="n">
        <x:f>ROUND(J2910*K2910,2)</x:f>
        <x:v>3806</x:v>
      </x:c>
      <x:c r="O2910" s="54" t="n">
        <x:f>ROUND(N2910*(1-M2910),2)</x:f>
        <x:v>3659.09</x:v>
      </x:c>
      <x:c r="P2910" s="54" t="n">
        <x:f>ROUND(J2910*L2910,2)</x:f>
        <x:v>2206.55</x:v>
      </x:c>
      <x:c r="Q2910" s="54" t="n">
        <x:f>ROUND(O2910-P2910,2)</x:f>
        <x:v>1452.54</x:v>
      </x:c>
      <x:c r="R2910" s="55" t="n">
        <x:f>IF(O2910=0,0,ROUND(Q2910/O2910,4))</x:f>
        <x:v>0.397</x:v>
      </x:c>
      <x:c r="S2910" s="53" t="n">
        <x:v>10</x:v>
      </x:c>
      <x:c r="T2910" t="str">
        <x:v>Entregue</x:v>
      </x:c>
      <x:c r="U2910" t="n">
        <x:v>5</x:v>
      </x:c>
      <x:c r="V2910" t="str"/>
    </x:row>
    <x:row r="2911">
      <x:c r="A2911" s="52" t="n">
        <x:v>46076</x:v>
      </x:c>
      <x:c r="B2911" t="str">
        <x:v>PED-102910</x:v>
      </x:c>
      <x:c r="C2911" t="str">
        <x:v>Cliente 078</x:v>
      </x:c>
      <x:c r="D2911" t="str">
        <x:v>DF</x:v>
      </x:c>
      <x:c r="E2911" t="str">
        <x:v>Centro-Oeste</x:v>
      </x:c>
      <x:c r="F2911" t="str">
        <x:v>Marketplace</x:v>
      </x:c>
      <x:c r="G2911" t="str">
        <x:v>Escritório</x:v>
      </x:c>
      <x:c r="H2911" t="str">
        <x:v>Luminária LED</x:v>
      </x:c>
      <x:c r="I2911" t="str">
        <x:v>João</x:v>
      </x:c>
      <x:c r="J2911" s="53" t="n">
        <x:v>4</x:v>
      </x:c>
      <x:c r="K2911" s="54" t="n">
        <x:v>254.34</x:v>
      </x:c>
      <x:c r="L2911" s="54" t="n">
        <x:v>120.52</x:v>
      </x:c>
      <x:c r="M2911" s="55" t="n">
        <x:v>0.0759</x:v>
      </x:c>
      <x:c r="N2911" s="54" t="n">
        <x:f>ROUND(J2911*K2911,2)</x:f>
        <x:v>1017.36</x:v>
      </x:c>
      <x:c r="O2911" s="54" t="n">
        <x:f>ROUND(N2911*(1-M2911),2)</x:f>
        <x:v>940.14</x:v>
      </x:c>
      <x:c r="P2911" s="54" t="n">
        <x:f>ROUND(J2911*L2911,2)</x:f>
        <x:v>482.08</x:v>
      </x:c>
      <x:c r="Q2911" s="54" t="n">
        <x:f>ROUND(O2911-P2911,2)</x:f>
        <x:v>458.06</x:v>
      </x:c>
      <x:c r="R2911" s="55" t="n">
        <x:f>IF(O2911=0,0,ROUND(Q2911/O2911,4))</x:f>
        <x:v>0.4872</x:v>
      </x:c>
      <x:c r="S2911" s="53" t="n">
        <x:v>10</x:v>
      </x:c>
      <x:c r="T2911" t="str">
        <x:v>Entregue</x:v>
      </x:c>
      <x:c r="U2911" t="n">
        <x:v>4</x:v>
      </x:c>
      <x:c r="V2911" t="str"/>
    </x:row>
    <x:row r="2912">
      <x:c r="A2912" s="52" t="n">
        <x:v>46103</x:v>
      </x:c>
      <x:c r="B2912" t="str">
        <x:v>PED-102911</x:v>
      </x:c>
      <x:c r="C2912" t="str">
        <x:v>Cliente 028</x:v>
      </x:c>
      <x:c r="D2912" t="str">
        <x:v>MT</x:v>
      </x:c>
      <x:c r="E2912" t="str">
        <x:v>Centro-Oeste</x:v>
      </x:c>
      <x:c r="F2912" t="str">
        <x:v>Marketplace</x:v>
      </x:c>
      <x:c r="G2912" t="str">
        <x:v>Escritório</x:v>
      </x:c>
      <x:c r="H2912" t="str">
        <x:v>Mesa Ajustável</x:v>
      </x:c>
      <x:c r="I2912" t="str">
        <x:v>Felipe</x:v>
      </x:c>
      <x:c r="J2912" s="53" t="n">
        <x:v>5</x:v>
      </x:c>
      <x:c r="K2912" s="54" t="n">
        <x:v>2665.83</x:v>
      </x:c>
      <x:c r="L2912" s="54" t="n">
        <x:v>1875.18</x:v>
      </x:c>
      <x:c r="M2912" s="55" t="n">
        <x:v>0.1081</x:v>
      </x:c>
      <x:c r="N2912" s="54" t="n">
        <x:f>ROUND(J2912*K2912,2)</x:f>
        <x:v>13329.15</x:v>
      </x:c>
      <x:c r="O2912" s="54" t="n">
        <x:f>ROUND(N2912*(1-M2912),2)</x:f>
        <x:v>11888.27</x:v>
      </x:c>
      <x:c r="P2912" s="54" t="n">
        <x:f>ROUND(J2912*L2912,2)</x:f>
        <x:v>9375.9</x:v>
      </x:c>
      <x:c r="Q2912" s="54" t="n">
        <x:f>ROUND(O2912-P2912,2)</x:f>
        <x:v>2512.37</x:v>
      </x:c>
      <x:c r="R2912" s="55" t="n">
        <x:f>IF(O2912=0,0,ROUND(Q2912/O2912,4))</x:f>
        <x:v>0.2113</x:v>
      </x:c>
      <x:c r="S2912" s="53" t="n">
        <x:v>2</x:v>
      </x:c>
      <x:c r="T2912" t="str">
        <x:v>Entregue</x:v>
      </x:c>
      <x:c r="U2912" t="n">
        <x:v>4</x:v>
      </x:c>
      <x:c r="V2912" t="str"/>
    </x:row>
    <x:row r="2913">
      <x:c r="A2913" s="52" t="n">
        <x:v>46213</x:v>
      </x:c>
      <x:c r="B2913" t="str">
        <x:v>PED-102912</x:v>
      </x:c>
      <x:c r="C2913" t="str">
        <x:v>Cliente 071</x:v>
      </x:c>
      <x:c r="D2913" t="str">
        <x:v>BA</x:v>
      </x:c>
      <x:c r="E2913" t="str">
        <x:v>Nordeste</x:v>
      </x:c>
      <x:c r="F2913" t="str">
        <x:v>Televendas</x:v>
      </x:c>
      <x:c r="G2913" t="str">
        <x:v>Casa</x:v>
      </x:c>
      <x:c r="H2913" t="str">
        <x:v>Purificador</x:v>
      </x:c>
      <x:c r="I2913" t="str">
        <x:v>Elaine</x:v>
      </x:c>
      <x:c r="J2913" s="53" t="n">
        <x:v>1</x:v>
      </x:c>
      <x:c r="K2913" s="54" t="n">
        <x:v>1231.82</x:v>
      </x:c>
      <x:c r="L2913" s="54" t="n">
        <x:v>798.86</x:v>
      </x:c>
      <x:c r="M2913" s="55" t="n">
        <x:v>0.0869</x:v>
      </x:c>
      <x:c r="N2913" s="54" t="n">
        <x:f>ROUND(J2913*K2913,2)</x:f>
        <x:v>1231.82</x:v>
      </x:c>
      <x:c r="O2913" s="54" t="n">
        <x:f>ROUND(N2913*(1-M2913),2)</x:f>
        <x:v>1124.77</x:v>
      </x:c>
      <x:c r="P2913" s="54" t="n">
        <x:f>ROUND(J2913*L2913,2)</x:f>
        <x:v>798.86</x:v>
      </x:c>
      <x:c r="Q2913" s="54" t="n">
        <x:f>ROUND(O2913-P2913,2)</x:f>
        <x:v>325.91</x:v>
      </x:c>
      <x:c r="R2913" s="55" t="n">
        <x:f>IF(O2913=0,0,ROUND(Q2913/O2913,4))</x:f>
        <x:v>0.2898</x:v>
      </x:c>
      <x:c r="S2913" s="53" t="n">
        <x:v>7</x:v>
      </x:c>
      <x:c r="T2913" t="str">
        <x:v>Entregue</x:v>
      </x:c>
      <x:c r="U2913" t="n">
        <x:v>5</x:v>
      </x:c>
      <x:c r="V2913" t="str"/>
    </x:row>
    <x:row r="2914">
      <x:c r="A2914" s="52" t="n">
        <x:v>46055</x:v>
      </x:c>
      <x:c r="B2914" t="str">
        <x:v>PED-102913</x:v>
      </x:c>
      <x:c r="C2914" t="str">
        <x:v>Cliente 043</x:v>
      </x:c>
      <x:c r="D2914" t="str">
        <x:v>MA</x:v>
      </x:c>
      <x:c r="E2914" t="str">
        <x:v>Nordeste</x:v>
      </x:c>
      <x:c r="F2914" t="str">
        <x:v>E-commerce</x:v>
      </x:c>
      <x:c r="G2914" t="str">
        <x:v>Acessórios</x:v>
      </x:c>
      <x:c r="H2914" t="str">
        <x:v>Webcam HD</x:v>
      </x:c>
      <x:c r="I2914" t="str">
        <x:v>Isabela</x:v>
      </x:c>
      <x:c r="J2914" s="53" t="n">
        <x:v>7</x:v>
      </x:c>
      <x:c r="K2914" s="54" t="n">
        <x:v>535.18</x:v>
      </x:c>
      <x:c r="L2914" s="54" t="n">
        <x:v>254.65</x:v>
      </x:c>
      <x:c r="M2914" s="55" t="n">
        <x:v>0</x:v>
      </x:c>
      <x:c r="N2914" s="54" t="n">
        <x:f>ROUND(J2914*K2914,2)</x:f>
        <x:v>3746.26</x:v>
      </x:c>
      <x:c r="O2914" s="54" t="n">
        <x:f>ROUND(N2914*(1-M2914),2)</x:f>
        <x:v>3746.26</x:v>
      </x:c>
      <x:c r="P2914" s="54" t="n">
        <x:f>ROUND(J2914*L2914,2)</x:f>
        <x:v>1782.55</x:v>
      </x:c>
      <x:c r="Q2914" s="54" t="n">
        <x:f>ROUND(O2914-P2914,2)</x:f>
        <x:v>1963.71</x:v>
      </x:c>
      <x:c r="R2914" s="55" t="n">
        <x:f>IF(O2914=0,0,ROUND(Q2914/O2914,4))</x:f>
        <x:v>0.5242</x:v>
      </x:c>
      <x:c r="S2914" s="53" t="n">
        <x:v>7</x:v>
      </x:c>
      <x:c r="T2914" t="str">
        <x:v>Entregue</x:v>
      </x:c>
      <x:c r="U2914" t="n">
        <x:v>2</x:v>
      </x:c>
      <x:c r="V2914" t="str"/>
    </x:row>
    <x:row r="2915">
      <x:c r="A2915" s="52" t="n">
        <x:v>46135</x:v>
      </x:c>
      <x:c r="B2915" t="str">
        <x:v>PED-102914</x:v>
      </x:c>
      <x:c r="C2915" t="str">
        <x:v>Cliente 014</x:v>
      </x:c>
      <x:c r="D2915" t="str">
        <x:v>PE</x:v>
      </x:c>
      <x:c r="E2915" t="str">
        <x:v>Nordeste</x:v>
      </x:c>
      <x:c r="F2915" t="str">
        <x:v>Marketplace</x:v>
      </x:c>
      <x:c r="G2915" t="str">
        <x:v>Escritório</x:v>
      </x:c>
      <x:c r="H2915" t="str">
        <x:v>Luminária LED</x:v>
      </x:c>
      <x:c r="I2915" t="str">
        <x:v>Gabriela</x:v>
      </x:c>
      <x:c r="J2915" s="53" t="n">
        <x:v>8</x:v>
      </x:c>
      <x:c r="K2915" s="54" t="n">
        <x:v>248.51</x:v>
      </x:c>
      <x:c r="L2915" s="54" t="n">
        <x:v>118.59</x:v>
      </x:c>
      <x:c r="M2915" s="55" t="n">
        <x:v>0.035</x:v>
      </x:c>
      <x:c r="N2915" s="54" t="n">
        <x:f>ROUND(J2915*K2915,2)</x:f>
        <x:v>1988.08</x:v>
      </x:c>
      <x:c r="O2915" s="54" t="n">
        <x:f>ROUND(N2915*(1-M2915),2)</x:f>
        <x:v>1918.5</x:v>
      </x:c>
      <x:c r="P2915" s="54" t="n">
        <x:f>ROUND(J2915*L2915,2)</x:f>
        <x:v>948.72</x:v>
      </x:c>
      <x:c r="Q2915" s="54" t="n">
        <x:f>ROUND(O2915-P2915,2)</x:f>
        <x:v>969.78</x:v>
      </x:c>
      <x:c r="R2915" s="55" t="n">
        <x:f>IF(O2915=0,0,ROUND(Q2915/O2915,4))</x:f>
        <x:v>0.5055</x:v>
      </x:c>
      <x:c r="S2915" s="53" t="n">
        <x:v>13</x:v>
      </x:c>
      <x:c r="T2915" t="str">
        <x:v>Entregue com atraso</x:v>
      </x:c>
      <x:c r="U2915" t="n">
        <x:v>2</x:v>
      </x:c>
      <x:c r="V2915" t="str"/>
    </x:row>
    <x:row r="2916">
      <x:c r="A2916" s="52" t="n">
        <x:v>46100</x:v>
      </x:c>
      <x:c r="B2916" t="str">
        <x:v>PED-102915</x:v>
      </x:c>
      <x:c r="C2916" t="str">
        <x:v>Cliente 059</x:v>
      </x:c>
      <x:c r="D2916" t="str">
        <x:v>RJ</x:v>
      </x:c>
      <x:c r="E2916" t="str">
        <x:v>Sudeste</x:v>
      </x:c>
      <x:c r="F2916" t="str">
        <x:v>Televendas</x:v>
      </x:c>
      <x:c r="G2916" t="str">
        <x:v>Escritório</x:v>
      </x:c>
      <x:c r="H2916" t="str">
        <x:v>Luminária LED</x:v>
      </x:c>
      <x:c r="I2916" t="str">
        <x:v>Carla</x:v>
      </x:c>
      <x:c r="J2916" s="53" t="n">
        <x:v>4</x:v>
      </x:c>
      <x:c r="K2916" s="54" t="n">
        <x:v>272.32</x:v>
      </x:c>
      <x:c r="L2916" s="54" t="n">
        <x:v>115.34</x:v>
      </x:c>
      <x:c r="M2916" s="55" t="n">
        <x:v>0</x:v>
      </x:c>
      <x:c r="N2916" s="54" t="n">
        <x:f>ROUND(J2916*K2916,2)</x:f>
        <x:v>1089.28</x:v>
      </x:c>
      <x:c r="O2916" s="54" t="n">
        <x:f>ROUND(N2916*(1-M2916),2)</x:f>
        <x:v>1089.28</x:v>
      </x:c>
      <x:c r="P2916" s="54" t="n">
        <x:f>ROUND(J2916*L2916,2)</x:f>
        <x:v>461.36</x:v>
      </x:c>
      <x:c r="Q2916" s="54" t="n">
        <x:f>ROUND(O2916-P2916,2)</x:f>
        <x:v>627.92</x:v>
      </x:c>
      <x:c r="R2916" s="55" t="n">
        <x:f>IF(O2916=0,0,ROUND(Q2916/O2916,4))</x:f>
        <x:v>0.5765</x:v>
      </x:c>
      <x:c r="S2916" s="53" t="n">
        <x:v>4</x:v>
      </x:c>
      <x:c r="T2916" t="str">
        <x:v>Entregue</x:v>
      </x:c>
      <x:c r="U2916" t="n">
        <x:v>2</x:v>
      </x:c>
      <x:c r="V2916" t="str"/>
    </x:row>
    <x:row r="2917">
      <x:c r="A2917" s="52" t="n">
        <x:v>46142</x:v>
      </x:c>
      <x:c r="B2917" t="str">
        <x:v>PED-102916</x:v>
      </x:c>
      <x:c r="C2917" t="str">
        <x:v>Cliente 097</x:v>
      </x:c>
      <x:c r="D2917" t="str">
        <x:v>DF</x:v>
      </x:c>
      <x:c r="E2917" t="str">
        <x:v>Centro-Oeste</x:v>
      </x:c>
      <x:c r="F2917" t="str">
        <x:v>Loja</x:v>
      </x:c>
      <x:c r="G2917" t="str">
        <x:v>Casa</x:v>
      </x:c>
      <x:c r="H2917" t="str">
        <x:v>Cafeteira Smart</x:v>
      </x:c>
      <x:c r="I2917" t="str">
        <x:v>Elaine</x:v>
      </x:c>
      <x:c r="J2917" s="53" t="n">
        <x:v>2</x:v>
      </x:c>
      <x:c r="K2917" s="54" t="n">
        <x:v>771.4</x:v>
      </x:c>
      <x:c r="L2917" s="54" t="n">
        <x:v>442.03</x:v>
      </x:c>
      <x:c r="M2917" s="55" t="n">
        <x:v>0.0975</x:v>
      </x:c>
      <x:c r="N2917" s="54" t="n">
        <x:f>ROUND(J2917*K2917,2)</x:f>
        <x:v>1542.8</x:v>
      </x:c>
      <x:c r="O2917" s="54" t="n">
        <x:f>ROUND(N2917*(1-M2917),2)</x:f>
        <x:v>1392.38</x:v>
      </x:c>
      <x:c r="P2917" s="54" t="n">
        <x:f>ROUND(J2917*L2917,2)</x:f>
        <x:v>884.06</x:v>
      </x:c>
      <x:c r="Q2917" s="54" t="n">
        <x:f>ROUND(O2917-P2917,2)</x:f>
        <x:v>508.32</x:v>
      </x:c>
      <x:c r="R2917" s="55" t="n">
        <x:f>IF(O2917=0,0,ROUND(Q2917/O2917,4))</x:f>
        <x:v>0.3651</x:v>
      </x:c>
      <x:c r="S2917" s="53" t="n">
        <x:v>7</x:v>
      </x:c>
      <x:c r="T2917" t="str">
        <x:v>Entregue</x:v>
      </x:c>
      <x:c r="U2917" t="n">
        <x:v>3</x:v>
      </x:c>
      <x:c r="V2917" t="str"/>
    </x:row>
    <x:row r="2918">
      <x:c r="A2918" s="52" t="n">
        <x:v>46216</x:v>
      </x:c>
      <x:c r="B2918" t="str">
        <x:v>PED-102917</x:v>
      </x:c>
      <x:c r="C2918" t="str">
        <x:v>Cliente 061</x:v>
      </x:c>
      <x:c r="D2918" t="str">
        <x:v>BA</x:v>
      </x:c>
      <x:c r="E2918" t="str">
        <x:v>Nordeste</x:v>
      </x:c>
      <x:c r="F2918" t="str">
        <x:v>Marketplace</x:v>
      </x:c>
      <x:c r="G2918" t="str">
        <x:v>Acessórios</x:v>
      </x:c>
      <x:c r="H2918" t="str">
        <x:v>Webcam HD</x:v>
      </x:c>
      <x:c r="I2918" t="str">
        <x:v>João</x:v>
      </x:c>
      <x:c r="J2918" s="53" t="n">
        <x:v>8</x:v>
      </x:c>
      <x:c r="K2918" s="54" t="n">
        <x:v>518.05</x:v>
      </x:c>
      <x:c r="L2918" s="54" t="n">
        <x:v>248.61</x:v>
      </x:c>
      <x:c r="M2918" s="55" t="n">
        <x:v>0.1112</x:v>
      </x:c>
      <x:c r="N2918" s="54" t="n">
        <x:f>ROUND(J2918*K2918,2)</x:f>
        <x:v>4144.4</x:v>
      </x:c>
      <x:c r="O2918" s="54" t="n">
        <x:f>ROUND(N2918*(1-M2918),2)</x:f>
        <x:v>3683.54</x:v>
      </x:c>
      <x:c r="P2918" s="54" t="n">
        <x:f>ROUND(J2918*L2918,2)</x:f>
        <x:v>1988.88</x:v>
      </x:c>
      <x:c r="Q2918" s="54" t="n">
        <x:f>ROUND(O2918-P2918,2)</x:f>
        <x:v>1694.66</x:v>
      </x:c>
      <x:c r="R2918" s="55" t="n">
        <x:f>IF(O2918=0,0,ROUND(Q2918/O2918,4))</x:f>
        <x:v>0.4601</x:v>
      </x:c>
      <x:c r="S2918" s="53" t="n">
        <x:v>13</x:v>
      </x:c>
      <x:c r="T2918" t="str">
        <x:v>Entregue com atraso</x:v>
      </x:c>
      <x:c r="U2918" t="n">
        <x:v>2</x:v>
      </x:c>
      <x:c r="V2918" t="str"/>
    </x:row>
    <x:row r="2919">
      <x:c r="A2919" s="52" t="n">
        <x:v>46186</x:v>
      </x:c>
      <x:c r="B2919" t="str">
        <x:v>PED-102918</x:v>
      </x:c>
      <x:c r="C2919" t="str">
        <x:v>Cliente 108</x:v>
      </x:c>
      <x:c r="D2919" t="str">
        <x:v>ES</x:v>
      </x:c>
      <x:c r="E2919" t="str">
        <x:v>Sudeste</x:v>
      </x:c>
      <x:c r="F2919" t="str">
        <x:v>Loja</x:v>
      </x:c>
      <x:c r="G2919" t="str">
        <x:v>Casa</x:v>
      </x:c>
      <x:c r="H2919" t="str">
        <x:v>Aspirador Robô</x:v>
      </x:c>
      <x:c r="I2919" t="str">
        <x:v>Isabela</x:v>
      </x:c>
      <x:c r="J2919" s="53" t="n">
        <x:v>6</x:v>
      </x:c>
      <x:c r="K2919" s="54" t="n">
        <x:v>1808.11</x:v>
      </x:c>
      <x:c r="L2919" s="54" t="n">
        <x:v>1144.85</x:v>
      </x:c>
      <x:c r="M2919" s="55" t="n">
        <x:v>0</x:v>
      </x:c>
      <x:c r="N2919" s="54" t="n">
        <x:f>ROUND(J2919*K2919,2)</x:f>
        <x:v>10848.66</x:v>
      </x:c>
      <x:c r="O2919" s="54" t="n">
        <x:f>ROUND(N2919*(1-M2919),2)</x:f>
        <x:v>10848.66</x:v>
      </x:c>
      <x:c r="P2919" s="54" t="n">
        <x:f>ROUND(J2919*L2919,2)</x:f>
        <x:v>6869.1</x:v>
      </x:c>
      <x:c r="Q2919" s="54" t="n">
        <x:f>ROUND(O2919-P2919,2)</x:f>
        <x:v>3979.56</x:v>
      </x:c>
      <x:c r="R2919" s="55" t="n">
        <x:f>IF(O2919=0,0,ROUND(Q2919/O2919,4))</x:f>
        <x:v>0.3668</x:v>
      </x:c>
      <x:c r="S2919" s="53" t="n">
        <x:v>7</x:v>
      </x:c>
      <x:c r="T2919" t="str">
        <x:v>Entregue</x:v>
      </x:c>
      <x:c r="U2919" t="n">
        <x:v>2</x:v>
      </x:c>
      <x:c r="V2919" t="str"/>
    </x:row>
    <x:row r="2920">
      <x:c r="A2920" s="52" t="n">
        <x:v>46119</x:v>
      </x:c>
      <x:c r="B2920" t="str">
        <x:v>PED-102919</x:v>
      </x:c>
      <x:c r="C2920" t="str">
        <x:v>Cliente 103</x:v>
      </x:c>
      <x:c r="D2920" t="str">
        <x:v>DF</x:v>
      </x:c>
      <x:c r="E2920" t="str">
        <x:v>Centro-Oeste</x:v>
      </x:c>
      <x:c r="F2920" t="str">
        <x:v>Loja</x:v>
      </x:c>
      <x:c r="G2920" t="str">
        <x:v>Casa</x:v>
      </x:c>
      <x:c r="H2920" t="str">
        <x:v>Aspirador Robô</x:v>
      </x:c>
      <x:c r="I2920" t="str">
        <x:v>Elaine</x:v>
      </x:c>
      <x:c r="J2920" s="53" t="n">
        <x:v>4</x:v>
      </x:c>
      <x:c r="K2920" s="54" t="n">
        <x:v>1992.66</x:v>
      </x:c>
      <x:c r="L2920" s="54" t="n">
        <x:v>1153.63</x:v>
      </x:c>
      <x:c r="M2920" s="55" t="n">
        <x:v>0</x:v>
      </x:c>
      <x:c r="N2920" s="54" t="n">
        <x:f>ROUND(J2920*K2920,2)</x:f>
        <x:v>7970.64</x:v>
      </x:c>
      <x:c r="O2920" s="54" t="n">
        <x:f>ROUND(N2920*(1-M2920),2)</x:f>
        <x:v>7970.64</x:v>
      </x:c>
      <x:c r="P2920" s="54" t="n">
        <x:f>ROUND(J2920*L2920,2)</x:f>
        <x:v>4614.52</x:v>
      </x:c>
      <x:c r="Q2920" s="54" t="n">
        <x:f>ROUND(O2920-P2920,2)</x:f>
        <x:v>3356.12</x:v>
      </x:c>
      <x:c r="R2920" s="55" t="n">
        <x:f>IF(O2920=0,0,ROUND(Q2920/O2920,4))</x:f>
        <x:v>0.4211</x:v>
      </x:c>
      <x:c r="S2920" s="53" t="n">
        <x:v>12</x:v>
      </x:c>
      <x:c r="T2920" t="str">
        <x:v>Entregue com atraso</x:v>
      </x:c>
      <x:c r="U2920" t="n">
        <x:v>5</x:v>
      </x:c>
      <x:c r="V2920" t="str"/>
    </x:row>
    <x:row r="2921">
      <x:c r="A2921" s="52" t="n">
        <x:v>46085</x:v>
      </x:c>
      <x:c r="B2921" t="str">
        <x:v>PED-102920</x:v>
      </x:c>
      <x:c r="C2921" t="str">
        <x:v>Cliente 088</x:v>
      </x:c>
      <x:c r="D2921" t="str">
        <x:v>DF</x:v>
      </x:c>
      <x:c r="E2921" t="str">
        <x:v>Centro-Oeste</x:v>
      </x:c>
      <x:c r="F2921" t="str">
        <x:v>Televendas</x:v>
      </x:c>
      <x:c r="G2921" t="str">
        <x:v>Tecnologia</x:v>
      </x:c>
      <x:c r="H2921" t="str">
        <x:v>Monitor 27</x:v>
      </x:c>
      <x:c r="I2921" t="str">
        <x:v>Gabriela</x:v>
      </x:c>
      <x:c r="J2921" s="53" t="n">
        <x:v>4</x:v>
      </x:c>
      <x:c r="K2921" s="54" t="n">
        <x:v>1679.35</x:v>
      </x:c>
      <x:c r="L2921" s="54" t="n">
        <x:v>1131.61</x:v>
      </x:c>
      <x:c r="M2921" s="55" t="n">
        <x:v>0.1279</x:v>
      </x:c>
      <x:c r="N2921" s="54" t="n">
        <x:f>ROUND(J2921*K2921,2)</x:f>
        <x:v>6717.4</x:v>
      </x:c>
      <x:c r="O2921" s="54" t="n">
        <x:f>ROUND(N2921*(1-M2921),2)</x:f>
        <x:v>5858.24</x:v>
      </x:c>
      <x:c r="P2921" s="54" t="n">
        <x:f>ROUND(J2921*L2921,2)</x:f>
        <x:v>4526.44</x:v>
      </x:c>
      <x:c r="Q2921" s="54" t="n">
        <x:f>ROUND(O2921-P2921,2)</x:f>
        <x:v>1331.8</x:v>
      </x:c>
      <x:c r="R2921" s="55" t="n">
        <x:f>IF(O2921=0,0,ROUND(Q2921/O2921,4))</x:f>
        <x:v>0.2273</x:v>
      </x:c>
      <x:c r="S2921" s="53" t="n">
        <x:v>14</x:v>
      </x:c>
      <x:c r="T2921" t="str">
        <x:v>Entregue com atraso</x:v>
      </x:c>
      <x:c r="U2921" t="n">
        <x:v>4</x:v>
      </x:c>
      <x:c r="V2921" t="str"/>
    </x:row>
    <x:row r="2922">
      <x:c r="A2922" s="52" t="n">
        <x:v>46174</x:v>
      </x:c>
      <x:c r="B2922" t="str">
        <x:v>PED-102921</x:v>
      </x:c>
      <x:c r="C2922" t="str">
        <x:v>Cliente 115</x:v>
      </x:c>
      <x:c r="D2922" t="str">
        <x:v>MT</x:v>
      </x:c>
      <x:c r="E2922" t="str">
        <x:v>Centro-Oeste</x:v>
      </x:c>
      <x:c r="F2922" t="str">
        <x:v>E-commerce</x:v>
      </x:c>
      <x:c r="G2922" t="str">
        <x:v>Acessórios</x:v>
      </x:c>
      <x:c r="H2922" t="str">
        <x:v>Mochila Executiva</x:v>
      </x:c>
      <x:c r="I2922" t="str">
        <x:v>Gabriela</x:v>
      </x:c>
      <x:c r="J2922" s="53" t="n">
        <x:v>5</x:v>
      </x:c>
      <x:c r="K2922" s="54" t="n">
        <x:v>423.9</x:v>
      </x:c>
      <x:c r="L2922" s="54" t="n">
        <x:v>196.1</x:v>
      </x:c>
      <x:c r="M2922" s="55" t="n">
        <x:v>0</x:v>
      </x:c>
      <x:c r="N2922" s="54" t="n">
        <x:f>ROUND(J2922*K2922,2)</x:f>
        <x:v>2119.5</x:v>
      </x:c>
      <x:c r="O2922" s="54" t="n">
        <x:f>ROUND(N2922*(1-M2922),2)</x:f>
        <x:v>2119.5</x:v>
      </x:c>
      <x:c r="P2922" s="54" t="n">
        <x:f>ROUND(J2922*L2922,2)</x:f>
        <x:v>980.5</x:v>
      </x:c>
      <x:c r="Q2922" s="54" t="n">
        <x:f>ROUND(O2922-P2922,2)</x:f>
        <x:v>1139</x:v>
      </x:c>
      <x:c r="R2922" s="55" t="n">
        <x:f>IF(O2922=0,0,ROUND(Q2922/O2922,4))</x:f>
        <x:v>0.5374</x:v>
      </x:c>
      <x:c r="S2922" s="53" t="n">
        <x:v>25</x:v>
      </x:c>
      <x:c r="T2922" t="str">
        <x:v>Entregue com atraso</x:v>
      </x:c>
      <x:c r="U2922" t="n">
        <x:v>1</x:v>
      </x:c>
      <x:c r="V2922" t="str">
        <x:v>Ocorrência logística</x:v>
      </x:c>
    </x:row>
    <x:row r="2923">
      <x:c r="A2923" s="52" t="n">
        <x:v>46145</x:v>
      </x:c>
      <x:c r="B2923" t="str">
        <x:v>PED-102922</x:v>
      </x:c>
      <x:c r="C2923" t="str">
        <x:v>Cliente 070</x:v>
      </x:c>
      <x:c r="D2923" t="str">
        <x:v>SC</x:v>
      </x:c>
      <x:c r="E2923" t="str">
        <x:v>Sul</x:v>
      </x:c>
      <x:c r="F2923" t="str">
        <x:v>E-commerce</x:v>
      </x:c>
      <x:c r="G2923" t="str">
        <x:v>Escritório</x:v>
      </x:c>
      <x:c r="H2923" t="str">
        <x:v>Mesa Ajustável</x:v>
      </x:c>
      <x:c r="I2923" t="str">
        <x:v>Bruno</x:v>
      </x:c>
      <x:c r="J2923" s="53" t="n">
        <x:v>4</x:v>
      </x:c>
      <x:c r="K2923" s="54" t="n">
        <x:v>2747.25</x:v>
      </x:c>
      <x:c r="L2923" s="54" t="n">
        <x:v>1793.2</x:v>
      </x:c>
      <x:c r="M2923" s="55" t="n">
        <x:v>0.0571</x:v>
      </x:c>
      <x:c r="N2923" s="54" t="n">
        <x:f>ROUND(J2923*K2923,2)</x:f>
        <x:v>10989</x:v>
      </x:c>
      <x:c r="O2923" s="54" t="n">
        <x:f>ROUND(N2923*(1-M2923),2)</x:f>
        <x:v>10361.53</x:v>
      </x:c>
      <x:c r="P2923" s="54" t="n">
        <x:f>ROUND(J2923*L2923,2)</x:f>
        <x:v>7172.8</x:v>
      </x:c>
      <x:c r="Q2923" s="54" t="n">
        <x:f>ROUND(O2923-P2923,2)</x:f>
        <x:v>3188.73</x:v>
      </x:c>
      <x:c r="R2923" s="55" t="n">
        <x:f>IF(O2923=0,0,ROUND(Q2923/O2923,4))</x:f>
        <x:v>0.3077</x:v>
      </x:c>
      <x:c r="S2923" s="53" t="n">
        <x:v>10</x:v>
      </x:c>
      <x:c r="T2923" t="str">
        <x:v>Entregue</x:v>
      </x:c>
      <x:c r="U2923" t="n">
        <x:v>2</x:v>
      </x:c>
      <x:c r="V2923" t="str"/>
    </x:row>
    <x:row r="2924">
      <x:c r="A2924" s="52" t="n">
        <x:v>46059</x:v>
      </x:c>
      <x:c r="B2924" t="str">
        <x:v>PED-102923</x:v>
      </x:c>
      <x:c r="C2924" t="str">
        <x:v>Cliente 102</x:v>
      </x:c>
      <x:c r="D2924" t="str">
        <x:v>AM</x:v>
      </x:c>
      <x:c r="E2924" t="str">
        <x:v>Norte</x:v>
      </x:c>
      <x:c r="F2924" t="str">
        <x:v>E-commerce</x:v>
      </x:c>
      <x:c r="G2924" t="str">
        <x:v>Casa</x:v>
      </x:c>
      <x:c r="H2924" t="str">
        <x:v>Cafeteira Smart</x:v>
      </x:c>
      <x:c r="I2924" t="str">
        <x:v>Isabela</x:v>
      </x:c>
      <x:c r="J2924" s="53" t="n">
        <x:v>8</x:v>
      </x:c>
      <x:c r="K2924" s="54" t="n">
        <x:v>804.42</x:v>
      </x:c>
      <x:c r="L2924" s="54" t="n">
        <x:v>480.27</x:v>
      </x:c>
      <x:c r="M2924" s="55" t="n">
        <x:v>0.0737</x:v>
      </x:c>
      <x:c r="N2924" s="54" t="n">
        <x:f>ROUND(J2924*K2924,2)</x:f>
        <x:v>6435.36</x:v>
      </x:c>
      <x:c r="O2924" s="54" t="n">
        <x:f>ROUND(N2924*(1-M2924),2)</x:f>
        <x:v>5961.07</x:v>
      </x:c>
      <x:c r="P2924" s="54" t="n">
        <x:f>ROUND(J2924*L2924,2)</x:f>
        <x:v>3842.16</x:v>
      </x:c>
      <x:c r="Q2924" s="54" t="n">
        <x:f>ROUND(O2924-P2924,2)</x:f>
        <x:v>2118.91</x:v>
      </x:c>
      <x:c r="R2924" s="55" t="n">
        <x:f>IF(O2924=0,0,ROUND(Q2924/O2924,4))</x:f>
        <x:v>0.3555</x:v>
      </x:c>
      <x:c r="S2924" s="53" t="n">
        <x:v>6</x:v>
      </x:c>
      <x:c r="T2924" t="str">
        <x:v>Entregue</x:v>
      </x:c>
      <x:c r="U2924" t="n">
        <x:v>5</x:v>
      </x:c>
      <x:c r="V2924" t="str"/>
    </x:row>
    <x:row r="2925">
      <x:c r="A2925" s="52" t="n">
        <x:v>46064</x:v>
      </x:c>
      <x:c r="B2925" t="str">
        <x:v>PED-102924</x:v>
      </x:c>
      <x:c r="C2925" t="str">
        <x:v>Cliente 056</x:v>
      </x:c>
      <x:c r="D2925" t="str">
        <x:v>PE</x:v>
      </x:c>
      <x:c r="E2925" t="str">
        <x:v>Nordeste</x:v>
      </x:c>
      <x:c r="F2925" t="str">
        <x:v>Marketplace</x:v>
      </x:c>
      <x:c r="G2925" t="str">
        <x:v>Escritório</x:v>
      </x:c>
      <x:c r="H2925" t="str">
        <x:v>Cadeira Ergonômica</x:v>
      </x:c>
      <x:c r="I2925" t="str">
        <x:v>Isabela</x:v>
      </x:c>
      <x:c r="J2925" s="53" t="n">
        <x:v>6</x:v>
      </x:c>
      <x:c r="K2925" s="54" t="n">
        <x:v>2313.44</x:v>
      </x:c>
      <x:c r="L2925" s="54" t="n">
        <x:v>1503.48</x:v>
      </x:c>
      <x:c r="M2925" s="55" t="n">
        <x:v>0.035</x:v>
      </x:c>
      <x:c r="N2925" s="54" t="n">
        <x:f>ROUND(J2925*K2925,2)</x:f>
        <x:v>13880.64</x:v>
      </x:c>
      <x:c r="O2925" s="54" t="n">
        <x:f>ROUND(N2925*(1-M2925),2)</x:f>
        <x:v>13394.82</x:v>
      </x:c>
      <x:c r="P2925" s="54" t="n">
        <x:f>ROUND(J2925*L2925,2)</x:f>
        <x:v>9020.88</x:v>
      </x:c>
      <x:c r="Q2925" s="54" t="n">
        <x:f>ROUND(O2925-P2925,2)</x:f>
        <x:v>4373.94</x:v>
      </x:c>
      <x:c r="R2925" s="55" t="n">
        <x:f>IF(O2925=0,0,ROUND(Q2925/O2925,4))</x:f>
        <x:v>0.3265</x:v>
      </x:c>
      <x:c r="S2925" s="53" t="n">
        <x:v>8</x:v>
      </x:c>
      <x:c r="T2925" t="str">
        <x:v>Entregue</x:v>
      </x:c>
      <x:c r="U2925" t="n">
        <x:v>4</x:v>
      </x:c>
      <x:c r="V2925" t="str"/>
    </x:row>
    <x:row r="2926">
      <x:c r="A2926" s="52" t="n">
        <x:v>46113</x:v>
      </x:c>
      <x:c r="B2926" t="str">
        <x:v>PED-102925</x:v>
      </x:c>
      <x:c r="C2926" t="str">
        <x:v>Cliente 049</x:v>
      </x:c>
      <x:c r="D2926" t="str">
        <x:v>SP</x:v>
      </x:c>
      <x:c r="E2926" t="str">
        <x:v>Sudeste</x:v>
      </x:c>
      <x:c r="F2926" t="str">
        <x:v>E-commerce</x:v>
      </x:c>
      <x:c r="G2926" t="str">
        <x:v>Escritório</x:v>
      </x:c>
      <x:c r="H2926" t="str">
        <x:v>Cadeira Ergonômica</x:v>
      </x:c>
      <x:c r="I2926" t="str">
        <x:v>Felipe</x:v>
      </x:c>
      <x:c r="J2926" s="53" t="n">
        <x:v>5</x:v>
      </x:c>
      <x:c r="K2926" s="54" t="n">
        <x:v>2198.05</x:v>
      </x:c>
      <x:c r="L2926" s="54" t="n">
        <x:v>1401.62</x:v>
      </x:c>
      <x:c r="M2926" s="55" t="n">
        <x:v>0</x:v>
      </x:c>
      <x:c r="N2926" s="54" t="n">
        <x:f>ROUND(J2926*K2926,2)</x:f>
        <x:v>10990.25</x:v>
      </x:c>
      <x:c r="O2926" s="54" t="n">
        <x:f>ROUND(N2926*(1-M2926),2)</x:f>
        <x:v>10990.25</x:v>
      </x:c>
      <x:c r="P2926" s="54" t="n">
        <x:f>ROUND(J2926*L2926,2)</x:f>
        <x:v>7008.1</x:v>
      </x:c>
      <x:c r="Q2926" s="54" t="n">
        <x:f>ROUND(O2926-P2926,2)</x:f>
        <x:v>3982.15</x:v>
      </x:c>
      <x:c r="R2926" s="55" t="n">
        <x:f>IF(O2926=0,0,ROUND(Q2926/O2926,4))</x:f>
        <x:v>0.3623</x:v>
      </x:c>
      <x:c r="S2926" s="53" t="n">
        <x:v>3</x:v>
      </x:c>
      <x:c r="T2926" t="str">
        <x:v>Entregue</x:v>
      </x:c>
      <x:c r="U2926" t="n">
        <x:v>2</x:v>
      </x:c>
      <x:c r="V2926" t="str"/>
    </x:row>
    <x:row r="2927">
      <x:c r="A2927" s="52" t="n">
        <x:v>46047</x:v>
      </x:c>
      <x:c r="B2927" t="str">
        <x:v>PED-102926</x:v>
      </x:c>
      <x:c r="C2927" t="str">
        <x:v>Cliente 084</x:v>
      </x:c>
      <x:c r="D2927" t="str">
        <x:v>PR</x:v>
      </x:c>
      <x:c r="E2927" t="str">
        <x:v>Sul</x:v>
      </x:c>
      <x:c r="F2927" t="str">
        <x:v>E-commerce</x:v>
      </x:c>
      <x:c r="G2927" t="str">
        <x:v>Tecnologia</x:v>
      </x:c>
      <x:c r="H2927" t="str">
        <x:v>Monitor 27</x:v>
      </x:c>
      <x:c r="I2927" t="str">
        <x:v>João</x:v>
      </x:c>
      <x:c r="J2927" s="53" t="n">
        <x:v>7</x:v>
      </x:c>
      <x:c r="K2927" s="54" t="n">
        <x:v>1679.96</x:v>
      </x:c>
      <x:c r="L2927" s="54" t="n">
        <x:v>1065.03</x:v>
      </x:c>
      <x:c r="M2927" s="55" t="n">
        <x:v>0.0163</x:v>
      </x:c>
      <x:c r="N2927" s="54" t="n">
        <x:f>ROUND(J2927*K2927,2)</x:f>
        <x:v>11759.72</x:v>
      </x:c>
      <x:c r="O2927" s="54" t="n">
        <x:f>ROUND(N2927*(1-M2927),2)</x:f>
        <x:v>11568.04</x:v>
      </x:c>
      <x:c r="P2927" s="54" t="n">
        <x:f>ROUND(J2927*L2927,2)</x:f>
        <x:v>7455.21</x:v>
      </x:c>
      <x:c r="Q2927" s="54" t="n">
        <x:f>ROUND(O2927-P2927,2)</x:f>
        <x:v>4112.83</x:v>
      </x:c>
      <x:c r="R2927" s="55" t="n">
        <x:f>IF(O2927=0,0,ROUND(Q2927/O2927,4))</x:f>
        <x:v>0.3555</x:v>
      </x:c>
      <x:c r="S2927" s="53" t="n">
        <x:v>9</x:v>
      </x:c>
      <x:c r="T2927" t="str">
        <x:v>Entregue</x:v>
      </x:c>
      <x:c r="U2927" t="n">
        <x:v>2</x:v>
      </x:c>
      <x:c r="V2927" t="str"/>
    </x:row>
    <x:row r="2928">
      <x:c r="A2928" s="52" t="n">
        <x:v>46122</x:v>
      </x:c>
      <x:c r="B2928" t="str">
        <x:v>PED-102927</x:v>
      </x:c>
      <x:c r="C2928" t="str">
        <x:v>Cliente 054</x:v>
      </x:c>
      <x:c r="D2928" t="str">
        <x:v>MT</x:v>
      </x:c>
      <x:c r="E2928" t="str">
        <x:v>Centro-Oeste</x:v>
      </x:c>
      <x:c r="F2928" t="str">
        <x:v>Televendas</x:v>
      </x:c>
      <x:c r="G2928" t="str">
        <x:v>Casa</x:v>
      </x:c>
      <x:c r="H2928" t="str">
        <x:v>Aspirador Robô</x:v>
      </x:c>
      <x:c r="I2928" t="str">
        <x:v>Gabriela</x:v>
      </x:c>
      <x:c r="J2928" s="53" t="n">
        <x:v>3</x:v>
      </x:c>
      <x:c r="K2928" s="54" t="n">
        <x:v>1938.49</x:v>
      </x:c>
      <x:c r="L2928" s="54" t="n">
        <x:v>1231.75</x:v>
      </x:c>
      <x:c r="M2928" s="55" t="n">
        <x:v>0.0132</x:v>
      </x:c>
      <x:c r="N2928" s="54" t="n">
        <x:f>ROUND(J2928*K2928,2)</x:f>
        <x:v>5815.47</x:v>
      </x:c>
      <x:c r="O2928" s="54" t="n">
        <x:f>ROUND(N2928*(1-M2928),2)</x:f>
        <x:v>5738.71</x:v>
      </x:c>
      <x:c r="P2928" s="54" t="n">
        <x:f>ROUND(J2928*L2928,2)</x:f>
        <x:v>3695.25</x:v>
      </x:c>
      <x:c r="Q2928" s="54" t="n">
        <x:f>ROUND(O2928-P2928,2)</x:f>
        <x:v>2043.46</x:v>
      </x:c>
      <x:c r="R2928" s="55" t="n">
        <x:f>IF(O2928=0,0,ROUND(Q2928/O2928,4))</x:f>
        <x:v>0.3561</x:v>
      </x:c>
      <x:c r="S2928" s="53" t="n">
        <x:v>11</x:v>
      </x:c>
      <x:c r="T2928" t="str">
        <x:v>Entregue com atraso</x:v>
      </x:c>
      <x:c r="U2928" t="n">
        <x:v>4</x:v>
      </x:c>
      <x:c r="V2928" t="str"/>
    </x:row>
    <x:row r="2929">
      <x:c r="A2929" s="52" t="n">
        <x:v>46087</x:v>
      </x:c>
      <x:c r="B2929" t="str">
        <x:v>PED-102928</x:v>
      </x:c>
      <x:c r="C2929" t="str">
        <x:v>Cliente 116</x:v>
      </x:c>
      <x:c r="D2929" t="str">
        <x:v>MT</x:v>
      </x:c>
      <x:c r="E2929" t="str">
        <x:v>Centro-Oeste</x:v>
      </x:c>
      <x:c r="F2929" t="str">
        <x:v>Televendas</x:v>
      </x:c>
      <x:c r="G2929" t="str">
        <x:v>Acessórios</x:v>
      </x:c>
      <x:c r="H2929" t="str">
        <x:v>Webcam HD</x:v>
      </x:c>
      <x:c r="I2929" t="str">
        <x:v>Henrique</x:v>
      </x:c>
      <x:c r="J2929" s="53" t="n">
        <x:v>5</x:v>
      </x:c>
      <x:c r="K2929" s="54" t="n">
        <x:v>489.41</x:v>
      </x:c>
      <x:c r="L2929" s="54" t="n">
        <x:v>242.85</x:v>
      </x:c>
      <x:c r="M2929" s="55" t="n">
        <x:v>0</x:v>
      </x:c>
      <x:c r="N2929" s="54" t="n">
        <x:f>ROUND(J2929*K2929,2)</x:f>
        <x:v>2447.05</x:v>
      </x:c>
      <x:c r="O2929" s="54" t="n">
        <x:f>ROUND(N2929*(1-M2929),2)</x:f>
        <x:v>2447.05</x:v>
      </x:c>
      <x:c r="P2929" s="54" t="n">
        <x:f>ROUND(J2929*L2929,2)</x:f>
        <x:v>1214.25</x:v>
      </x:c>
      <x:c r="Q2929" s="54" t="n">
        <x:f>ROUND(O2929-P2929,2)</x:f>
        <x:v>1232.8</x:v>
      </x:c>
      <x:c r="R2929" s="55" t="n">
        <x:f>IF(O2929=0,0,ROUND(Q2929/O2929,4))</x:f>
        <x:v>0.5038</x:v>
      </x:c>
      <x:c r="S2929" s="53" t="n">
        <x:v>14</x:v>
      </x:c>
      <x:c r="T2929" t="str">
        <x:v>Entregue com atraso</x:v>
      </x:c>
      <x:c r="U2929" t="n">
        <x:v>2</x:v>
      </x:c>
      <x:c r="V2929" t="str"/>
    </x:row>
    <x:row r="2930">
      <x:c r="A2930" s="52" t="n">
        <x:v>46155</x:v>
      </x:c>
      <x:c r="B2930" t="str">
        <x:v>PED-102929</x:v>
      </x:c>
      <x:c r="C2930" t="str">
        <x:v>Cliente 056</x:v>
      </x:c>
      <x:c r="D2930" t="str">
        <x:v>BA</x:v>
      </x:c>
      <x:c r="E2930" t="str">
        <x:v>Nordeste</x:v>
      </x:c>
      <x:c r="F2930" t="str">
        <x:v>Loja</x:v>
      </x:c>
      <x:c r="G2930" t="str">
        <x:v>Tecnologia</x:v>
      </x:c>
      <x:c r="H2930" t="str">
        <x:v>Notebook Pro</x:v>
      </x:c>
      <x:c r="I2930" t="str">
        <x:v>Bruno</x:v>
      </x:c>
      <x:c r="J2930" s="53" t="n">
        <x:v>1</x:v>
      </x:c>
      <x:c r="K2930" s="54" t="n">
        <x:v>5674.37</x:v>
      </x:c>
      <x:c r="L2930" s="54" t="n">
        <x:v>4660.23</x:v>
      </x:c>
      <x:c r="M2930" s="55" t="n">
        <x:v>0.0588</x:v>
      </x:c>
      <x:c r="N2930" s="54" t="n">
        <x:f>ROUND(J2930*K2930,2)</x:f>
        <x:v>5674.37</x:v>
      </x:c>
      <x:c r="O2930" s="54" t="n">
        <x:f>ROUND(N2930*(1-M2930),2)</x:f>
        <x:v>5340.72</x:v>
      </x:c>
      <x:c r="P2930" s="54" t="n">
        <x:f>ROUND(J2930*L2930,2)</x:f>
        <x:v>4660.23</x:v>
      </x:c>
      <x:c r="Q2930" s="54" t="n">
        <x:f>ROUND(O2930-P2930,2)</x:f>
        <x:v>680.49</x:v>
      </x:c>
      <x:c r="R2930" s="55" t="n">
        <x:f>IF(O2930=0,0,ROUND(Q2930/O2930,4))</x:f>
        <x:v>0.1274</x:v>
      </x:c>
      <x:c r="S2930" s="53" t="n">
        <x:v>7</x:v>
      </x:c>
      <x:c r="T2930" t="str">
        <x:v>Entregue</x:v>
      </x:c>
      <x:c r="U2930" t="n">
        <x:v>2</x:v>
      </x:c>
      <x:c r="V2930" t="str"/>
    </x:row>
    <x:row r="2931">
      <x:c r="A2931" s="52" t="n">
        <x:v>46180</x:v>
      </x:c>
      <x:c r="B2931" t="str">
        <x:v>PED-102930</x:v>
      </x:c>
      <x:c r="C2931" t="str">
        <x:v>Cliente 052</x:v>
      </x:c>
      <x:c r="D2931" t="str">
        <x:v>PE</x:v>
      </x:c>
      <x:c r="E2931" t="str">
        <x:v>Nordeste</x:v>
      </x:c>
      <x:c r="F2931" t="str">
        <x:v>Loja</x:v>
      </x:c>
      <x:c r="G2931" t="str">
        <x:v>Casa</x:v>
      </x:c>
      <x:c r="H2931" t="str">
        <x:v>Cafeteira Smart</x:v>
      </x:c>
      <x:c r="I2931" t="str">
        <x:v>João</x:v>
      </x:c>
      <x:c r="J2931" s="53" t="n">
        <x:v>5</x:v>
      </x:c>
      <x:c r="K2931" s="54" t="n">
        <x:v>784.43</x:v>
      </x:c>
      <x:c r="L2931" s="54" t="n">
        <x:v>491.68</x:v>
      </x:c>
      <x:c r="M2931" s="55" t="n">
        <x:v>0.0453</x:v>
      </x:c>
      <x:c r="N2931" s="54" t="n">
        <x:f>ROUND(J2931*K2931,2)</x:f>
        <x:v>3922.15</x:v>
      </x:c>
      <x:c r="O2931" s="54" t="n">
        <x:f>ROUND(N2931*(1-M2931),2)</x:f>
        <x:v>3744.48</x:v>
      </x:c>
      <x:c r="P2931" s="54" t="n">
        <x:f>ROUND(J2931*L2931,2)</x:f>
        <x:v>2458.4</x:v>
      </x:c>
      <x:c r="Q2931" s="54" t="n">
        <x:f>ROUND(O2931-P2931,2)</x:f>
        <x:v>1286.08</x:v>
      </x:c>
      <x:c r="R2931" s="55" t="n">
        <x:f>IF(O2931=0,0,ROUND(Q2931/O2931,4))</x:f>
        <x:v>0.3435</x:v>
      </x:c>
      <x:c r="S2931" s="53" t="n">
        <x:v>4</x:v>
      </x:c>
      <x:c r="T2931" t="str">
        <x:v>Entregue</x:v>
      </x:c>
      <x:c r="U2931" t="n">
        <x:v>5</x:v>
      </x:c>
      <x:c r="V2931" t="str"/>
    </x:row>
    <x:row r="2932">
      <x:c r="A2932" s="52" t="n">
        <x:v>46136</x:v>
      </x:c>
      <x:c r="B2932" t="str">
        <x:v>PED-102931</x:v>
      </x:c>
      <x:c r="C2932" t="str">
        <x:v>Cliente 004</x:v>
      </x:c>
      <x:c r="D2932" t="str">
        <x:v>MA</x:v>
      </x:c>
      <x:c r="E2932" t="str">
        <x:v>Nordeste</x:v>
      </x:c>
      <x:c r="F2932" t="str">
        <x:v>Televendas</x:v>
      </x:c>
      <x:c r="G2932" t="str">
        <x:v>Escritório</x:v>
      </x:c>
      <x:c r="H2932" t="str">
        <x:v>Mesa Ajustável</x:v>
      </x:c>
      <x:c r="I2932" t="str">
        <x:v>Carla</x:v>
      </x:c>
      <x:c r="J2932" s="53" t="n">
        <x:v>6</x:v>
      </x:c>
      <x:c r="K2932" s="54" t="n">
        <x:v>2930.36</x:v>
      </x:c>
      <x:c r="L2932" s="54" t="n">
        <x:v>1801.3</x:v>
      </x:c>
      <x:c r="M2932" s="55" t="n">
        <x:v>0</x:v>
      </x:c>
      <x:c r="N2932" s="54" t="n">
        <x:f>ROUND(J2932*K2932,2)</x:f>
        <x:v>17582.16</x:v>
      </x:c>
      <x:c r="O2932" s="54" t="n">
        <x:f>ROUND(N2932*(1-M2932),2)</x:f>
        <x:v>17582.16</x:v>
      </x:c>
      <x:c r="P2932" s="54" t="n">
        <x:f>ROUND(J2932*L2932,2)</x:f>
        <x:v>10807.8</x:v>
      </x:c>
      <x:c r="Q2932" s="54" t="n">
        <x:f>ROUND(O2932-P2932,2)</x:f>
        <x:v>6774.36</x:v>
      </x:c>
      <x:c r="R2932" s="55" t="n">
        <x:f>IF(O2932=0,0,ROUND(Q2932/O2932,4))</x:f>
        <x:v>0.3853</x:v>
      </x:c>
      <x:c r="S2932" s="53" t="n">
        <x:v>4</x:v>
      </x:c>
      <x:c r="T2932" t="str">
        <x:v>Entregue</x:v>
      </x:c>
      <x:c r="U2932" t="n">
        <x:v>5</x:v>
      </x:c>
      <x:c r="V2932" t="str"/>
    </x:row>
    <x:row r="2933">
      <x:c r="A2933" s="52" t="n">
        <x:v>46072</x:v>
      </x:c>
      <x:c r="B2933" t="str">
        <x:v>PED-102932</x:v>
      </x:c>
      <x:c r="C2933" t="str">
        <x:v>Cliente 120</x:v>
      </x:c>
      <x:c r="D2933" t="str">
        <x:v>PA</x:v>
      </x:c>
      <x:c r="E2933" t="str">
        <x:v>Norte</x:v>
      </x:c>
      <x:c r="F2933" t="str">
        <x:v>Marketplace</x:v>
      </x:c>
      <x:c r="G2933" t="str">
        <x:v>Escritório</x:v>
      </x:c>
      <x:c r="H2933" t="str">
        <x:v>Mesa Ajustável</x:v>
      </x:c>
      <x:c r="I2933" t="str">
        <x:v>Felipe</x:v>
      </x:c>
      <x:c r="J2933" s="53" t="n">
        <x:v>6</x:v>
      </x:c>
      <x:c r="K2933" s="54" t="n">
        <x:v>2636.09</x:v>
      </x:c>
      <x:c r="L2933" s="54" t="n">
        <x:v>1955</x:v>
      </x:c>
      <x:c r="M2933" s="55" t="n">
        <x:v>0.035</x:v>
      </x:c>
      <x:c r="N2933" s="54" t="n">
        <x:f>ROUND(J2933*K2933,2)</x:f>
        <x:v>15816.54</x:v>
      </x:c>
      <x:c r="O2933" s="54" t="n">
        <x:f>ROUND(N2933*(1-M2933),2)</x:f>
        <x:v>15262.96</x:v>
      </x:c>
      <x:c r="P2933" s="54" t="n">
        <x:f>ROUND(J2933*L2933,2)</x:f>
        <x:v>11730</x:v>
      </x:c>
      <x:c r="Q2933" s="54" t="n">
        <x:f>ROUND(O2933-P2933,2)</x:f>
        <x:v>3532.96</x:v>
      </x:c>
      <x:c r="R2933" s="55" t="n">
        <x:f>IF(O2933=0,0,ROUND(Q2933/O2933,4))</x:f>
        <x:v>0.2315</x:v>
      </x:c>
      <x:c r="S2933" s="53" t="n">
        <x:v>7</x:v>
      </x:c>
      <x:c r="T2933" t="str">
        <x:v>Entregue</x:v>
      </x:c>
      <x:c r="U2933" t="n">
        <x:v>3</x:v>
      </x:c>
      <x:c r="V2933" t="str"/>
    </x:row>
    <x:row r="2934">
      <x:c r="A2934" s="52" t="n">
        <x:v>46037</x:v>
      </x:c>
      <x:c r="B2934" t="str">
        <x:v>PED-102933</x:v>
      </x:c>
      <x:c r="C2934" t="str">
        <x:v>Cliente 020</x:v>
      </x:c>
      <x:c r="D2934" t="str">
        <x:v>RS</x:v>
      </x:c>
      <x:c r="E2934" t="str">
        <x:v>Sul</x:v>
      </x:c>
      <x:c r="F2934" t="str">
        <x:v>Marketplace</x:v>
      </x:c>
      <x:c r="G2934" t="str">
        <x:v>Acessórios</x:v>
      </x:c>
      <x:c r="H2934" t="str">
        <x:v>Mochila Executiva</x:v>
      </x:c>
      <x:c r="I2934" t="str">
        <x:v>Gabriela</x:v>
      </x:c>
      <x:c r="J2934" s="53" t="n">
        <x:v>8</x:v>
      </x:c>
      <x:c r="K2934" s="54" t="n">
        <x:v>404.97</x:v>
      </x:c>
      <x:c r="L2934" s="54" t="n">
        <x:v>184.23</x:v>
      </x:c>
      <x:c r="M2934" s="55" t="n">
        <x:v>0.086</x:v>
      </x:c>
      <x:c r="N2934" s="54" t="n">
        <x:f>ROUND(J2934*K2934,2)</x:f>
        <x:v>3239.76</x:v>
      </x:c>
      <x:c r="O2934" s="54" t="n">
        <x:f>ROUND(N2934*(1-M2934),2)</x:f>
        <x:v>2961.14</x:v>
      </x:c>
      <x:c r="P2934" s="54" t="n">
        <x:f>ROUND(J2934*L2934,2)</x:f>
        <x:v>1473.84</x:v>
      </x:c>
      <x:c r="Q2934" s="54" t="n">
        <x:f>ROUND(O2934-P2934,2)</x:f>
        <x:v>1487.3</x:v>
      </x:c>
      <x:c r="R2934" s="55" t="n">
        <x:f>IF(O2934=0,0,ROUND(Q2934/O2934,4))</x:f>
        <x:v>0.5023</x:v>
      </x:c>
      <x:c r="S2934" s="53" t="n">
        <x:v>13</x:v>
      </x:c>
      <x:c r="T2934" t="str">
        <x:v>Entregue com atraso</x:v>
      </x:c>
      <x:c r="U2934" t="n">
        <x:v>4</x:v>
      </x:c>
      <x:c r="V2934" t="str"/>
    </x:row>
    <x:row r="2935">
      <x:c r="A2935" s="52" t="n">
        <x:v>46068</x:v>
      </x:c>
      <x:c r="B2935" t="str">
        <x:v>PED-102934</x:v>
      </x:c>
      <x:c r="C2935" t="str">
        <x:v>Cliente 006</x:v>
      </x:c>
      <x:c r="D2935" t="str">
        <x:v>MG</x:v>
      </x:c>
      <x:c r="E2935" t="str">
        <x:v>Sudeste</x:v>
      </x:c>
      <x:c r="F2935" t="str">
        <x:v>Marketplace</x:v>
      </x:c>
      <x:c r="G2935" t="str">
        <x:v>Escritório</x:v>
      </x:c>
      <x:c r="H2935" t="str">
        <x:v>Mesa Ajustável</x:v>
      </x:c>
      <x:c r="I2935" t="str">
        <x:v>Diego</x:v>
      </x:c>
      <x:c r="J2935" s="53" t="n">
        <x:v>5</x:v>
      </x:c>
      <x:c r="K2935" s="54" t="n">
        <x:v>2864.72</x:v>
      </x:c>
      <x:c r="L2935" s="54" t="n">
        <x:v>1800.6</x:v>
      </x:c>
      <x:c r="M2935" s="55" t="n">
        <x:v>0.035</x:v>
      </x:c>
      <x:c r="N2935" s="54" t="n">
        <x:f>ROUND(J2935*K2935,2)</x:f>
        <x:v>14323.6</x:v>
      </x:c>
      <x:c r="O2935" s="54" t="n">
        <x:f>ROUND(N2935*(1-M2935),2)</x:f>
        <x:v>13822.27</x:v>
      </x:c>
      <x:c r="P2935" s="54" t="n">
        <x:f>ROUND(J2935*L2935,2)</x:f>
        <x:v>9003</x:v>
      </x:c>
      <x:c r="Q2935" s="54" t="n">
        <x:f>ROUND(O2935-P2935,2)</x:f>
        <x:v>4819.27</x:v>
      </x:c>
      <x:c r="R2935" s="55" t="n">
        <x:f>IF(O2935=0,0,ROUND(Q2935/O2935,4))</x:f>
        <x:v>0.3487</x:v>
      </x:c>
      <x:c r="S2935" s="53" t="n">
        <x:v>2</x:v>
      </x:c>
      <x:c r="T2935" t="str">
        <x:v>Entregue</x:v>
      </x:c>
      <x:c r="U2935" t="n">
        <x:v>5</x:v>
      </x:c>
      <x:c r="V2935" t="str"/>
    </x:row>
    <x:row r="2936">
      <x:c r="A2936" s="52" t="n">
        <x:v>46102</x:v>
      </x:c>
      <x:c r="B2936" t="str">
        <x:v>PED-102935</x:v>
      </x:c>
      <x:c r="C2936" t="str">
        <x:v>Cliente 045</x:v>
      </x:c>
      <x:c r="D2936" t="str">
        <x:v>GO</x:v>
      </x:c>
      <x:c r="E2936" t="str">
        <x:v>Centro-Oeste</x:v>
      </x:c>
      <x:c r="F2936" t="str">
        <x:v>Televendas</x:v>
      </x:c>
      <x:c r="G2936" t="str">
        <x:v>Acessórios</x:v>
      </x:c>
      <x:c r="H2936" t="str">
        <x:v>Webcam HD</x:v>
      </x:c>
      <x:c r="I2936" t="str">
        <x:v>Diego</x:v>
      </x:c>
      <x:c r="J2936" s="53" t="n">
        <x:v>2</x:v>
      </x:c>
      <x:c r="K2936" s="54" t="n">
        <x:v>508.12</x:v>
      </x:c>
      <x:c r="L2936" s="54" t="n">
        <x:v>251.93</x:v>
      </x:c>
      <x:c r="M2936" s="55" t="n">
        <x:v>0</x:v>
      </x:c>
      <x:c r="N2936" s="54" t="n">
        <x:f>ROUND(J2936*K2936,2)</x:f>
        <x:v>1016.24</x:v>
      </x:c>
      <x:c r="O2936" s="54" t="n">
        <x:f>ROUND(N2936*(1-M2936),2)</x:f>
        <x:v>1016.24</x:v>
      </x:c>
      <x:c r="P2936" s="54" t="n">
        <x:f>ROUND(J2936*L2936,2)</x:f>
        <x:v>503.86</x:v>
      </x:c>
      <x:c r="Q2936" s="54" t="n">
        <x:f>ROUND(O2936-P2936,2)</x:f>
        <x:v>512.38</x:v>
      </x:c>
      <x:c r="R2936" s="55" t="n">
        <x:f>IF(O2936=0,0,ROUND(Q2936/O2936,4))</x:f>
        <x:v>0.5042</x:v>
      </x:c>
      <x:c r="S2936" s="53" t="n">
        <x:v>11</x:v>
      </x:c>
      <x:c r="T2936" t="str">
        <x:v>Entregue com atraso</x:v>
      </x:c>
      <x:c r="U2936" t="n">
        <x:v>3</x:v>
      </x:c>
      <x:c r="V2936" t="str"/>
    </x:row>
    <x:row r="2937">
      <x:c r="A2937" s="52" t="n">
        <x:v>46220</x:v>
      </x:c>
      <x:c r="B2937" t="str">
        <x:v>PED-102936</x:v>
      </x:c>
      <x:c r="C2937" t="str">
        <x:v>Cliente 084</x:v>
      </x:c>
      <x:c r="D2937" t="str">
        <x:v>MG</x:v>
      </x:c>
      <x:c r="E2937" t="str">
        <x:v>Sudeste</x:v>
      </x:c>
      <x:c r="F2937" t="str">
        <x:v>Loja</x:v>
      </x:c>
      <x:c r="G2937" t="str">
        <x:v>Tecnologia</x:v>
      </x:c>
      <x:c r="H2937" t="str">
        <x:v>Monitor 27</x:v>
      </x:c>
      <x:c r="I2937" t="str">
        <x:v>Diego</x:v>
      </x:c>
      <x:c r="J2937" s="53" t="n">
        <x:v>7</x:v>
      </x:c>
      <x:c r="K2937" s="54" t="n">
        <x:v>1597.04</x:v>
      </x:c>
      <x:c r="L2937" s="54" t="n">
        <x:v>1062.03</x:v>
      </x:c>
      <x:c r="M2937" s="55" t="n">
        <x:v>0.0156</x:v>
      </x:c>
      <x:c r="N2937" s="54" t="n">
        <x:f>ROUND(J2937*K2937,2)</x:f>
        <x:v>11179.28</x:v>
      </x:c>
      <x:c r="O2937" s="54" t="n">
        <x:f>ROUND(N2937*(1-M2937),2)</x:f>
        <x:v>11004.88</x:v>
      </x:c>
      <x:c r="P2937" s="54" t="n">
        <x:f>ROUND(J2937*L2937,2)</x:f>
        <x:v>7434.21</x:v>
      </x:c>
      <x:c r="Q2937" s="54" t="n">
        <x:f>ROUND(O2937-P2937,2)</x:f>
        <x:v>3570.67</x:v>
      </x:c>
      <x:c r="R2937" s="55" t="n">
        <x:f>IF(O2937=0,0,ROUND(Q2937/O2937,4))</x:f>
        <x:v>0.3245</x:v>
      </x:c>
      <x:c r="S2937" s="53" t="n">
        <x:v>6</x:v>
      </x:c>
      <x:c r="T2937" t="str">
        <x:v>Entregue</x:v>
      </x:c>
      <x:c r="U2937" t="n">
        <x:v>2</x:v>
      </x:c>
      <x:c r="V2937" t="str"/>
    </x:row>
    <x:row r="2938">
      <x:c r="A2938" s="52" t="n">
        <x:v>46153</x:v>
      </x:c>
      <x:c r="B2938" t="str">
        <x:v>PED-102937</x:v>
      </x:c>
      <x:c r="C2938" t="str">
        <x:v>Cliente 064</x:v>
      </x:c>
      <x:c r="D2938" t="str">
        <x:v>PE</x:v>
      </x:c>
      <x:c r="E2938" t="str">
        <x:v>Nordeste</x:v>
      </x:c>
      <x:c r="F2938" t="str">
        <x:v>Televendas</x:v>
      </x:c>
      <x:c r="G2938" t="str">
        <x:v>Acessórios</x:v>
      </x:c>
      <x:c r="H2938" t="str">
        <x:v>Mochila Executiva</x:v>
      </x:c>
      <x:c r="I2938" t="str">
        <x:v>Gabriela</x:v>
      </x:c>
      <x:c r="J2938" s="53" t="n">
        <x:v>7</x:v>
      </x:c>
      <x:c r="K2938" s="54" t="n">
        <x:v>436.74</x:v>
      </x:c>
      <x:c r="L2938" s="54" t="n">
        <x:v>206.43</x:v>
      </x:c>
      <x:c r="M2938" s="55" t="n">
        <x:v>0</x:v>
      </x:c>
      <x:c r="N2938" s="54" t="n">
        <x:f>ROUND(J2938*K2938,2)</x:f>
        <x:v>3057.18</x:v>
      </x:c>
      <x:c r="O2938" s="54" t="n">
        <x:f>ROUND(N2938*(1-M2938),2)</x:f>
        <x:v>3057.18</x:v>
      </x:c>
      <x:c r="P2938" s="54" t="n">
        <x:f>ROUND(J2938*L2938,2)</x:f>
        <x:v>1445.01</x:v>
      </x:c>
      <x:c r="Q2938" s="54" t="n">
        <x:f>ROUND(O2938-P2938,2)</x:f>
        <x:v>1612.17</x:v>
      </x:c>
      <x:c r="R2938" s="55" t="n">
        <x:f>IF(O2938=0,0,ROUND(Q2938/O2938,4))</x:f>
        <x:v>0.5273</x:v>
      </x:c>
      <x:c r="S2938" s="53" t="n">
        <x:v>5</x:v>
      </x:c>
      <x:c r="T2938" t="str">
        <x:v>Entregue</x:v>
      </x:c>
      <x:c r="U2938" t="n">
        <x:v>5</x:v>
      </x:c>
      <x:c r="V2938" t="str"/>
    </x:row>
    <x:row r="2939">
      <x:c r="A2939" s="52" t="n">
        <x:v>46150</x:v>
      </x:c>
      <x:c r="B2939" t="str">
        <x:v>PED-102938</x:v>
      </x:c>
      <x:c r="C2939" t="str">
        <x:v>Cliente 047</x:v>
      </x:c>
      <x:c r="D2939" t="str">
        <x:v>SC</x:v>
      </x:c>
      <x:c r="E2939" t="str">
        <x:v>Sul</x:v>
      </x:c>
      <x:c r="F2939" t="str">
        <x:v>E-commerce</x:v>
      </x:c>
      <x:c r="G2939" t="str">
        <x:v>Escritório</x:v>
      </x:c>
      <x:c r="H2939" t="str">
        <x:v>Mesa Ajustável</x:v>
      </x:c>
      <x:c r="I2939" t="str">
        <x:v>Carla</x:v>
      </x:c>
      <x:c r="J2939" s="53" t="n">
        <x:v>1</x:v>
      </x:c>
      <x:c r="K2939" s="54" t="n">
        <x:v>2775.72</x:v>
      </x:c>
      <x:c r="L2939" s="54" t="n">
        <x:v>1870.48</x:v>
      </x:c>
      <x:c r="M2939" s="55" t="n">
        <x:v>0.0852</x:v>
      </x:c>
      <x:c r="N2939" s="54" t="n">
        <x:f>ROUND(J2939*K2939,2)</x:f>
        <x:v>2775.72</x:v>
      </x:c>
      <x:c r="O2939" s="54" t="n">
        <x:f>ROUND(N2939*(1-M2939),2)</x:f>
        <x:v>2539.23</x:v>
      </x:c>
      <x:c r="P2939" s="54" t="n">
        <x:f>ROUND(J2939*L2939,2)</x:f>
        <x:v>1870.48</x:v>
      </x:c>
      <x:c r="Q2939" s="54" t="n">
        <x:f>ROUND(O2939-P2939,2)</x:f>
        <x:v>668.75</x:v>
      </x:c>
      <x:c r="R2939" s="55" t="n">
        <x:f>IF(O2939=0,0,ROUND(Q2939/O2939,4))</x:f>
        <x:v>0.2634</x:v>
      </x:c>
      <x:c r="S2939" s="53" t="n">
        <x:v>13</x:v>
      </x:c>
      <x:c r="T2939" t="str">
        <x:v>Entregue com atraso</x:v>
      </x:c>
      <x:c r="U2939" t="n">
        <x:v>4</x:v>
      </x:c>
      <x:c r="V2939" t="str"/>
    </x:row>
    <x:row r="2940">
      <x:c r="A2940" s="52" t="n">
        <x:v>46159</x:v>
      </x:c>
      <x:c r="B2940" t="str">
        <x:v>PED-102939</x:v>
      </x:c>
      <x:c r="C2940" t="str">
        <x:v>Cliente 043</x:v>
      </x:c>
      <x:c r="D2940" t="str">
        <x:v>MG</x:v>
      </x:c>
      <x:c r="E2940" t="str">
        <x:v>Sudeste</x:v>
      </x:c>
      <x:c r="F2940" t="str">
        <x:v>Televendas</x:v>
      </x:c>
      <x:c r="G2940" t="str">
        <x:v>Tecnologia</x:v>
      </x:c>
      <x:c r="H2940" t="str">
        <x:v>Monitor 27</x:v>
      </x:c>
      <x:c r="I2940" t="str">
        <x:v>Gabriela</x:v>
      </x:c>
      <x:c r="J2940" s="53" t="n">
        <x:v>2</x:v>
      </x:c>
      <x:c r="K2940" s="54" t="n">
        <x:v>1782.91</x:v>
      </x:c>
      <x:c r="L2940" s="54" t="n">
        <x:v>1093.8</x:v>
      </x:c>
      <x:c r="M2940" s="55" t="n">
        <x:v>0.0532</x:v>
      </x:c>
      <x:c r="N2940" s="54" t="n">
        <x:f>ROUND(J2940*K2940,2)</x:f>
        <x:v>3565.82</x:v>
      </x:c>
      <x:c r="O2940" s="54" t="n">
        <x:f>ROUND(N2940*(1-M2940),2)</x:f>
        <x:v>3376.12</x:v>
      </x:c>
      <x:c r="P2940" s="54" t="n">
        <x:f>ROUND(J2940*L2940,2)</x:f>
        <x:v>2187.6</x:v>
      </x:c>
      <x:c r="Q2940" s="54" t="n">
        <x:f>ROUND(O2940-P2940,2)</x:f>
        <x:v>1188.52</x:v>
      </x:c>
      <x:c r="R2940" s="55" t="n">
        <x:f>IF(O2940=0,0,ROUND(Q2940/O2940,4))</x:f>
        <x:v>0.352</x:v>
      </x:c>
      <x:c r="S2940" s="53" t="n">
        <x:v>6</x:v>
      </x:c>
      <x:c r="T2940" t="str">
        <x:v>Entregue</x:v>
      </x:c>
      <x:c r="U2940" t="n">
        <x:v>3</x:v>
      </x:c>
      <x:c r="V2940" t="str"/>
    </x:row>
    <x:row r="2941">
      <x:c r="A2941" s="52" t="n">
        <x:v>46067</x:v>
      </x:c>
      <x:c r="B2941" t="str">
        <x:v>PED-102940</x:v>
      </x:c>
      <x:c r="C2941" t="str">
        <x:v>Cliente 030</x:v>
      </x:c>
      <x:c r="D2941" t="str">
        <x:v>MT</x:v>
      </x:c>
      <x:c r="E2941" t="str">
        <x:v>Centro-Oeste</x:v>
      </x:c>
      <x:c r="F2941" t="str">
        <x:v>Loja</x:v>
      </x:c>
      <x:c r="G2941" t="str">
        <x:v>Casa</x:v>
      </x:c>
      <x:c r="H2941" t="str">
        <x:v>Aspirador Robô</x:v>
      </x:c>
      <x:c r="I2941" t="str">
        <x:v>Felipe</x:v>
      </x:c>
      <x:c r="J2941" s="53" t="n">
        <x:v>8</x:v>
      </x:c>
      <x:c r="K2941" s="54" t="n">
        <x:v>1984.86</x:v>
      </x:c>
      <x:c r="L2941" s="54" t="n">
        <x:v>1193.32</x:v>
      </x:c>
      <x:c r="M2941" s="55" t="n">
        <x:v>0</x:v>
      </x:c>
      <x:c r="N2941" s="54" t="n">
        <x:f>ROUND(J2941*K2941,2)</x:f>
        <x:v>15878.88</x:v>
      </x:c>
      <x:c r="O2941" s="54" t="n">
        <x:f>ROUND(N2941*(1-M2941),2)</x:f>
        <x:v>15878.88</x:v>
      </x:c>
      <x:c r="P2941" s="54" t="n">
        <x:f>ROUND(J2941*L2941,2)</x:f>
        <x:v>9546.56</x:v>
      </x:c>
      <x:c r="Q2941" s="54" t="n">
        <x:f>ROUND(O2941-P2941,2)</x:f>
        <x:v>6332.32</x:v>
      </x:c>
      <x:c r="R2941" s="55" t="n">
        <x:f>IF(O2941=0,0,ROUND(Q2941/O2941,4))</x:f>
        <x:v>0.3988</x:v>
      </x:c>
      <x:c r="S2941" s="53" t="n">
        <x:v>2</x:v>
      </x:c>
      <x:c r="T2941" t="str">
        <x:v>Entregue</x:v>
      </x:c>
      <x:c r="U2941" t="n">
        <x:v>3</x:v>
      </x:c>
      <x:c r="V2941" t="str"/>
    </x:row>
    <x:row r="2942">
      <x:c r="A2942" s="52" t="n">
        <x:v>46211</x:v>
      </x:c>
      <x:c r="B2942" t="str">
        <x:v>PED-102941</x:v>
      </x:c>
      <x:c r="C2942" t="str">
        <x:v>Cliente 026</x:v>
      </x:c>
      <x:c r="D2942" t="str">
        <x:v>CE</x:v>
      </x:c>
      <x:c r="E2942" t="str">
        <x:v>Nordeste</x:v>
      </x:c>
      <x:c r="F2942" t="str">
        <x:v>Marketplace</x:v>
      </x:c>
      <x:c r="G2942" t="str">
        <x:v>Acessórios</x:v>
      </x:c>
      <x:c r="H2942" t="str">
        <x:v>Mochila Executiva</x:v>
      </x:c>
      <x:c r="I2942" t="str">
        <x:v>Ana</x:v>
      </x:c>
      <x:c r="J2942" s="53" t="n">
        <x:v>7</x:v>
      </x:c>
      <x:c r="K2942" s="54" t="n">
        <x:v>430.66</x:v>
      </x:c>
      <x:c r="L2942" s="54" t="n">
        <x:v>202.34</x:v>
      </x:c>
      <x:c r="M2942" s="55" t="n">
        <x:v>0.035</x:v>
      </x:c>
      <x:c r="N2942" s="54" t="n">
        <x:f>ROUND(J2942*K2942,2)</x:f>
        <x:v>3014.62</x:v>
      </x:c>
      <x:c r="O2942" s="54" t="n">
        <x:f>ROUND(N2942*(1-M2942),2)</x:f>
        <x:v>2909.11</x:v>
      </x:c>
      <x:c r="P2942" s="54" t="n">
        <x:f>ROUND(J2942*L2942,2)</x:f>
        <x:v>1416.38</x:v>
      </x:c>
      <x:c r="Q2942" s="54" t="n">
        <x:f>ROUND(O2942-P2942,2)</x:f>
        <x:v>1492.73</x:v>
      </x:c>
      <x:c r="R2942" s="55" t="n">
        <x:f>IF(O2942=0,0,ROUND(Q2942/O2942,4))</x:f>
        <x:v>0.5131</x:v>
      </x:c>
      <x:c r="S2942" s="53" t="n">
        <x:v>14</x:v>
      </x:c>
      <x:c r="T2942" t="str">
        <x:v>Entregue com atraso</x:v>
      </x:c>
      <x:c r="U2942" t="n">
        <x:v>4</x:v>
      </x:c>
      <x:c r="V2942" t="str"/>
    </x:row>
    <x:row r="2943">
      <x:c r="A2943" s="52" t="n">
        <x:v>46145</x:v>
      </x:c>
      <x:c r="B2943" t="str">
        <x:v>PED-102942</x:v>
      </x:c>
      <x:c r="C2943" t="str">
        <x:v>Cliente 106</x:v>
      </x:c>
      <x:c r="D2943" t="str">
        <x:v>SC</x:v>
      </x:c>
      <x:c r="E2943" t="str">
        <x:v>Sul</x:v>
      </x:c>
      <x:c r="F2943" t="str">
        <x:v>E-commerce</x:v>
      </x:c>
      <x:c r="G2943" t="str">
        <x:v>Casa</x:v>
      </x:c>
      <x:c r="H2943" t="str">
        <x:v>Aspirador Robô</x:v>
      </x:c>
      <x:c r="I2943" t="str">
        <x:v>Isabela</x:v>
      </x:c>
      <x:c r="J2943" s="53" t="n">
        <x:v>2</x:v>
      </x:c>
      <x:c r="K2943" s="54" t="n">
        <x:v>1997.28</x:v>
      </x:c>
      <x:c r="L2943" s="54" t="n">
        <x:v>1236.42</x:v>
      </x:c>
      <x:c r="M2943" s="55" t="n">
        <x:v>0.0101</x:v>
      </x:c>
      <x:c r="N2943" s="54" t="n">
        <x:f>ROUND(J2943*K2943,2)</x:f>
        <x:v>3994.56</x:v>
      </x:c>
      <x:c r="O2943" s="54" t="n">
        <x:f>ROUND(N2943*(1-M2943),2)</x:f>
        <x:v>3954.21</x:v>
      </x:c>
      <x:c r="P2943" s="54" t="n">
        <x:f>ROUND(J2943*L2943,2)</x:f>
        <x:v>2472.84</x:v>
      </x:c>
      <x:c r="Q2943" s="54" t="n">
        <x:f>ROUND(O2943-P2943,2)</x:f>
        <x:v>1481.37</x:v>
      </x:c>
      <x:c r="R2943" s="55" t="n">
        <x:f>IF(O2943=0,0,ROUND(Q2943/O2943,4))</x:f>
        <x:v>0.3746</x:v>
      </x:c>
      <x:c r="S2943" s="53" t="n">
        <x:v>11</x:v>
      </x:c>
      <x:c r="T2943" t="str">
        <x:v>Entregue com atraso</x:v>
      </x:c>
      <x:c r="U2943" t="n">
        <x:v>3</x:v>
      </x:c>
      <x:c r="V2943" t="str"/>
    </x:row>
    <x:row r="2944">
      <x:c r="A2944" s="52" t="n">
        <x:v>46049</x:v>
      </x:c>
      <x:c r="B2944" t="str">
        <x:v>PED-102943</x:v>
      </x:c>
      <x:c r="C2944" t="str">
        <x:v>Cliente 117</x:v>
      </x:c>
      <x:c r="D2944" t="str">
        <x:v>GO</x:v>
      </x:c>
      <x:c r="E2944" t="str">
        <x:v>Centro-Oeste</x:v>
      </x:c>
      <x:c r="F2944" t="str">
        <x:v>Marketplace</x:v>
      </x:c>
      <x:c r="G2944" t="str">
        <x:v>Escritório</x:v>
      </x:c>
      <x:c r="H2944" t="str">
        <x:v>Mesa Ajustável</x:v>
      </x:c>
      <x:c r="I2944" t="str">
        <x:v>Diego</x:v>
      </x:c>
      <x:c r="J2944" s="53" t="n">
        <x:v>8</x:v>
      </x:c>
      <x:c r="K2944" s="54" t="n">
        <x:v>2903.8</x:v>
      </x:c>
      <x:c r="L2944" s="54" t="n">
        <x:v>1776.86</x:v>
      </x:c>
      <x:c r="M2944" s="55" t="n">
        <x:v>0.077</x:v>
      </x:c>
      <x:c r="N2944" s="54" t="n">
        <x:f>ROUND(J2944*K2944,2)</x:f>
        <x:v>23230.4</x:v>
      </x:c>
      <x:c r="O2944" s="54" t="n">
        <x:f>ROUND(N2944*(1-M2944),2)</x:f>
        <x:v>21441.66</x:v>
      </x:c>
      <x:c r="P2944" s="54" t="n">
        <x:f>ROUND(J2944*L2944,2)</x:f>
        <x:v>14214.88</x:v>
      </x:c>
      <x:c r="Q2944" s="54" t="n">
        <x:f>ROUND(O2944-P2944,2)</x:f>
        <x:v>7226.78</x:v>
      </x:c>
      <x:c r="R2944" s="55" t="n">
        <x:f>IF(O2944=0,0,ROUND(Q2944/O2944,4))</x:f>
        <x:v>0.337</x:v>
      </x:c>
      <x:c r="S2944" s="53" t="n">
        <x:v>10</x:v>
      </x:c>
      <x:c r="T2944" t="str">
        <x:v>Cancelado</x:v>
      </x:c>
      <x:c r="U2944"/>
      <x:c r="V2944" t="str"/>
    </x:row>
    <x:row r="2945">
      <x:c r="A2945" s="52" t="n">
        <x:v>46043</x:v>
      </x:c>
      <x:c r="B2945" t="str">
        <x:v>PED-102944</x:v>
      </x:c>
      <x:c r="C2945" t="str">
        <x:v>Cliente 063</x:v>
      </x:c>
      <x:c r="D2945" t="str">
        <x:v>GO</x:v>
      </x:c>
      <x:c r="E2945" t="str">
        <x:v>Centro-Oeste</x:v>
      </x:c>
      <x:c r="F2945" t="str">
        <x:v>Marketplace</x:v>
      </x:c>
      <x:c r="G2945" t="str">
        <x:v>Casa</x:v>
      </x:c>
      <x:c r="H2945" t="str">
        <x:v>Purificador</x:v>
      </x:c>
      <x:c r="I2945" t="str">
        <x:v>Diego</x:v>
      </x:c>
      <x:c r="J2945" s="53" t="n">
        <x:v>8</x:v>
      </x:c>
      <x:c r="K2945" s="54" t="n">
        <x:v>1264.69</x:v>
      </x:c>
      <x:c r="L2945" s="54" t="n">
        <x:v>804.63</x:v>
      </x:c>
      <x:c r="M2945" s="55" t="n">
        <x:v>0.035</x:v>
      </x:c>
      <x:c r="N2945" s="54" t="n">
        <x:f>ROUND(J2945*K2945,2)</x:f>
        <x:v>10117.52</x:v>
      </x:c>
      <x:c r="O2945" s="54" t="n">
        <x:f>ROUND(N2945*(1-M2945),2)</x:f>
        <x:v>9763.41</x:v>
      </x:c>
      <x:c r="P2945" s="54" t="n">
        <x:f>ROUND(J2945*L2945,2)</x:f>
        <x:v>6437.04</x:v>
      </x:c>
      <x:c r="Q2945" s="54" t="n">
        <x:f>ROUND(O2945-P2945,2)</x:f>
        <x:v>3326.37</x:v>
      </x:c>
      <x:c r="R2945" s="55" t="n">
        <x:f>IF(O2945=0,0,ROUND(Q2945/O2945,4))</x:f>
        <x:v>0.3407</x:v>
      </x:c>
      <x:c r="S2945" s="53" t="n">
        <x:v>12</x:v>
      </x:c>
      <x:c r="T2945" t="str">
        <x:v>Entregue com atraso</x:v>
      </x:c>
      <x:c r="U2945" t="n">
        <x:v>5</x:v>
      </x:c>
      <x:c r="V2945" t="str"/>
    </x:row>
    <x:row r="2946">
      <x:c r="A2946" s="52" t="n">
        <x:v>46189</x:v>
      </x:c>
      <x:c r="B2946" t="str">
        <x:v>PED-102945</x:v>
      </x:c>
      <x:c r="C2946" t="str">
        <x:v>Cliente 088</x:v>
      </x:c>
      <x:c r="D2946" t="str">
        <x:v>SP</x:v>
      </x:c>
      <x:c r="E2946" t="str">
        <x:v>Sudeste</x:v>
      </x:c>
      <x:c r="F2946" t="str">
        <x:v>E-commerce</x:v>
      </x:c>
      <x:c r="G2946" t="str">
        <x:v>Tecnologia</x:v>
      </x:c>
      <x:c r="H2946" t="str">
        <x:v>Notebook Pro</x:v>
      </x:c>
      <x:c r="I2946" t="str">
        <x:v>Carla</x:v>
      </x:c>
      <x:c r="J2946" s="53" t="n">
        <x:v>6</x:v>
      </x:c>
      <x:c r="K2946" s="54" t="n">
        <x:v>5924.67</x:v>
      </x:c>
      <x:c r="L2946" s="54" t="n">
        <x:v>4148.43</x:v>
      </x:c>
      <x:c r="M2946" s="55" t="n">
        <x:v>0</x:v>
      </x:c>
      <x:c r="N2946" s="54" t="n">
        <x:f>ROUND(J2946*K2946,2)</x:f>
        <x:v>35548.02</x:v>
      </x:c>
      <x:c r="O2946" s="54" t="n">
        <x:f>ROUND(N2946*(1-M2946),2)</x:f>
        <x:v>35548.02</x:v>
      </x:c>
      <x:c r="P2946" s="54" t="n">
        <x:f>ROUND(J2946*L2946,2)</x:f>
        <x:v>24890.58</x:v>
      </x:c>
      <x:c r="Q2946" s="54" t="n">
        <x:f>ROUND(O2946-P2946,2)</x:f>
        <x:v>10657.44</x:v>
      </x:c>
      <x:c r="R2946" s="55" t="n">
        <x:f>IF(O2946=0,0,ROUND(Q2946/O2946,4))</x:f>
        <x:v>0.2998</x:v>
      </x:c>
      <x:c r="S2946" s="53" t="n">
        <x:v>14</x:v>
      </x:c>
      <x:c r="T2946" t="str">
        <x:v>Entregue com atraso</x:v>
      </x:c>
      <x:c r="U2946" t="n">
        <x:v>2</x:v>
      </x:c>
      <x:c r="V2946" t="str"/>
    </x:row>
    <x:row r="2947">
      <x:c r="A2947" s="52" t="n">
        <x:v>46096</x:v>
      </x:c>
      <x:c r="B2947" t="str">
        <x:v>PED-102946</x:v>
      </x:c>
      <x:c r="C2947" t="str">
        <x:v>Cliente 026</x:v>
      </x:c>
      <x:c r="D2947" t="str">
        <x:v>DF</x:v>
      </x:c>
      <x:c r="E2947" t="str">
        <x:v>Centro-Oeste</x:v>
      </x:c>
      <x:c r="F2947" t="str">
        <x:v>Televendas</x:v>
      </x:c>
      <x:c r="G2947" t="str">
        <x:v>Acessórios</x:v>
      </x:c>
      <x:c r="H2947" t="str">
        <x:v>Mochila Executiva</x:v>
      </x:c>
      <x:c r="I2947" t="str">
        <x:v>Elaine</x:v>
      </x:c>
      <x:c r="J2947" s="53" t="n">
        <x:v>7</x:v>
      </x:c>
      <x:c r="K2947" s="54" t="n">
        <x:v>424.5</x:v>
      </x:c>
      <x:c r="L2947" s="54" t="n">
        <x:v>197.94</x:v>
      </x:c>
      <x:c r="M2947" s="55" t="n">
        <x:v>0.1122</x:v>
      </x:c>
      <x:c r="N2947" s="54" t="n">
        <x:f>ROUND(J2947*K2947,2)</x:f>
        <x:v>2971.5</x:v>
      </x:c>
      <x:c r="O2947" s="54" t="n">
        <x:f>ROUND(N2947*(1-M2947),2)</x:f>
        <x:v>2638.1</x:v>
      </x:c>
      <x:c r="P2947" s="54" t="n">
        <x:f>ROUND(J2947*L2947,2)</x:f>
        <x:v>1385.58</x:v>
      </x:c>
      <x:c r="Q2947" s="54" t="n">
        <x:f>ROUND(O2947-P2947,2)</x:f>
        <x:v>1252.52</x:v>
      </x:c>
      <x:c r="R2947" s="55" t="n">
        <x:f>IF(O2947=0,0,ROUND(Q2947/O2947,4))</x:f>
        <x:v>0.4748</x:v>
      </x:c>
      <x:c r="S2947" s="53" t="n">
        <x:v>9</x:v>
      </x:c>
      <x:c r="T2947" t="str">
        <x:v>Entregue</x:v>
      </x:c>
      <x:c r="U2947" t="n">
        <x:v>5</x:v>
      </x:c>
      <x:c r="V2947" t="str"/>
    </x:row>
    <x:row r="2948">
      <x:c r="A2948" s="52" t="n">
        <x:v>46162</x:v>
      </x:c>
      <x:c r="B2948" t="str">
        <x:v>PED-102947</x:v>
      </x:c>
      <x:c r="C2948" t="str">
        <x:v>Cliente 069</x:v>
      </x:c>
      <x:c r="D2948" t="str">
        <x:v>SC</x:v>
      </x:c>
      <x:c r="E2948" t="str">
        <x:v>Sul</x:v>
      </x:c>
      <x:c r="F2948" t="str">
        <x:v>Marketplace</x:v>
      </x:c>
      <x:c r="G2948" t="str">
        <x:v>Escritório</x:v>
      </x:c>
      <x:c r="H2948" t="str">
        <x:v>Cadeira Ergonômica</x:v>
      </x:c>
      <x:c r="I2948" t="str">
        <x:v>Gabriela</x:v>
      </x:c>
      <x:c r="J2948" s="53" t="n">
        <x:v>4</x:v>
      </x:c>
      <x:c r="K2948" s="54" t="n">
        <x:v>2097.62</x:v>
      </x:c>
      <x:c r="L2948" s="54" t="n">
        <x:v>1376.77</x:v>
      </x:c>
      <x:c r="M2948" s="55" t="n">
        <x:v>0.035</x:v>
      </x:c>
      <x:c r="N2948" s="54" t="n">
        <x:f>ROUND(J2948*K2948,2)</x:f>
        <x:v>8390.48</x:v>
      </x:c>
      <x:c r="O2948" s="54" t="n">
        <x:f>ROUND(N2948*(1-M2948),2)</x:f>
        <x:v>8096.81</x:v>
      </x:c>
      <x:c r="P2948" s="54" t="n">
        <x:f>ROUND(J2948*L2948,2)</x:f>
        <x:v>5507.08</x:v>
      </x:c>
      <x:c r="Q2948" s="54" t="n">
        <x:f>ROUND(O2948-P2948,2)</x:f>
        <x:v>2589.73</x:v>
      </x:c>
      <x:c r="R2948" s="55" t="n">
        <x:f>IF(O2948=0,0,ROUND(Q2948/O2948,4))</x:f>
        <x:v>0.3198</x:v>
      </x:c>
      <x:c r="S2948" s="53" t="n">
        <x:v>9</x:v>
      </x:c>
      <x:c r="T2948" t="str">
        <x:v>Cancelado</x:v>
      </x:c>
      <x:c r="U2948"/>
      <x:c r="V2948" t="str"/>
    </x:row>
    <x:row r="2949">
      <x:c r="A2949" s="52" t="n">
        <x:v>46106</x:v>
      </x:c>
      <x:c r="B2949" t="str">
        <x:v>PED-102948</x:v>
      </x:c>
      <x:c r="C2949" t="str">
        <x:v>Cliente 096</x:v>
      </x:c>
      <x:c r="D2949" t="str">
        <x:v>DF</x:v>
      </x:c>
      <x:c r="E2949" t="str">
        <x:v>Centro-Oeste</x:v>
      </x:c>
      <x:c r="F2949" t="str">
        <x:v>E-commerce</x:v>
      </x:c>
      <x:c r="G2949" t="str">
        <x:v>Escritório</x:v>
      </x:c>
      <x:c r="H2949" t="str">
        <x:v>Luminária LED</x:v>
      </x:c>
      <x:c r="I2949" t="str">
        <x:v>Bruno</x:v>
      </x:c>
      <x:c r="J2949" s="53" t="n">
        <x:v>7</x:v>
      </x:c>
      <x:c r="K2949" s="54" t="n">
        <x:v>249.85</x:v>
      </x:c>
      <x:c r="L2949" s="54" t="n">
        <x:v>117.22</x:v>
      </x:c>
      <x:c r="M2949" s="55" t="n">
        <x:v>0.0098</x:v>
      </x:c>
      <x:c r="N2949" s="54" t="n">
        <x:f>ROUND(J2949*K2949,2)</x:f>
        <x:v>1748.95</x:v>
      </x:c>
      <x:c r="O2949" s="54" t="n">
        <x:f>ROUND(N2949*(1-M2949),2)</x:f>
        <x:v>1731.81</x:v>
      </x:c>
      <x:c r="P2949" s="54" t="n">
        <x:f>ROUND(J2949*L2949,2)</x:f>
        <x:v>820.54</x:v>
      </x:c>
      <x:c r="Q2949" s="54" t="n">
        <x:f>ROUND(O2949-P2949,2)</x:f>
        <x:v>911.27</x:v>
      </x:c>
      <x:c r="R2949" s="55" t="n">
        <x:f>IF(O2949=0,0,ROUND(Q2949/O2949,4))</x:f>
        <x:v>0.5262</x:v>
      </x:c>
      <x:c r="S2949" s="53" t="n">
        <x:v>11</x:v>
      </x:c>
      <x:c r="T2949" t="str">
        <x:v>Entregue com atraso</x:v>
      </x:c>
      <x:c r="U2949" t="n">
        <x:v>2</x:v>
      </x:c>
      <x:c r="V2949" t="str"/>
    </x:row>
    <x:row r="2950">
      <x:c r="A2950" s="52" t="n">
        <x:v>46142</x:v>
      </x:c>
      <x:c r="B2950" t="str">
        <x:v>PED-102949</x:v>
      </x:c>
      <x:c r="C2950" t="str">
        <x:v>Cliente 029</x:v>
      </x:c>
      <x:c r="D2950" t="str">
        <x:v>RJ</x:v>
      </x:c>
      <x:c r="E2950" t="str">
        <x:v>Sudeste</x:v>
      </x:c>
      <x:c r="F2950" t="str">
        <x:v>E-commerce</x:v>
      </x:c>
      <x:c r="G2950" t="str">
        <x:v>Escritório</x:v>
      </x:c>
      <x:c r="H2950" t="str">
        <x:v>Mesa Ajustável</x:v>
      </x:c>
      <x:c r="I2950" t="str">
        <x:v>Felipe</x:v>
      </x:c>
      <x:c r="J2950" s="53" t="n">
        <x:v>4</x:v>
      </x:c>
      <x:c r="K2950" s="54" t="n">
        <x:v>2710.71</x:v>
      </x:c>
      <x:c r="L2950" s="54" t="n">
        <x:v>1869.46</x:v>
      </x:c>
      <x:c r="M2950" s="55" t="n">
        <x:v>0.0788</x:v>
      </x:c>
      <x:c r="N2950" s="54" t="n">
        <x:f>ROUND(J2950*K2950,2)</x:f>
        <x:v>10842.84</x:v>
      </x:c>
      <x:c r="O2950" s="54" t="n">
        <x:f>ROUND(N2950*(1-M2950),2)</x:f>
        <x:v>9988.42</x:v>
      </x:c>
      <x:c r="P2950" s="54" t="n">
        <x:f>ROUND(J2950*L2950,2)</x:f>
        <x:v>7477.84</x:v>
      </x:c>
      <x:c r="Q2950" s="54" t="n">
        <x:f>ROUND(O2950-P2950,2)</x:f>
        <x:v>2510.58</x:v>
      </x:c>
      <x:c r="R2950" s="55" t="n">
        <x:f>IF(O2950=0,0,ROUND(Q2950/O2950,4))</x:f>
        <x:v>0.2513</x:v>
      </x:c>
      <x:c r="S2950" s="53" t="n">
        <x:v>10</x:v>
      </x:c>
      <x:c r="T2950" t="str">
        <x:v>Entregue</x:v>
      </x:c>
      <x:c r="U2950" t="n">
        <x:v>3</x:v>
      </x:c>
      <x:c r="V2950" t="str"/>
    </x:row>
    <x:row r="2951">
      <x:c r="A2951" s="52" t="n">
        <x:v>46053</x:v>
      </x:c>
      <x:c r="B2951" t="str">
        <x:v>PED-102950</x:v>
      </x:c>
      <x:c r="C2951" t="str">
        <x:v>Cliente 027</x:v>
      </x:c>
      <x:c r="D2951" t="str">
        <x:v>MG</x:v>
      </x:c>
      <x:c r="E2951" t="str">
        <x:v>Sudeste</x:v>
      </x:c>
      <x:c r="F2951" t="str">
        <x:v>E-commerce</x:v>
      </x:c>
      <x:c r="G2951" t="str">
        <x:v>Escritório</x:v>
      </x:c>
      <x:c r="H2951" t="str">
        <x:v>Cadeira Ergonômica</x:v>
      </x:c>
      <x:c r="I2951" t="str">
        <x:v>Elaine</x:v>
      </x:c>
      <x:c r="J2951" s="53" t="n">
        <x:v>1</x:v>
      </x:c>
      <x:c r="K2951" s="54" t="n">
        <x:v>2117.81</x:v>
      </x:c>
      <x:c r="L2951" s="54" t="n">
        <x:v>1469.35</x:v>
      </x:c>
      <x:c r="M2951" s="55" t="n">
        <x:v>0.0018</x:v>
      </x:c>
      <x:c r="N2951" s="54" t="n">
        <x:f>ROUND(J2951*K2951,2)</x:f>
        <x:v>2117.81</x:v>
      </x:c>
      <x:c r="O2951" s="54" t="n">
        <x:f>ROUND(N2951*(1-M2951),2)</x:f>
        <x:v>2114</x:v>
      </x:c>
      <x:c r="P2951" s="54" t="n">
        <x:f>ROUND(J2951*L2951,2)</x:f>
        <x:v>1469.35</x:v>
      </x:c>
      <x:c r="Q2951" s="54" t="n">
        <x:f>ROUND(O2951-P2951,2)</x:f>
        <x:v>644.65</x:v>
      </x:c>
      <x:c r="R2951" s="55" t="n">
        <x:f>IF(O2951=0,0,ROUND(Q2951/O2951,4))</x:f>
        <x:v>0.3049</x:v>
      </x:c>
      <x:c r="S2951" s="53" t="n">
        <x:v>7</x:v>
      </x:c>
      <x:c r="T2951" t="str">
        <x:v>Entregue</x:v>
      </x:c>
      <x:c r="U2951" t="n">
        <x:v>5</x:v>
      </x:c>
      <x:c r="V2951" t="str"/>
    </x:row>
    <x:row r="2952">
      <x:c r="A2952" s="52" t="n">
        <x:v>46166</x:v>
      </x:c>
      <x:c r="B2952" t="str">
        <x:v>PED-102951</x:v>
      </x:c>
      <x:c r="C2952" t="str">
        <x:v>Cliente 071</x:v>
      </x:c>
      <x:c r="D2952" t="str">
        <x:v>AM</x:v>
      </x:c>
      <x:c r="E2952" t="str">
        <x:v>Norte</x:v>
      </x:c>
      <x:c r="F2952" t="str">
        <x:v>Loja</x:v>
      </x:c>
      <x:c r="G2952" t="str">
        <x:v>Escritório</x:v>
      </x:c>
      <x:c r="H2952" t="str">
        <x:v>Cadeira Ergonômica</x:v>
      </x:c>
      <x:c r="I2952" t="str">
        <x:v>Diego</x:v>
      </x:c>
      <x:c r="J2952" s="53" t="n">
        <x:v>6</x:v>
      </x:c>
      <x:c r="K2952" s="54" t="n">
        <x:v>2308.28</x:v>
      </x:c>
      <x:c r="L2952" s="54" t="n">
        <x:v>1511.35</x:v>
      </x:c>
      <x:c r="M2952" s="55" t="n">
        <x:v>0.0373</x:v>
      </x:c>
      <x:c r="N2952" s="54" t="n">
        <x:f>ROUND(J2952*K2952,2)</x:f>
        <x:v>13849.68</x:v>
      </x:c>
      <x:c r="O2952" s="54" t="n">
        <x:f>ROUND(N2952*(1-M2952),2)</x:f>
        <x:v>13333.09</x:v>
      </x:c>
      <x:c r="P2952" s="54" t="n">
        <x:f>ROUND(J2952*L2952,2)</x:f>
        <x:v>9068.1</x:v>
      </x:c>
      <x:c r="Q2952" s="54" t="n">
        <x:f>ROUND(O2952-P2952,2)</x:f>
        <x:v>4264.99</x:v>
      </x:c>
      <x:c r="R2952" s="55" t="n">
        <x:f>IF(O2952=0,0,ROUND(Q2952/O2952,4))</x:f>
        <x:v>0.3199</x:v>
      </x:c>
      <x:c r="S2952" s="53" t="n">
        <x:v>5</x:v>
      </x:c>
      <x:c r="T2952" t="str">
        <x:v>Entregue</x:v>
      </x:c>
      <x:c r="U2952" t="n">
        <x:v>4</x:v>
      </x:c>
      <x:c r="V2952" t="str"/>
    </x:row>
    <x:row r="2953">
      <x:c r="A2953" s="52" t="n">
        <x:v>46138</x:v>
      </x:c>
      <x:c r="B2953" t="str">
        <x:v>PED-102952</x:v>
      </x:c>
      <x:c r="C2953" t="str">
        <x:v>Cliente 085</x:v>
      </x:c>
      <x:c r="D2953" t="str">
        <x:v>ES</x:v>
      </x:c>
      <x:c r="E2953" t="str">
        <x:v>Sudeste</x:v>
      </x:c>
      <x:c r="F2953" t="str">
        <x:v>Televendas</x:v>
      </x:c>
      <x:c r="G2953" t="str">
        <x:v>Escritório</x:v>
      </x:c>
      <x:c r="H2953" t="str">
        <x:v>Luminária LED</x:v>
      </x:c>
      <x:c r="I2953" t="str">
        <x:v>Elaine</x:v>
      </x:c>
      <x:c r="J2953" s="53" t="n">
        <x:v>6</x:v>
      </x:c>
      <x:c r="K2953" s="54" t="n">
        <x:v>257.5</x:v>
      </x:c>
      <x:c r="L2953" s="54" t="n">
        <x:v>113.5</x:v>
      </x:c>
      <x:c r="M2953" s="55" t="n">
        <x:v>0.0137</x:v>
      </x:c>
      <x:c r="N2953" s="54" t="n">
        <x:f>ROUND(J2953*K2953,2)</x:f>
        <x:v>1545</x:v>
      </x:c>
      <x:c r="O2953" s="54" t="n">
        <x:f>ROUND(N2953*(1-M2953),2)</x:f>
        <x:v>1523.83</x:v>
      </x:c>
      <x:c r="P2953" s="54" t="n">
        <x:f>ROUND(J2953*L2953,2)</x:f>
        <x:v>681</x:v>
      </x:c>
      <x:c r="Q2953" s="54" t="n">
        <x:f>ROUND(O2953-P2953,2)</x:f>
        <x:v>842.83</x:v>
      </x:c>
      <x:c r="R2953" s="55" t="n">
        <x:f>IF(O2953=0,0,ROUND(Q2953/O2953,4))</x:f>
        <x:v>0.5531</x:v>
      </x:c>
      <x:c r="S2953" s="53" t="n">
        <x:v>7</x:v>
      </x:c>
      <x:c r="T2953" t="str">
        <x:v>Entregue</x:v>
      </x:c>
      <x:c r="U2953" t="n">
        <x:v>5</x:v>
      </x:c>
      <x:c r="V2953" t="str"/>
    </x:row>
    <x:row r="2954">
      <x:c r="A2954" s="52" t="n">
        <x:v>46122</x:v>
      </x:c>
      <x:c r="B2954" t="str">
        <x:v>PED-102953</x:v>
      </x:c>
      <x:c r="C2954" t="str">
        <x:v>Cliente 031</x:v>
      </x:c>
      <x:c r="D2954" t="str">
        <x:v>PR</x:v>
      </x:c>
      <x:c r="E2954" t="str">
        <x:v>Sul</x:v>
      </x:c>
      <x:c r="F2954" t="str">
        <x:v>E-commerce</x:v>
      </x:c>
      <x:c r="G2954" t="str">
        <x:v>Tecnologia</x:v>
      </x:c>
      <x:c r="H2954" t="str">
        <x:v>Notebook Pro</x:v>
      </x:c>
      <x:c r="I2954" t="str">
        <x:v>Henrique</x:v>
      </x:c>
      <x:c r="J2954" s="53" t="n">
        <x:v>1</x:v>
      </x:c>
      <x:c r="K2954" s="54" t="n">
        <x:v>6005.47</x:v>
      </x:c>
      <x:c r="L2954" s="54" t="n">
        <x:v>4309.26</x:v>
      </x:c>
      <x:c r="M2954" s="55" t="n">
        <x:v>0.0612</x:v>
      </x:c>
      <x:c r="N2954" s="54" t="n">
        <x:f>ROUND(J2954*K2954,2)</x:f>
        <x:v>6005.47</x:v>
      </x:c>
      <x:c r="O2954" s="54" t="n">
        <x:f>ROUND(N2954*(1-M2954),2)</x:f>
        <x:v>5637.94</x:v>
      </x:c>
      <x:c r="P2954" s="54" t="n">
        <x:f>ROUND(J2954*L2954,2)</x:f>
        <x:v>4309.26</x:v>
      </x:c>
      <x:c r="Q2954" s="54" t="n">
        <x:f>ROUND(O2954-P2954,2)</x:f>
        <x:v>1328.68</x:v>
      </x:c>
      <x:c r="R2954" s="55" t="n">
        <x:f>IF(O2954=0,0,ROUND(Q2954/O2954,4))</x:f>
        <x:v>0.2357</x:v>
      </x:c>
      <x:c r="S2954" s="53" t="n">
        <x:v>7</x:v>
      </x:c>
      <x:c r="T2954" t="str">
        <x:v>Entregue</x:v>
      </x:c>
      <x:c r="U2954" t="n">
        <x:v>3</x:v>
      </x:c>
      <x:c r="V2954" t="str"/>
    </x:row>
    <x:row r="2955">
      <x:c r="A2955" s="52" t="n">
        <x:v>46175</x:v>
      </x:c>
      <x:c r="B2955" t="str">
        <x:v>PED-102954</x:v>
      </x:c>
      <x:c r="C2955" t="str">
        <x:v>Cliente 022</x:v>
      </x:c>
      <x:c r="D2955" t="str">
        <x:v>AM</x:v>
      </x:c>
      <x:c r="E2955" t="str">
        <x:v>Norte</x:v>
      </x:c>
      <x:c r="F2955" t="str">
        <x:v>Loja</x:v>
      </x:c>
      <x:c r="G2955" t="str">
        <x:v>Escritório</x:v>
      </x:c>
      <x:c r="H2955" t="str">
        <x:v>Mesa Ajustável</x:v>
      </x:c>
      <x:c r="I2955" t="str">
        <x:v>Diego</x:v>
      </x:c>
      <x:c r="J2955" s="53" t="n">
        <x:v>7</x:v>
      </x:c>
      <x:c r="K2955" s="54" t="n">
        <x:v>2835.56</x:v>
      </x:c>
      <x:c r="L2955" s="54" t="n">
        <x:v>1870.12</x:v>
      </x:c>
      <x:c r="M2955" s="55" t="n">
        <x:v>0.0703</x:v>
      </x:c>
      <x:c r="N2955" s="54" t="n">
        <x:f>ROUND(J2955*K2955,2)</x:f>
        <x:v>19848.92</x:v>
      </x:c>
      <x:c r="O2955" s="54" t="n">
        <x:f>ROUND(N2955*(1-M2955),2)</x:f>
        <x:v>18453.54</x:v>
      </x:c>
      <x:c r="P2955" s="54" t="n">
        <x:f>ROUND(J2955*L2955,2)</x:f>
        <x:v>13090.84</x:v>
      </x:c>
      <x:c r="Q2955" s="54" t="n">
        <x:f>ROUND(O2955-P2955,2)</x:f>
        <x:v>5362.7</x:v>
      </x:c>
      <x:c r="R2955" s="55" t="n">
        <x:f>IF(O2955=0,0,ROUND(Q2955/O2955,4))</x:f>
        <x:v>0.2906</x:v>
      </x:c>
      <x:c r="S2955" s="53" t="n">
        <x:v>12</x:v>
      </x:c>
      <x:c r="T2955" t="str">
        <x:v>Entregue com atraso</x:v>
      </x:c>
      <x:c r="U2955" t="n">
        <x:v>5</x:v>
      </x:c>
      <x:c r="V2955" t="str"/>
    </x:row>
    <x:row r="2956">
      <x:c r="A2956" s="52" t="n">
        <x:v>46039</x:v>
      </x:c>
      <x:c r="B2956" t="str">
        <x:v>PED-102955</x:v>
      </x:c>
      <x:c r="C2956" t="str">
        <x:v>Cliente 047</x:v>
      </x:c>
      <x:c r="D2956" t="str">
        <x:v>AM</x:v>
      </x:c>
      <x:c r="E2956" t="str">
        <x:v>Norte</x:v>
      </x:c>
      <x:c r="F2956" t="str">
        <x:v>Loja</x:v>
      </x:c>
      <x:c r="G2956" t="str">
        <x:v>Tecnologia</x:v>
      </x:c>
      <x:c r="H2956" t="str">
        <x:v>Headset Office</x:v>
      </x:c>
      <x:c r="I2956" t="str">
        <x:v>Bruno</x:v>
      </x:c>
      <x:c r="J2956" s="53" t="n">
        <x:v>3</x:v>
      </x:c>
      <x:c r="K2956" s="54" t="n">
        <x:v>389.01</x:v>
      </x:c>
      <x:c r="L2956" s="54" t="n">
        <x:v>468.22</x:v>
      </x:c>
      <x:c r="M2956" s="55" t="n">
        <x:v>0</x:v>
      </x:c>
      <x:c r="N2956" s="54" t="n">
        <x:f>ROUND(J2956*K2956,2)</x:f>
        <x:v>1167.03</x:v>
      </x:c>
      <x:c r="O2956" s="54" t="n">
        <x:f>ROUND(N2956*(1-M2956),2)</x:f>
        <x:v>1167.03</x:v>
      </x:c>
      <x:c r="P2956" s="54" t="n">
        <x:f>ROUND(J2956*L2956,2)</x:f>
        <x:v>1404.66</x:v>
      </x:c>
      <x:c r="Q2956" s="54" t="n">
        <x:f>ROUND(O2956-P2956,2)</x:f>
        <x:v>-237.63</x:v>
      </x:c>
      <x:c r="R2956" s="55" t="n">
        <x:f>IF(O2956=0,0,ROUND(Q2956/O2956,4))</x:f>
        <x:v>-0.2036</x:v>
      </x:c>
      <x:c r="S2956" s="53" t="n">
        <x:v>9</x:v>
      </x:c>
      <x:c r="T2956" t="str">
        <x:v>Entregue</x:v>
      </x:c>
      <x:c r="U2956" t="n">
        <x:v>2</x:v>
      </x:c>
      <x:c r="V2956" t="str">
        <x:v>Custo revisado após fechamento</x:v>
      </x:c>
    </x:row>
    <x:row r="2957">
      <x:c r="A2957" s="52" t="n">
        <x:v>46145</x:v>
      </x:c>
      <x:c r="B2957" t="str">
        <x:v>PED-102956</x:v>
      </x:c>
      <x:c r="C2957" t="str">
        <x:v>Cliente 008</x:v>
      </x:c>
      <x:c r="D2957" t="str">
        <x:v>BA</x:v>
      </x:c>
      <x:c r="E2957" t="str">
        <x:v>Nordeste</x:v>
      </x:c>
      <x:c r="F2957" t="str">
        <x:v>E-commerce</x:v>
      </x:c>
      <x:c r="G2957" t="str">
        <x:v>Acessórios</x:v>
      </x:c>
      <x:c r="H2957" t="str">
        <x:v>Hub USB-C</x:v>
      </x:c>
      <x:c r="I2957" t="str">
        <x:v>Felipe</x:v>
      </x:c>
      <x:c r="J2957" s="53" t="n">
        <x:v>2</x:v>
      </x:c>
      <x:c r="K2957" s="54" t="n">
        <x:v>323.29</x:v>
      </x:c>
      <x:c r="L2957" s="54" t="n">
        <x:v>142.2</x:v>
      </x:c>
      <x:c r="M2957" s="55" t="n">
        <x:v>0.4208</x:v>
      </x:c>
      <x:c r="N2957" s="54" t="n">
        <x:f>ROUND(J2957*K2957,2)</x:f>
        <x:v>646.58</x:v>
      </x:c>
      <x:c r="O2957" s="54" t="n">
        <x:f>ROUND(N2957*(1-M2957),2)</x:f>
        <x:v>374.5</x:v>
      </x:c>
      <x:c r="P2957" s="54" t="n">
        <x:f>ROUND(J2957*L2957,2)</x:f>
        <x:v>284.4</x:v>
      </x:c>
      <x:c r="Q2957" s="54" t="n">
        <x:f>ROUND(O2957-P2957,2)</x:f>
        <x:v>90.1</x:v>
      </x:c>
      <x:c r="R2957" s="55" t="n">
        <x:f>IF(O2957=0,0,ROUND(Q2957/O2957,4))</x:f>
        <x:v>0.2406</x:v>
      </x:c>
      <x:c r="S2957" s="53" t="n">
        <x:v>10</x:v>
      </x:c>
      <x:c r="T2957" t="str">
        <x:v>Entregue</x:v>
      </x:c>
      <x:c r="U2957" t="n">
        <x:v>3</x:v>
      </x:c>
      <x:c r="V2957" t="str">
        <x:v>Desconto autorizado fora da campanha</x:v>
      </x:c>
    </x:row>
    <x:row r="2958">
      <x:c r="A2958" s="52" t="n">
        <x:v>46077</x:v>
      </x:c>
      <x:c r="B2958" t="str">
        <x:v>PED-102957</x:v>
      </x:c>
      <x:c r="C2958" t="str">
        <x:v>Cliente 005</x:v>
      </x:c>
      <x:c r="D2958" t="str">
        <x:v>MA</x:v>
      </x:c>
      <x:c r="E2958" t="str">
        <x:v>Nordeste</x:v>
      </x:c>
      <x:c r="F2958" t="str">
        <x:v>Loja</x:v>
      </x:c>
      <x:c r="G2958" t="str">
        <x:v>Casa</x:v>
      </x:c>
      <x:c r="H2958" t="str">
        <x:v>Purificador</x:v>
      </x:c>
      <x:c r="I2958" t="str">
        <x:v>Ana</x:v>
      </x:c>
      <x:c r="J2958" s="53" t="n">
        <x:v>5</x:v>
      </x:c>
      <x:c r="K2958" s="54" t="n">
        <x:v>1299.39</x:v>
      </x:c>
      <x:c r="L2958" s="54" t="n">
        <x:v>789.3</x:v>
      </x:c>
      <x:c r="M2958" s="55" t="n">
        <x:v>0</x:v>
      </x:c>
      <x:c r="N2958" s="54" t="n">
        <x:f>ROUND(J2958*K2958,2)</x:f>
        <x:v>6496.95</x:v>
      </x:c>
      <x:c r="O2958" s="54" t="n">
        <x:f>ROUND(N2958*(1-M2958),2)</x:f>
        <x:v>6496.95</x:v>
      </x:c>
      <x:c r="P2958" s="54" t="n">
        <x:f>ROUND(J2958*L2958,2)</x:f>
        <x:v>3946.5</x:v>
      </x:c>
      <x:c r="Q2958" s="54" t="n">
        <x:f>ROUND(O2958-P2958,2)</x:f>
        <x:v>2550.45</x:v>
      </x:c>
      <x:c r="R2958" s="55" t="n">
        <x:f>IF(O2958=0,0,ROUND(Q2958/O2958,4))</x:f>
        <x:v>0.3926</x:v>
      </x:c>
      <x:c r="S2958" s="53" t="n">
        <x:v>6</x:v>
      </x:c>
      <x:c r="T2958" t="str">
        <x:v>Entregue</x:v>
      </x:c>
      <x:c r="U2958" t="n">
        <x:v>2</x:v>
      </x:c>
      <x:c r="V2958" t="str"/>
    </x:row>
    <x:row r="2959">
      <x:c r="A2959" s="52" t="n">
        <x:v>46102</x:v>
      </x:c>
      <x:c r="B2959" t="str">
        <x:v>PED-102958</x:v>
      </x:c>
      <x:c r="C2959" t="str">
        <x:v>Cliente 062</x:v>
      </x:c>
      <x:c r="D2959" t="str">
        <x:v>RJ</x:v>
      </x:c>
      <x:c r="E2959" t="str">
        <x:v>Sudeste</x:v>
      </x:c>
      <x:c r="F2959" t="str">
        <x:v>Televendas</x:v>
      </x:c>
      <x:c r="G2959" t="str">
        <x:v>Casa</x:v>
      </x:c>
      <x:c r="H2959" t="str">
        <x:v>Cafeteira Smart</x:v>
      </x:c>
      <x:c r="I2959" t="str">
        <x:v>João</x:v>
      </x:c>
      <x:c r="J2959" s="53" t="n">
        <x:v>2</x:v>
      </x:c>
      <x:c r="K2959" s="54" t="n">
        <x:v>835.4</x:v>
      </x:c>
      <x:c r="L2959" s="54" t="n">
        <x:v>472.79</x:v>
      </x:c>
      <x:c r="M2959" s="55" t="n">
        <x:v>0.0032</x:v>
      </x:c>
      <x:c r="N2959" s="54" t="n">
        <x:f>ROUND(J2959*K2959,2)</x:f>
        <x:v>1670.8</x:v>
      </x:c>
      <x:c r="O2959" s="54" t="n">
        <x:f>ROUND(N2959*(1-M2959),2)</x:f>
        <x:v>1665.45</x:v>
      </x:c>
      <x:c r="P2959" s="54" t="n">
        <x:f>ROUND(J2959*L2959,2)</x:f>
        <x:v>945.58</x:v>
      </x:c>
      <x:c r="Q2959" s="54" t="n">
        <x:f>ROUND(O2959-P2959,2)</x:f>
        <x:v>719.87</x:v>
      </x:c>
      <x:c r="R2959" s="55" t="n">
        <x:f>IF(O2959=0,0,ROUND(Q2959/O2959,4))</x:f>
        <x:v>0.4322</x:v>
      </x:c>
      <x:c r="S2959" s="53" t="n">
        <x:v>13</x:v>
      </x:c>
      <x:c r="T2959" t="str">
        <x:v>Entregue com atraso</x:v>
      </x:c>
      <x:c r="U2959" t="n">
        <x:v>3</x:v>
      </x:c>
      <x:c r="V2959" t="str"/>
    </x:row>
    <x:row r="2960">
      <x:c r="A2960" s="52" t="n">
        <x:v>46223</x:v>
      </x:c>
      <x:c r="B2960" t="str">
        <x:v>PED-102959</x:v>
      </x:c>
      <x:c r="C2960" t="str">
        <x:v>Cliente 104</x:v>
      </x:c>
      <x:c r="D2960" t="str">
        <x:v>MA</x:v>
      </x:c>
      <x:c r="E2960" t="str">
        <x:v>Nordeste</x:v>
      </x:c>
      <x:c r="F2960" t="str">
        <x:v>E-commerce</x:v>
      </x:c>
      <x:c r="G2960" t="str">
        <x:v>Acessórios</x:v>
      </x:c>
      <x:c r="H2960" t="str">
        <x:v>Mochila Executiva</x:v>
      </x:c>
      <x:c r="I2960" t="str">
        <x:v>Elaine</x:v>
      </x:c>
      <x:c r="J2960" s="53" t="n">
        <x:v>2</x:v>
      </x:c>
      <x:c r="K2960" s="54" t="n">
        <x:v>413.5</x:v>
      </x:c>
      <x:c r="L2960" s="54" t="n">
        <x:v>199.35</x:v>
      </x:c>
      <x:c r="M2960" s="55" t="n">
        <x:v>0.1244</x:v>
      </x:c>
      <x:c r="N2960" s="54" t="n">
        <x:f>ROUND(J2960*K2960,2)</x:f>
        <x:v>827</x:v>
      </x:c>
      <x:c r="O2960" s="54" t="n">
        <x:f>ROUND(N2960*(1-M2960),2)</x:f>
        <x:v>724.12</x:v>
      </x:c>
      <x:c r="P2960" s="54" t="n">
        <x:f>ROUND(J2960*L2960,2)</x:f>
        <x:v>398.7</x:v>
      </x:c>
      <x:c r="Q2960" s="54" t="n">
        <x:f>ROUND(O2960-P2960,2)</x:f>
        <x:v>325.42</x:v>
      </x:c>
      <x:c r="R2960" s="55" t="n">
        <x:f>IF(O2960=0,0,ROUND(Q2960/O2960,4))</x:f>
        <x:v>0.4494</x:v>
      </x:c>
      <x:c r="S2960" s="53" t="n">
        <x:v>12</x:v>
      </x:c>
      <x:c r="T2960" t="str">
        <x:v>Entregue com atraso</x:v>
      </x:c>
      <x:c r="U2960" t="n">
        <x:v>5</x:v>
      </x:c>
      <x:c r="V2960" t="str"/>
    </x:row>
    <x:row r="2961">
      <x:c r="A2961" s="52" t="n">
        <x:v>46119</x:v>
      </x:c>
      <x:c r="B2961" t="str">
        <x:v>PED-102960</x:v>
      </x:c>
      <x:c r="C2961" t="str">
        <x:v>Cliente 014</x:v>
      </x:c>
      <x:c r="D2961" t="str">
        <x:v>MG</x:v>
      </x:c>
      <x:c r="E2961" t="str">
        <x:v>Sudeste</x:v>
      </x:c>
      <x:c r="F2961" t="str">
        <x:v>Loja</x:v>
      </x:c>
      <x:c r="G2961" t="str">
        <x:v>Acessórios</x:v>
      </x:c>
      <x:c r="H2961" t="str">
        <x:v>Hub USB-C</x:v>
      </x:c>
      <x:c r="I2961" t="str">
        <x:v>Diego</x:v>
      </x:c>
      <x:c r="J2961" s="53" t="n">
        <x:v>7</x:v>
      </x:c>
      <x:c r="K2961" s="54" t="n">
        <x:v>337.45</x:v>
      </x:c>
      <x:c r="L2961" s="54" t="n">
        <x:v>130.86</x:v>
      </x:c>
      <x:c r="M2961" s="55" t="n">
        <x:v>0</x:v>
      </x:c>
      <x:c r="N2961" s="54" t="n">
        <x:f>ROUND(J2961*K2961,2)</x:f>
        <x:v>2362.15</x:v>
      </x:c>
      <x:c r="O2961" s="54" t="n">
        <x:f>ROUND(N2961*(1-M2961),2)</x:f>
        <x:v>2362.15</x:v>
      </x:c>
      <x:c r="P2961" s="54" t="n">
        <x:f>ROUND(J2961*L2961,2)</x:f>
        <x:v>916.02</x:v>
      </x:c>
      <x:c r="Q2961" s="54" t="n">
        <x:f>ROUND(O2961-P2961,2)</x:f>
        <x:v>1446.13</x:v>
      </x:c>
      <x:c r="R2961" s="55" t="n">
        <x:f>IF(O2961=0,0,ROUND(Q2961/O2961,4))</x:f>
        <x:v>0.6122</x:v>
      </x:c>
      <x:c r="S2961" s="53" t="n">
        <x:v>11</x:v>
      </x:c>
      <x:c r="T2961" t="str">
        <x:v>Entregue com atraso</x:v>
      </x:c>
      <x:c r="U2961" t="n">
        <x:v>2</x:v>
      </x:c>
      <x:c r="V2961" t="str"/>
    </x:row>
    <x:row r="2962">
      <x:c r="A2962" s="52" t="n">
        <x:v>46090</x:v>
      </x:c>
      <x:c r="B2962" t="str">
        <x:v>PED-102961</x:v>
      </x:c>
      <x:c r="C2962" t="str">
        <x:v>Cliente 020</x:v>
      </x:c>
      <x:c r="D2962" t="str">
        <x:v>PA</x:v>
      </x:c>
      <x:c r="E2962" t="str">
        <x:v>Norte</x:v>
      </x:c>
      <x:c r="F2962" t="str">
        <x:v>Loja</x:v>
      </x:c>
      <x:c r="G2962" t="str">
        <x:v>Casa</x:v>
      </x:c>
      <x:c r="H2962" t="str">
        <x:v>Aspirador Robô</x:v>
      </x:c>
      <x:c r="I2962" t="str">
        <x:v>Gabriela</x:v>
      </x:c>
      <x:c r="J2962" s="53" t="n">
        <x:v>4</x:v>
      </x:c>
      <x:c r="K2962" s="54" t="n">
        <x:v>1894.45</x:v>
      </x:c>
      <x:c r="L2962" s="54" t="n">
        <x:v>1208.93</x:v>
      </x:c>
      <x:c r="M2962" s="55" t="n">
        <x:v>0.0304</x:v>
      </x:c>
      <x:c r="N2962" s="54" t="n">
        <x:f>ROUND(J2962*K2962,2)</x:f>
        <x:v>7577.8</x:v>
      </x:c>
      <x:c r="O2962" s="54" t="n">
        <x:f>ROUND(N2962*(1-M2962),2)</x:f>
        <x:v>7347.43</x:v>
      </x:c>
      <x:c r="P2962" s="54" t="n">
        <x:f>ROUND(J2962*L2962,2)</x:f>
        <x:v>4835.72</x:v>
      </x:c>
      <x:c r="Q2962" s="54" t="n">
        <x:f>ROUND(O2962-P2962,2)</x:f>
        <x:v>2511.71</x:v>
      </x:c>
      <x:c r="R2962" s="55" t="n">
        <x:f>IF(O2962=0,0,ROUND(Q2962/O2962,4))</x:f>
        <x:v>0.3418</x:v>
      </x:c>
      <x:c r="S2962" s="53" t="n">
        <x:v>11</x:v>
      </x:c>
      <x:c r="T2962" t="str">
        <x:v>Entregue com atraso</x:v>
      </x:c>
      <x:c r="U2962" t="n">
        <x:v>3</x:v>
      </x:c>
      <x:c r="V2962" t="str"/>
    </x:row>
    <x:row r="2963">
      <x:c r="A2963" s="52" t="n">
        <x:v>46155</x:v>
      </x:c>
      <x:c r="B2963" t="str">
        <x:v>PED-102962</x:v>
      </x:c>
      <x:c r="C2963" t="str">
        <x:v>Cliente 023</x:v>
      </x:c>
      <x:c r="D2963" t="str">
        <x:v>BA</x:v>
      </x:c>
      <x:c r="E2963" t="str">
        <x:v>Nordeste</x:v>
      </x:c>
      <x:c r="F2963" t="str">
        <x:v>E-commerce</x:v>
      </x:c>
      <x:c r="G2963" t="str">
        <x:v>Tecnologia</x:v>
      </x:c>
      <x:c r="H2963" t="str">
        <x:v>Headset Office</x:v>
      </x:c>
      <x:c r="I2963" t="str">
        <x:v>Bruno</x:v>
      </x:c>
      <x:c r="J2963" s="53" t="n">
        <x:v>4</x:v>
      </x:c>
      <x:c r="K2963" s="54" t="n">
        <x:v>406.95</x:v>
      </x:c>
      <x:c r="L2963" s="54" t="n">
        <x:v>220.57</x:v>
      </x:c>
      <x:c r="M2963" s="55" t="n">
        <x:v>0</x:v>
      </x:c>
      <x:c r="N2963" s="54" t="n">
        <x:f>ROUND(J2963*K2963,2)</x:f>
        <x:v>1627.8</x:v>
      </x:c>
      <x:c r="O2963" s="54" t="n">
        <x:f>ROUND(N2963*(1-M2963),2)</x:f>
        <x:v>1627.8</x:v>
      </x:c>
      <x:c r="P2963" s="54" t="n">
        <x:f>ROUND(J2963*L2963,2)</x:f>
        <x:v>882.28</x:v>
      </x:c>
      <x:c r="Q2963" s="54" t="n">
        <x:f>ROUND(O2963-P2963,2)</x:f>
        <x:v>745.52</x:v>
      </x:c>
      <x:c r="R2963" s="55" t="n">
        <x:f>IF(O2963=0,0,ROUND(Q2963/O2963,4))</x:f>
        <x:v>0.458</x:v>
      </x:c>
      <x:c r="S2963" s="53" t="n">
        <x:v>12</x:v>
      </x:c>
      <x:c r="T2963" t="str">
        <x:v>Entregue com atraso</x:v>
      </x:c>
      <x:c r="U2963" t="n">
        <x:v>2</x:v>
      </x:c>
      <x:c r="V2963" t="str"/>
    </x:row>
    <x:row r="2964">
      <x:c r="A2964" s="52" t="n">
        <x:v>46187</x:v>
      </x:c>
      <x:c r="B2964" t="str">
        <x:v>PED-102963</x:v>
      </x:c>
      <x:c r="C2964" t="str">
        <x:v>Cliente 058</x:v>
      </x:c>
      <x:c r="D2964" t="str">
        <x:v>RJ</x:v>
      </x:c>
      <x:c r="E2964" t="str">
        <x:v>Sudeste</x:v>
      </x:c>
      <x:c r="F2964" t="str">
        <x:v>Loja</x:v>
      </x:c>
      <x:c r="G2964" t="str">
        <x:v>Escritório</x:v>
      </x:c>
      <x:c r="H2964" t="str">
        <x:v>Cadeira Ergonômica</x:v>
      </x:c>
      <x:c r="I2964" t="str">
        <x:v>Henrique</x:v>
      </x:c>
      <x:c r="J2964" s="53" t="n">
        <x:v>4</x:v>
      </x:c>
      <x:c r="K2964" s="54" t="n">
        <x:v>2252.8</x:v>
      </x:c>
      <x:c r="L2964" s="54" t="n">
        <x:v>1404.37</x:v>
      </x:c>
      <x:c r="M2964" s="55" t="n">
        <x:v>0</x:v>
      </x:c>
      <x:c r="N2964" s="54" t="n">
        <x:f>ROUND(J2964*K2964,2)</x:f>
        <x:v>9011.2</x:v>
      </x:c>
      <x:c r="O2964" s="54" t="n">
        <x:f>ROUND(N2964*(1-M2964),2)</x:f>
        <x:v>9011.2</x:v>
      </x:c>
      <x:c r="P2964" s="54" t="n">
        <x:f>ROUND(J2964*L2964,2)</x:f>
        <x:v>5617.48</x:v>
      </x:c>
      <x:c r="Q2964" s="54" t="n">
        <x:f>ROUND(O2964-P2964,2)</x:f>
        <x:v>3393.72</x:v>
      </x:c>
      <x:c r="R2964" s="55" t="n">
        <x:f>IF(O2964=0,0,ROUND(Q2964/O2964,4))</x:f>
        <x:v>0.3766</x:v>
      </x:c>
      <x:c r="S2964" s="53" t="n">
        <x:v>6</x:v>
      </x:c>
      <x:c r="T2964" t="str">
        <x:v>Entregue</x:v>
      </x:c>
      <x:c r="U2964" t="n">
        <x:v>4</x:v>
      </x:c>
      <x:c r="V2964" t="str"/>
    </x:row>
    <x:row r="2965">
      <x:c r="A2965" s="52" t="n">
        <x:v>46131</x:v>
      </x:c>
      <x:c r="B2965" t="str">
        <x:v>PED-102964</x:v>
      </x:c>
      <x:c r="C2965" t="str">
        <x:v>Cliente 028</x:v>
      </x:c>
      <x:c r="D2965" t="str">
        <x:v>MA</x:v>
      </x:c>
      <x:c r="E2965" t="str">
        <x:v>Nordeste</x:v>
      </x:c>
      <x:c r="F2965" t="str">
        <x:v>Marketplace</x:v>
      </x:c>
      <x:c r="G2965" t="str">
        <x:v>Tecnologia</x:v>
      </x:c>
      <x:c r="H2965" t="str">
        <x:v>Notebook Pro</x:v>
      </x:c>
      <x:c r="I2965" t="str">
        <x:v>Henrique</x:v>
      </x:c>
      <x:c r="J2965" s="53" t="n">
        <x:v>7</x:v>
      </x:c>
      <x:c r="K2965" s="54" t="n">
        <x:v>5623.58</x:v>
      </x:c>
      <x:c r="L2965" s="54" t="n">
        <x:v>4680.85</x:v>
      </x:c>
      <x:c r="M2965" s="55" t="n">
        <x:v>0.0358</x:v>
      </x:c>
      <x:c r="N2965" s="54" t="n">
        <x:f>ROUND(J2965*K2965,2)</x:f>
        <x:v>39365.06</x:v>
      </x:c>
      <x:c r="O2965" s="54" t="n">
        <x:f>ROUND(N2965*(1-M2965),2)</x:f>
        <x:v>37955.79</x:v>
      </x:c>
      <x:c r="P2965" s="54" t="n">
        <x:f>ROUND(J2965*L2965,2)</x:f>
        <x:v>32765.95</x:v>
      </x:c>
      <x:c r="Q2965" s="54" t="n">
        <x:f>ROUND(O2965-P2965,2)</x:f>
        <x:v>5189.84</x:v>
      </x:c>
      <x:c r="R2965" s="55" t="n">
        <x:f>IF(O2965=0,0,ROUND(Q2965/O2965,4))</x:f>
        <x:v>0.1367</x:v>
      </x:c>
      <x:c r="S2965" s="53" t="n">
        <x:v>3</x:v>
      </x:c>
      <x:c r="T2965" t="str">
        <x:v>Entregue</x:v>
      </x:c>
      <x:c r="U2965" t="n">
        <x:v>3</x:v>
      </x:c>
      <x:c r="V2965" t="str"/>
    </x:row>
    <x:row r="2966">
      <x:c r="A2966" s="52" t="n">
        <x:v>46133</x:v>
      </x:c>
      <x:c r="B2966" t="str">
        <x:v>PED-102965</x:v>
      </x:c>
      <x:c r="C2966" t="str">
        <x:v>Cliente 001</x:v>
      </x:c>
      <x:c r="D2966" t="str">
        <x:v>AM</x:v>
      </x:c>
      <x:c r="E2966" t="str">
        <x:v>Norte</x:v>
      </x:c>
      <x:c r="F2966" t="str">
        <x:v>Televendas</x:v>
      </x:c>
      <x:c r="G2966" t="str">
        <x:v>Acessórios</x:v>
      </x:c>
      <x:c r="H2966" t="str">
        <x:v>Mochila Executiva</x:v>
      </x:c>
      <x:c r="I2966" t="str">
        <x:v>Gabriela</x:v>
      </x:c>
      <x:c r="J2966" s="53" t="n">
        <x:v>1</x:v>
      </x:c>
      <x:c r="K2966" s="54" t="n">
        <x:v>454.3</x:v>
      </x:c>
      <x:c r="L2966" s="54" t="n">
        <x:v>192.64</x:v>
      </x:c>
      <x:c r="M2966" s="55" t="n">
        <x:v>0.0557</x:v>
      </x:c>
      <x:c r="N2966" s="54" t="n">
        <x:f>ROUND(J2966*K2966,2)</x:f>
        <x:v>454.3</x:v>
      </x:c>
      <x:c r="O2966" s="54" t="n">
        <x:f>ROUND(N2966*(1-M2966),2)</x:f>
        <x:v>429</x:v>
      </x:c>
      <x:c r="P2966" s="54" t="n">
        <x:f>ROUND(J2966*L2966,2)</x:f>
        <x:v>192.64</x:v>
      </x:c>
      <x:c r="Q2966" s="54" t="n">
        <x:f>ROUND(O2966-P2966,2)</x:f>
        <x:v>236.36</x:v>
      </x:c>
      <x:c r="R2966" s="55" t="n">
        <x:f>IF(O2966=0,0,ROUND(Q2966/O2966,4))</x:f>
        <x:v>0.551</x:v>
      </x:c>
      <x:c r="S2966" s="53" t="n">
        <x:v>5</x:v>
      </x:c>
      <x:c r="T2966" t="str">
        <x:v>Entregue</x:v>
      </x:c>
      <x:c r="U2966" t="n">
        <x:v>2</x:v>
      </x:c>
      <x:c r="V2966" t="str"/>
    </x:row>
    <x:row r="2967">
      <x:c r="A2967" s="52" t="n">
        <x:v>46090</x:v>
      </x:c>
      <x:c r="B2967" t="str">
        <x:v>PED-102966</x:v>
      </x:c>
      <x:c r="C2967" t="str">
        <x:v>Cliente 076</x:v>
      </x:c>
      <x:c r="D2967" t="str">
        <x:v>PE</x:v>
      </x:c>
      <x:c r="E2967" t="str">
        <x:v>Nordeste</x:v>
      </x:c>
      <x:c r="F2967" t="str">
        <x:v>Loja</x:v>
      </x:c>
      <x:c r="G2967" t="str">
        <x:v>Tecnologia</x:v>
      </x:c>
      <x:c r="H2967" t="str">
        <x:v>Notebook Pro</x:v>
      </x:c>
      <x:c r="I2967" t="str">
        <x:v>Carla</x:v>
      </x:c>
      <x:c r="J2967" s="53" t="n">
        <x:v>5</x:v>
      </x:c>
      <x:c r="K2967" s="54" t="n">
        <x:v>6122.9</x:v>
      </x:c>
      <x:c r="L2967" s="54" t="n">
        <x:v>4573.27</x:v>
      </x:c>
      <x:c r="M2967" s="55" t="n">
        <x:v>0</x:v>
      </x:c>
      <x:c r="N2967" s="54" t="n">
        <x:f>ROUND(J2967*K2967,2)</x:f>
        <x:v>30614.5</x:v>
      </x:c>
      <x:c r="O2967" s="54" t="n">
        <x:f>ROUND(N2967*(1-M2967),2)</x:f>
        <x:v>30614.5</x:v>
      </x:c>
      <x:c r="P2967" s="54" t="n">
        <x:f>ROUND(J2967*L2967,2)</x:f>
        <x:v>22866.35</x:v>
      </x:c>
      <x:c r="Q2967" s="54" t="n">
        <x:f>ROUND(O2967-P2967,2)</x:f>
        <x:v>7748.15</x:v>
      </x:c>
      <x:c r="R2967" s="55" t="n">
        <x:f>IF(O2967=0,0,ROUND(Q2967/O2967,4))</x:f>
        <x:v>0.2531</x:v>
      </x:c>
      <x:c r="S2967" s="53" t="n">
        <x:v>13</x:v>
      </x:c>
      <x:c r="T2967" t="str">
        <x:v>Entregue com atraso</x:v>
      </x:c>
      <x:c r="U2967" t="n">
        <x:v>4</x:v>
      </x:c>
      <x:c r="V2967" t="str"/>
    </x:row>
    <x:row r="2968">
      <x:c r="A2968" s="52" t="n">
        <x:v>46124</x:v>
      </x:c>
      <x:c r="B2968" t="str">
        <x:v>PED-102241</x:v>
      </x:c>
      <x:c r="C2968" t="str">
        <x:v>Cliente 075</x:v>
      </x:c>
      <x:c r="D2968" t="str">
        <x:v>SP</x:v>
      </x:c>
      <x:c r="E2968" t="str">
        <x:v>Sudeste</x:v>
      </x:c>
      <x:c r="F2968" t="str">
        <x:v>Loja</x:v>
      </x:c>
      <x:c r="G2968" t="str">
        <x:v>Casa</x:v>
      </x:c>
      <x:c r="H2968" t="str">
        <x:v>Purificador</x:v>
      </x:c>
      <x:c r="I2968" t="str">
        <x:v>João</x:v>
      </x:c>
      <x:c r="J2968" s="53" t="n">
        <x:v>7</x:v>
      </x:c>
      <x:c r="K2968" s="54" t="n">
        <x:v>1299.15</x:v>
      </x:c>
      <x:c r="L2968" s="54" t="n">
        <x:v>790.89</x:v>
      </x:c>
      <x:c r="M2968" s="55" t="n">
        <x:v>0.0374</x:v>
      </x:c>
      <x:c r="N2968" s="54" t="n">
        <x:f>ROUND(J2968*K2968,2)</x:f>
        <x:v>9094.05</x:v>
      </x:c>
      <x:c r="O2968" s="54" t="n">
        <x:f>ROUND(N2968*(1-M2968),2)</x:f>
        <x:v>8753.93</x:v>
      </x:c>
      <x:c r="P2968" s="54" t="n">
        <x:f>ROUND(J2968*L2968,2)</x:f>
        <x:v>5536.23</x:v>
      </x:c>
      <x:c r="Q2968" s="54" t="n">
        <x:f>ROUND(O2968-P2968,2)</x:f>
        <x:v>3217.7</x:v>
      </x:c>
      <x:c r="R2968" s="55" t="n">
        <x:f>IF(O2968=0,0,ROUND(Q2968/O2968,4))</x:f>
        <x:v>0.3676</x:v>
      </x:c>
      <x:c r="S2968" s="53" t="n">
        <x:v>10</x:v>
      </x:c>
      <x:c r="T2968" t="str">
        <x:v>Entregue</x:v>
      </x:c>
      <x:c r="U2968" t="n">
        <x:v>5</x:v>
      </x:c>
      <x:c r="V2968" t="str"/>
    </x:row>
    <x:row r="2969">
      <x:c r="A2969" s="52" t="n">
        <x:v>46135</x:v>
      </x:c>
      <x:c r="B2969" t="str">
        <x:v>PED-102968</x:v>
      </x:c>
      <x:c r="C2969" t="str">
        <x:v>Cliente 102</x:v>
      </x:c>
      <x:c r="D2969" t="str">
        <x:v>ES</x:v>
      </x:c>
      <x:c r="E2969" t="str">
        <x:v>Sudeste</x:v>
      </x:c>
      <x:c r="F2969" t="str">
        <x:v>Loja</x:v>
      </x:c>
      <x:c r="G2969" t="str">
        <x:v>Escritório</x:v>
      </x:c>
      <x:c r="H2969" t="str">
        <x:v>Mesa Ajustável</x:v>
      </x:c>
      <x:c r="I2969" t="str">
        <x:v>Gabriela</x:v>
      </x:c>
      <x:c r="J2969" s="53" t="n">
        <x:v>8</x:v>
      </x:c>
      <x:c r="K2969" s="54" t="n">
        <x:v>2683.61</x:v>
      </x:c>
      <x:c r="L2969" s="54" t="n">
        <x:v>1812.11</x:v>
      </x:c>
      <x:c r="M2969" s="55" t="n">
        <x:v>0</x:v>
      </x:c>
      <x:c r="N2969" s="54" t="n">
        <x:f>ROUND(J2969*K2969,2)</x:f>
        <x:v>21468.88</x:v>
      </x:c>
      <x:c r="O2969" s="54" t="n">
        <x:f>ROUND(N2969*(1-M2969),2)</x:f>
        <x:v>21468.88</x:v>
      </x:c>
      <x:c r="P2969" s="54" t="n">
        <x:f>ROUND(J2969*L2969,2)</x:f>
        <x:v>14496.88</x:v>
      </x:c>
      <x:c r="Q2969" s="54" t="n">
        <x:f>ROUND(O2969-P2969,2)</x:f>
        <x:v>6972</x:v>
      </x:c>
      <x:c r="R2969" s="55" t="n">
        <x:f>IF(O2969=0,0,ROUND(Q2969/O2969,4))</x:f>
        <x:v>0.3247</x:v>
      </x:c>
      <x:c r="S2969" s="53" t="n">
        <x:v>13</x:v>
      </x:c>
      <x:c r="T2969" t="str">
        <x:v>Entregue com atraso</x:v>
      </x:c>
      <x:c r="U2969" t="n">
        <x:v>3</x:v>
      </x:c>
      <x:c r="V2969" t="str"/>
    </x:row>
    <x:row r="2970">
      <x:c r="A2970" s="52" t="n">
        <x:v>46162</x:v>
      </x:c>
      <x:c r="B2970" t="str">
        <x:v>PED-102969</x:v>
      </x:c>
      <x:c r="C2970" t="str">
        <x:v>Cliente 004</x:v>
      </x:c>
      <x:c r="D2970" t="str">
        <x:v>PA</x:v>
      </x:c>
      <x:c r="E2970" t="str">
        <x:v>Norte</x:v>
      </x:c>
      <x:c r="F2970" t="str">
        <x:v>Loja</x:v>
      </x:c>
      <x:c r="G2970" t="str">
        <x:v>Acessórios</x:v>
      </x:c>
      <x:c r="H2970" t="str">
        <x:v>Mochila Executiva</x:v>
      </x:c>
      <x:c r="I2970" t="str">
        <x:v>Henrique</x:v>
      </x:c>
      <x:c r="J2970" s="53" t="n">
        <x:v>6</x:v>
      </x:c>
      <x:c r="K2970" s="54" t="n">
        <x:v>451.42</x:v>
      </x:c>
      <x:c r="L2970" s="54" t="n">
        <x:v>192.22</x:v>
      </x:c>
      <x:c r="M2970" s="55" t="n">
        <x:v>0.1115</x:v>
      </x:c>
      <x:c r="N2970" s="54" t="n">
        <x:f>ROUND(J2970*K2970,2)</x:f>
        <x:v>2708.52</x:v>
      </x:c>
      <x:c r="O2970" s="54" t="n">
        <x:f>ROUND(N2970*(1-M2970),2)</x:f>
        <x:v>2406.52</x:v>
      </x:c>
      <x:c r="P2970" s="54" t="n">
        <x:f>ROUND(J2970*L2970,2)</x:f>
        <x:v>1153.32</x:v>
      </x:c>
      <x:c r="Q2970" s="54" t="n">
        <x:f>ROUND(O2970-P2970,2)</x:f>
        <x:v>1253.2</x:v>
      </x:c>
      <x:c r="R2970" s="55" t="n">
        <x:f>IF(O2970=0,0,ROUND(Q2970/O2970,4))</x:f>
        <x:v>0.5208</x:v>
      </x:c>
      <x:c r="S2970" s="53" t="n">
        <x:v>10</x:v>
      </x:c>
      <x:c r="T2970" t="str">
        <x:v>Entregue</x:v>
      </x:c>
      <x:c r="U2970" t="n">
        <x:v>5</x:v>
      </x:c>
      <x:c r="V2970" t="str"/>
    </x:row>
    <x:row r="2971">
      <x:c r="A2971" s="52" t="n">
        <x:v>46030</x:v>
      </x:c>
      <x:c r="B2971" t="str">
        <x:v>PED-102970</x:v>
      </x:c>
      <x:c r="C2971" t="str">
        <x:v>Cliente 045</x:v>
      </x:c>
      <x:c r="D2971" t="str">
        <x:v>SC</x:v>
      </x:c>
      <x:c r="E2971" t="str">
        <x:v>Sul</x:v>
      </x:c>
      <x:c r="F2971" t="str">
        <x:v>Marketplace</x:v>
      </x:c>
      <x:c r="G2971" t="str">
        <x:v>Casa</x:v>
      </x:c>
      <x:c r="H2971" t="str">
        <x:v>Cafeteira Smart</x:v>
      </x:c>
      <x:c r="I2971" t="str">
        <x:v>Carla</x:v>
      </x:c>
      <x:c r="J2971" s="53" t="n">
        <x:v>8</x:v>
      </x:c>
      <x:c r="K2971" s="54" t="n">
        <x:v>821.24</x:v>
      </x:c>
      <x:c r="L2971" s="54" t="n">
        <x:v>461.29</x:v>
      </x:c>
      <x:c r="M2971" s="55" t="n">
        <x:v>0.035</x:v>
      </x:c>
      <x:c r="N2971" s="54" t="n">
        <x:f>ROUND(J2971*K2971,2)</x:f>
        <x:v>6569.92</x:v>
      </x:c>
      <x:c r="O2971" s="54" t="n">
        <x:f>ROUND(N2971*(1-M2971),2)</x:f>
        <x:v>6339.97</x:v>
      </x:c>
      <x:c r="P2971" s="54" t="n">
        <x:f>ROUND(J2971*L2971,2)</x:f>
        <x:v>3690.32</x:v>
      </x:c>
      <x:c r="Q2971" s="54" t="n">
        <x:f>ROUND(O2971-P2971,2)</x:f>
        <x:v>2649.65</x:v>
      </x:c>
      <x:c r="R2971" s="55" t="n">
        <x:f>IF(O2971=0,0,ROUND(Q2971/O2971,4))</x:f>
        <x:v>0.4179</x:v>
      </x:c>
      <x:c r="S2971" s="53" t="n">
        <x:v>13</x:v>
      </x:c>
      <x:c r="T2971" t="str">
        <x:v>Entregue com atraso</x:v>
      </x:c>
      <x:c r="U2971" t="n">
        <x:v>5</x:v>
      </x:c>
      <x:c r="V2971" t="str"/>
    </x:row>
    <x:row r="2972">
      <x:c r="A2972" s="52" t="n">
        <x:v>46030</x:v>
      </x:c>
      <x:c r="B2972" t="str">
        <x:v>PED-102971</x:v>
      </x:c>
      <x:c r="C2972" t="str">
        <x:v>Cliente 103</x:v>
      </x:c>
      <x:c r="D2972" t="str">
        <x:v>MT</x:v>
      </x:c>
      <x:c r="E2972" t="str">
        <x:v>Centro-Oeste</x:v>
      </x:c>
      <x:c r="F2972" t="str">
        <x:v>Marketplace</x:v>
      </x:c>
      <x:c r="G2972" t="str">
        <x:v>Acessórios</x:v>
      </x:c>
      <x:c r="H2972" t="str">
        <x:v>Hub USB-C</x:v>
      </x:c>
      <x:c r="I2972" t="str">
        <x:v>Bruno</x:v>
      </x:c>
      <x:c r="J2972" s="53" t="n">
        <x:v>3</x:v>
      </x:c>
      <x:c r="K2972" s="54" t="n">
        <x:v>305.57</x:v>
      </x:c>
      <x:c r="L2972" s="54" t="n">
        <x:v>139.77</x:v>
      </x:c>
      <x:c r="M2972" s="55" t="n">
        <x:v>0.0572</x:v>
      </x:c>
      <x:c r="N2972" s="54" t="n">
        <x:f>ROUND(J2972*K2972,2)</x:f>
        <x:v>916.71</x:v>
      </x:c>
      <x:c r="O2972" s="54" t="n">
        <x:f>ROUND(N2972*(1-M2972),2)</x:f>
        <x:v>864.27</x:v>
      </x:c>
      <x:c r="P2972" s="54" t="n">
        <x:f>ROUND(J2972*L2972,2)</x:f>
        <x:v>419.31</x:v>
      </x:c>
      <x:c r="Q2972" s="54" t="n">
        <x:f>ROUND(O2972-P2972,2)</x:f>
        <x:v>444.96</x:v>
      </x:c>
      <x:c r="R2972" s="55" t="n">
        <x:f>IF(O2972=0,0,ROUND(Q2972/O2972,4))</x:f>
        <x:v>0.5148</x:v>
      </x:c>
      <x:c r="S2972" s="53" t="n">
        <x:v>12</x:v>
      </x:c>
      <x:c r="T2972" t="str">
        <x:v>Entregue com atraso</x:v>
      </x:c>
      <x:c r="U2972" t="n">
        <x:v>3</x:v>
      </x:c>
      <x:c r="V2972" t="str"/>
    </x:row>
    <x:row r="2973">
      <x:c r="A2973" s="52" t="n">
        <x:v>46078</x:v>
      </x:c>
      <x:c r="B2973" t="str">
        <x:v>PED-102972</x:v>
      </x:c>
      <x:c r="C2973" t="str">
        <x:v>Cliente 051</x:v>
      </x:c>
      <x:c r="D2973" t="str">
        <x:v>ES</x:v>
      </x:c>
      <x:c r="E2973" t="str">
        <x:v>Sudeste</x:v>
      </x:c>
      <x:c r="F2973" t="str">
        <x:v>Televendas</x:v>
      </x:c>
      <x:c r="G2973" t="str">
        <x:v>Escritório</x:v>
      </x:c>
      <x:c r="H2973" t="str">
        <x:v>Cadeira Ergonômica</x:v>
      </x:c>
      <x:c r="I2973" t="str">
        <x:v>Felipe</x:v>
      </x:c>
      <x:c r="J2973" s="53" t="n">
        <x:v>6</x:v>
      </x:c>
      <x:c r="K2973" s="54" t="n">
        <x:v>2187.71</x:v>
      </x:c>
      <x:c r="L2973" s="54" t="n">
        <x:v>1418.11</x:v>
      </x:c>
      <x:c r="M2973" s="55" t="n">
        <x:v>0</x:v>
      </x:c>
      <x:c r="N2973" s="54" t="n">
        <x:f>ROUND(J2973*K2973,2)</x:f>
        <x:v>13126.26</x:v>
      </x:c>
      <x:c r="O2973" s="54" t="n">
        <x:f>ROUND(N2973*(1-M2973),2)</x:f>
        <x:v>13126.26</x:v>
      </x:c>
      <x:c r="P2973" s="54" t="n">
        <x:f>ROUND(J2973*L2973,2)</x:f>
        <x:v>8508.66</x:v>
      </x:c>
      <x:c r="Q2973" s="54" t="n">
        <x:f>ROUND(O2973-P2973,2)</x:f>
        <x:v>4617.6</x:v>
      </x:c>
      <x:c r="R2973" s="55" t="n">
        <x:f>IF(O2973=0,0,ROUND(Q2973/O2973,4))</x:f>
        <x:v>0.3518</x:v>
      </x:c>
      <x:c r="S2973" s="53" t="n">
        <x:v>7</x:v>
      </x:c>
      <x:c r="T2973" t="str">
        <x:v>Entregue</x:v>
      </x:c>
      <x:c r="U2973" t="n">
        <x:v>5</x:v>
      </x:c>
      <x:c r="V2973" t="str"/>
    </x:row>
    <x:row r="2974">
      <x:c r="A2974" s="52" t="n">
        <x:v>46197</x:v>
      </x:c>
      <x:c r="B2974" t="str">
        <x:v>PED-102973</x:v>
      </x:c>
      <x:c r="C2974" t="str">
        <x:v>Cliente 035</x:v>
      </x:c>
      <x:c r="D2974" t="str">
        <x:v>MG</x:v>
      </x:c>
      <x:c r="E2974" t="str">
        <x:v>Sudeste</x:v>
      </x:c>
      <x:c r="F2974" t="str">
        <x:v>Marketplace</x:v>
      </x:c>
      <x:c r="G2974" t="str">
        <x:v>Tecnologia</x:v>
      </x:c>
      <x:c r="H2974" t="str">
        <x:v>Notebook Pro</x:v>
      </x:c>
      <x:c r="I2974" t="str">
        <x:v>Ana</x:v>
      </x:c>
      <x:c r="J2974" s="53" t="n">
        <x:v>4</x:v>
      </x:c>
      <x:c r="K2974" s="54" t="n">
        <x:v>5576.78</x:v>
      </x:c>
      <x:c r="L2974" s="54" t="n">
        <x:v>4240.04</x:v>
      </x:c>
      <x:c r="M2974" s="55" t="n">
        <x:v>0.0939</x:v>
      </x:c>
      <x:c r="N2974" s="54" t="n">
        <x:f>ROUND(J2974*K2974,2)</x:f>
        <x:v>22307.12</x:v>
      </x:c>
      <x:c r="O2974" s="54" t="n">
        <x:f>ROUND(N2974*(1-M2974),2)</x:f>
        <x:v>20212.48</x:v>
      </x:c>
      <x:c r="P2974" s="54" t="n">
        <x:f>ROUND(J2974*L2974,2)</x:f>
        <x:v>16960.16</x:v>
      </x:c>
      <x:c r="Q2974" s="54" t="n">
        <x:f>ROUND(O2974-P2974,2)</x:f>
        <x:v>3252.32</x:v>
      </x:c>
      <x:c r="R2974" s="55" t="n">
        <x:f>IF(O2974=0,0,ROUND(Q2974/O2974,4))</x:f>
        <x:v>0.1609</x:v>
      </x:c>
      <x:c r="S2974" s="53" t="n">
        <x:v>10</x:v>
      </x:c>
      <x:c r="T2974" t="str">
        <x:v>Entregue</x:v>
      </x:c>
      <x:c r="U2974" t="n">
        <x:v>4</x:v>
      </x:c>
      <x:c r="V2974" t="str"/>
    </x:row>
    <x:row r="2975">
      <x:c r="A2975" s="52" t="n">
        <x:v>46149</x:v>
      </x:c>
      <x:c r="B2975" t="str">
        <x:v>PED-102974</x:v>
      </x:c>
      <x:c r="C2975" t="str">
        <x:v>Cliente 034</x:v>
      </x:c>
      <x:c r="D2975" t="str">
        <x:v>PE</x:v>
      </x:c>
      <x:c r="E2975" t="str">
        <x:v>Nordeste</x:v>
      </x:c>
      <x:c r="F2975" t="str">
        <x:v>Marketplace</x:v>
      </x:c>
      <x:c r="G2975" t="str">
        <x:v>Casa</x:v>
      </x:c>
      <x:c r="H2975" t="str">
        <x:v>Purificador</x:v>
      </x:c>
      <x:c r="I2975" t="str">
        <x:v>Carla</x:v>
      </x:c>
      <x:c r="J2975" s="53" t="n">
        <x:v>7</x:v>
      </x:c>
      <x:c r="K2975" s="54" t="n">
        <x:v>1237.24</x:v>
      </x:c>
      <x:c r="L2975" s="54" t="n">
        <x:v>829.3</x:v>
      </x:c>
      <x:c r="M2975" s="55" t="n">
        <x:v>0.1398</x:v>
      </x:c>
      <x:c r="N2975" s="54" t="n">
        <x:f>ROUND(J2975*K2975,2)</x:f>
        <x:v>8660.68</x:v>
      </x:c>
      <x:c r="O2975" s="54" t="n">
        <x:f>ROUND(N2975*(1-M2975),2)</x:f>
        <x:v>7449.92</x:v>
      </x:c>
      <x:c r="P2975" s="54" t="n">
        <x:f>ROUND(J2975*L2975,2)</x:f>
        <x:v>5805.1</x:v>
      </x:c>
      <x:c r="Q2975" s="54" t="n">
        <x:f>ROUND(O2975-P2975,2)</x:f>
        <x:v>1644.82</x:v>
      </x:c>
      <x:c r="R2975" s="55" t="n">
        <x:f>IF(O2975=0,0,ROUND(Q2975/O2975,4))</x:f>
        <x:v>0.2208</x:v>
      </x:c>
      <x:c r="S2975" s="53" t="n">
        <x:v>4</x:v>
      </x:c>
      <x:c r="T2975" t="str">
        <x:v>Entregue</x:v>
      </x:c>
      <x:c r="U2975" t="n">
        <x:v>2</x:v>
      </x:c>
      <x:c r="V2975" t="str"/>
    </x:row>
    <x:row r="2976">
      <x:c r="A2976" s="52" t="n">
        <x:v>46097</x:v>
      </x:c>
      <x:c r="B2976" t="str">
        <x:v>PED-102975</x:v>
      </x:c>
      <x:c r="C2976" t="str">
        <x:v>Cliente 018</x:v>
      </x:c>
      <x:c r="D2976" t="str">
        <x:v>MA</x:v>
      </x:c>
      <x:c r="E2976" t="str">
        <x:v>Nordeste</x:v>
      </x:c>
      <x:c r="F2976" t="str">
        <x:v>Loja</x:v>
      </x:c>
      <x:c r="G2976" t="str">
        <x:v>Escritório</x:v>
      </x:c>
      <x:c r="H2976" t="str">
        <x:v>Mesa Ajustável</x:v>
      </x:c>
      <x:c r="I2976" t="str">
        <x:v>Elaine</x:v>
      </x:c>
      <x:c r="J2976" s="53" t="n">
        <x:v>4</x:v>
      </x:c>
      <x:c r="K2976" s="54" t="n">
        <x:v>2688.8</x:v>
      </x:c>
      <x:c r="L2976" s="54" t="n">
        <x:v>1818.25</x:v>
      </x:c>
      <x:c r="M2976" s="55" t="n">
        <x:v>0.0502</x:v>
      </x:c>
      <x:c r="N2976" s="54" t="n">
        <x:f>ROUND(J2976*K2976,2)</x:f>
        <x:v>10755.2</x:v>
      </x:c>
      <x:c r="O2976" s="54" t="n">
        <x:f>ROUND(N2976*(1-M2976),2)</x:f>
        <x:v>10215.29</x:v>
      </x:c>
      <x:c r="P2976" s="54" t="n">
        <x:f>ROUND(J2976*L2976,2)</x:f>
        <x:v>7273</x:v>
      </x:c>
      <x:c r="Q2976" s="54" t="n">
        <x:f>ROUND(O2976-P2976,2)</x:f>
        <x:v>2942.29</x:v>
      </x:c>
      <x:c r="R2976" s="55" t="n">
        <x:f>IF(O2976=0,0,ROUND(Q2976/O2976,4))</x:f>
        <x:v>0.288</x:v>
      </x:c>
      <x:c r="S2976" s="53" t="n">
        <x:v>8</x:v>
      </x:c>
      <x:c r="T2976" t="str">
        <x:v>Entregue</x:v>
      </x:c>
      <x:c r="U2976" t="n">
        <x:v>3</x:v>
      </x:c>
      <x:c r="V2976" t="str"/>
    </x:row>
    <x:row r="2977">
      <x:c r="A2977" s="52" t="n">
        <x:v>46082</x:v>
      </x:c>
      <x:c r="B2977" t="str">
        <x:v>PED-102976</x:v>
      </x:c>
      <x:c r="C2977" t="str">
        <x:v>Cliente 083</x:v>
      </x:c>
      <x:c r="D2977" t="str">
        <x:v>DF</x:v>
      </x:c>
      <x:c r="E2977" t="str">
        <x:v>Centro-Oeste</x:v>
      </x:c>
      <x:c r="F2977" t="str">
        <x:v>Televendas</x:v>
      </x:c>
      <x:c r="G2977" t="str">
        <x:v>Casa</x:v>
      </x:c>
      <x:c r="H2977" t="str">
        <x:v>Aspirador Robô</x:v>
      </x:c>
      <x:c r="I2977" t="str">
        <x:v>Felipe</x:v>
      </x:c>
      <x:c r="J2977" s="53" t="n">
        <x:v>6</x:v>
      </x:c>
      <x:c r="K2977" s="54" t="n">
        <x:v>1849.58</x:v>
      </x:c>
      <x:c r="L2977" s="54" t="n">
        <x:v>1162.51</x:v>
      </x:c>
      <x:c r="M2977" s="55" t="n">
        <x:v>0</x:v>
      </x:c>
      <x:c r="N2977" s="54" t="n">
        <x:f>ROUND(J2977*K2977,2)</x:f>
        <x:v>11097.48</x:v>
      </x:c>
      <x:c r="O2977" s="54" t="n">
        <x:f>ROUND(N2977*(1-M2977),2)</x:f>
        <x:v>11097.48</x:v>
      </x:c>
      <x:c r="P2977" s="54" t="n">
        <x:f>ROUND(J2977*L2977,2)</x:f>
        <x:v>6975.06</x:v>
      </x:c>
      <x:c r="Q2977" s="54" t="n">
        <x:f>ROUND(O2977-P2977,2)</x:f>
        <x:v>4122.42</x:v>
      </x:c>
      <x:c r="R2977" s="55" t="n">
        <x:f>IF(O2977=0,0,ROUND(Q2977/O2977,4))</x:f>
        <x:v>0.3715</x:v>
      </x:c>
      <x:c r="S2977" s="53" t="n">
        <x:v>3</x:v>
      </x:c>
      <x:c r="T2977" t="str">
        <x:v>Entregue</x:v>
      </x:c>
      <x:c r="U2977" t="n">
        <x:v>2</x:v>
      </x:c>
      <x:c r="V2977" t="str"/>
    </x:row>
    <x:row r="2978">
      <x:c r="A2978" s="52" t="n">
        <x:v>46172</x:v>
      </x:c>
      <x:c r="B2978" t="str">
        <x:v>PED-102977</x:v>
      </x:c>
      <x:c r="C2978" t="str">
        <x:v>Cliente 038</x:v>
      </x:c>
      <x:c r="D2978" t="str">
        <x:v>RS</x:v>
      </x:c>
      <x:c r="E2978" t="str">
        <x:v>Sul</x:v>
      </x:c>
      <x:c r="F2978" t="str">
        <x:v>Loja</x:v>
      </x:c>
      <x:c r="G2978" t="str">
        <x:v>Acessórios</x:v>
      </x:c>
      <x:c r="H2978" t="str">
        <x:v>Mochila Executiva</x:v>
      </x:c>
      <x:c r="I2978" t="str">
        <x:v>Bruno</x:v>
      </x:c>
      <x:c r="J2978" s="53" t="n">
        <x:v>8</x:v>
      </x:c>
      <x:c r="K2978" s="54" t="n">
        <x:v>413.33</x:v>
      </x:c>
      <x:c r="L2978" s="54" t="n">
        <x:v>188.16</x:v>
      </x:c>
      <x:c r="M2978" s="55" t="n">
        <x:v>0</x:v>
      </x:c>
      <x:c r="N2978" s="54" t="n">
        <x:f>ROUND(J2978*K2978,2)</x:f>
        <x:v>3306.64</x:v>
      </x:c>
      <x:c r="O2978" s="54" t="n">
        <x:f>ROUND(N2978*(1-M2978),2)</x:f>
        <x:v>3306.64</x:v>
      </x:c>
      <x:c r="P2978" s="54" t="n">
        <x:f>ROUND(J2978*L2978,2)</x:f>
        <x:v>1505.28</x:v>
      </x:c>
      <x:c r="Q2978" s="54" t="n">
        <x:f>ROUND(O2978-P2978,2)</x:f>
        <x:v>1801.36</x:v>
      </x:c>
      <x:c r="R2978" s="55" t="n">
        <x:f>IF(O2978=0,0,ROUND(Q2978/O2978,4))</x:f>
        <x:v>0.5448</x:v>
      </x:c>
      <x:c r="S2978" s="53" t="n">
        <x:v>6</x:v>
      </x:c>
      <x:c r="T2978" t="str">
        <x:v>Entregue</x:v>
      </x:c>
      <x:c r="U2978" t="n">
        <x:v>4</x:v>
      </x:c>
      <x:c r="V2978" t="str"/>
    </x:row>
    <x:row r="2979">
      <x:c r="A2979" s="52" t="n">
        <x:v>46075</x:v>
      </x:c>
      <x:c r="B2979" t="str">
        <x:v>PED-102978</x:v>
      </x:c>
      <x:c r="C2979" t="str">
        <x:v>Cliente 038</x:v>
      </x:c>
      <x:c r="D2979" t="str">
        <x:v>CE</x:v>
      </x:c>
      <x:c r="E2979" t="str">
        <x:v>Nordeste</x:v>
      </x:c>
      <x:c r="F2979" t="str">
        <x:v>Marketplace</x:v>
      </x:c>
      <x:c r="G2979" t="str">
        <x:v>Acessórios</x:v>
      </x:c>
      <x:c r="H2979" t="str">
        <x:v>Webcam HD</x:v>
      </x:c>
      <x:c r="I2979" t="str">
        <x:v>Carla</x:v>
      </x:c>
      <x:c r="J2979" s="53" t="n">
        <x:v>7</x:v>
      </x:c>
      <x:c r="K2979" s="54" t="n">
        <x:v>513.21</x:v>
      </x:c>
      <x:c r="L2979" s="54" t="n">
        <x:v>240.71</x:v>
      </x:c>
      <x:c r="M2979" s="55" t="n">
        <x:v>0.035</x:v>
      </x:c>
      <x:c r="N2979" s="54" t="n">
        <x:f>ROUND(J2979*K2979,2)</x:f>
        <x:v>3592.47</x:v>
      </x:c>
      <x:c r="O2979" s="54" t="n">
        <x:f>ROUND(N2979*(1-M2979),2)</x:f>
        <x:v>3466.73</x:v>
      </x:c>
      <x:c r="P2979" s="54" t="n">
        <x:f>ROUND(J2979*L2979,2)</x:f>
        <x:v>1684.97</x:v>
      </x:c>
      <x:c r="Q2979" s="54" t="n">
        <x:f>ROUND(O2979-P2979,2)</x:f>
        <x:v>1781.76</x:v>
      </x:c>
      <x:c r="R2979" s="55" t="n">
        <x:f>IF(O2979=0,0,ROUND(Q2979/O2979,4))</x:f>
        <x:v>0.514</x:v>
      </x:c>
      <x:c r="S2979" s="53" t="n">
        <x:v>9</x:v>
      </x:c>
      <x:c r="T2979" t="str">
        <x:v>Entregue</x:v>
      </x:c>
      <x:c r="U2979" t="n">
        <x:v>5</x:v>
      </x:c>
      <x:c r="V2979" t="str"/>
    </x:row>
    <x:row r="2980">
      <x:c r="A2980" s="52" t="n">
        <x:v>46098</x:v>
      </x:c>
      <x:c r="B2980" t="str">
        <x:v>PED-102979</x:v>
      </x:c>
      <x:c r="C2980" t="str">
        <x:v>Cliente 084</x:v>
      </x:c>
      <x:c r="D2980" t="str">
        <x:v>ES</x:v>
      </x:c>
      <x:c r="E2980" t="str">
        <x:v>Sudeste</x:v>
      </x:c>
      <x:c r="F2980" t="str">
        <x:v>Marketplace</x:v>
      </x:c>
      <x:c r="G2980" t="str">
        <x:v>Casa</x:v>
      </x:c>
      <x:c r="H2980" t="str">
        <x:v>Cafeteira Smart</x:v>
      </x:c>
      <x:c r="I2980" t="str">
        <x:v>Gabriela</x:v>
      </x:c>
      <x:c r="J2980" s="53" t="n">
        <x:v>5</x:v>
      </x:c>
      <x:c r="K2980" s="54" t="n">
        <x:v>792.11</x:v>
      </x:c>
      <x:c r="L2980" s="54" t="n">
        <x:v>439.43</x:v>
      </x:c>
      <x:c r="M2980" s="55" t="n">
        <x:v>0.0791</x:v>
      </x:c>
      <x:c r="N2980" s="54" t="n">
        <x:f>ROUND(J2980*K2980,2)</x:f>
        <x:v>3960.55</x:v>
      </x:c>
      <x:c r="O2980" s="54" t="n">
        <x:f>ROUND(N2980*(1-M2980),2)</x:f>
        <x:v>3647.27</x:v>
      </x:c>
      <x:c r="P2980" s="54" t="n">
        <x:f>ROUND(J2980*L2980,2)</x:f>
        <x:v>2197.15</x:v>
      </x:c>
      <x:c r="Q2980" s="54" t="n">
        <x:f>ROUND(O2980-P2980,2)</x:f>
        <x:v>1450.12</x:v>
      </x:c>
      <x:c r="R2980" s="55" t="n">
        <x:f>IF(O2980=0,0,ROUND(Q2980/O2980,4))</x:f>
        <x:v>0.3976</x:v>
      </x:c>
      <x:c r="S2980" s="53" t="n">
        <x:v>12</x:v>
      </x:c>
      <x:c r="T2980" t="str">
        <x:v>Entregue com atraso</x:v>
      </x:c>
      <x:c r="U2980" t="n">
        <x:v>5</x:v>
      </x:c>
      <x:c r="V2980" t="str"/>
    </x:row>
    <x:row r="2981">
      <x:c r="A2981" s="52" t="n">
        <x:v>46140</x:v>
      </x:c>
      <x:c r="B2981" t="str">
        <x:v>PED-102980</x:v>
      </x:c>
      <x:c r="C2981" t="str">
        <x:v>Cliente 054</x:v>
      </x:c>
      <x:c r="D2981" t="str">
        <x:v>DF</x:v>
      </x:c>
      <x:c r="E2981" t="str">
        <x:v>Centro-Oeste</x:v>
      </x:c>
      <x:c r="F2981" t="str">
        <x:v>Marketplace</x:v>
      </x:c>
      <x:c r="G2981" t="str">
        <x:v>Escritório</x:v>
      </x:c>
      <x:c r="H2981" t="str">
        <x:v>Cadeira Ergonômica</x:v>
      </x:c>
      <x:c r="I2981" t="str">
        <x:v>Henrique</x:v>
      </x:c>
      <x:c r="J2981" s="53" t="n">
        <x:v>1</x:v>
      </x:c>
      <x:c r="K2981" s="54" t="n">
        <x:v>2176.78</x:v>
      </x:c>
      <x:c r="L2981" s="54" t="n">
        <x:v>1416.98</x:v>
      </x:c>
      <x:c r="M2981" s="55" t="n">
        <x:v>0.0666</x:v>
      </x:c>
      <x:c r="N2981" s="54" t="n">
        <x:f>ROUND(J2981*K2981,2)</x:f>
        <x:v>2176.78</x:v>
      </x:c>
      <x:c r="O2981" s="54" t="n">
        <x:f>ROUND(N2981*(1-M2981),2)</x:f>
        <x:v>2031.81</x:v>
      </x:c>
      <x:c r="P2981" s="54" t="n">
        <x:f>ROUND(J2981*L2981,2)</x:f>
        <x:v>1416.98</x:v>
      </x:c>
      <x:c r="Q2981" s="54" t="n">
        <x:f>ROUND(O2981-P2981,2)</x:f>
        <x:v>614.83</x:v>
      </x:c>
      <x:c r="R2981" s="55" t="n">
        <x:f>IF(O2981=0,0,ROUND(Q2981/O2981,4))</x:f>
        <x:v>0.3026</x:v>
      </x:c>
      <x:c r="S2981" s="53" t="n">
        <x:v>9</x:v>
      </x:c>
      <x:c r="T2981" t="str">
        <x:v>Entregue</x:v>
      </x:c>
      <x:c r="U2981" t="n">
        <x:v>3</x:v>
      </x:c>
      <x:c r="V2981" t="str"/>
    </x:row>
    <x:row r="2982">
      <x:c r="A2982" s="52" t="n">
        <x:v>46154</x:v>
      </x:c>
      <x:c r="B2982" t="str">
        <x:v>PED-102981</x:v>
      </x:c>
      <x:c r="C2982" t="str">
        <x:v>Cliente 083</x:v>
      </x:c>
      <x:c r="D2982" t="str">
        <x:v>DF</x:v>
      </x:c>
      <x:c r="E2982" t="str">
        <x:v>Centro-Oeste</x:v>
      </x:c>
      <x:c r="F2982" t="str">
        <x:v>E-commerce</x:v>
      </x:c>
      <x:c r="G2982" t="str">
        <x:v>Escritório</x:v>
      </x:c>
      <x:c r="H2982" t="str">
        <x:v>Mesa Ajustável</x:v>
      </x:c>
      <x:c r="I2982" t="str">
        <x:v>Henrique</x:v>
      </x:c>
      <x:c r="J2982" s="53" t="n">
        <x:v>1</x:v>
      </x:c>
      <x:c r="K2982" s="54" t="n">
        <x:v>2653.25</x:v>
      </x:c>
      <x:c r="L2982" s="54" t="n">
        <x:v>1810.97</x:v>
      </x:c>
      <x:c r="M2982" s="55" t="n">
        <x:v>0.0992</x:v>
      </x:c>
      <x:c r="N2982" s="54" t="n">
        <x:f>ROUND(J2982*K2982,2)</x:f>
        <x:v>2653.25</x:v>
      </x:c>
      <x:c r="O2982" s="54" t="n">
        <x:f>ROUND(N2982*(1-M2982),2)</x:f>
        <x:v>2390.05</x:v>
      </x:c>
      <x:c r="P2982" s="54" t="n">
        <x:f>ROUND(J2982*L2982,2)</x:f>
        <x:v>1810.97</x:v>
      </x:c>
      <x:c r="Q2982" s="54" t="n">
        <x:f>ROUND(O2982-P2982,2)</x:f>
        <x:v>579.08</x:v>
      </x:c>
      <x:c r="R2982" s="55" t="n">
        <x:f>IF(O2982=0,0,ROUND(Q2982/O2982,4))</x:f>
        <x:v>0.2423</x:v>
      </x:c>
      <x:c r="S2982" s="53" t="n">
        <x:v>6</x:v>
      </x:c>
      <x:c r="T2982" t="str">
        <x:v>Entregue</x:v>
      </x:c>
      <x:c r="U2982" t="n">
        <x:v>5</x:v>
      </x:c>
      <x:c r="V2982" t="str"/>
    </x:row>
    <x:row r="2983">
      <x:c r="A2983" s="52" t="n">
        <x:v>46034</x:v>
      </x:c>
      <x:c r="B2983" t="str">
        <x:v>PED-102982</x:v>
      </x:c>
      <x:c r="C2983" t="str">
        <x:v>Cliente 088</x:v>
      </x:c>
      <x:c r="D2983" t="str">
        <x:v>PA</x:v>
      </x:c>
      <x:c r="E2983" t="str">
        <x:v>Norte</x:v>
      </x:c>
      <x:c r="F2983" t="str">
        <x:v>Marketplace</x:v>
      </x:c>
      <x:c r="G2983" t="str">
        <x:v>Acessórios</x:v>
      </x:c>
      <x:c r="H2983" t="str">
        <x:v>Webcam HD</x:v>
      </x:c>
      <x:c r="I2983" t="str">
        <x:v>Isabela</x:v>
      </x:c>
      <x:c r="J2983" s="53" t="n">
        <x:v>4</x:v>
      </x:c>
      <x:c r="K2983" s="54" t="n">
        <x:v>527.08</x:v>
      </x:c>
      <x:c r="L2983" s="54" t="n">
        <x:v>240.99</x:v>
      </x:c>
      <x:c r="M2983" s="55" t="n">
        <x:v>0.0712</x:v>
      </x:c>
      <x:c r="N2983" s="54" t="n">
        <x:f>ROUND(J2983*K2983,2)</x:f>
        <x:v>2108.32</x:v>
      </x:c>
      <x:c r="O2983" s="54" t="n">
        <x:f>ROUND(N2983*(1-M2983),2)</x:f>
        <x:v>1958.21</x:v>
      </x:c>
      <x:c r="P2983" s="54" t="n">
        <x:f>ROUND(J2983*L2983,2)</x:f>
        <x:v>963.96</x:v>
      </x:c>
      <x:c r="Q2983" s="54" t="n">
        <x:f>ROUND(O2983-P2983,2)</x:f>
        <x:v>994.25</x:v>
      </x:c>
      <x:c r="R2983" s="55" t="n">
        <x:f>IF(O2983=0,0,ROUND(Q2983/O2983,4))</x:f>
        <x:v>0.5077</x:v>
      </x:c>
      <x:c r="S2983" s="53" t="n">
        <x:v>13</x:v>
      </x:c>
      <x:c r="T2983" t="str">
        <x:v>Entregue com atraso</x:v>
      </x:c>
      <x:c r="U2983" t="n">
        <x:v>3</x:v>
      </x:c>
      <x:c r="V2983" t="str"/>
    </x:row>
    <x:row r="2984">
      <x:c r="A2984" s="52" t="n">
        <x:v>46083</x:v>
      </x:c>
      <x:c r="B2984" t="str">
        <x:v>PED-102983</x:v>
      </x:c>
      <x:c r="C2984" t="str">
        <x:v>Cliente 002</x:v>
      </x:c>
      <x:c r="D2984" t="str">
        <x:v>SP</x:v>
      </x:c>
      <x:c r="E2984" t="str">
        <x:v>Sudeste</x:v>
      </x:c>
      <x:c r="F2984" t="str">
        <x:v>Marketplace</x:v>
      </x:c>
      <x:c r="G2984" t="str">
        <x:v>Acessórios</x:v>
      </x:c>
      <x:c r="H2984" t="str">
        <x:v>Mochila Executiva</x:v>
      </x:c>
      <x:c r="I2984" t="str">
        <x:v>Carla</x:v>
      </x:c>
      <x:c r="J2984" s="53" t="n">
        <x:v>5</x:v>
      </x:c>
      <x:c r="K2984" s="54" t="n">
        <x:v>443.77</x:v>
      </x:c>
      <x:c r="L2984" s="54" t="n">
        <x:v>184.23</x:v>
      </x:c>
      <x:c r="M2984" s="55" t="n">
        <x:v>0.0756</x:v>
      </x:c>
      <x:c r="N2984" s="54" t="n">
        <x:f>ROUND(J2984*K2984,2)</x:f>
        <x:v>2218.85</x:v>
      </x:c>
      <x:c r="O2984" s="54" t="n">
        <x:f>ROUND(N2984*(1-M2984),2)</x:f>
        <x:v>2051.1</x:v>
      </x:c>
      <x:c r="P2984" s="54" t="n">
        <x:f>ROUND(J2984*L2984,2)</x:f>
        <x:v>921.15</x:v>
      </x:c>
      <x:c r="Q2984" s="54" t="n">
        <x:f>ROUND(O2984-P2984,2)</x:f>
        <x:v>1129.95</x:v>
      </x:c>
      <x:c r="R2984" s="55" t="n">
        <x:f>IF(O2984=0,0,ROUND(Q2984/O2984,4))</x:f>
        <x:v>0.5509</x:v>
      </x:c>
      <x:c r="S2984" s="53" t="n">
        <x:v>4</x:v>
      </x:c>
      <x:c r="T2984" t="str">
        <x:v>Entregue</x:v>
      </x:c>
      <x:c r="U2984" t="n">
        <x:v>3</x:v>
      </x:c>
      <x:c r="V2984" t="str"/>
    </x:row>
    <x:row r="2985">
      <x:c r="A2985" s="52" t="n">
        <x:v>46063</x:v>
      </x:c>
      <x:c r="B2985" t="str">
        <x:v>PED-102984</x:v>
      </x:c>
      <x:c r="C2985" t="str">
        <x:v>Cliente 060</x:v>
      </x:c>
      <x:c r="D2985" t="str">
        <x:v>PE</x:v>
      </x:c>
      <x:c r="E2985" t="str">
        <x:v>Nordeste</x:v>
      </x:c>
      <x:c r="F2985" t="str">
        <x:v>E-commerce</x:v>
      </x:c>
      <x:c r="G2985" t="str">
        <x:v>Escritório</x:v>
      </x:c>
      <x:c r="H2985" t="str">
        <x:v>Cadeira Ergonômica</x:v>
      </x:c>
      <x:c r="I2985" t="str">
        <x:v>Henrique</x:v>
      </x:c>
      <x:c r="J2985" s="53" t="n">
        <x:v>3</x:v>
      </x:c>
      <x:c r="K2985" s="54" t="n">
        <x:v>2179.49</x:v>
      </x:c>
      <x:c r="L2985" s="54" t="n">
        <x:v>1510.67</x:v>
      </x:c>
      <x:c r="M2985" s="55" t="n">
        <x:v>0</x:v>
      </x:c>
      <x:c r="N2985" s="54" t="n">
        <x:f>ROUND(J2985*K2985,2)</x:f>
        <x:v>6538.47</x:v>
      </x:c>
      <x:c r="O2985" s="54" t="n">
        <x:f>ROUND(N2985*(1-M2985),2)</x:f>
        <x:v>6538.47</x:v>
      </x:c>
      <x:c r="P2985" s="54" t="n">
        <x:f>ROUND(J2985*L2985,2)</x:f>
        <x:v>4532.01</x:v>
      </x:c>
      <x:c r="Q2985" s="54" t="n">
        <x:f>ROUND(O2985-P2985,2)</x:f>
        <x:v>2006.46</x:v>
      </x:c>
      <x:c r="R2985" s="55" t="n">
        <x:f>IF(O2985=0,0,ROUND(Q2985/O2985,4))</x:f>
        <x:v>0.3069</x:v>
      </x:c>
      <x:c r="S2985" s="53" t="n">
        <x:v>5</x:v>
      </x:c>
      <x:c r="T2985" t="str">
        <x:v>Entregue</x:v>
      </x:c>
      <x:c r="U2985" t="n">
        <x:v>2</x:v>
      </x:c>
      <x:c r="V2985" t="str"/>
    </x:row>
    <x:row r="2986">
      <x:c r="A2986" s="52" t="n">
        <x:v>46100</x:v>
      </x:c>
      <x:c r="B2986" t="str">
        <x:v>PED-102985</x:v>
      </x:c>
      <x:c r="C2986" t="str">
        <x:v>Cliente 066</x:v>
      </x:c>
      <x:c r="D2986" t="str">
        <x:v>GO</x:v>
      </x:c>
      <x:c r="E2986" t="str">
        <x:v>Centro-Oeste</x:v>
      </x:c>
      <x:c r="F2986" t="str">
        <x:v>Televendas</x:v>
      </x:c>
      <x:c r="G2986" t="str">
        <x:v>Tecnologia</x:v>
      </x:c>
      <x:c r="H2986" t="str">
        <x:v>Monitor 27</x:v>
      </x:c>
      <x:c r="I2986" t="str">
        <x:v>Gabriela</x:v>
      </x:c>
      <x:c r="J2986" s="53" t="n">
        <x:v>4</x:v>
      </x:c>
      <x:c r="K2986" s="54" t="n">
        <x:v>1741.18</x:v>
      </x:c>
      <x:c r="L2986" s="54" t="n">
        <x:v>1095.87</x:v>
      </x:c>
      <x:c r="M2986" s="55" t="n">
        <x:v>0.1026</x:v>
      </x:c>
      <x:c r="N2986" s="54" t="n">
        <x:f>ROUND(J2986*K2986,2)</x:f>
        <x:v>6964.72</x:v>
      </x:c>
      <x:c r="O2986" s="54" t="n">
        <x:f>ROUND(N2986*(1-M2986),2)</x:f>
        <x:v>6250.14</x:v>
      </x:c>
      <x:c r="P2986" s="54" t="n">
        <x:f>ROUND(J2986*L2986,2)</x:f>
        <x:v>4383.48</x:v>
      </x:c>
      <x:c r="Q2986" s="54" t="n">
        <x:f>ROUND(O2986-P2986,2)</x:f>
        <x:v>1866.66</x:v>
      </x:c>
      <x:c r="R2986" s="55" t="n">
        <x:f>IF(O2986=0,0,ROUND(Q2986/O2986,4))</x:f>
        <x:v>0.2987</x:v>
      </x:c>
      <x:c r="S2986" s="53" t="n">
        <x:v>2</x:v>
      </x:c>
      <x:c r="T2986" t="str">
        <x:v>Entregue</x:v>
      </x:c>
      <x:c r="U2986" t="n">
        <x:v>2</x:v>
      </x:c>
      <x:c r="V2986" t="str"/>
    </x:row>
    <x:row r="2987">
      <x:c r="A2987" s="52" t="n">
        <x:v>46185</x:v>
      </x:c>
      <x:c r="B2987" t="str">
        <x:v>PED-102986</x:v>
      </x:c>
      <x:c r="C2987" t="str">
        <x:v>Cliente 037</x:v>
      </x:c>
      <x:c r="D2987" t="str">
        <x:v>GO</x:v>
      </x:c>
      <x:c r="E2987" t="str">
        <x:v>Centro-Oeste</x:v>
      </x:c>
      <x:c r="F2987" t="str">
        <x:v>E-commerce</x:v>
      </x:c>
      <x:c r="G2987" t="str">
        <x:v>Escritório</x:v>
      </x:c>
      <x:c r="H2987" t="str">
        <x:v>Cadeira Ergonômica</x:v>
      </x:c>
      <x:c r="I2987" t="str">
        <x:v>Henrique</x:v>
      </x:c>
      <x:c r="J2987" s="53" t="n">
        <x:v>1</x:v>
      </x:c>
      <x:c r="K2987" s="54" t="n">
        <x:v>2230.87</x:v>
      </x:c>
      <x:c r="L2987" s="54" t="n">
        <x:v>1424.7</x:v>
      </x:c>
      <x:c r="M2987" s="55" t="n">
        <x:v>0</x:v>
      </x:c>
      <x:c r="N2987" s="54" t="n">
        <x:f>ROUND(J2987*K2987,2)</x:f>
        <x:v>2230.87</x:v>
      </x:c>
      <x:c r="O2987" s="54" t="n">
        <x:f>ROUND(N2987*(1-M2987),2)</x:f>
        <x:v>2230.87</x:v>
      </x:c>
      <x:c r="P2987" s="54" t="n">
        <x:f>ROUND(J2987*L2987,2)</x:f>
        <x:v>1424.7</x:v>
      </x:c>
      <x:c r="Q2987" s="54" t="n">
        <x:f>ROUND(O2987-P2987,2)</x:f>
        <x:v>806.17</x:v>
      </x:c>
      <x:c r="R2987" s="55" t="n">
        <x:f>IF(O2987=0,0,ROUND(Q2987/O2987,4))</x:f>
        <x:v>0.3614</x:v>
      </x:c>
      <x:c r="S2987" s="53" t="n">
        <x:v>12</x:v>
      </x:c>
      <x:c r="T2987" t="str">
        <x:v>Entregue com atraso</x:v>
      </x:c>
      <x:c r="U2987" t="n">
        <x:v>2</x:v>
      </x:c>
      <x:c r="V2987" t="str"/>
    </x:row>
    <x:row r="2988">
      <x:c r="A2988" s="52" t="n">
        <x:v>46109</x:v>
      </x:c>
      <x:c r="B2988" t="str">
        <x:v>PED-102987</x:v>
      </x:c>
      <x:c r="C2988" t="str">
        <x:v>Cliente 084</x:v>
      </x:c>
      <x:c r="D2988" t="str">
        <x:v>GO</x:v>
      </x:c>
      <x:c r="E2988" t="str">
        <x:v>Centro-Oeste</x:v>
      </x:c>
      <x:c r="F2988" t="str">
        <x:v>Marketplace</x:v>
      </x:c>
      <x:c r="G2988" t="str">
        <x:v>Tecnologia</x:v>
      </x:c>
      <x:c r="H2988" t="str">
        <x:v>Notebook Pro</x:v>
      </x:c>
      <x:c r="I2988" t="str">
        <x:v>Gabriela</x:v>
      </x:c>
      <x:c r="J2988" s="53" t="n">
        <x:v>8</x:v>
      </x:c>
      <x:c r="K2988" s="54" t="n">
        <x:v>6182.68</x:v>
      </x:c>
      <x:c r="L2988" s="54" t="n">
        <x:v>4242.34</x:v>
      </x:c>
      <x:c r="M2988" s="55" t="n">
        <x:v>0.035</x:v>
      </x:c>
      <x:c r="N2988" s="54" t="n">
        <x:f>ROUND(J2988*K2988,2)</x:f>
        <x:v>49461.44</x:v>
      </x:c>
      <x:c r="O2988" s="54" t="n">
        <x:f>ROUND(N2988*(1-M2988),2)</x:f>
        <x:v>47730.29</x:v>
      </x:c>
      <x:c r="P2988" s="54" t="n">
        <x:f>ROUND(J2988*L2988,2)</x:f>
        <x:v>33938.72</x:v>
      </x:c>
      <x:c r="Q2988" s="54" t="n">
        <x:f>ROUND(O2988-P2988,2)</x:f>
        <x:v>13791.57</x:v>
      </x:c>
      <x:c r="R2988" s="55" t="n">
        <x:f>IF(O2988=0,0,ROUND(Q2988/O2988,4))</x:f>
        <x:v>0.2889</x:v>
      </x:c>
      <x:c r="S2988" s="53" t="n">
        <x:v>2</x:v>
      </x:c>
      <x:c r="T2988" t="str">
        <x:v>Entregue</x:v>
      </x:c>
      <x:c r="U2988" t="n">
        <x:v>3</x:v>
      </x:c>
      <x:c r="V2988" t="str"/>
    </x:row>
    <x:row r="2989">
      <x:c r="A2989" s="52" t="n">
        <x:v>46087</x:v>
      </x:c>
      <x:c r="B2989" t="str">
        <x:v>PED-102988</x:v>
      </x:c>
      <x:c r="C2989" t="str">
        <x:v>Cliente 056</x:v>
      </x:c>
      <x:c r="D2989" t="str">
        <x:v>ES</x:v>
      </x:c>
      <x:c r="E2989" t="str">
        <x:v>Sudeste</x:v>
      </x:c>
      <x:c r="F2989" t="str">
        <x:v>E-commerce</x:v>
      </x:c>
      <x:c r="G2989" t="str">
        <x:v>Acessórios</x:v>
      </x:c>
      <x:c r="H2989" t="str">
        <x:v>Webcam HD</x:v>
      </x:c>
      <x:c r="I2989" t="str">
        <x:v>Gabriela</x:v>
      </x:c>
      <x:c r="J2989" s="53" t="n">
        <x:v>5</x:v>
      </x:c>
      <x:c r="K2989" s="54" t="n">
        <x:v>479.46</x:v>
      </x:c>
      <x:c r="L2989" s="54" t="n">
        <x:v>241.35</x:v>
      </x:c>
      <x:c r="M2989" s="55" t="n">
        <x:v>0.0471</x:v>
      </x:c>
      <x:c r="N2989" s="54" t="n">
        <x:f>ROUND(J2989*K2989,2)</x:f>
        <x:v>2397.3</x:v>
      </x:c>
      <x:c r="O2989" s="54" t="n">
        <x:f>ROUND(N2989*(1-M2989),2)</x:f>
        <x:v>2284.39</x:v>
      </x:c>
      <x:c r="P2989" s="54" t="n">
        <x:f>ROUND(J2989*L2989,2)</x:f>
        <x:v>1206.75</x:v>
      </x:c>
      <x:c r="Q2989" s="54" t="n">
        <x:f>ROUND(O2989-P2989,2)</x:f>
        <x:v>1077.64</x:v>
      </x:c>
      <x:c r="R2989" s="55" t="n">
        <x:f>IF(O2989=0,0,ROUND(Q2989/O2989,4))</x:f>
        <x:v>0.4717</x:v>
      </x:c>
      <x:c r="S2989" s="53" t="n">
        <x:v>6</x:v>
      </x:c>
      <x:c r="T2989" t="str">
        <x:v>Entregue</x:v>
      </x:c>
      <x:c r="U2989" t="n">
        <x:v>4</x:v>
      </x:c>
      <x:c r="V2989" t="str"/>
    </x:row>
    <x:row r="2990">
      <x:c r="A2990" s="52" t="n">
        <x:v>46028</x:v>
      </x:c>
      <x:c r="B2990" t="str">
        <x:v>PED-102989</x:v>
      </x:c>
      <x:c r="C2990" t="str">
        <x:v>Cliente 078</x:v>
      </x:c>
      <x:c r="D2990" t="str">
        <x:v>DF</x:v>
      </x:c>
      <x:c r="E2990" t="str">
        <x:v>Centro-Oeste</x:v>
      </x:c>
      <x:c r="F2990" t="str">
        <x:v>Loja</x:v>
      </x:c>
      <x:c r="G2990" t="str">
        <x:v>Casa</x:v>
      </x:c>
      <x:c r="H2990" t="str">
        <x:v>Cafeteira Smart</x:v>
      </x:c>
      <x:c r="I2990" t="str">
        <x:v>Felipe</x:v>
      </x:c>
      <x:c r="J2990" s="53" t="n">
        <x:v>1</x:v>
      </x:c>
      <x:c r="K2990" s="54" t="n">
        <x:v>788.27</x:v>
      </x:c>
      <x:c r="L2990" s="54" t="n">
        <x:v>441.97</x:v>
      </x:c>
      <x:c r="M2990" s="55" t="n">
        <x:v>0</x:v>
      </x:c>
      <x:c r="N2990" s="54" t="n">
        <x:f>ROUND(J2990*K2990,2)</x:f>
        <x:v>788.27</x:v>
      </x:c>
      <x:c r="O2990" s="54" t="n">
        <x:f>ROUND(N2990*(1-M2990),2)</x:f>
        <x:v>788.27</x:v>
      </x:c>
      <x:c r="P2990" s="54" t="n">
        <x:f>ROUND(J2990*L2990,2)</x:f>
        <x:v>441.97</x:v>
      </x:c>
      <x:c r="Q2990" s="54" t="n">
        <x:f>ROUND(O2990-P2990,2)</x:f>
        <x:v>346.3</x:v>
      </x:c>
      <x:c r="R2990" s="55" t="n">
        <x:f>IF(O2990=0,0,ROUND(Q2990/O2990,4))</x:f>
        <x:v>0.4393</x:v>
      </x:c>
      <x:c r="S2990" s="53" t="n">
        <x:v>7</x:v>
      </x:c>
      <x:c r="T2990" t="str">
        <x:v>Entregue</x:v>
      </x:c>
      <x:c r="U2990" t="n">
        <x:v>2</x:v>
      </x:c>
      <x:c r="V2990" t="str"/>
    </x:row>
    <x:row r="2991">
      <x:c r="A2991" s="52" t="n">
        <x:v>46217</x:v>
      </x:c>
      <x:c r="B2991" t="str">
        <x:v>PED-102990</x:v>
      </x:c>
      <x:c r="C2991" t="str">
        <x:v>Cliente 030</x:v>
      </x:c>
      <x:c r="D2991" t="str">
        <x:v>PE</x:v>
      </x:c>
      <x:c r="E2991" t="str">
        <x:v>Nordeste</x:v>
      </x:c>
      <x:c r="F2991" t="str">
        <x:v>Marketplace</x:v>
      </x:c>
      <x:c r="G2991" t="str">
        <x:v>Escritório</x:v>
      </x:c>
      <x:c r="H2991" t="str">
        <x:v>Cadeira Ergonômica</x:v>
      </x:c>
      <x:c r="I2991" t="str">
        <x:v>Gabriela</x:v>
      </x:c>
      <x:c r="J2991" s="53" t="n">
        <x:v>6</x:v>
      </x:c>
      <x:c r="K2991" s="54" t="n">
        <x:v>2105.18</x:v>
      </x:c>
      <x:c r="L2991" s="54" t="n">
        <x:v>1406.37</x:v>
      </x:c>
      <x:c r="M2991" s="55" t="n">
        <x:v>0.035</x:v>
      </x:c>
      <x:c r="N2991" s="54" t="n">
        <x:f>ROUND(J2991*K2991,2)</x:f>
        <x:v>12631.08</x:v>
      </x:c>
      <x:c r="O2991" s="54" t="n">
        <x:f>ROUND(N2991*(1-M2991),2)</x:f>
        <x:v>12188.99</x:v>
      </x:c>
      <x:c r="P2991" s="54" t="n">
        <x:f>ROUND(J2991*L2991,2)</x:f>
        <x:v>8438.22</x:v>
      </x:c>
      <x:c r="Q2991" s="54" t="n">
        <x:f>ROUND(O2991-P2991,2)</x:f>
        <x:v>3750.77</x:v>
      </x:c>
      <x:c r="R2991" s="55" t="n">
        <x:f>IF(O2991=0,0,ROUND(Q2991/O2991,4))</x:f>
        <x:v>0.3077</x:v>
      </x:c>
      <x:c r="S2991" s="53" t="n">
        <x:v>2</x:v>
      </x:c>
      <x:c r="T2991" t="str">
        <x:v>Entregue</x:v>
      </x:c>
      <x:c r="U2991" t="n">
        <x:v>4</x:v>
      </x:c>
      <x:c r="V2991" t="str"/>
    </x:row>
    <x:row r="2992">
      <x:c r="A2992" s="52" t="n">
        <x:v>46024</x:v>
      </x:c>
      <x:c r="B2992" t="str">
        <x:v>PED-102991</x:v>
      </x:c>
      <x:c r="C2992" t="str">
        <x:v>Cliente 043</x:v>
      </x:c>
      <x:c r="D2992" t="str">
        <x:v>SP</x:v>
      </x:c>
      <x:c r="E2992" t="str">
        <x:v>Sudeste</x:v>
      </x:c>
      <x:c r="F2992" t="str">
        <x:v>E-commerce</x:v>
      </x:c>
      <x:c r="G2992" t="str">
        <x:v>Tecnologia</x:v>
      </x:c>
      <x:c r="H2992" t="str">
        <x:v>Monitor 27</x:v>
      </x:c>
      <x:c r="I2992" t="str">
        <x:v>Bruno</x:v>
      </x:c>
      <x:c r="J2992" s="53" t="n">
        <x:v>4</x:v>
      </x:c>
      <x:c r="K2992" s="54" t="n">
        <x:v>1646.61</x:v>
      </x:c>
      <x:c r="L2992" s="54" t="n">
        <x:v>1107.29</x:v>
      </x:c>
      <x:c r="M2992" s="55" t="n">
        <x:v>0.041</x:v>
      </x:c>
      <x:c r="N2992" s="54" t="n">
        <x:f>ROUND(J2992*K2992,2)</x:f>
        <x:v>6586.44</x:v>
      </x:c>
      <x:c r="O2992" s="54" t="n">
        <x:f>ROUND(N2992*(1-M2992),2)</x:f>
        <x:v>6316.4</x:v>
      </x:c>
      <x:c r="P2992" s="54" t="n">
        <x:f>ROUND(J2992*L2992,2)</x:f>
        <x:v>4429.16</x:v>
      </x:c>
      <x:c r="Q2992" s="54" t="n">
        <x:f>ROUND(O2992-P2992,2)</x:f>
        <x:v>1887.24</x:v>
      </x:c>
      <x:c r="R2992" s="55" t="n">
        <x:f>IF(O2992=0,0,ROUND(Q2992/O2992,4))</x:f>
        <x:v>0.2988</x:v>
      </x:c>
      <x:c r="S2992" s="53" t="n">
        <x:v>14</x:v>
      </x:c>
      <x:c r="T2992" t="str">
        <x:v>Entregue com atraso</x:v>
      </x:c>
      <x:c r="U2992" t="n">
        <x:v>5</x:v>
      </x:c>
      <x:c r="V2992" t="str"/>
    </x:row>
    <x:row r="2993">
      <x:c r="A2993" s="52" t="n">
        <x:v>46051</x:v>
      </x:c>
      <x:c r="B2993" t="str">
        <x:v>PED-102992</x:v>
      </x:c>
      <x:c r="C2993" t="str">
        <x:v>Cliente 088</x:v>
      </x:c>
      <x:c r="D2993" t="str">
        <x:v>PR</x:v>
      </x:c>
      <x:c r="E2993" t="str">
        <x:v>Sul</x:v>
      </x:c>
      <x:c r="F2993" t="str">
        <x:v>Marketplace</x:v>
      </x:c>
      <x:c r="G2993" t="str">
        <x:v>Acessórios</x:v>
      </x:c>
      <x:c r="H2993" t="str">
        <x:v>Webcam HD</x:v>
      </x:c>
      <x:c r="I2993" t="str">
        <x:v>Felipe</x:v>
      </x:c>
      <x:c r="J2993" s="53" t="n">
        <x:v>8</x:v>
      </x:c>
      <x:c r="K2993" s="54" t="n">
        <x:v>516.3</x:v>
      </x:c>
      <x:c r="L2993" s="54" t="n">
        <x:v>232.56</x:v>
      </x:c>
      <x:c r="M2993" s="55" t="n">
        <x:v>0.0672</x:v>
      </x:c>
      <x:c r="N2993" s="54" t="n">
        <x:f>ROUND(J2993*K2993,2)</x:f>
        <x:v>4130.4</x:v>
      </x:c>
      <x:c r="O2993" s="54" t="n">
        <x:f>ROUND(N2993*(1-M2993),2)</x:f>
        <x:v>3852.84</x:v>
      </x:c>
      <x:c r="P2993" s="54" t="n">
        <x:f>ROUND(J2993*L2993,2)</x:f>
        <x:v>1860.48</x:v>
      </x:c>
      <x:c r="Q2993" s="54" t="n">
        <x:f>ROUND(O2993-P2993,2)</x:f>
        <x:v>1992.36</x:v>
      </x:c>
      <x:c r="R2993" s="55" t="n">
        <x:f>IF(O2993=0,0,ROUND(Q2993/O2993,4))</x:f>
        <x:v>0.5171</x:v>
      </x:c>
      <x:c r="S2993" s="53" t="n">
        <x:v>12</x:v>
      </x:c>
      <x:c r="T2993" t="str">
        <x:v>Entregue com atraso</x:v>
      </x:c>
      <x:c r="U2993" t="n">
        <x:v>2</x:v>
      </x:c>
      <x:c r="V2993" t="str"/>
    </x:row>
    <x:row r="2994">
      <x:c r="A2994" s="52" t="n">
        <x:v>46131</x:v>
      </x:c>
      <x:c r="B2994" t="str">
        <x:v>PED-102993</x:v>
      </x:c>
      <x:c r="C2994" t="str">
        <x:v>Cliente 030</x:v>
      </x:c>
      <x:c r="D2994" t="str">
        <x:v>RJ</x:v>
      </x:c>
      <x:c r="E2994" t="str">
        <x:v>Sudeste</x:v>
      </x:c>
      <x:c r="F2994" t="str">
        <x:v>Loja</x:v>
      </x:c>
      <x:c r="G2994" t="str">
        <x:v>Escritório</x:v>
      </x:c>
      <x:c r="H2994" t="str">
        <x:v>Mesa Ajustável</x:v>
      </x:c>
      <x:c r="I2994" t="str">
        <x:v>João</x:v>
      </x:c>
      <x:c r="J2994" s="53" t="n">
        <x:v>6</x:v>
      </x:c>
      <x:c r="K2994" s="54" t="n">
        <x:v>2841.29</x:v>
      </x:c>
      <x:c r="L2994" s="54" t="n">
        <x:v>1766.14</x:v>
      </x:c>
      <x:c r="M2994" s="55" t="n">
        <x:v>0</x:v>
      </x:c>
      <x:c r="N2994" s="54" t="n">
        <x:f>ROUND(J2994*K2994,2)</x:f>
        <x:v>17047.74</x:v>
      </x:c>
      <x:c r="O2994" s="54" t="n">
        <x:f>ROUND(N2994*(1-M2994),2)</x:f>
        <x:v>17047.74</x:v>
      </x:c>
      <x:c r="P2994" s="54" t="n">
        <x:f>ROUND(J2994*L2994,2)</x:f>
        <x:v>10596.84</x:v>
      </x:c>
      <x:c r="Q2994" s="54" t="n">
        <x:f>ROUND(O2994-P2994,2)</x:f>
        <x:v>6450.9</x:v>
      </x:c>
      <x:c r="R2994" s="55" t="n">
        <x:f>IF(O2994=0,0,ROUND(Q2994/O2994,4))</x:f>
        <x:v>0.3784</x:v>
      </x:c>
      <x:c r="S2994" s="53" t="n">
        <x:v>2</x:v>
      </x:c>
      <x:c r="T2994" t="str">
        <x:v>Entregue</x:v>
      </x:c>
      <x:c r="U2994" t="n">
        <x:v>5</x:v>
      </x:c>
      <x:c r="V2994" t="str"/>
    </x:row>
    <x:row r="2995">
      <x:c r="A2995" s="52" t="n">
        <x:v>46200</x:v>
      </x:c>
      <x:c r="B2995" t="str">
        <x:v>PED-102994</x:v>
      </x:c>
      <x:c r="C2995" t="str">
        <x:v>Cliente 104</x:v>
      </x:c>
      <x:c r="D2995" t="str">
        <x:v>ES</x:v>
      </x:c>
      <x:c r="E2995" t="str">
        <x:v>Sudeste</x:v>
      </x:c>
      <x:c r="F2995" t="str">
        <x:v>Televendas</x:v>
      </x:c>
      <x:c r="G2995" t="str">
        <x:v>Casa</x:v>
      </x:c>
      <x:c r="H2995" t="str">
        <x:v>Purificador</x:v>
      </x:c>
      <x:c r="I2995" t="str">
        <x:v>Elaine</x:v>
      </x:c>
      <x:c r="J2995" s="53" t="n">
        <x:v>2</x:v>
      </x:c>
      <x:c r="K2995" s="54" t="n">
        <x:v>1336.1</x:v>
      </x:c>
      <x:c r="L2995" s="54" t="n">
        <x:v>754.24</x:v>
      </x:c>
      <x:c r="M2995" s="55" t="n">
        <x:v>0</x:v>
      </x:c>
      <x:c r="N2995" s="54" t="n">
        <x:f>ROUND(J2995*K2995,2)</x:f>
        <x:v>2672.2</x:v>
      </x:c>
      <x:c r="O2995" s="54" t="n">
        <x:f>ROUND(N2995*(1-M2995),2)</x:f>
        <x:v>2672.2</x:v>
      </x:c>
      <x:c r="P2995" s="54" t="n">
        <x:f>ROUND(J2995*L2995,2)</x:f>
        <x:v>1508.48</x:v>
      </x:c>
      <x:c r="Q2995" s="54" t="n">
        <x:f>ROUND(O2995-P2995,2)</x:f>
        <x:v>1163.72</x:v>
      </x:c>
      <x:c r="R2995" s="55" t="n">
        <x:f>IF(O2995=0,0,ROUND(Q2995/O2995,4))</x:f>
        <x:v>0.4355</x:v>
      </x:c>
      <x:c r="S2995" s="53" t="n">
        <x:v>33</x:v>
      </x:c>
      <x:c r="T2995" t="str">
        <x:v>Entregue com atraso</x:v>
      </x:c>
      <x:c r="U2995" t="n">
        <x:v>1</x:v>
      </x:c>
      <x:c r="V2995" t="str">
        <x:v>Ocorrência logística</x:v>
      </x:c>
    </x:row>
    <x:row r="2996">
      <x:c r="A2996" s="52" t="n">
        <x:v>46116</x:v>
      </x:c>
      <x:c r="B2996" t="str">
        <x:v>PED-102995</x:v>
      </x:c>
      <x:c r="C2996" t="str">
        <x:v>Cliente 116</x:v>
      </x:c>
      <x:c r="D2996" t="str">
        <x:v>PE</x:v>
      </x:c>
      <x:c r="E2996" t="str">
        <x:v>Nordeste</x:v>
      </x:c>
      <x:c r="F2996" t="str">
        <x:v>Marketplace</x:v>
      </x:c>
      <x:c r="G2996" t="str">
        <x:v>Escritório</x:v>
      </x:c>
      <x:c r="H2996" t="str">
        <x:v>Cadeira Ergonômica</x:v>
      </x:c>
      <x:c r="I2996" t="str">
        <x:v>Isabela</x:v>
      </x:c>
      <x:c r="J2996" s="53" t="n">
        <x:v>1</x:v>
      </x:c>
      <x:c r="K2996" s="54" t="n">
        <x:v>2209.84</x:v>
      </x:c>
      <x:c r="L2996" s="54" t="n">
        <x:v>1438.54</x:v>
      </x:c>
      <x:c r="M2996" s="55" t="n">
        <x:v>0.1642</x:v>
      </x:c>
      <x:c r="N2996" s="54" t="n">
        <x:f>ROUND(J2996*K2996,2)</x:f>
        <x:v>2209.84</x:v>
      </x:c>
      <x:c r="O2996" s="54" t="n">
        <x:f>ROUND(N2996*(1-M2996),2)</x:f>
        <x:v>1846.98</x:v>
      </x:c>
      <x:c r="P2996" s="54" t="n">
        <x:f>ROUND(J2996*L2996,2)</x:f>
        <x:v>1438.54</x:v>
      </x:c>
      <x:c r="Q2996" s="54" t="n">
        <x:f>ROUND(O2996-P2996,2)</x:f>
        <x:v>408.44</x:v>
      </x:c>
      <x:c r="R2996" s="55" t="n">
        <x:f>IF(O2996=0,0,ROUND(Q2996/O2996,4))</x:f>
        <x:v>0.2211</x:v>
      </x:c>
      <x:c r="S2996" s="53" t="n">
        <x:v>2</x:v>
      </x:c>
      <x:c r="T2996" t="str">
        <x:v>Entregue</x:v>
      </x:c>
      <x:c r="U2996" t="n">
        <x:v>2</x:v>
      </x:c>
      <x:c r="V2996" t="str"/>
    </x:row>
    <x:row r="2997">
      <x:c r="A2997" s="52" t="n">
        <x:v>46119</x:v>
      </x:c>
      <x:c r="B2997" t="str">
        <x:v>PED-102996</x:v>
      </x:c>
      <x:c r="C2997" t="str">
        <x:v>Cliente 068</x:v>
      </x:c>
      <x:c r="D2997" t="str">
        <x:v>SP</x:v>
      </x:c>
      <x:c r="E2997" t="str">
        <x:v>Sudeste</x:v>
      </x:c>
      <x:c r="F2997" t="str">
        <x:v>E-commerce</x:v>
      </x:c>
      <x:c r="G2997" t="str">
        <x:v>Casa</x:v>
      </x:c>
      <x:c r="H2997" t="str">
        <x:v>Cafeteira Smart</x:v>
      </x:c>
      <x:c r="I2997" t="str">
        <x:v>Gabriela</x:v>
      </x:c>
      <x:c r="J2997" s="53" t="n">
        <x:v>5</x:v>
      </x:c>
      <x:c r="K2997" s="54" t="n">
        <x:v>830.41</x:v>
      </x:c>
      <x:c r="L2997" s="54" t="n">
        <x:v>456.96</x:v>
      </x:c>
      <x:c r="M2997" s="55" t="n">
        <x:v>0.0693</x:v>
      </x:c>
      <x:c r="N2997" s="54" t="n">
        <x:f>ROUND(J2997*K2997,2)</x:f>
        <x:v>4152.05</x:v>
      </x:c>
      <x:c r="O2997" s="54" t="n">
        <x:f>ROUND(N2997*(1-M2997),2)</x:f>
        <x:v>3864.31</x:v>
      </x:c>
      <x:c r="P2997" s="54" t="n">
        <x:f>ROUND(J2997*L2997,2)</x:f>
        <x:v>2284.8</x:v>
      </x:c>
      <x:c r="Q2997" s="54" t="n">
        <x:f>ROUND(O2997-P2997,2)</x:f>
        <x:v>1579.51</x:v>
      </x:c>
      <x:c r="R2997" s="55" t="n">
        <x:f>IF(O2997=0,0,ROUND(Q2997/O2997,4))</x:f>
        <x:v>0.4087</x:v>
      </x:c>
      <x:c r="S2997" s="53" t="n">
        <x:v>7</x:v>
      </x:c>
      <x:c r="T2997" t="str">
        <x:v>Entregue</x:v>
      </x:c>
      <x:c r="U2997" t="n">
        <x:v>4</x:v>
      </x:c>
      <x:c r="V2997" t="str"/>
    </x:row>
    <x:row r="2998">
      <x:c r="A2998" s="52" t="n">
        <x:v>46225</x:v>
      </x:c>
      <x:c r="B2998" t="str">
        <x:v>PED-102997</x:v>
      </x:c>
      <x:c r="C2998" t="str">
        <x:v>Cliente 097</x:v>
      </x:c>
      <x:c r="D2998" t="str">
        <x:v>PE</x:v>
      </x:c>
      <x:c r="E2998" t="str">
        <x:v>Nordeste</x:v>
      </x:c>
      <x:c r="F2998" t="str">
        <x:v>Loja</x:v>
      </x:c>
      <x:c r="G2998" t="str">
        <x:v>Casa</x:v>
      </x:c>
      <x:c r="H2998" t="str">
        <x:v>Cafeteira Smart</x:v>
      </x:c>
      <x:c r="I2998" t="str">
        <x:v>Ana</x:v>
      </x:c>
      <x:c r="J2998" s="53" t="n">
        <x:v>1</x:v>
      </x:c>
      <x:c r="K2998" s="54" t="n">
        <x:v>763.23</x:v>
      </x:c>
      <x:c r="L2998" s="54" t="n">
        <x:v>457.27</x:v>
      </x:c>
      <x:c r="M2998" s="55" t="n">
        <x:v>0.0076</x:v>
      </x:c>
      <x:c r="N2998" s="54" t="n">
        <x:f>ROUND(J2998*K2998,2)</x:f>
        <x:v>763.23</x:v>
      </x:c>
      <x:c r="O2998" s="54" t="n">
        <x:f>ROUND(N2998*(1-M2998),2)</x:f>
        <x:v>757.43</x:v>
      </x:c>
      <x:c r="P2998" s="54" t="n">
        <x:f>ROUND(J2998*L2998,2)</x:f>
        <x:v>457.27</x:v>
      </x:c>
      <x:c r="Q2998" s="54" t="n">
        <x:f>ROUND(O2998-P2998,2)</x:f>
        <x:v>300.16</x:v>
      </x:c>
      <x:c r="R2998" s="55" t="n">
        <x:f>IF(O2998=0,0,ROUND(Q2998/O2998,4))</x:f>
        <x:v>0.3963</x:v>
      </x:c>
      <x:c r="S2998" s="53" t="n">
        <x:v>10</x:v>
      </x:c>
      <x:c r="T2998" t="str">
        <x:v>Entregue</x:v>
      </x:c>
      <x:c r="U2998" t="n">
        <x:v>3</x:v>
      </x:c>
      <x:c r="V2998" t="str"/>
    </x:row>
    <x:row r="2999">
      <x:c r="A2999" s="52" t="n">
        <x:v>46205</x:v>
      </x:c>
      <x:c r="B2999" t="str">
        <x:v>PED-102998</x:v>
      </x:c>
      <x:c r="C2999" t="str">
        <x:v>Cliente 119</x:v>
      </x:c>
      <x:c r="D2999" t="str">
        <x:v>MG</x:v>
      </x:c>
      <x:c r="E2999" t="str">
        <x:v>Sudeste</x:v>
      </x:c>
      <x:c r="F2999" t="str">
        <x:v>Marketplace</x:v>
      </x:c>
      <x:c r="G2999" t="str">
        <x:v>Tecnologia</x:v>
      </x:c>
      <x:c r="H2999" t="str">
        <x:v>Headset Office</x:v>
      </x:c>
      <x:c r="I2999" t="str">
        <x:v>Gabriela</x:v>
      </x:c>
      <x:c r="J2999" s="53" t="n">
        <x:v>7</x:v>
      </x:c>
      <x:c r="K2999" s="54" t="n">
        <x:v>410.13</x:v>
      </x:c>
      <x:c r="L2999" s="54" t="n">
        <x:v>211.07</x:v>
      </x:c>
      <x:c r="M2999" s="55" t="n">
        <x:v>0.0542</x:v>
      </x:c>
      <x:c r="N2999" s="54" t="n">
        <x:f>ROUND(J2999*K2999,2)</x:f>
        <x:v>2870.91</x:v>
      </x:c>
      <x:c r="O2999" s="54" t="n">
        <x:f>ROUND(N2999*(1-M2999),2)</x:f>
        <x:v>2715.31</x:v>
      </x:c>
      <x:c r="P2999" s="54" t="n">
        <x:f>ROUND(J2999*L2999,2)</x:f>
        <x:v>1477.49</x:v>
      </x:c>
      <x:c r="Q2999" s="54" t="n">
        <x:f>ROUND(O2999-P2999,2)</x:f>
        <x:v>1237.82</x:v>
      </x:c>
      <x:c r="R2999" s="55" t="n">
        <x:f>IF(O2999=0,0,ROUND(Q2999/O2999,4))</x:f>
        <x:v>0.4559</x:v>
      </x:c>
      <x:c r="S2999" s="53" t="n">
        <x:v>10</x:v>
      </x:c>
      <x:c r="T2999" t="str">
        <x:v>Entregue</x:v>
      </x:c>
      <x:c r="U2999" t="n">
        <x:v>5</x:v>
      </x:c>
      <x:c r="V2999" t="str"/>
    </x:row>
    <x:row r="3000">
      <x:c r="A3000" s="52" t="n">
        <x:v>46061</x:v>
      </x:c>
      <x:c r="B3000" t="str">
        <x:v>PED-102999</x:v>
      </x:c>
      <x:c r="C3000" t="str">
        <x:v>Cliente 083</x:v>
      </x:c>
      <x:c r="D3000" t="str">
        <x:v>SP</x:v>
      </x:c>
      <x:c r="E3000" t="str">
        <x:v>Sudeste</x:v>
      </x:c>
      <x:c r="F3000" t="str">
        <x:v>Televendas</x:v>
      </x:c>
      <x:c r="G3000" t="str">
        <x:v>Escritório</x:v>
      </x:c>
      <x:c r="H3000" t="str">
        <x:v>Mesa Ajustável</x:v>
      </x:c>
      <x:c r="I3000" t="str">
        <x:v>Isabela</x:v>
      </x:c>
      <x:c r="J3000" s="53" t="n">
        <x:v>7</x:v>
      </x:c>
      <x:c r="K3000" s="54" t="n">
        <x:v>2777.04</x:v>
      </x:c>
      <x:c r="L3000" s="54" t="n">
        <x:v>1777.56</x:v>
      </x:c>
      <x:c r="M3000" s="55" t="n">
        <x:v>0</x:v>
      </x:c>
      <x:c r="N3000" s="54" t="n">
        <x:f>ROUND(J3000*K3000,2)</x:f>
        <x:v>19439.28</x:v>
      </x:c>
      <x:c r="O3000" s="54" t="n">
        <x:f>ROUND(N3000*(1-M3000),2)</x:f>
        <x:v>19439.28</x:v>
      </x:c>
      <x:c r="P3000" s="54" t="n">
        <x:f>ROUND(J3000*L3000,2)</x:f>
        <x:v>12442.92</x:v>
      </x:c>
      <x:c r="Q3000" s="54" t="n">
        <x:f>ROUND(O3000-P3000,2)</x:f>
        <x:v>6996.36</x:v>
      </x:c>
      <x:c r="R3000" s="55" t="n">
        <x:f>IF(O3000=0,0,ROUND(Q3000/O3000,4))</x:f>
        <x:v>0.3599</x:v>
      </x:c>
      <x:c r="S3000" s="53" t="n">
        <x:v>14</x:v>
      </x:c>
      <x:c r="T3000" t="str">
        <x:v>Entregue com atraso</x:v>
      </x:c>
      <x:c r="U3000" t="n">
        <x:v>3</x:v>
      </x:c>
      <x:c r="V3000" t="str"/>
    </x:row>
    <x:row r="3001">
      <x:c r="A3001" s="52" t="n">
        <x:v>46127</x:v>
      </x:c>
      <x:c r="B3001" t="str">
        <x:v>PED-103000</x:v>
      </x:c>
      <x:c r="C3001" t="str">
        <x:v>Cliente 031</x:v>
      </x:c>
      <x:c r="D3001" t="str">
        <x:v>CE</x:v>
      </x:c>
      <x:c r="E3001" t="str">
        <x:v>Nordeste</x:v>
      </x:c>
      <x:c r="F3001" t="str">
        <x:v>Loja</x:v>
      </x:c>
      <x:c r="G3001" t="str">
        <x:v>Tecnologia</x:v>
      </x:c>
      <x:c r="H3001" t="str">
        <x:v>Notebook Pro</x:v>
      </x:c>
      <x:c r="I3001" t="str">
        <x:v>Isabela</x:v>
      </x:c>
      <x:c r="J3001" s="53" t="n">
        <x:v>3</x:v>
      </x:c>
      <x:c r="K3001" s="54" t="n">
        <x:v>5612.07</x:v>
      </x:c>
      <x:c r="L3001" s="54" t="n">
        <x:v>4611.5</x:v>
      </x:c>
      <x:c r="M3001" s="55" t="n">
        <x:v>0</x:v>
      </x:c>
      <x:c r="N3001" s="54" t="n">
        <x:f>ROUND(J3001*K3001,2)</x:f>
        <x:v>16836.21</x:v>
      </x:c>
      <x:c r="O3001" s="54" t="n">
        <x:f>ROUND(N3001*(1-M3001),2)</x:f>
        <x:v>16836.21</x:v>
      </x:c>
      <x:c r="P3001" s="54" t="n">
        <x:f>ROUND(J3001*L3001,2)</x:f>
        <x:v>13834.5</x:v>
      </x:c>
      <x:c r="Q3001" s="54" t="n">
        <x:f>ROUND(O3001-P3001,2)</x:f>
        <x:v>3001.71</x:v>
      </x:c>
      <x:c r="R3001" s="55" t="n">
        <x:f>IF(O3001=0,0,ROUND(Q3001/O3001,4))</x:f>
        <x:v>0.1783</x:v>
      </x:c>
      <x:c r="S3001" s="53" t="n">
        <x:v>12</x:v>
      </x:c>
      <x:c r="T3001" t="str">
        <x:v>Entregue com atraso</x:v>
      </x:c>
      <x:c r="U3001" t="n">
        <x:v>3</x:v>
      </x:c>
      <x:c r="V3001" t="str"/>
    </x:row>
  </x:sheetData>
  <x:conditionalFormatting sqref="M2:M3001">
    <x:cfRule type="cellIs" dxfId="0" priority="1" operator="greaterThan">
      <x:formula>0.3</x:formula>
    </x:cfRule>
  </x:conditionalFormatting>
  <x:conditionalFormatting sqref="R2:R3001">
    <x:cfRule type="cellIs" dxfId="1" priority="2" operator="lessThan">
      <x:formula>0</x:formula>
    </x:cfRule>
  </x:conditionalFormatting>
  <x:conditionalFormatting sqref="S2:S3001">
    <x:cfRule type="cellIs" dxfId="2" priority="3" operator="greaterThan">
      <x:formula>15</x:formula>
    </x:cfRule>
  </x:conditionalFormatting>
  <x:conditionalFormatting sqref="T2:T3001">
    <x:cfRule type="containsText" dxfId="3" priority="4" operator="containsText" text="Cancelado"/>
  </x:conditionalFormatting>
  <x:pageMargins left="0.7" right="0.7" top="0.75" bottom="0.75" header="0.3" footer="0.3"/>
  <x:tableParts count="1">
    <x:tablePart xmlns:r="http://schemas.openxmlformats.org/officeDocument/2006/relationships" r:id="Rb0b824888ce249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2" hidden="0" customWidth="1"/>
    <x:col min="5" max="5" width="32" hidden="0" customWidth="1"/>
    <x:col min="6" max="6" width="18" hidden="0" customWidth="1"/>
  </x:cols>
  <x:sheetData>
    <x:row r="1">
      <x:c r="A1" s="57" t="str">
        <x:v>GABARITO | ABRA DEPOIS DO EXERCÍCIO</x:v>
      </x:c>
      <x:c r="B1" s="57"/>
      <x:c r="C1" s="57"/>
      <x:c r="D1" s="57"/>
      <x:c r="E1" s="57"/>
      <x:c r="F1" s="57"/>
      <x:c r="G1" s="57"/>
      <x:c r="H1" s="57"/>
    </x:row>
    <x:row r="2">
      <x:c r="A2" s="57"/>
      <x:c r="B2" s="57"/>
      <x:c r="C2" s="57"/>
      <x:c r="D2" s="57"/>
      <x:c r="E2" s="57"/>
      <x:c r="F2" s="57"/>
      <x:c r="G2" s="57"/>
      <x:c r="H2" s="57"/>
    </x:row>
    <x:row r="4">
      <x:c r="A4" s="58" t="str">
        <x:v>Indicador</x:v>
      </x:c>
      <x:c r="B4" s="58" t="str">
        <x:v>Resultado</x:v>
      </x:c>
      <x:c r="D4" s="58" t="str">
        <x:v>Alerta</x:v>
      </x:c>
      <x:c r="E4" s="58" t="str">
        <x:v>O que procurar</x:v>
      </x:c>
      <x:c r="F4" s="58" t="str">
        <x:v>Onde</x:v>
      </x:c>
    </x:row>
    <x:row r="5">
      <x:c r="A5" s="59" t="str">
        <x:v>Linhas de dados</x:v>
      </x:c>
      <x:c r="B5" s="53" t="n">
        <x:f>COUNTA('Base_Vendas'!$B$2:$B$3001)</x:f>
        <x:v>3000</x:v>
      </x:c>
      <x:c r="D5" s="70" t="str">
        <x:v>Duplicidades</x:v>
      </x:c>
      <x:c r="E5" s="71" t="str">
        <x:v>12 IDs aparecem duas vezes</x:v>
      </x:c>
      <x:c r="F5" s="72" t="str">
        <x:v>Pedido_ID</x:v>
      </x:c>
    </x:row>
    <x:row r="6">
      <x:c r="A6" s="59" t="str">
        <x:v>Receita líquida</x:v>
      </x:c>
      <x:c r="B6" s="60" t="n">
        <x:f>ROUND(SUM('Base_Vendas'!$O$2:$O$3001),2)</x:f>
        <x:v>20562136.01</x:v>
      </x:c>
      <x:c r="D6" s="73" t="str">
        <x:v>Descontos extremos</x:v>
      </x:c>
      <x:c r="E6" s="74" t="str">
        <x:v>Descontos acima de 30%</x:v>
      </x:c>
      <x:c r="F6" s="75" t="str">
        <x:v>Desconto_%</x:v>
      </x:c>
    </x:row>
    <x:row r="7">
      <x:c r="A7" s="59" t="str">
        <x:v>Margem total</x:v>
      </x:c>
      <x:c r="B7" s="60" t="n">
        <x:f>ROUND(SUM('Base_Vendas'!$Q$2:$Q$3001),2)</x:f>
        <x:v>6214997.98</x:v>
      </x:c>
      <x:c r="D7" s="73" t="str">
        <x:v>Margem negativa</x:v>
      </x:c>
      <x:c r="E7" s="74" t="str">
        <x:v>Venda que destrói valor</x:v>
      </x:c>
      <x:c r="F7" s="75" t="str">
        <x:v>Margem_%</x:v>
      </x:c>
    </x:row>
    <x:row r="8">
      <x:c r="A8" s="59" t="str">
        <x:v>Margem média</x:v>
      </x:c>
      <x:c r="B8" s="55" t="n">
        <x:f>ROUND(AVERAGE('Base_Vendas'!$R$2:$R$3001),4)</x:f>
        <x:v>0.385</x:v>
      </x:c>
      <x:c r="D8" s="73" t="str">
        <x:v>Atrasos</x:v>
      </x:c>
      <x:c r="E8" s="74" t="str">
        <x:v>Entrega acima de 15 dias</x:v>
      </x:c>
      <x:c r="F8" s="75" t="str">
        <x:v>Dias_Entrega</x:v>
      </x:c>
    </x:row>
    <x:row r="9">
      <x:c r="A9" s="59" t="str">
        <x:v>Pedidos com margem negativa</x:v>
      </x:c>
      <x:c r="B9" s="53" t="n">
        <x:f>COUNTIF('Base_Vendas'!$R$2:$R$3001,"&lt;0")</x:f>
        <x:v>17</x:v>
      </x:c>
      <x:c r="D9" s="73" t="str">
        <x:v>Qualidade</x:v>
      </x:c>
      <x:c r="E9" s="74" t="str">
        <x:v>Avaliação baixa e campos vazios</x:v>
      </x:c>
      <x:c r="F9" s="75" t="str">
        <x:v>Avaliação</x:v>
      </x:c>
    </x:row>
    <x:row r="10">
      <x:c r="A10" s="59" t="str">
        <x:v>Entregas acima de 15 dias</x:v>
      </x:c>
      <x:c r="B10" s="53" t="n">
        <x:f>COUNTIF('Base_Vendas'!$S$2:$S$3001,"&gt;15")</x:f>
        <x:v>42</x:v>
      </x:c>
      <x:c r="D10" s="76" t="str">
        <x:v>Concentração</x:v>
      </x:c>
      <x:c r="E10" s="77" t="str">
        <x:v>Receita por região, canal e produto</x:v>
      </x:c>
      <x:c r="F10" s="78" t="str">
        <x:v>Dimensões</x:v>
      </x:c>
    </x:row>
    <x:row r="13">
      <x:c r="A13" s="79" t="str">
        <x:v>Região</x:v>
      </x:c>
      <x:c r="B13" s="79" t="str">
        <x:v>Receita líquida</x:v>
      </x:c>
      <x:c r="C13" s="79" t="str">
        <x:v>Margem R$</x:v>
      </x:c>
    </x:row>
    <x:row r="14">
      <x:c r="A14" t="str">
        <x:v>Sudeste</x:v>
      </x:c>
      <x:c r="B14" s="60" t="n">
        <x:f>ROUND(SUMIF('Base_Vendas'!$E$2:$E$3001,A14,'Base_Vendas'!$O$2:$O$3001),2)</x:f>
        <x:v>4927186.99</x:v>
      </x:c>
      <x:c r="C14" s="60" t="n">
        <x:f>ROUND(SUMIF('Base_Vendas'!$E$2:$E$3001,A14,'Base_Vendas'!$Q$2:$Q$3001),2)</x:f>
        <x:v>1537388.17</x:v>
      </x:c>
    </x:row>
    <x:row r="15">
      <x:c r="A15" t="str">
        <x:v>Sul</x:v>
      </x:c>
      <x:c r="B15" s="60" t="n">
        <x:f>ROUND(SUMIF('Base_Vendas'!$E$2:$E$3001,A15,'Base_Vendas'!$O$2:$O$3001),2)</x:f>
        <x:v>3815595.74</x:v>
      </x:c>
      <x:c r="C15" s="60" t="n">
        <x:f>ROUND(SUMIF('Base_Vendas'!$E$2:$E$3001,A15,'Base_Vendas'!$Q$2:$Q$3001),2)</x:f>
        <x:v>1185887.35</x:v>
      </x:c>
    </x:row>
    <x:row r="16">
      <x:c r="A16" t="str">
        <x:v>Nordeste</x:v>
      </x:c>
      <x:c r="B16" s="60" t="n">
        <x:f>ROUND(SUMIF('Base_Vendas'!$E$2:$E$3001,A16,'Base_Vendas'!$O$2:$O$3001),2)</x:f>
        <x:v>5454646.11</x:v>
      </x:c>
      <x:c r="C16" s="60" t="n">
        <x:f>ROUND(SUMIF('Base_Vendas'!$E$2:$E$3001,A16,'Base_Vendas'!$Q$2:$Q$3001),2)</x:f>
        <x:v>1595086.85</x:v>
      </x:c>
    </x:row>
    <x:row r="17">
      <x:c r="A17" t="str">
        <x:v>Centro-Oeste</x:v>
      </x:c>
      <x:c r="B17" s="60" t="n">
        <x:f>ROUND(SUMIF('Base_Vendas'!$E$2:$E$3001,A17,'Base_Vendas'!$O$2:$O$3001),2)</x:f>
        <x:v>3513460.66</x:v>
      </x:c>
      <x:c r="C17" s="60" t="n">
        <x:f>ROUND(SUMIF('Base_Vendas'!$E$2:$E$3001,A17,'Base_Vendas'!$Q$2:$Q$3001),2)</x:f>
        <x:v>1129819.58</x:v>
      </x:c>
    </x:row>
    <x:row r="18">
      <x:c r="A18" t="str">
        <x:v>Norte</x:v>
      </x:c>
      <x:c r="B18" s="60" t="n">
        <x:f>ROUND(SUMIF('Base_Vendas'!$E$2:$E$3001,A18,'Base_Vendas'!$O$2:$O$3001),2)</x:f>
        <x:v>2851246.51</x:v>
      </x:c>
      <x:c r="C18" s="60" t="n">
        <x:f>ROUND(SUMIF('Base_Vendas'!$E$2:$E$3001,A18,'Base_Vendas'!$Q$2:$Q$3001),2)</x:f>
        <x:v>766816.03</x:v>
      </x:c>
    </x:row>
    <x:row r="21">
      <x:c r="A21" s="82" t="str">
        <x:v>A IA deve ajudar você a encontrar onde olhar. A decisão sobre o que importa, por que aconteceu e qual ação tomar continua exigindo contexto e julgamento humano.</x:v>
      </x:c>
      <x:c r="B21" s="82"/>
      <x:c r="C21" s="82"/>
      <x:c r="D21" s="82"/>
      <x:c r="E21" s="82"/>
      <x:c r="F21" s="82"/>
      <x:c r="G21" s="82"/>
      <x:c r="H21" s="82"/>
    </x:row>
    <x:row r="22">
      <x:c r="A22" s="82"/>
      <x:c r="B22" s="82"/>
      <x:c r="C22" s="82"/>
      <x:c r="D22" s="82"/>
      <x:c r="E22" s="82"/>
      <x:c r="F22" s="82"/>
      <x:c r="G22" s="82"/>
      <x:c r="H22" s="82"/>
    </x:row>
    <x:row r="23">
      <x:c r="A23" s="82"/>
      <x:c r="B23" s="82"/>
      <x:c r="C23" s="82"/>
      <x:c r="D23" s="82"/>
      <x:c r="E23" s="82"/>
      <x:c r="F23" s="82"/>
      <x:c r="G23" s="82"/>
      <x:c r="H23" s="82"/>
    </x:row>
  </x:sheetData>
  <x:mergeCells>
    <x:mergeCell ref="A1:H2"/>
    <x:mergeCell ref="A21:H23"/>
  </x:mergeCells>
  <x:pageMargins left="0.7" right="0.7" top="0.75" bottom="0.75" header="0.3" footer="0.3"/>
  <x:drawing xmlns:r="http://schemas.openxmlformats.org/officeDocument/2006/relationships" r:id="Re29fc5799d7d425e"/>
</x:worksheet>
</file>